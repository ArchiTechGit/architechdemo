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workbookPr showInkAnnotation="0" codeName="ThisWorkbook"/>
  <mc:AlternateContent xmlns:mc="http://schemas.openxmlformats.org/markup-compatibility/2006">
    <mc:Choice Requires="x15">
      <x15ac:absPath xmlns:x15ac="http://schemas.microsoft.com/office/spreadsheetml/2010/11/ac" url="C:\Users\evan.butcher\OneDrive - ArchiTech Network &amp; Communications Solutions\Desktop\"/>
    </mc:Choice>
  </mc:AlternateContent>
  <xr:revisionPtr revIDLastSave="0" documentId="13_ncr:1_{02EFE33A-A6F8-415A-9FD3-93F0B31E1411}" xr6:coauthVersionLast="47" xr6:coauthVersionMax="47" xr10:uidLastSave="{00000000-0000-0000-0000-000000000000}"/>
  <workbookProtection workbookAlgorithmName="SHA-512" workbookHashValue="LKZOpQSrOSMCNrVmuR0/T9WElZXOMfQaoawkSVfYd8w0LaQhZzwv8EorB3W1rfjYMs+qwBHyGEgdR/uZPoAtLA==" workbookSaltValue="S7NpHSsiREZqK/ZWB7clCQ==" workbookSpinCount="100000" lockStructure="1"/>
  <bookViews>
    <workbookView xWindow="-108" yWindow="-108" windowWidth="23256" windowHeight="13896" tabRatio="925" xr2:uid="{00000000-000D-0000-FFFF-FFFF00000000}"/>
  </bookViews>
  <sheets>
    <sheet name="Instructions" sheetId="23" r:id="rId1"/>
    <sheet name="Project Technical Tasks" sheetId="1" r:id="rId2"/>
    <sheet name="Subcontractors" sheetId="17" r:id="rId3"/>
    <sheet name="Management" sheetId="26" r:id="rId4"/>
    <sheet name="Project Risk" sheetId="2" r:id="rId5"/>
    <sheet name="Milestones" sheetId="36" r:id="rId6"/>
    <sheet name="Checklist" sheetId="24" r:id="rId7"/>
    <sheet name="Summary" sheetId="4" r:id="rId8"/>
    <sheet name="SA Notes" sheetId="30" r:id="rId9"/>
    <sheet name="CPQ Import" sheetId="37" r:id="rId10"/>
    <sheet name="PROJECT SETUP" sheetId="34" r:id="rId11"/>
    <sheet name="HIDDEN_APS Part Numbers" sheetId="38" state="hidden" r:id="rId12"/>
    <sheet name="Settings_Hidden" sheetId="22" state="hidden" r:id="rId13"/>
    <sheet name="Settings_Management_Hidden" sheetId="13" state="hidden" r:id="rId14"/>
  </sheets>
  <definedNames>
    <definedName name="_xlnm._FilterDatabase" localSheetId="11" hidden="1">'HIDDEN_APS Part Numbers'!$C$30:$S$165</definedName>
    <definedName name="ArchiTech_Maturity">Settings_Hidden!#REF!</definedName>
    <definedName name="Budget_Constraint">Settings_Hidden!#REF!</definedName>
    <definedName name="COST_RATES">Settings_Hidden!$B$102:$D$111</definedName>
    <definedName name="Customer_Maturity">Settings_Hidden!#REF!</definedName>
    <definedName name="CustomerCompetency">'Project Risk'!$A$29:$A$36</definedName>
    <definedName name="Declaraion_Negative">Settings_Hidden!$C$147</definedName>
    <definedName name="declaration_options">Settings_Hidden!$C$146:$C$147</definedName>
    <definedName name="Declaration_Positive">Settings_Hidden!$C$146</definedName>
    <definedName name="DeploymentExperience">'Project Risk'!$A$45:$A$48</definedName>
    <definedName name="Discount_Alert_Triggers">Settings_Hidden!$B$300:$C$302</definedName>
    <definedName name="Discount_approvers">Settings_Hidden!$B$310:$B$311</definedName>
    <definedName name="Discount_Rates">#REF!</definedName>
    <definedName name="ENGINEER_ROLES">Settings_Hidden!$B$50:$B$56</definedName>
    <definedName name="Failure_Impact">Settings_Hidden!#REF!</definedName>
    <definedName name="GM_Approver_List">Settings_Hidden!$B$304:$B$305</definedName>
    <definedName name="Locations">Settings_Hidden!$C$17:$C$18</definedName>
    <definedName name="PM_Frequency_Label_List">Settings_Hidden!$D$163:$D$169</definedName>
    <definedName name="Product_Maturity">Settings_Hidden!#REF!</definedName>
    <definedName name="Project_Management_Report_Frequency_Thresholds">Settings_Hidden!$B$163:$C$169</definedName>
    <definedName name="Project_Management_Tier_Thresholds">Settings_Hidden!$B$151:$D$155</definedName>
    <definedName name="PROJECT_TIERS">Settings_Hidden!$C$151:$C$155</definedName>
    <definedName name="Rate_Types">Settings_Hidden!$B$88:$B$97</definedName>
    <definedName name="RESOURCE_1_TYPE">'Project Technical Tasks'!$J$41</definedName>
    <definedName name="RESOURCE_2_TYPE">'Project Technical Tasks'!$M$41</definedName>
    <definedName name="RESOURCE_3_TYPE">'Project Technical Tasks'!$P$41</definedName>
    <definedName name="RESOURCE_4_TYPE">'Project Technical Tasks'!$S$41</definedName>
    <definedName name="RESOURCE_5_TYPE">'Project Technical Tasks'!$V$41</definedName>
    <definedName name="RESOURCE_ONE_TYPE">'Project Technical Tasks'!$J$41</definedName>
    <definedName name="Risk_declaration_1">Settings_Hidden!#REF!</definedName>
    <definedName name="Risk_declaration_2">Settings_Hidden!#REF!</definedName>
    <definedName name="Risk_declaration_3">Settings_Hidden!#REF!</definedName>
    <definedName name="Risk_declaration_4">Settings_Hidden!#REF!</definedName>
    <definedName name="Risk_Tiers">Settings_Hidden!$C$292:$C$295</definedName>
    <definedName name="Role.Company.Executive.Email">Settings_Hidden!$C$7</definedName>
    <definedName name="Role.Company.Executive.Name">Settings_Hidden!$B$7</definedName>
    <definedName name="Role.Delivery.Department.Leader">Settings_Hidden!$B$8</definedName>
    <definedName name="Role.Delivery.Department.Leader.Email">Settings_Hidden!$C$8</definedName>
    <definedName name="Role.Delivery.Department.Leader.Name">Settings_Hidden!$B$8</definedName>
    <definedName name="Role.Engineering.Leader.Email">Settings_Hidden!$C$11</definedName>
    <definedName name="Role.Engineering.Leader.Name">Settings_Hidden!$B$11</definedName>
    <definedName name="Role.PMO.Leader.email">Settings_Hidden!$C$10</definedName>
    <definedName name="Role.PMO.Leader.Name">Settings_Hidden!$B$10</definedName>
    <definedName name="Role.Sales.Department.Leader">Settings_Hidden!$B$9</definedName>
    <definedName name="Role.Sales.Department.Leader.email">Settings_Hidden!$C$9</definedName>
    <definedName name="Role.Sales.Department.Leader.Name">Settings_Hidden!$B$9</definedName>
    <definedName name="Roles">Settings_Hidden!$B$88:$B$94</definedName>
    <definedName name="Scope_Constraint">Settings_Hidden!#REF!</definedName>
    <definedName name="SELL_RATES">Settings_Hidden!$B$88:$D$97</definedName>
    <definedName name="SERVICE_CATEGORIES">Settings_Hidden!$C$36:$C$40</definedName>
    <definedName name="Setting_Adjust_for_weekends">Settings_Hidden!$C$178</definedName>
    <definedName name="Setting_ArchiTech_Office_Term">Settings_Hidden!$C$18</definedName>
    <definedName name="Setting_Base_Duration">Settings_Hidden!$C$174</definedName>
    <definedName name="SETTING_client_site_term">Settings_Hidden!$C$17</definedName>
    <definedName name="Setting_Default_Engineer_Allocation">Settings_Hidden!$C$175</definedName>
    <definedName name="Setting_Engineer_Hours_per_day">Settings_Hidden!$C$176</definedName>
    <definedName name="Setting_engineer_Onboard_Min">Settings_Hidden!$B$45</definedName>
    <definedName name="Setting_engineer_Onboard_Scale">Settings_Hidden!$B$46</definedName>
    <definedName name="Setting_Lead_engineer_Familiarisation_Min">Settings_Hidden!$B$43</definedName>
    <definedName name="Setting_Lead_engineer_Familiarisation_Scale">Settings_Hidden!$B$44</definedName>
    <definedName name="Setting_Scaling_Duration">Settings_Hidden!$C$179</definedName>
    <definedName name="Settting_additional_duration">Settings_Hidden!$C$177</definedName>
    <definedName name="SolutionMaturity">'Project Risk'!$A$41:$A$42</definedName>
    <definedName name="Sub_Risk_Categories">Settings_Hidden!#REF!</definedName>
    <definedName name="SUBCONTRACTOR_Criticality">Settings_Hidden!#REF!</definedName>
    <definedName name="Subcontractor_declaration_2">Settings_Hidden!$C$141</definedName>
    <definedName name="Subcontractor_declaration_3">Settings_Hidden!$C$142</definedName>
    <definedName name="Subcontractor_declaration_4">Settings_Hidden!$C$143</definedName>
    <definedName name="subcontractor_Declarations">Settings_Hidden!$C$140:$F$143</definedName>
    <definedName name="Subcontractor_Field">Settings_Hidden!#REF!</definedName>
    <definedName name="Subcontractor_Quote_Types">Settings_Hidden!$C$134:$C$136</definedName>
    <definedName name="Subcontractor_Relationship">Settings_Hidden!#REF!</definedName>
    <definedName name="SUBCONTRACTOR_Reliability">Settings_Hidden!#REF!</definedName>
    <definedName name="TASKLIST">#REF!:INDEX(#REF!,MATCH("",#REF!,0)-1,1)</definedName>
    <definedName name="Timeline_Constraint">Settings_Hidden!#REF!</definedName>
    <definedName name="TRAVEL_CODE">Settings_Hidden!$D$370</definedName>
    <definedName name="Work_Types">Settings_Hidden!$C$87:$D$87</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34" l="1"/>
  <c r="F27" i="34"/>
  <c r="F26" i="34"/>
  <c r="F25" i="34"/>
  <c r="C41" i="34"/>
  <c r="H363" i="22"/>
  <c r="H365" i="22"/>
  <c r="A363" i="22"/>
  <c r="B363" i="22"/>
  <c r="A365" i="22"/>
  <c r="B365" i="22"/>
  <c r="K41" i="4" a="1"/>
  <c r="K41" i="4" s="1"/>
  <c r="X42" i="1"/>
  <c r="W42" i="1"/>
  <c r="V42" i="1"/>
  <c r="U42" i="1"/>
  <c r="T42" i="1"/>
  <c r="S42" i="1"/>
  <c r="R42" i="1"/>
  <c r="Q42" i="1"/>
  <c r="P42" i="1"/>
  <c r="O42" i="1"/>
  <c r="N42" i="1"/>
  <c r="M42" i="1"/>
  <c r="D88" i="22"/>
  <c r="E88" i="22" s="1"/>
  <c r="C97" i="22"/>
  <c r="C90" i="22"/>
  <c r="C91" i="22"/>
  <c r="C92" i="22"/>
  <c r="C93" i="22"/>
  <c r="C94" i="22"/>
  <c r="C95" i="22"/>
  <c r="C96" i="22"/>
  <c r="C89" i="22"/>
  <c r="C88" i="22"/>
  <c r="G82" i="22"/>
  <c r="C108" i="22" s="1"/>
  <c r="G81" i="22"/>
  <c r="C106" i="22" s="1"/>
  <c r="G80" i="22"/>
  <c r="C107" i="22" s="1"/>
  <c r="G79" i="22"/>
  <c r="C105" i="22" s="1"/>
  <c r="G78" i="22"/>
  <c r="C110" i="22" s="1"/>
  <c r="G77" i="22"/>
  <c r="C109" i="22" s="1"/>
  <c r="G76" i="22"/>
  <c r="C104" i="22" s="1"/>
  <c r="G75" i="22"/>
  <c r="C103" i="22" s="1"/>
  <c r="G74" i="22"/>
  <c r="J73" i="22"/>
  <c r="J74" i="22" s="1"/>
  <c r="G73" i="22"/>
  <c r="H73" i="22" s="1"/>
  <c r="I72" i="22"/>
  <c r="G72" i="22"/>
  <c r="H72" i="22" s="1"/>
  <c r="D102" i="22" s="1"/>
  <c r="K42" i="1" l="1"/>
  <c r="C111" i="22"/>
  <c r="I73" i="22"/>
  <c r="L42" i="1"/>
  <c r="J42" i="1"/>
  <c r="C102" i="22"/>
  <c r="J75" i="22"/>
  <c r="J76" i="22" s="1"/>
  <c r="H76" i="22" s="1"/>
  <c r="D104" i="22" s="1"/>
  <c r="I74" i="22"/>
  <c r="H74" i="22"/>
  <c r="H75" i="22" l="1"/>
  <c r="I75" i="22"/>
  <c r="I76" i="22"/>
  <c r="D90" i="22" s="1"/>
  <c r="E90" i="22" s="1"/>
  <c r="J79" i="22"/>
  <c r="D89" i="22" l="1"/>
  <c r="E89" i="22" s="1"/>
  <c r="D97" i="22"/>
  <c r="E97" i="22" s="1"/>
  <c r="D103" i="22"/>
  <c r="D111" i="22"/>
  <c r="J80" i="22"/>
  <c r="I79" i="22"/>
  <c r="D91" i="22" s="1"/>
  <c r="E91" i="22" s="1"/>
  <c r="H79" i="22"/>
  <c r="D105" i="22" s="1"/>
  <c r="J77" i="22" l="1"/>
  <c r="I80" i="22"/>
  <c r="D93" i="22" s="1"/>
  <c r="E93" i="22" s="1"/>
  <c r="H80" i="22"/>
  <c r="D107" i="22" s="1"/>
  <c r="I77" i="22" l="1"/>
  <c r="D95" i="22" s="1"/>
  <c r="E95" i="22" s="1"/>
  <c r="J78" i="22"/>
  <c r="H77" i="22"/>
  <c r="D109" i="22" s="1"/>
  <c r="I78" i="22" l="1"/>
  <c r="D96" i="22" s="1"/>
  <c r="E96" i="22" s="1"/>
  <c r="J81" i="22"/>
  <c r="H78" i="22"/>
  <c r="D110" i="22" s="1"/>
  <c r="J82" i="22" l="1"/>
  <c r="I81" i="22"/>
  <c r="D92" i="22" s="1"/>
  <c r="E92" i="22" s="1"/>
  <c r="H81" i="22"/>
  <c r="D106" i="22" s="1"/>
  <c r="I82" i="22" l="1"/>
  <c r="D94" i="22" s="1"/>
  <c r="E94" i="22" s="1"/>
  <c r="H82" i="22"/>
  <c r="D108" i="22" s="1"/>
  <c r="D6" i="4" l="1"/>
  <c r="A7" i="23"/>
  <c r="F25" i="37"/>
  <c r="F26" i="37"/>
  <c r="F27" i="37"/>
  <c r="F28" i="37"/>
  <c r="F24" i="37"/>
  <c r="E23" i="37"/>
  <c r="E27" i="37"/>
  <c r="E28" i="37"/>
  <c r="D28" i="37"/>
  <c r="D27" i="37"/>
  <c r="C23" i="37"/>
  <c r="D23" i="37"/>
  <c r="B23" i="37"/>
  <c r="BP147" i="38"/>
  <c r="BP123" i="38"/>
  <c r="BP145" i="38"/>
  <c r="BP121" i="38"/>
  <c r="BP146" i="38"/>
  <c r="BP122" i="38"/>
  <c r="BP150" i="38"/>
  <c r="BP126" i="38"/>
  <c r="BP148" i="38"/>
  <c r="BP124" i="38"/>
  <c r="BP149" i="38"/>
  <c r="BP125" i="38"/>
  <c r="BP153" i="38"/>
  <c r="BP129" i="38"/>
  <c r="BP151" i="38"/>
  <c r="BP127" i="38"/>
  <c r="BP152" i="38"/>
  <c r="BP128" i="38"/>
  <c r="BP156" i="38"/>
  <c r="BP132" i="38"/>
  <c r="BP154" i="38"/>
  <c r="BP130" i="38"/>
  <c r="BP155" i="38"/>
  <c r="BP131" i="38"/>
  <c r="BP159" i="38"/>
  <c r="BP135" i="38"/>
  <c r="BP157" i="38"/>
  <c r="BP133" i="38"/>
  <c r="BP158" i="38"/>
  <c r="BP134" i="38"/>
  <c r="BP165" i="38"/>
  <c r="BP141" i="38"/>
  <c r="BP163" i="38"/>
  <c r="BP139" i="38"/>
  <c r="BP164" i="38"/>
  <c r="BP140" i="38"/>
  <c r="BP162" i="38"/>
  <c r="BP138" i="38"/>
  <c r="BP160" i="38"/>
  <c r="BP136" i="38"/>
  <c r="BP161" i="38"/>
  <c r="BP137" i="38"/>
  <c r="BP142" i="38"/>
  <c r="BP143" i="38"/>
  <c r="BP144" i="38"/>
  <c r="BP96" i="38"/>
  <c r="BP64" i="38"/>
  <c r="BP94" i="38"/>
  <c r="BP62" i="38"/>
  <c r="BP95" i="38"/>
  <c r="BP63" i="38"/>
  <c r="BP93" i="38"/>
  <c r="BP61" i="38"/>
  <c r="BP100" i="38"/>
  <c r="BP68" i="38"/>
  <c r="BP98" i="38"/>
  <c r="BP66" i="38"/>
  <c r="BP99" i="38"/>
  <c r="BP67" i="38"/>
  <c r="BP97" i="38"/>
  <c r="BP65" i="38"/>
  <c r="BP104" i="38"/>
  <c r="BP72" i="38"/>
  <c r="BP102" i="38"/>
  <c r="BP70" i="38"/>
  <c r="BP103" i="38"/>
  <c r="BP71" i="38"/>
  <c r="BP101" i="38"/>
  <c r="BP69" i="38"/>
  <c r="BP108" i="38"/>
  <c r="BP76" i="38"/>
  <c r="BP106" i="38"/>
  <c r="BP74" i="38"/>
  <c r="BP107" i="38"/>
  <c r="BP75" i="38"/>
  <c r="BP105" i="38"/>
  <c r="BP73" i="38"/>
  <c r="BP112" i="38"/>
  <c r="BP80" i="38"/>
  <c r="BP110" i="38"/>
  <c r="BP78" i="38"/>
  <c r="BP111" i="38"/>
  <c r="BP79" i="38"/>
  <c r="BP109" i="38"/>
  <c r="BP77" i="38"/>
  <c r="BP120" i="38"/>
  <c r="BP88" i="38"/>
  <c r="BP118" i="38"/>
  <c r="BP86" i="38"/>
  <c r="BP119" i="38"/>
  <c r="BP87" i="38"/>
  <c r="BP117" i="38"/>
  <c r="BP85" i="38"/>
  <c r="BP116" i="38"/>
  <c r="BP84" i="38"/>
  <c r="BP114" i="38"/>
  <c r="BP82" i="38"/>
  <c r="BP115" i="38"/>
  <c r="BP83" i="38"/>
  <c r="BP113" i="38"/>
  <c r="BP81" i="38"/>
  <c r="BP89" i="38"/>
  <c r="BP90" i="38"/>
  <c r="BP91" i="38"/>
  <c r="BP92" i="38"/>
  <c r="BP47" i="38"/>
  <c r="BP31" i="38"/>
  <c r="BP48" i="38"/>
  <c r="BP32" i="38"/>
  <c r="BP49" i="38"/>
  <c r="BP33" i="38"/>
  <c r="BP50" i="38"/>
  <c r="BP34" i="38"/>
  <c r="BP51" i="38"/>
  <c r="BP35" i="38"/>
  <c r="BP52" i="38"/>
  <c r="BP36" i="38"/>
  <c r="BP53" i="38"/>
  <c r="BP37" i="38"/>
  <c r="BP54" i="38"/>
  <c r="BP38" i="38"/>
  <c r="BP55" i="38"/>
  <c r="BP39" i="38"/>
  <c r="BP56" i="38"/>
  <c r="BP40" i="38"/>
  <c r="BP59" i="38"/>
  <c r="BP43" i="38"/>
  <c r="BP60" i="38"/>
  <c r="BP44" i="38"/>
  <c r="BP57" i="38"/>
  <c r="BP41" i="38"/>
  <c r="BP58" i="38"/>
  <c r="BP42" i="38"/>
  <c r="BP45" i="38"/>
  <c r="BP46" i="38"/>
  <c r="BM147" i="38"/>
  <c r="BM123" i="38"/>
  <c r="BM145" i="38"/>
  <c r="BM121" i="38"/>
  <c r="BM146" i="38"/>
  <c r="BM122" i="38"/>
  <c r="BM150" i="38"/>
  <c r="BM126" i="38"/>
  <c r="BM148" i="38"/>
  <c r="BM124" i="38"/>
  <c r="BM149" i="38"/>
  <c r="BM125" i="38"/>
  <c r="BM153" i="38"/>
  <c r="BM129" i="38"/>
  <c r="BM151" i="38"/>
  <c r="BM127" i="38"/>
  <c r="BM152" i="38"/>
  <c r="BM128" i="38"/>
  <c r="BM156" i="38"/>
  <c r="BM132" i="38"/>
  <c r="BM154" i="38"/>
  <c r="BM130" i="38"/>
  <c r="BM155" i="38"/>
  <c r="BM131" i="38"/>
  <c r="BM159" i="38"/>
  <c r="BM135" i="38"/>
  <c r="BM157" i="38"/>
  <c r="BM133" i="38"/>
  <c r="BM158" i="38"/>
  <c r="BM134" i="38"/>
  <c r="BM165" i="38"/>
  <c r="BM141" i="38"/>
  <c r="BM163" i="38"/>
  <c r="BM139" i="38"/>
  <c r="BM164" i="38"/>
  <c r="BM140" i="38"/>
  <c r="BM162" i="38"/>
  <c r="BM138" i="38"/>
  <c r="BM160" i="38"/>
  <c r="BM136" i="38"/>
  <c r="BM161" i="38"/>
  <c r="BM137" i="38"/>
  <c r="BM142" i="38"/>
  <c r="BM143" i="38"/>
  <c r="BM144" i="38"/>
  <c r="BM96" i="38"/>
  <c r="BM64" i="38"/>
  <c r="BM94" i="38"/>
  <c r="BM62" i="38"/>
  <c r="BM95" i="38"/>
  <c r="BM63" i="38"/>
  <c r="BM93" i="38"/>
  <c r="BM61" i="38"/>
  <c r="BM100" i="38"/>
  <c r="BM68" i="38"/>
  <c r="BM98" i="38"/>
  <c r="BM66" i="38"/>
  <c r="BM99" i="38"/>
  <c r="BM67" i="38"/>
  <c r="BM97" i="38"/>
  <c r="BM65" i="38"/>
  <c r="BM104" i="38"/>
  <c r="BM72" i="38"/>
  <c r="BM102" i="38"/>
  <c r="BM70" i="38"/>
  <c r="BM103" i="38"/>
  <c r="BM71" i="38"/>
  <c r="BM101" i="38"/>
  <c r="BM69" i="38"/>
  <c r="BM108" i="38"/>
  <c r="BM76" i="38"/>
  <c r="BM106" i="38"/>
  <c r="BM74" i="38"/>
  <c r="BM107" i="38"/>
  <c r="BM75" i="38"/>
  <c r="BM105" i="38"/>
  <c r="BM73" i="38"/>
  <c r="BM112" i="38"/>
  <c r="BM80" i="38"/>
  <c r="BM110" i="38"/>
  <c r="BM78" i="38"/>
  <c r="BM111" i="38"/>
  <c r="BM79" i="38"/>
  <c r="BM109" i="38"/>
  <c r="BM77" i="38"/>
  <c r="BM120" i="38"/>
  <c r="BM88" i="38"/>
  <c r="BM118" i="38"/>
  <c r="BM86" i="38"/>
  <c r="BM119" i="38"/>
  <c r="BM87" i="38"/>
  <c r="BM117" i="38"/>
  <c r="BM85" i="38"/>
  <c r="BM116" i="38"/>
  <c r="BM84" i="38"/>
  <c r="BM114" i="38"/>
  <c r="BM82" i="38"/>
  <c r="BM115" i="38"/>
  <c r="BM83" i="38"/>
  <c r="BM113" i="38"/>
  <c r="BM81" i="38"/>
  <c r="BM89" i="38"/>
  <c r="BM90" i="38"/>
  <c r="BM91" i="38"/>
  <c r="BM92" i="38"/>
  <c r="BM47" i="38"/>
  <c r="BM31" i="38"/>
  <c r="BM48" i="38"/>
  <c r="BM32" i="38"/>
  <c r="BM49" i="38"/>
  <c r="BM33" i="38"/>
  <c r="BM50" i="38"/>
  <c r="BM34" i="38"/>
  <c r="BM51" i="38"/>
  <c r="BM35" i="38"/>
  <c r="BM52" i="38"/>
  <c r="BM36" i="38"/>
  <c r="BM53" i="38"/>
  <c r="BM37" i="38"/>
  <c r="BM54" i="38"/>
  <c r="BM38" i="38"/>
  <c r="BM55" i="38"/>
  <c r="BM39" i="38"/>
  <c r="BM56" i="38"/>
  <c r="BM40" i="38"/>
  <c r="BM59" i="38"/>
  <c r="BM43" i="38"/>
  <c r="BM60" i="38"/>
  <c r="BM44" i="38"/>
  <c r="BM57" i="38"/>
  <c r="BM41" i="38"/>
  <c r="BM58" i="38"/>
  <c r="BM42" i="38"/>
  <c r="BM45" i="38"/>
  <c r="BM46" i="38"/>
  <c r="AM147" i="38"/>
  <c r="AM123" i="38"/>
  <c r="AM145" i="38"/>
  <c r="AM121" i="38"/>
  <c r="AM146" i="38"/>
  <c r="AM122" i="38"/>
  <c r="AM150" i="38"/>
  <c r="AM126" i="38"/>
  <c r="AM148" i="38"/>
  <c r="AM124" i="38"/>
  <c r="AM149" i="38"/>
  <c r="AM125" i="38"/>
  <c r="AM153" i="38"/>
  <c r="AM129" i="38"/>
  <c r="AM151" i="38"/>
  <c r="AM127" i="38"/>
  <c r="AM152" i="38"/>
  <c r="AM128" i="38"/>
  <c r="AM156" i="38"/>
  <c r="AM132" i="38"/>
  <c r="AM154" i="38"/>
  <c r="AM130" i="38"/>
  <c r="AM155" i="38"/>
  <c r="AM131" i="38"/>
  <c r="AM159" i="38"/>
  <c r="AM135" i="38"/>
  <c r="AM157" i="38"/>
  <c r="AM133" i="38"/>
  <c r="AM158" i="38"/>
  <c r="AM134" i="38"/>
  <c r="AM165" i="38"/>
  <c r="AM141" i="38"/>
  <c r="AM163" i="38"/>
  <c r="AM139" i="38"/>
  <c r="AM164" i="38"/>
  <c r="AM140" i="38"/>
  <c r="AM162" i="38"/>
  <c r="AM138" i="38"/>
  <c r="AM160" i="38"/>
  <c r="AM136" i="38"/>
  <c r="AM161" i="38"/>
  <c r="AM137" i="38"/>
  <c r="AM142" i="38"/>
  <c r="AM143" i="38"/>
  <c r="AM144" i="38"/>
  <c r="AM96" i="38"/>
  <c r="AM64" i="38"/>
  <c r="AM94" i="38"/>
  <c r="AM62" i="38"/>
  <c r="AM95" i="38"/>
  <c r="AM63" i="38"/>
  <c r="AM93" i="38"/>
  <c r="AM61" i="38"/>
  <c r="AM100" i="38"/>
  <c r="AM68" i="38"/>
  <c r="AM98" i="38"/>
  <c r="AM66" i="38"/>
  <c r="AM99" i="38"/>
  <c r="AM67" i="38"/>
  <c r="AM97" i="38"/>
  <c r="AM65" i="38"/>
  <c r="AM104" i="38"/>
  <c r="AM72" i="38"/>
  <c r="AM102" i="38"/>
  <c r="AM70" i="38"/>
  <c r="AM103" i="38"/>
  <c r="AM71" i="38"/>
  <c r="AM101" i="38"/>
  <c r="AM69" i="38"/>
  <c r="AM108" i="38"/>
  <c r="AM76" i="38"/>
  <c r="AM106" i="38"/>
  <c r="AM74" i="38"/>
  <c r="AM107" i="38"/>
  <c r="AM75" i="38"/>
  <c r="AM105" i="38"/>
  <c r="AM73" i="38"/>
  <c r="AM112" i="38"/>
  <c r="AM80" i="38"/>
  <c r="AM110" i="38"/>
  <c r="AM78" i="38"/>
  <c r="AM111" i="38"/>
  <c r="AM79" i="38"/>
  <c r="AM109" i="38"/>
  <c r="AM77" i="38"/>
  <c r="AM120" i="38"/>
  <c r="AM88" i="38"/>
  <c r="AM118" i="38"/>
  <c r="AM86" i="38"/>
  <c r="AM119" i="38"/>
  <c r="AM87" i="38"/>
  <c r="AM117" i="38"/>
  <c r="AM85" i="38"/>
  <c r="AM116" i="38"/>
  <c r="AM84" i="38"/>
  <c r="AM114" i="38"/>
  <c r="AM82" i="38"/>
  <c r="AM115" i="38"/>
  <c r="AM83" i="38"/>
  <c r="AM113" i="38"/>
  <c r="AM81" i="38"/>
  <c r="AM89" i="38"/>
  <c r="AM90" i="38"/>
  <c r="AM91" i="38"/>
  <c r="AM92" i="38"/>
  <c r="AM47" i="38"/>
  <c r="AM31" i="38"/>
  <c r="AM48" i="38"/>
  <c r="AM32" i="38"/>
  <c r="AM49" i="38"/>
  <c r="AM33" i="38"/>
  <c r="AM50" i="38"/>
  <c r="AM34" i="38"/>
  <c r="AM51" i="38"/>
  <c r="AM35" i="38"/>
  <c r="AM52" i="38"/>
  <c r="AM36" i="38"/>
  <c r="AM53" i="38"/>
  <c r="AM37" i="38"/>
  <c r="AM54" i="38"/>
  <c r="AM38" i="38"/>
  <c r="AM55" i="38"/>
  <c r="AM39" i="38"/>
  <c r="AM56" i="38"/>
  <c r="AM40" i="38"/>
  <c r="AM59" i="38"/>
  <c r="AM43" i="38"/>
  <c r="AM60" i="38"/>
  <c r="AM44" i="38"/>
  <c r="AM57" i="38"/>
  <c r="AM41" i="38"/>
  <c r="AM58" i="38"/>
  <c r="AM42" i="38"/>
  <c r="AM45" i="38"/>
  <c r="AM46" i="38"/>
  <c r="AK6" i="38"/>
  <c r="AK1" i="38" s="1"/>
  <c r="AL6" i="38"/>
  <c r="AJ6" i="38"/>
  <c r="AJ1" i="38" s="1"/>
  <c r="D370" i="22"/>
  <c r="AI17" i="38" s="1"/>
  <c r="AG1" i="38"/>
  <c r="AI1" i="38"/>
  <c r="AF1" i="38"/>
  <c r="A27" i="2"/>
  <c r="M9" i="38" a="1"/>
  <c r="M9" i="38" s="1"/>
  <c r="P27" i="38"/>
  <c r="Q27" i="38"/>
  <c r="R27" i="38"/>
  <c r="S27" i="38"/>
  <c r="K27" i="38"/>
  <c r="L27" i="38"/>
  <c r="M27" i="38"/>
  <c r="N27" i="38"/>
  <c r="O27" i="38"/>
  <c r="J27" i="38"/>
  <c r="D123" i="38" a="1"/>
  <c r="D123" i="38" s="1"/>
  <c r="D47" i="38" a="1"/>
  <c r="D47" i="38" s="1"/>
  <c r="D31" i="38" a="1"/>
  <c r="D31" i="38" s="1"/>
  <c r="D96" i="38" a="1"/>
  <c r="D96" i="38" s="1"/>
  <c r="D64" i="38" a="1"/>
  <c r="D64" i="38" s="1"/>
  <c r="D146" i="38" a="1"/>
  <c r="D146" i="38" s="1"/>
  <c r="D122" i="38" a="1"/>
  <c r="D122" i="38" s="1"/>
  <c r="D48" i="38" a="1"/>
  <c r="D48" i="38" s="1"/>
  <c r="D32" i="38" a="1"/>
  <c r="D32" i="38" s="1"/>
  <c r="D95" i="38" a="1"/>
  <c r="D95" i="38" s="1"/>
  <c r="D63" i="38" a="1"/>
  <c r="D63" i="38" s="1"/>
  <c r="D145" i="38" a="1"/>
  <c r="D145" i="38" s="1"/>
  <c r="D121" i="38" a="1"/>
  <c r="D121" i="38" s="1"/>
  <c r="D94" i="38" a="1"/>
  <c r="D94" i="38" s="1"/>
  <c r="D62" i="38" a="1"/>
  <c r="D62" i="38" s="1"/>
  <c r="D93" i="38" a="1"/>
  <c r="D93" i="38" s="1"/>
  <c r="D61" i="38" a="1"/>
  <c r="D61" i="38" s="1"/>
  <c r="D150" i="38" a="1"/>
  <c r="D150" i="38" s="1"/>
  <c r="D126" i="38" a="1"/>
  <c r="D126" i="38" s="1"/>
  <c r="D49" i="38" a="1"/>
  <c r="D49" i="38" s="1"/>
  <c r="D33" i="38" a="1"/>
  <c r="D33" i="38" s="1"/>
  <c r="D100" i="38" a="1"/>
  <c r="D100" i="38" s="1"/>
  <c r="D68" i="38" a="1"/>
  <c r="D68" i="38" s="1"/>
  <c r="D149" i="38" a="1"/>
  <c r="D149" i="38" s="1"/>
  <c r="D125" i="38" a="1"/>
  <c r="D125" i="38" s="1"/>
  <c r="D50" i="38" a="1"/>
  <c r="D50" i="38" s="1"/>
  <c r="D34" i="38" a="1"/>
  <c r="D34" i="38" s="1"/>
  <c r="D99" i="38" a="1"/>
  <c r="D99" i="38" s="1"/>
  <c r="D67" i="38" a="1"/>
  <c r="D67" i="38" s="1"/>
  <c r="D148" i="38" a="1"/>
  <c r="D148" i="38" s="1"/>
  <c r="D124" i="38" a="1"/>
  <c r="D124" i="38" s="1"/>
  <c r="D98" i="38" a="1"/>
  <c r="D98" i="38" s="1"/>
  <c r="D66" i="38" a="1"/>
  <c r="D66" i="38" s="1"/>
  <c r="D97" i="38" a="1"/>
  <c r="D97" i="38" s="1"/>
  <c r="D65" i="38" a="1"/>
  <c r="D65" i="38" s="1"/>
  <c r="D153" i="38" a="1"/>
  <c r="D153" i="38" s="1"/>
  <c r="D129" i="38" a="1"/>
  <c r="D129" i="38" s="1"/>
  <c r="D51" i="38" a="1"/>
  <c r="D51" i="38" s="1"/>
  <c r="D35" i="38" a="1"/>
  <c r="D35" i="38" s="1"/>
  <c r="D104" i="38" a="1"/>
  <c r="D104" i="38" s="1"/>
  <c r="D72" i="38" a="1"/>
  <c r="D72" i="38" s="1"/>
  <c r="D152" i="38" a="1"/>
  <c r="D152" i="38" s="1"/>
  <c r="D128" i="38" a="1"/>
  <c r="D128" i="38" s="1"/>
  <c r="D52" i="38" a="1"/>
  <c r="D52" i="38" s="1"/>
  <c r="D36" i="38" a="1"/>
  <c r="D36" i="38" s="1"/>
  <c r="D103" i="38" a="1"/>
  <c r="D103" i="38" s="1"/>
  <c r="D71" i="38" a="1"/>
  <c r="D71" i="38" s="1"/>
  <c r="D151" i="38" a="1"/>
  <c r="D151" i="38" s="1"/>
  <c r="D127" i="38" a="1"/>
  <c r="D127" i="38" s="1"/>
  <c r="D102" i="38" a="1"/>
  <c r="D102" i="38" s="1"/>
  <c r="D70" i="38" a="1"/>
  <c r="D70" i="38" s="1"/>
  <c r="D101" i="38" a="1"/>
  <c r="D101" i="38" s="1"/>
  <c r="D69" i="38" a="1"/>
  <c r="D69" i="38" s="1"/>
  <c r="D156" i="38" a="1"/>
  <c r="D156" i="38" s="1"/>
  <c r="D132" i="38" a="1"/>
  <c r="D132" i="38" s="1"/>
  <c r="D53" i="38" a="1"/>
  <c r="D53" i="38" s="1"/>
  <c r="D37" i="38" a="1"/>
  <c r="D37" i="38" s="1"/>
  <c r="D108" i="38" a="1"/>
  <c r="D108" i="38" s="1"/>
  <c r="D76" i="38" a="1"/>
  <c r="D76" i="38" s="1"/>
  <c r="D155" i="38" a="1"/>
  <c r="D155" i="38" s="1"/>
  <c r="D131" i="38" a="1"/>
  <c r="D131" i="38" s="1"/>
  <c r="D54" i="38" a="1"/>
  <c r="D54" i="38" s="1"/>
  <c r="D38" i="38" a="1"/>
  <c r="D38" i="38" s="1"/>
  <c r="D107" i="38" a="1"/>
  <c r="D107" i="38" s="1"/>
  <c r="D75" i="38" a="1"/>
  <c r="D75" i="38" s="1"/>
  <c r="D154" i="38" a="1"/>
  <c r="D154" i="38" s="1"/>
  <c r="D130" i="38" a="1"/>
  <c r="D130" i="38" s="1"/>
  <c r="D106" i="38" a="1"/>
  <c r="D106" i="38" s="1"/>
  <c r="D74" i="38" a="1"/>
  <c r="D74" i="38" s="1"/>
  <c r="D105" i="38" a="1"/>
  <c r="D105" i="38" s="1"/>
  <c r="D73" i="38" a="1"/>
  <c r="D73" i="38" s="1"/>
  <c r="D159" i="38" a="1"/>
  <c r="D159" i="38" s="1"/>
  <c r="D135" i="38" a="1"/>
  <c r="D135" i="38" s="1"/>
  <c r="D55" i="38" a="1"/>
  <c r="D55" i="38" s="1"/>
  <c r="D39" i="38" a="1"/>
  <c r="D39" i="38" s="1"/>
  <c r="D112" i="38" a="1"/>
  <c r="D112" i="38" s="1"/>
  <c r="D80" i="38" a="1"/>
  <c r="D80" i="38" s="1"/>
  <c r="D158" i="38" a="1"/>
  <c r="D158" i="38" s="1"/>
  <c r="D134" i="38" a="1"/>
  <c r="D134" i="38" s="1"/>
  <c r="D56" i="38" a="1"/>
  <c r="D56" i="38" s="1"/>
  <c r="D40" i="38" a="1"/>
  <c r="D40" i="38" s="1"/>
  <c r="D111" i="38" a="1"/>
  <c r="D111" i="38" s="1"/>
  <c r="D79" i="38" a="1"/>
  <c r="D79" i="38" s="1"/>
  <c r="D157" i="38" a="1"/>
  <c r="D157" i="38" s="1"/>
  <c r="D133" i="38" a="1"/>
  <c r="D133" i="38" s="1"/>
  <c r="D110" i="38" a="1"/>
  <c r="D110" i="38" s="1"/>
  <c r="D78" i="38" a="1"/>
  <c r="D78" i="38" s="1"/>
  <c r="D109" i="38" a="1"/>
  <c r="D109" i="38" s="1"/>
  <c r="D77" i="38" a="1"/>
  <c r="D77" i="38" s="1"/>
  <c r="D165" i="38" a="1"/>
  <c r="D165" i="38" s="1"/>
  <c r="D141" i="38" a="1"/>
  <c r="D141" i="38" s="1"/>
  <c r="D59" i="38" a="1"/>
  <c r="D59" i="38" s="1"/>
  <c r="D43" i="38" a="1"/>
  <c r="D43" i="38" s="1"/>
  <c r="D120" i="38" a="1"/>
  <c r="D120" i="38" s="1"/>
  <c r="D88" i="38" a="1"/>
  <c r="D88" i="38" s="1"/>
  <c r="D164" i="38" a="1"/>
  <c r="D164" i="38" s="1"/>
  <c r="D140" i="38" a="1"/>
  <c r="D140" i="38" s="1"/>
  <c r="D60" i="38" a="1"/>
  <c r="D60" i="38" s="1"/>
  <c r="D44" i="38" a="1"/>
  <c r="D44" i="38" s="1"/>
  <c r="D119" i="38" a="1"/>
  <c r="D119" i="38" s="1"/>
  <c r="D87" i="38" a="1"/>
  <c r="D87" i="38" s="1"/>
  <c r="D163" i="38" a="1"/>
  <c r="D163" i="38" s="1"/>
  <c r="D139" i="38" a="1"/>
  <c r="D139" i="38" s="1"/>
  <c r="D118" i="38" a="1"/>
  <c r="D118" i="38" s="1"/>
  <c r="D86" i="38" a="1"/>
  <c r="D86" i="38" s="1"/>
  <c r="D117" i="38" a="1"/>
  <c r="D117" i="38" s="1"/>
  <c r="D85" i="38" a="1"/>
  <c r="D85" i="38" s="1"/>
  <c r="D162" i="38" a="1"/>
  <c r="D162" i="38" s="1"/>
  <c r="D138" i="38" a="1"/>
  <c r="D138" i="38" s="1"/>
  <c r="D57" i="38" a="1"/>
  <c r="D57" i="38" s="1"/>
  <c r="D41" i="38" a="1"/>
  <c r="D41" i="38" s="1"/>
  <c r="D116" i="38" a="1"/>
  <c r="D116" i="38" s="1"/>
  <c r="D84" i="38" a="1"/>
  <c r="D84" i="38" s="1"/>
  <c r="D161" i="38" a="1"/>
  <c r="D161" i="38" s="1"/>
  <c r="D137" i="38" a="1"/>
  <c r="D137" i="38" s="1"/>
  <c r="D58" i="38" a="1"/>
  <c r="D58" i="38" s="1"/>
  <c r="D42" i="38" a="1"/>
  <c r="D42" i="38" s="1"/>
  <c r="D115" i="38" a="1"/>
  <c r="D115" i="38" s="1"/>
  <c r="D83" i="38" a="1"/>
  <c r="D83" i="38" s="1"/>
  <c r="D160" i="38" a="1"/>
  <c r="D160" i="38" s="1"/>
  <c r="D136" i="38" a="1"/>
  <c r="D136" i="38" s="1"/>
  <c r="D114" i="38" a="1"/>
  <c r="D114" i="38" s="1"/>
  <c r="D82" i="38" a="1"/>
  <c r="D82" i="38" s="1"/>
  <c r="D113" i="38" a="1"/>
  <c r="D113" i="38" s="1"/>
  <c r="D81" i="38" a="1"/>
  <c r="D81" i="38" s="1"/>
  <c r="D142" i="38" a="1"/>
  <c r="D142" i="38" s="1"/>
  <c r="D45" i="38" a="1"/>
  <c r="D45" i="38" s="1"/>
  <c r="D89" i="38" a="1"/>
  <c r="D89" i="38" s="1"/>
  <c r="D144" i="38" a="1"/>
  <c r="D144" i="38" s="1"/>
  <c r="D46" i="38" a="1"/>
  <c r="D46" i="38" s="1"/>
  <c r="D91" i="38" a="1"/>
  <c r="D91" i="38" s="1"/>
  <c r="D143" i="38" a="1"/>
  <c r="D143" i="38" s="1"/>
  <c r="D90" i="38" a="1"/>
  <c r="D90" i="38" s="1"/>
  <c r="D92" i="38" a="1"/>
  <c r="D92" i="38" s="1"/>
  <c r="D147" i="38" a="1"/>
  <c r="D147" i="38" s="1"/>
  <c r="E123" i="38" a="1"/>
  <c r="E123" i="38" s="1"/>
  <c r="F123" i="38" s="1"/>
  <c r="G123" i="38" a="1"/>
  <c r="G123" i="38" s="1"/>
  <c r="E47" i="38" a="1"/>
  <c r="E47" i="38" s="1"/>
  <c r="G47" i="38" a="1"/>
  <c r="G47" i="38" s="1"/>
  <c r="E31" i="38" a="1"/>
  <c r="E31" i="38" s="1"/>
  <c r="F31" i="38" s="1"/>
  <c r="G31" i="38" a="1"/>
  <c r="G31" i="38" s="1"/>
  <c r="E96" i="38" a="1"/>
  <c r="E96" i="38" s="1"/>
  <c r="F96" i="38" s="1"/>
  <c r="G96" i="38" a="1"/>
  <c r="G96" i="38" s="1"/>
  <c r="E64" i="38" a="1"/>
  <c r="E64" i="38" s="1"/>
  <c r="F64" i="38" s="1"/>
  <c r="G64" i="38" a="1"/>
  <c r="G64" i="38" s="1"/>
  <c r="E146" i="38" a="1"/>
  <c r="E146" i="38" s="1"/>
  <c r="F146" i="38" s="1"/>
  <c r="G146" i="38" a="1"/>
  <c r="G146" i="38" s="1"/>
  <c r="E122" i="38" a="1"/>
  <c r="E122" i="38" s="1"/>
  <c r="G122" i="38" a="1"/>
  <c r="G122" i="38" s="1"/>
  <c r="E48" i="38" a="1"/>
  <c r="E48" i="38" s="1"/>
  <c r="F48" i="38" s="1"/>
  <c r="G48" i="38" a="1"/>
  <c r="G48" i="38" s="1"/>
  <c r="E32" i="38" a="1"/>
  <c r="E32" i="38" s="1"/>
  <c r="G32" i="38" a="1"/>
  <c r="G32" i="38" s="1"/>
  <c r="E95" i="38" a="1"/>
  <c r="E95" i="38" s="1"/>
  <c r="F95" i="38" s="1"/>
  <c r="G95" i="38" a="1"/>
  <c r="G95" i="38" s="1"/>
  <c r="E63" i="38" a="1"/>
  <c r="E63" i="38" s="1"/>
  <c r="F63" i="38" s="1"/>
  <c r="G63" i="38" a="1"/>
  <c r="G63" i="38" s="1"/>
  <c r="E145" i="38" a="1"/>
  <c r="E145" i="38" s="1"/>
  <c r="F145" i="38" s="1"/>
  <c r="G145" i="38" a="1"/>
  <c r="G145" i="38" s="1"/>
  <c r="E121" i="38" a="1"/>
  <c r="E121" i="38" s="1"/>
  <c r="F121" i="38" s="1"/>
  <c r="G121" i="38" a="1"/>
  <c r="G121" i="38" s="1"/>
  <c r="E94" i="38" a="1"/>
  <c r="E94" i="38" s="1"/>
  <c r="F94" i="38" s="1"/>
  <c r="G94" i="38" a="1"/>
  <c r="G94" i="38" s="1"/>
  <c r="E62" i="38" a="1"/>
  <c r="E62" i="38" s="1"/>
  <c r="F62" i="38" s="1"/>
  <c r="G62" i="38" a="1"/>
  <c r="G62" i="38" s="1"/>
  <c r="E93" i="38" a="1"/>
  <c r="E93" i="38" s="1"/>
  <c r="F93" i="38" s="1"/>
  <c r="G93" i="38" a="1"/>
  <c r="G93" i="38" s="1"/>
  <c r="E61" i="38" a="1"/>
  <c r="E61" i="38" s="1"/>
  <c r="F61" i="38" s="1"/>
  <c r="G61" i="38" a="1"/>
  <c r="G61" i="38" s="1"/>
  <c r="E150" i="38" a="1"/>
  <c r="E150" i="38" s="1"/>
  <c r="G150" i="38" a="1"/>
  <c r="G150" i="38" s="1"/>
  <c r="E126" i="38" a="1"/>
  <c r="E126" i="38" s="1"/>
  <c r="F126" i="38" s="1"/>
  <c r="G126" i="38" a="1"/>
  <c r="G126" i="38" s="1"/>
  <c r="E49" i="38" a="1"/>
  <c r="E49" i="38" s="1"/>
  <c r="F49" i="38" s="1"/>
  <c r="G49" i="38" a="1"/>
  <c r="G49" i="38" s="1"/>
  <c r="E33" i="38" a="1"/>
  <c r="E33" i="38" s="1"/>
  <c r="F33" i="38" s="1"/>
  <c r="G33" i="38" a="1"/>
  <c r="G33" i="38" s="1"/>
  <c r="E100" i="38" a="1"/>
  <c r="E100" i="38" s="1"/>
  <c r="F100" i="38" s="1"/>
  <c r="G100" i="38" a="1"/>
  <c r="G100" i="38" s="1"/>
  <c r="E68" i="38" a="1"/>
  <c r="E68" i="38" s="1"/>
  <c r="F68" i="38" s="1"/>
  <c r="G68" i="38" a="1"/>
  <c r="G68" i="38" s="1"/>
  <c r="E149" i="38" a="1"/>
  <c r="E149" i="38" s="1"/>
  <c r="F149" i="38" s="1"/>
  <c r="G149" i="38" a="1"/>
  <c r="G149" i="38" s="1"/>
  <c r="E125" i="38" a="1"/>
  <c r="E125" i="38" s="1"/>
  <c r="F125" i="38" s="1"/>
  <c r="G125" i="38" a="1"/>
  <c r="G125" i="38" s="1"/>
  <c r="E50" i="38" a="1"/>
  <c r="E50" i="38" s="1"/>
  <c r="F50" i="38" s="1"/>
  <c r="G50" i="38" a="1"/>
  <c r="G50" i="38" s="1"/>
  <c r="E34" i="38" a="1"/>
  <c r="E34" i="38" s="1"/>
  <c r="F34" i="38" s="1"/>
  <c r="G34" i="38" a="1"/>
  <c r="G34" i="38" s="1"/>
  <c r="E99" i="38" a="1"/>
  <c r="E99" i="38" s="1"/>
  <c r="F99" i="38" s="1"/>
  <c r="G99" i="38" a="1"/>
  <c r="G99" i="38" s="1"/>
  <c r="E67" i="38" a="1"/>
  <c r="E67" i="38" s="1"/>
  <c r="F67" i="38" s="1"/>
  <c r="G67" i="38" a="1"/>
  <c r="G67" i="38" s="1"/>
  <c r="E148" i="38" a="1"/>
  <c r="E148" i="38" s="1"/>
  <c r="F148" i="38" s="1"/>
  <c r="G148" i="38" a="1"/>
  <c r="G148" i="38" s="1"/>
  <c r="E124" i="38" a="1"/>
  <c r="E124" i="38" s="1"/>
  <c r="F124" i="38" s="1"/>
  <c r="G124" i="38" a="1"/>
  <c r="G124" i="38" s="1"/>
  <c r="E98" i="38" a="1"/>
  <c r="E98" i="38" s="1"/>
  <c r="F98" i="38" s="1"/>
  <c r="G98" i="38" a="1"/>
  <c r="G98" i="38" s="1"/>
  <c r="E66" i="38" a="1"/>
  <c r="E66" i="38" s="1"/>
  <c r="F66" i="38" s="1"/>
  <c r="G66" i="38" a="1"/>
  <c r="G66" i="38" s="1"/>
  <c r="E97" i="38" a="1"/>
  <c r="E97" i="38" s="1"/>
  <c r="F97" i="38" s="1"/>
  <c r="G97" i="38" a="1"/>
  <c r="G97" i="38" s="1"/>
  <c r="E65" i="38" a="1"/>
  <c r="E65" i="38" s="1"/>
  <c r="G65" i="38" a="1"/>
  <c r="G65" i="38" s="1"/>
  <c r="E153" i="38" a="1"/>
  <c r="E153" i="38" s="1"/>
  <c r="F153" i="38" s="1"/>
  <c r="G153" i="38" a="1"/>
  <c r="G153" i="38" s="1"/>
  <c r="E129" i="38" a="1"/>
  <c r="E129" i="38" s="1"/>
  <c r="G129" i="38" a="1"/>
  <c r="G129" i="38" s="1"/>
  <c r="E51" i="38" a="1"/>
  <c r="E51" i="38" s="1"/>
  <c r="F51" i="38" s="1"/>
  <c r="G51" i="38" a="1"/>
  <c r="G51" i="38" s="1"/>
  <c r="E35" i="38" a="1"/>
  <c r="E35" i="38" s="1"/>
  <c r="F35" i="38" s="1"/>
  <c r="G35" i="38" a="1"/>
  <c r="G35" i="38" s="1"/>
  <c r="E104" i="38" a="1"/>
  <c r="E104" i="38" s="1"/>
  <c r="F104" i="38" s="1"/>
  <c r="G104" i="38" a="1"/>
  <c r="G104" i="38" s="1"/>
  <c r="E72" i="38" a="1"/>
  <c r="E72" i="38" s="1"/>
  <c r="F72" i="38" s="1"/>
  <c r="G72" i="38" a="1"/>
  <c r="G72" i="38" s="1"/>
  <c r="E152" i="38" a="1"/>
  <c r="E152" i="38" s="1"/>
  <c r="F152" i="38" s="1"/>
  <c r="G152" i="38" a="1"/>
  <c r="G152" i="38" s="1"/>
  <c r="E128" i="38" a="1"/>
  <c r="E128" i="38" s="1"/>
  <c r="F128" i="38" s="1"/>
  <c r="G128" i="38" a="1"/>
  <c r="G128" i="38" s="1"/>
  <c r="E52" i="38" a="1"/>
  <c r="E52" i="38" s="1"/>
  <c r="F52" i="38" s="1"/>
  <c r="G52" i="38" a="1"/>
  <c r="G52" i="38" s="1"/>
  <c r="E36" i="38" a="1"/>
  <c r="E36" i="38" s="1"/>
  <c r="F36" i="38" s="1"/>
  <c r="G36" i="38" a="1"/>
  <c r="G36" i="38" s="1"/>
  <c r="E103" i="38" a="1"/>
  <c r="E103" i="38" s="1"/>
  <c r="F103" i="38" s="1"/>
  <c r="G103" i="38" a="1"/>
  <c r="G103" i="38" s="1"/>
  <c r="E71" i="38" a="1"/>
  <c r="E71" i="38" s="1"/>
  <c r="F71" i="38" s="1"/>
  <c r="G71" i="38" a="1"/>
  <c r="G71" i="38" s="1"/>
  <c r="E151" i="38" a="1"/>
  <c r="E151" i="38" s="1"/>
  <c r="F151" i="38" s="1"/>
  <c r="G151" i="38" a="1"/>
  <c r="G151" i="38" s="1"/>
  <c r="E127" i="38" a="1"/>
  <c r="E127" i="38" s="1"/>
  <c r="F127" i="38" s="1"/>
  <c r="G127" i="38" a="1"/>
  <c r="G127" i="38" s="1"/>
  <c r="E102" i="38" a="1"/>
  <c r="E102" i="38" s="1"/>
  <c r="F102" i="38" s="1"/>
  <c r="G102" i="38" a="1"/>
  <c r="G102" i="38" s="1"/>
  <c r="E70" i="38" a="1"/>
  <c r="E70" i="38" s="1"/>
  <c r="F70" i="38" s="1"/>
  <c r="G70" i="38" a="1"/>
  <c r="G70" i="38" s="1"/>
  <c r="E101" i="38" a="1"/>
  <c r="E101" i="38" s="1"/>
  <c r="F101" i="38" s="1"/>
  <c r="G101" i="38" a="1"/>
  <c r="G101" i="38" s="1"/>
  <c r="E69" i="38" a="1"/>
  <c r="E69" i="38" s="1"/>
  <c r="G69" i="38" a="1"/>
  <c r="G69" i="38" s="1"/>
  <c r="E156" i="38" a="1"/>
  <c r="E156" i="38" s="1"/>
  <c r="F156" i="38" s="1"/>
  <c r="G156" i="38" a="1"/>
  <c r="G156" i="38" s="1"/>
  <c r="E132" i="38" a="1"/>
  <c r="E132" i="38" s="1"/>
  <c r="F132" i="38" s="1"/>
  <c r="G132" i="38" a="1"/>
  <c r="G132" i="38" s="1"/>
  <c r="E53" i="38" a="1"/>
  <c r="E53" i="38" s="1"/>
  <c r="F53" i="38" s="1"/>
  <c r="G53" i="38" a="1"/>
  <c r="G53" i="38" s="1"/>
  <c r="E37" i="38" a="1"/>
  <c r="E37" i="38" s="1"/>
  <c r="F37" i="38" s="1"/>
  <c r="G37" i="38" a="1"/>
  <c r="G37" i="38" s="1"/>
  <c r="E108" i="38" a="1"/>
  <c r="E108" i="38" s="1"/>
  <c r="G108" i="38" a="1"/>
  <c r="G108" i="38" s="1"/>
  <c r="E76" i="38" a="1"/>
  <c r="E76" i="38" s="1"/>
  <c r="F76" i="38" s="1"/>
  <c r="G76" i="38" a="1"/>
  <c r="G76" i="38" s="1"/>
  <c r="E155" i="38" a="1"/>
  <c r="E155" i="38" s="1"/>
  <c r="F155" i="38" s="1"/>
  <c r="G155" i="38" a="1"/>
  <c r="G155" i="38" s="1"/>
  <c r="E131" i="38" a="1"/>
  <c r="E131" i="38" s="1"/>
  <c r="F131" i="38" s="1"/>
  <c r="G131" i="38" a="1"/>
  <c r="G131" i="38" s="1"/>
  <c r="E54" i="38" a="1"/>
  <c r="E54" i="38" s="1"/>
  <c r="F54" i="38" s="1"/>
  <c r="G54" i="38" a="1"/>
  <c r="G54" i="38" s="1"/>
  <c r="E38" i="38" a="1"/>
  <c r="E38" i="38" s="1"/>
  <c r="F38" i="38" s="1"/>
  <c r="G38" i="38" a="1"/>
  <c r="G38" i="38" s="1"/>
  <c r="E107" i="38" a="1"/>
  <c r="E107" i="38" s="1"/>
  <c r="F107" i="38" s="1"/>
  <c r="G107" i="38" a="1"/>
  <c r="G107" i="38" s="1"/>
  <c r="E75" i="38" a="1"/>
  <c r="E75" i="38" s="1"/>
  <c r="G75" i="38" a="1"/>
  <c r="G75" i="38" s="1"/>
  <c r="E154" i="38" a="1"/>
  <c r="E154" i="38" s="1"/>
  <c r="F154" i="38" s="1"/>
  <c r="G154" i="38" a="1"/>
  <c r="G154" i="38" s="1"/>
  <c r="E130" i="38" a="1"/>
  <c r="E130" i="38" s="1"/>
  <c r="G130" i="38" a="1"/>
  <c r="G130" i="38" s="1"/>
  <c r="E106" i="38" a="1"/>
  <c r="E106" i="38" s="1"/>
  <c r="F106" i="38" s="1"/>
  <c r="G106" i="38" a="1"/>
  <c r="G106" i="38" s="1"/>
  <c r="E74" i="38" a="1"/>
  <c r="E74" i="38" s="1"/>
  <c r="F74" i="38" s="1"/>
  <c r="G74" i="38" a="1"/>
  <c r="G74" i="38" s="1"/>
  <c r="E105" i="38" a="1"/>
  <c r="E105" i="38" s="1"/>
  <c r="F105" i="38" s="1"/>
  <c r="G105" i="38" a="1"/>
  <c r="G105" i="38" s="1"/>
  <c r="E73" i="38" a="1"/>
  <c r="E73" i="38" s="1"/>
  <c r="G73" i="38" a="1"/>
  <c r="G73" i="38" s="1"/>
  <c r="E159" i="38" a="1"/>
  <c r="E159" i="38" s="1"/>
  <c r="F159" i="38" s="1"/>
  <c r="G159" i="38" a="1"/>
  <c r="G159" i="38" s="1"/>
  <c r="E135" i="38" a="1"/>
  <c r="E135" i="38" s="1"/>
  <c r="F135" i="38" s="1"/>
  <c r="G135" i="38" a="1"/>
  <c r="G135" i="38" s="1"/>
  <c r="E55" i="38" a="1"/>
  <c r="E55" i="38" s="1"/>
  <c r="F55" i="38" s="1"/>
  <c r="G55" i="38" a="1"/>
  <c r="G55" i="38" s="1"/>
  <c r="E39" i="38" a="1"/>
  <c r="E39" i="38" s="1"/>
  <c r="F39" i="38" s="1"/>
  <c r="G39" i="38" a="1"/>
  <c r="G39" i="38" s="1"/>
  <c r="E112" i="38" a="1"/>
  <c r="E112" i="38" s="1"/>
  <c r="F112" i="38" s="1"/>
  <c r="G112" i="38" a="1"/>
  <c r="G112" i="38" s="1"/>
  <c r="E80" i="38" a="1"/>
  <c r="E80" i="38" s="1"/>
  <c r="F80" i="38" s="1"/>
  <c r="G80" i="38" a="1"/>
  <c r="G80" i="38" s="1"/>
  <c r="E158" i="38" a="1"/>
  <c r="E158" i="38" s="1"/>
  <c r="F158" i="38" s="1"/>
  <c r="G158" i="38" a="1"/>
  <c r="G158" i="38" s="1"/>
  <c r="E134" i="38" a="1"/>
  <c r="E134" i="38" s="1"/>
  <c r="F134" i="38" s="1"/>
  <c r="G134" i="38" a="1"/>
  <c r="G134" i="38" s="1"/>
  <c r="E56" i="38" a="1"/>
  <c r="E56" i="38" s="1"/>
  <c r="F56" i="38" s="1"/>
  <c r="G56" i="38" a="1"/>
  <c r="G56" i="38" s="1"/>
  <c r="E40" i="38" a="1"/>
  <c r="E40" i="38" s="1"/>
  <c r="G40" i="38" a="1"/>
  <c r="G40" i="38" s="1"/>
  <c r="E111" i="38" a="1"/>
  <c r="E111" i="38" s="1"/>
  <c r="F111" i="38" s="1"/>
  <c r="G111" i="38" a="1"/>
  <c r="G111" i="38" s="1"/>
  <c r="E79" i="38" a="1"/>
  <c r="E79" i="38" s="1"/>
  <c r="F79" i="38" s="1"/>
  <c r="G79" i="38" a="1"/>
  <c r="G79" i="38" s="1"/>
  <c r="E157" i="38" a="1"/>
  <c r="E157" i="38" s="1"/>
  <c r="F157" i="38" s="1"/>
  <c r="G157" i="38" a="1"/>
  <c r="G157" i="38" s="1"/>
  <c r="E133" i="38" a="1"/>
  <c r="E133" i="38" s="1"/>
  <c r="F133" i="38" s="1"/>
  <c r="G133" i="38" a="1"/>
  <c r="G133" i="38" s="1"/>
  <c r="E110" i="38" a="1"/>
  <c r="E110" i="38" s="1"/>
  <c r="F110" i="38" s="1"/>
  <c r="G110" i="38" a="1"/>
  <c r="G110" i="38" s="1"/>
  <c r="E78" i="38" a="1"/>
  <c r="E78" i="38" s="1"/>
  <c r="F78" i="38" s="1"/>
  <c r="G78" i="38" a="1"/>
  <c r="G78" i="38" s="1"/>
  <c r="E109" i="38" a="1"/>
  <c r="E109" i="38" s="1"/>
  <c r="F109" i="38" s="1"/>
  <c r="G109" i="38" a="1"/>
  <c r="G109" i="38" s="1"/>
  <c r="E77" i="38" a="1"/>
  <c r="E77" i="38" s="1"/>
  <c r="G77" i="38" a="1"/>
  <c r="G77" i="38" s="1"/>
  <c r="E165" i="38" a="1"/>
  <c r="E165" i="38" s="1"/>
  <c r="F165" i="38" s="1"/>
  <c r="G165" i="38" a="1"/>
  <c r="G165" i="38" s="1"/>
  <c r="E141" i="38" a="1"/>
  <c r="E141" i="38" s="1"/>
  <c r="F141" i="38" s="1"/>
  <c r="G141" i="38" a="1"/>
  <c r="G141" i="38" s="1"/>
  <c r="E59" i="38" a="1"/>
  <c r="E59" i="38" s="1"/>
  <c r="F59" i="38" s="1"/>
  <c r="G59" i="38" a="1"/>
  <c r="G59" i="38" s="1"/>
  <c r="E43" i="38" a="1"/>
  <c r="E43" i="38" s="1"/>
  <c r="F43" i="38" s="1"/>
  <c r="G43" i="38" a="1"/>
  <c r="G43" i="38" s="1"/>
  <c r="E120" i="38" a="1"/>
  <c r="E120" i="38" s="1"/>
  <c r="G120" i="38" a="1"/>
  <c r="G120" i="38" s="1"/>
  <c r="E88" i="38" a="1"/>
  <c r="E88" i="38" s="1"/>
  <c r="F88" i="38" s="1"/>
  <c r="G88" i="38" a="1"/>
  <c r="G88" i="38" s="1"/>
  <c r="E164" i="38" a="1"/>
  <c r="E164" i="38" s="1"/>
  <c r="F164" i="38" s="1"/>
  <c r="G164" i="38" a="1"/>
  <c r="G164" i="38" s="1"/>
  <c r="E140" i="38" a="1"/>
  <c r="E140" i="38" s="1"/>
  <c r="G140" i="38" a="1"/>
  <c r="G140" i="38" s="1"/>
  <c r="E60" i="38" a="1"/>
  <c r="E60" i="38" s="1"/>
  <c r="F60" i="38" s="1"/>
  <c r="G60" i="38" a="1"/>
  <c r="G60" i="38" s="1"/>
  <c r="E44" i="38" a="1"/>
  <c r="E44" i="38" s="1"/>
  <c r="F44" i="38" s="1"/>
  <c r="G44" i="38" a="1"/>
  <c r="G44" i="38" s="1"/>
  <c r="E119" i="38" a="1"/>
  <c r="E119" i="38" s="1"/>
  <c r="F119" i="38" s="1"/>
  <c r="G119" i="38" a="1"/>
  <c r="G119" i="38" s="1"/>
  <c r="E87" i="38" a="1"/>
  <c r="E87" i="38" s="1"/>
  <c r="F87" i="38" s="1"/>
  <c r="G87" i="38" a="1"/>
  <c r="G87" i="38" s="1"/>
  <c r="E163" i="38" a="1"/>
  <c r="E163" i="38" s="1"/>
  <c r="F163" i="38" s="1"/>
  <c r="G163" i="38" a="1"/>
  <c r="G163" i="38" s="1"/>
  <c r="E139" i="38" a="1"/>
  <c r="E139" i="38" s="1"/>
  <c r="F139" i="38" s="1"/>
  <c r="G139" i="38" a="1"/>
  <c r="G139" i="38" s="1"/>
  <c r="E118" i="38" a="1"/>
  <c r="E118" i="38" s="1"/>
  <c r="F118" i="38" s="1"/>
  <c r="G118" i="38" a="1"/>
  <c r="G118" i="38" s="1"/>
  <c r="E86" i="38" a="1"/>
  <c r="E86" i="38" s="1"/>
  <c r="F86" i="38" s="1"/>
  <c r="G86" i="38" a="1"/>
  <c r="G86" i="38" s="1"/>
  <c r="E117" i="38" a="1"/>
  <c r="E117" i="38" s="1"/>
  <c r="G117" i="38" a="1"/>
  <c r="G117" i="38" s="1"/>
  <c r="E85" i="38" a="1"/>
  <c r="E85" i="38" s="1"/>
  <c r="F85" i="38" s="1"/>
  <c r="G85" i="38" a="1"/>
  <c r="G85" i="38" s="1"/>
  <c r="E162" i="38" a="1"/>
  <c r="E162" i="38" s="1"/>
  <c r="F162" i="38" s="1"/>
  <c r="G162" i="38" a="1"/>
  <c r="G162" i="38" s="1"/>
  <c r="E138" i="38" a="1"/>
  <c r="E138" i="38" s="1"/>
  <c r="G138" i="38" a="1"/>
  <c r="G138" i="38" s="1"/>
  <c r="E57" i="38" a="1"/>
  <c r="E57" i="38" s="1"/>
  <c r="F57" i="38" s="1"/>
  <c r="G57" i="38" a="1"/>
  <c r="G57" i="38" s="1"/>
  <c r="E41" i="38" a="1"/>
  <c r="E41" i="38" s="1"/>
  <c r="F41" i="38" s="1"/>
  <c r="G41" i="38" a="1"/>
  <c r="G41" i="38" s="1"/>
  <c r="E116" i="38" a="1"/>
  <c r="E116" i="38" s="1"/>
  <c r="F116" i="38" s="1"/>
  <c r="G116" i="38" a="1"/>
  <c r="G116" i="38" s="1"/>
  <c r="E84" i="38" a="1"/>
  <c r="E84" i="38" s="1"/>
  <c r="F84" i="38" s="1"/>
  <c r="G84" i="38" a="1"/>
  <c r="G84" i="38" s="1"/>
  <c r="E161" i="38" a="1"/>
  <c r="E161" i="38" s="1"/>
  <c r="F161" i="38" s="1"/>
  <c r="G161" i="38" a="1"/>
  <c r="G161" i="38" s="1"/>
  <c r="E137" i="38" a="1"/>
  <c r="E137" i="38" s="1"/>
  <c r="F137" i="38" s="1"/>
  <c r="G137" i="38" a="1"/>
  <c r="G137" i="38" s="1"/>
  <c r="E58" i="38" a="1"/>
  <c r="E58" i="38" s="1"/>
  <c r="G58" i="38" a="1"/>
  <c r="G58" i="38" s="1"/>
  <c r="E42" i="38" a="1"/>
  <c r="E42" i="38" s="1"/>
  <c r="F42" i="38" s="1"/>
  <c r="G42" i="38" a="1"/>
  <c r="G42" i="38" s="1"/>
  <c r="E115" i="38" a="1"/>
  <c r="E115" i="38" s="1"/>
  <c r="G115" i="38" a="1"/>
  <c r="G115" i="38" s="1"/>
  <c r="E83" i="38" a="1"/>
  <c r="E83" i="38" s="1"/>
  <c r="F83" i="38" s="1"/>
  <c r="G83" i="38" a="1"/>
  <c r="G83" i="38" s="1"/>
  <c r="E160" i="38" a="1"/>
  <c r="E160" i="38" s="1"/>
  <c r="F160" i="38" s="1"/>
  <c r="G160" i="38" a="1"/>
  <c r="G160" i="38" s="1"/>
  <c r="E136" i="38" a="1"/>
  <c r="E136" i="38" s="1"/>
  <c r="F136" i="38" s="1"/>
  <c r="G136" i="38" a="1"/>
  <c r="G136" i="38" s="1"/>
  <c r="E114" i="38" a="1"/>
  <c r="E114" i="38" s="1"/>
  <c r="F114" i="38" s="1"/>
  <c r="G114" i="38" a="1"/>
  <c r="G114" i="38" s="1"/>
  <c r="E82" i="38" a="1"/>
  <c r="E82" i="38" s="1"/>
  <c r="F82" i="38" s="1"/>
  <c r="G82" i="38" a="1"/>
  <c r="G82" i="38" s="1"/>
  <c r="E113" i="38" a="1"/>
  <c r="E113" i="38" s="1"/>
  <c r="F113" i="38" s="1"/>
  <c r="G113" i="38" a="1"/>
  <c r="G113" i="38" s="1"/>
  <c r="E81" i="38" a="1"/>
  <c r="E81" i="38" s="1"/>
  <c r="G81" i="38" a="1"/>
  <c r="G81" i="38" s="1"/>
  <c r="E142" i="38" a="1"/>
  <c r="E142" i="38" s="1"/>
  <c r="F142" i="38" s="1"/>
  <c r="G142" i="38" a="1"/>
  <c r="G142" i="38" s="1"/>
  <c r="E45" i="38" a="1"/>
  <c r="E45" i="38" s="1"/>
  <c r="F45" i="38" s="1"/>
  <c r="G45" i="38" a="1"/>
  <c r="G45" i="38" s="1"/>
  <c r="E89" i="38" a="1"/>
  <c r="E89" i="38" s="1"/>
  <c r="F89" i="38" s="1"/>
  <c r="G89" i="38" a="1"/>
  <c r="G89" i="38" s="1"/>
  <c r="E144" i="38" a="1"/>
  <c r="E144" i="38" s="1"/>
  <c r="G144" i="38" a="1"/>
  <c r="G144" i="38" s="1"/>
  <c r="E46" i="38" a="1"/>
  <c r="E46" i="38" s="1"/>
  <c r="F46" i="38" s="1"/>
  <c r="G46" i="38" a="1"/>
  <c r="G46" i="38" s="1"/>
  <c r="E91" i="38" a="1"/>
  <c r="E91" i="38" s="1"/>
  <c r="F91" i="38" s="1"/>
  <c r="G91" i="38" a="1"/>
  <c r="G91" i="38" s="1"/>
  <c r="E143" i="38" a="1"/>
  <c r="E143" i="38" s="1"/>
  <c r="F143" i="38" s="1"/>
  <c r="G143" i="38" a="1"/>
  <c r="G143" i="38" s="1"/>
  <c r="E90" i="38" a="1"/>
  <c r="E90" i="38" s="1"/>
  <c r="F90" i="38" s="1"/>
  <c r="G90" i="38" a="1"/>
  <c r="G90" i="38" s="1"/>
  <c r="E92" i="38" a="1"/>
  <c r="E92" i="38" s="1"/>
  <c r="G92" i="38" a="1"/>
  <c r="G92" i="38" s="1"/>
  <c r="E147" i="38" a="1"/>
  <c r="E147" i="38" s="1"/>
  <c r="F147" i="38" s="1"/>
  <c r="G147" i="38" a="1"/>
  <c r="G147" i="38" s="1"/>
  <c r="I14" i="17"/>
  <c r="I15" i="17"/>
  <c r="I16" i="17"/>
  <c r="I17" i="17"/>
  <c r="I18" i="17"/>
  <c r="AV12" i="38"/>
  <c r="AO15" i="38"/>
  <c r="AV9" i="38"/>
  <c r="AV7" i="38"/>
  <c r="AN15" i="38"/>
  <c r="AV8" i="38"/>
  <c r="AQ15" i="38"/>
  <c r="AV14" i="38"/>
  <c r="AR15" i="38"/>
  <c r="AV11" i="38"/>
  <c r="AV6" i="38"/>
  <c r="AT15" i="38"/>
  <c r="AS15" i="38"/>
  <c r="AV15" i="38"/>
  <c r="AU15" i="38"/>
  <c r="AP15" i="38"/>
  <c r="AV10" i="38"/>
  <c r="AV13" i="38"/>
  <c r="AI22" i="38" l="1"/>
  <c r="AI21" i="38"/>
  <c r="AI9" i="38"/>
  <c r="AI63" i="38" s="1" a="1"/>
  <c r="AI63" i="38" s="1"/>
  <c r="BG63" i="38" s="1"/>
  <c r="AM24" i="38"/>
  <c r="AI24" i="38"/>
  <c r="AI23" i="38"/>
  <c r="AK92" i="38" a="1"/>
  <c r="AK92" i="38" s="1"/>
  <c r="AI20" i="38"/>
  <c r="AI19" i="38"/>
  <c r="AI18" i="38"/>
  <c r="AJ47" i="38" a="1"/>
  <c r="AJ47" i="38" s="1"/>
  <c r="AK144" i="38" a="1"/>
  <c r="AK144" i="38" s="1"/>
  <c r="AK138" i="38" a="1"/>
  <c r="AK138" i="38" s="1"/>
  <c r="AK140" i="38" a="1"/>
  <c r="AK140" i="38" s="1"/>
  <c r="AK77" i="38" a="1"/>
  <c r="AK77" i="38" s="1"/>
  <c r="AK40" i="38" a="1"/>
  <c r="AK40" i="38" s="1"/>
  <c r="AK69" i="38" a="1"/>
  <c r="AK69" i="38" s="1"/>
  <c r="AK129" i="38" a="1"/>
  <c r="AK129" i="38" s="1"/>
  <c r="AK32" i="38" a="1"/>
  <c r="AK32" i="38" s="1"/>
  <c r="AK81" i="38" a="1"/>
  <c r="AK81" i="38" s="1"/>
  <c r="AK58" i="38" a="1"/>
  <c r="AK58" i="38" s="1"/>
  <c r="AK73" i="38" a="1"/>
  <c r="AK73" i="38" s="1"/>
  <c r="AK130" i="38" a="1"/>
  <c r="AK130" i="38" s="1"/>
  <c r="AK65" i="38" a="1"/>
  <c r="AK65" i="38" s="1"/>
  <c r="AK122" i="38" a="1"/>
  <c r="AK122" i="38" s="1"/>
  <c r="AK117" i="38" a="1"/>
  <c r="AK117" i="38" s="1"/>
  <c r="AK120" i="38" a="1"/>
  <c r="AK120" i="38" s="1"/>
  <c r="AK108" i="38" a="1"/>
  <c r="AK108" i="38" s="1"/>
  <c r="AK150" i="38" a="1"/>
  <c r="AK150" i="38" s="1"/>
  <c r="BL60" i="38"/>
  <c r="BL54" i="38"/>
  <c r="BL50" i="38"/>
  <c r="BL34" i="38"/>
  <c r="BL46" i="38"/>
  <c r="BL43" i="38"/>
  <c r="BL37" i="38"/>
  <c r="BL33" i="38"/>
  <c r="BL44" i="38"/>
  <c r="BL45" i="38"/>
  <c r="BL59" i="38"/>
  <c r="BL53" i="38"/>
  <c r="BL49" i="38"/>
  <c r="BL42" i="38"/>
  <c r="BL40" i="38"/>
  <c r="BL36" i="38"/>
  <c r="BL32" i="38"/>
  <c r="BL58" i="38"/>
  <c r="BL56" i="38"/>
  <c r="BL52" i="38"/>
  <c r="BL48" i="38"/>
  <c r="BL41" i="38"/>
  <c r="BL39" i="38"/>
  <c r="BL35" i="38"/>
  <c r="BL31" i="38"/>
  <c r="BL38" i="38"/>
  <c r="BL57" i="38"/>
  <c r="BL55" i="38"/>
  <c r="BL51" i="38"/>
  <c r="BL47" i="38"/>
  <c r="AK75" i="38" a="1"/>
  <c r="AK75" i="38" s="1"/>
  <c r="AK57" i="38" a="1"/>
  <c r="AK57" i="38" s="1"/>
  <c r="AK104" i="38" a="1"/>
  <c r="AK104" i="38" s="1"/>
  <c r="AK56" i="38" a="1"/>
  <c r="AK56" i="38" s="1"/>
  <c r="AK68" i="38" a="1"/>
  <c r="AK68" i="38" s="1"/>
  <c r="AK36" i="38" a="1"/>
  <c r="AK36" i="38" s="1"/>
  <c r="AK94" i="38" a="1"/>
  <c r="AK94" i="38" s="1"/>
  <c r="AK33" i="38" a="1"/>
  <c r="AK33" i="38" s="1"/>
  <c r="AK133" i="38" a="1"/>
  <c r="AK133" i="38" s="1"/>
  <c r="AK82" i="38" a="1"/>
  <c r="AK82" i="38" s="1"/>
  <c r="AK155" i="38" a="1"/>
  <c r="AK155" i="38" s="1"/>
  <c r="AK87" i="38" a="1"/>
  <c r="AK87" i="38" s="1"/>
  <c r="AK109" i="38" a="1"/>
  <c r="AK109" i="38" s="1"/>
  <c r="AK146" i="38" a="1"/>
  <c r="AK146" i="38" s="1"/>
  <c r="AK44" i="38" a="1"/>
  <c r="AK44" i="38" s="1"/>
  <c r="AK39" i="38" a="1"/>
  <c r="AK39" i="38" s="1"/>
  <c r="AK49" i="38" a="1"/>
  <c r="AK49" i="38" s="1"/>
  <c r="AK91" i="38" a="1"/>
  <c r="AK91" i="38" s="1"/>
  <c r="AK86" i="38" a="1"/>
  <c r="AK86" i="38" s="1"/>
  <c r="AK79" i="38" a="1"/>
  <c r="AK79" i="38" s="1"/>
  <c r="AK105" i="38" a="1"/>
  <c r="AK105" i="38" s="1"/>
  <c r="AK100" i="38" a="1"/>
  <c r="AK100" i="38" s="1"/>
  <c r="AK64" i="38" a="1"/>
  <c r="AK64" i="38" s="1"/>
  <c r="AK137" i="38" a="1"/>
  <c r="AK137" i="38" s="1"/>
  <c r="AK141" i="38" a="1"/>
  <c r="AK141" i="38" s="1"/>
  <c r="AK157" i="38" a="1"/>
  <c r="AK157" i="38" s="1"/>
  <c r="AK128" i="38" a="1"/>
  <c r="AK128" i="38" s="1"/>
  <c r="AK148" i="38" a="1"/>
  <c r="AK148" i="38" s="1"/>
  <c r="AK46" i="38" a="1"/>
  <c r="AK46" i="38" s="1"/>
  <c r="AK55" i="38" a="1"/>
  <c r="AK55" i="38" s="1"/>
  <c r="AK52" i="38" a="1"/>
  <c r="AK52" i="38" s="1"/>
  <c r="AK90" i="38" a="1"/>
  <c r="AK90" i="38" s="1"/>
  <c r="AK114" i="38" a="1"/>
  <c r="AK114" i="38" s="1"/>
  <c r="AK78" i="38" a="1"/>
  <c r="AK78" i="38" s="1"/>
  <c r="AK101" i="38" a="1"/>
  <c r="AK101" i="38" s="1"/>
  <c r="AK61" i="38" a="1"/>
  <c r="AK61" i="38" s="1"/>
  <c r="AK161" i="38" a="1"/>
  <c r="AK161" i="38" s="1"/>
  <c r="AK165" i="38" a="1"/>
  <c r="AK165" i="38" s="1"/>
  <c r="AK153" i="38" a="1"/>
  <c r="AK153" i="38" s="1"/>
  <c r="AK121" i="38" a="1"/>
  <c r="AK121" i="38" s="1"/>
  <c r="AK45" i="38" a="1"/>
  <c r="AK45" i="38" s="1"/>
  <c r="AK60" i="38" a="1"/>
  <c r="AK60" i="38" s="1"/>
  <c r="AK38" i="38" a="1"/>
  <c r="AK38" i="38" s="1"/>
  <c r="AK35" i="38" a="1"/>
  <c r="AK35" i="38" s="1"/>
  <c r="AK89" i="38" a="1"/>
  <c r="AK89" i="38" s="1"/>
  <c r="AK84" i="38" a="1"/>
  <c r="AK84" i="38" s="1"/>
  <c r="AK118" i="38" a="1"/>
  <c r="AK118" i="38" s="1"/>
  <c r="AK74" i="38" a="1"/>
  <c r="AK74" i="38" s="1"/>
  <c r="AK71" i="38" a="1"/>
  <c r="AK71" i="38" s="1"/>
  <c r="AK97" i="38" a="1"/>
  <c r="AK97" i="38" s="1"/>
  <c r="AK96" i="38" a="1"/>
  <c r="AK96" i="38" s="1"/>
  <c r="AK164" i="38" a="1"/>
  <c r="AK164" i="38" s="1"/>
  <c r="AK135" i="38" a="1"/>
  <c r="AK135" i="38" s="1"/>
  <c r="AK152" i="38" a="1"/>
  <c r="AK152" i="38" s="1"/>
  <c r="AK126" i="38" a="1"/>
  <c r="AK126" i="38" s="1"/>
  <c r="AK145" i="38" a="1"/>
  <c r="AK145" i="38" s="1"/>
  <c r="AK42" i="38" a="1"/>
  <c r="AK42" i="38" s="1"/>
  <c r="AK43" i="38" a="1"/>
  <c r="AK43" i="38" s="1"/>
  <c r="AK51" i="38" a="1"/>
  <c r="AK51" i="38" s="1"/>
  <c r="AK48" i="38" a="1"/>
  <c r="AK48" i="38" s="1"/>
  <c r="AK116" i="38" a="1"/>
  <c r="AK116" i="38" s="1"/>
  <c r="AK88" i="38" a="1"/>
  <c r="AK88" i="38" s="1"/>
  <c r="AK110" i="38" a="1"/>
  <c r="AK110" i="38" s="1"/>
  <c r="AK70" i="38" a="1"/>
  <c r="AK70" i="38" s="1"/>
  <c r="AK67" i="38" a="1"/>
  <c r="AK67" i="38" s="1"/>
  <c r="AK93" i="38" a="1"/>
  <c r="AK93" i="38" s="1"/>
  <c r="AK136" i="38" a="1"/>
  <c r="AK136" i="38" s="1"/>
  <c r="AK134" i="38" a="1"/>
  <c r="AK134" i="38" s="1"/>
  <c r="AK154" i="38" a="1"/>
  <c r="AK154" i="38" s="1"/>
  <c r="AK125" i="38" a="1"/>
  <c r="AK125" i="38" s="1"/>
  <c r="AK59" i="38" a="1"/>
  <c r="AK59" i="38" s="1"/>
  <c r="AK54" i="38" a="1"/>
  <c r="AK54" i="38" s="1"/>
  <c r="AK34" i="38" a="1"/>
  <c r="AK34" i="38" s="1"/>
  <c r="AK31" i="38" a="1"/>
  <c r="AK31" i="38" s="1"/>
  <c r="AK85" i="38" a="1"/>
  <c r="AK85" i="38" s="1"/>
  <c r="AK80" i="38" a="1"/>
  <c r="AK80" i="38" s="1"/>
  <c r="AK106" i="38" a="1"/>
  <c r="AK106" i="38" s="1"/>
  <c r="AK66" i="38" a="1"/>
  <c r="AK66" i="38" s="1"/>
  <c r="AK63" i="38" a="1"/>
  <c r="AK63" i="38" s="1"/>
  <c r="AK160" i="38" a="1"/>
  <c r="AK160" i="38" s="1"/>
  <c r="AK139" i="38" a="1"/>
  <c r="AK139" i="38" s="1"/>
  <c r="AK159" i="38" a="1"/>
  <c r="AK159" i="38" s="1"/>
  <c r="AK127" i="38" a="1"/>
  <c r="AK127" i="38" s="1"/>
  <c r="AK149" i="38" a="1"/>
  <c r="AK149" i="38" s="1"/>
  <c r="AK123" i="38" a="1"/>
  <c r="AK123" i="38" s="1"/>
  <c r="AK162" i="38" a="1"/>
  <c r="AK162" i="38" s="1"/>
  <c r="AK37" i="38" a="1"/>
  <c r="AK37" i="38" s="1"/>
  <c r="AK47" i="38" a="1"/>
  <c r="AK47" i="38" s="1"/>
  <c r="AK113" i="38" a="1"/>
  <c r="AK113" i="38" s="1"/>
  <c r="AK112" i="38" a="1"/>
  <c r="AK112" i="38" s="1"/>
  <c r="AK76" i="38" a="1"/>
  <c r="AK76" i="38" s="1"/>
  <c r="AK102" i="38" a="1"/>
  <c r="AK102" i="38" s="1"/>
  <c r="AK62" i="38" a="1"/>
  <c r="AK62" i="38" s="1"/>
  <c r="AK143" i="38" a="1"/>
  <c r="AK143" i="38" s="1"/>
  <c r="AK158" i="38" a="1"/>
  <c r="AK158" i="38" s="1"/>
  <c r="AK132" i="38" a="1"/>
  <c r="AK132" i="38" s="1"/>
  <c r="AK151" i="38" a="1"/>
  <c r="AK151" i="38" s="1"/>
  <c r="AK41" i="38" a="1"/>
  <c r="AK41" i="38" s="1"/>
  <c r="AK53" i="38" a="1"/>
  <c r="AK53" i="38" s="1"/>
  <c r="AK50" i="38" a="1"/>
  <c r="AK50" i="38" s="1"/>
  <c r="AK83" i="38" a="1"/>
  <c r="AK83" i="38" s="1"/>
  <c r="AK72" i="38" a="1"/>
  <c r="AK72" i="38" s="1"/>
  <c r="AK98" i="38" a="1"/>
  <c r="AK98" i="38" s="1"/>
  <c r="AK142" i="38" a="1"/>
  <c r="AK142" i="38" s="1"/>
  <c r="AK163" i="38" a="1"/>
  <c r="AK163" i="38" s="1"/>
  <c r="AK131" i="38" a="1"/>
  <c r="AK131" i="38" s="1"/>
  <c r="AK156" i="38" a="1"/>
  <c r="AK156" i="38" s="1"/>
  <c r="AK124" i="38" a="1"/>
  <c r="AK124" i="38" s="1"/>
  <c r="AK147" i="38" a="1"/>
  <c r="AK147" i="38" s="1"/>
  <c r="AI13" i="38"/>
  <c r="AI71" i="38" s="1" a="1"/>
  <c r="AI71" i="38" s="1"/>
  <c r="BG71" i="38" s="1"/>
  <c r="F150" i="38"/>
  <c r="F120" i="38"/>
  <c r="F108" i="38"/>
  <c r="F138" i="38"/>
  <c r="F130" i="38"/>
  <c r="F129" i="38"/>
  <c r="F122" i="38"/>
  <c r="F40" i="38"/>
  <c r="F32" i="38"/>
  <c r="F81" i="38"/>
  <c r="F77" i="38"/>
  <c r="F73" i="38"/>
  <c r="F69" i="38"/>
  <c r="F65" i="38"/>
  <c r="F144" i="38"/>
  <c r="F58" i="38"/>
  <c r="F117" i="38"/>
  <c r="F140" i="38"/>
  <c r="F75" i="38"/>
  <c r="F47" i="38"/>
  <c r="F115" i="38"/>
  <c r="F92" i="38"/>
  <c r="AI12" i="38"/>
  <c r="AI87" i="38" s="1" a="1"/>
  <c r="AI87" i="38" s="1"/>
  <c r="BG87" i="38" s="1"/>
  <c r="AI11" i="38"/>
  <c r="AI83" i="38" s="1" a="1"/>
  <c r="AI83" i="38" s="1"/>
  <c r="BG83" i="38" s="1"/>
  <c r="AI10" i="38"/>
  <c r="AI75" i="38" s="1" a="1"/>
  <c r="AI75" i="38" s="1"/>
  <c r="BG75" i="38" s="1"/>
  <c r="AI15" i="38"/>
  <c r="AI79" i="38" s="1" a="1"/>
  <c r="AI79" i="38" s="1"/>
  <c r="BG79" i="38" s="1"/>
  <c r="AI14" i="38"/>
  <c r="AI67" i="38" s="1" a="1"/>
  <c r="AI67" i="38" s="1"/>
  <c r="BG67" i="38" s="1"/>
  <c r="AG147" i="38" a="1"/>
  <c r="AG147" i="38" s="1"/>
  <c r="AG45" i="38" a="1"/>
  <c r="AG45" i="38" s="1"/>
  <c r="AF137" i="38" a="1"/>
  <c r="AF137" i="38" s="1"/>
  <c r="AI41" i="38" a="1"/>
  <c r="AI41" i="38" s="1"/>
  <c r="BG41" i="38" s="1"/>
  <c r="AG85" i="38" a="1"/>
  <c r="AG85" i="38" s="1"/>
  <c r="AF44" i="38" a="1"/>
  <c r="AF44" i="38" s="1"/>
  <c r="AF88" i="38" a="1"/>
  <c r="AF88" i="38" s="1"/>
  <c r="AF78" i="38" a="1"/>
  <c r="AF78" i="38" s="1"/>
  <c r="AI134" i="38" a="1"/>
  <c r="AI134" i="38" s="1"/>
  <c r="BG134" i="38" s="1"/>
  <c r="AI39" i="38" a="1"/>
  <c r="AI39" i="38" s="1"/>
  <c r="BG39" i="38" s="1"/>
  <c r="AF73" i="38" a="1"/>
  <c r="AF73" i="38" s="1"/>
  <c r="AI130" i="38" a="1"/>
  <c r="AI130" i="38" s="1"/>
  <c r="BG130" i="38" s="1"/>
  <c r="AF38" i="38" a="1"/>
  <c r="AF38" i="38" s="1"/>
  <c r="AI132" i="38" a="1"/>
  <c r="AI132" i="38" s="1"/>
  <c r="BG132" i="38" s="1"/>
  <c r="AG70" i="38" a="1"/>
  <c r="AG70" i="38" s="1"/>
  <c r="AI35" i="38" a="1"/>
  <c r="AI35" i="38" s="1"/>
  <c r="BG35" i="38" s="1"/>
  <c r="AG124" i="38" a="1"/>
  <c r="AG124" i="38" s="1"/>
  <c r="AF126" i="38" a="1"/>
  <c r="AF126" i="38" s="1"/>
  <c r="AF62" i="38" a="1"/>
  <c r="AF62" i="38" s="1"/>
  <c r="AI31" i="38" a="1"/>
  <c r="AI31" i="38" s="1"/>
  <c r="BG31" i="38" s="1"/>
  <c r="AF60" i="38" a="1"/>
  <c r="AF60" i="38" s="1"/>
  <c r="AI165" i="38" a="1"/>
  <c r="AI165" i="38" s="1"/>
  <c r="BG165" i="38" s="1"/>
  <c r="AF110" i="38" a="1"/>
  <c r="AF110" i="38" s="1"/>
  <c r="AI158" i="38" a="1"/>
  <c r="AI158" i="38" s="1"/>
  <c r="BG158" i="38" s="1"/>
  <c r="AF55" i="38" a="1"/>
  <c r="AF55" i="38" s="1"/>
  <c r="AF105" i="38" a="1"/>
  <c r="AF105" i="38" s="1"/>
  <c r="AI154" i="38" a="1"/>
  <c r="AI154" i="38" s="1"/>
  <c r="BG154" i="38" s="1"/>
  <c r="AI156" i="38" a="1"/>
  <c r="AI156" i="38" s="1"/>
  <c r="BG156" i="38" s="1"/>
  <c r="AF103" i="38" a="1"/>
  <c r="AF103" i="38" s="1"/>
  <c r="AF152" i="38" a="1"/>
  <c r="AF152" i="38" s="1"/>
  <c r="AI97" i="38" a="1"/>
  <c r="AI97" i="38" s="1"/>
  <c r="BG97" i="38" s="1"/>
  <c r="AG148" i="38" a="1"/>
  <c r="AG148" i="38" s="1"/>
  <c r="AF50" i="38" a="1"/>
  <c r="AF50" i="38" s="1"/>
  <c r="AF94" i="38" a="1"/>
  <c r="AF94" i="38" s="1"/>
  <c r="AF95" i="38" a="1"/>
  <c r="AF95" i="38" s="1"/>
  <c r="AF47" i="38" a="1"/>
  <c r="AF47" i="38" s="1"/>
  <c r="AI128" i="38" a="1"/>
  <c r="AI128" i="38" s="1"/>
  <c r="BG128" i="38" s="1"/>
  <c r="AI142" i="38" a="1"/>
  <c r="AI142" i="38" s="1"/>
  <c r="BG142" i="38" s="1"/>
  <c r="AF161" i="38" a="1"/>
  <c r="AF161" i="38" s="1"/>
  <c r="AJ65" i="38" a="1"/>
  <c r="AJ65" i="38" s="1"/>
  <c r="AI117" i="38" a="1"/>
  <c r="AI117" i="38" s="1"/>
  <c r="BG117" i="38" s="1"/>
  <c r="AF120" i="38" a="1"/>
  <c r="AF120" i="38" s="1"/>
  <c r="AF90" i="38" a="1"/>
  <c r="AF90" i="38" s="1"/>
  <c r="AI144" i="38" a="1"/>
  <c r="AI144" i="38" s="1"/>
  <c r="BG144" i="38" s="1"/>
  <c r="AI81" i="38" a="1"/>
  <c r="AI81" i="38" s="1"/>
  <c r="BG81" i="38" s="1"/>
  <c r="AF136" i="38" a="1"/>
  <c r="AF136" i="38" s="1"/>
  <c r="AF84" i="38" a="1"/>
  <c r="AF84" i="38" s="1"/>
  <c r="AI138" i="38" a="1"/>
  <c r="AI138" i="38" s="1"/>
  <c r="BG138" i="38" s="1"/>
  <c r="AI140" i="38" a="1"/>
  <c r="AI140" i="38" s="1"/>
  <c r="BG140" i="38" s="1"/>
  <c r="AG43" i="38" a="1"/>
  <c r="AG43" i="38" s="1"/>
  <c r="AF77" i="38" a="1"/>
  <c r="AF77" i="38" s="1"/>
  <c r="AI133" i="38" a="1"/>
  <c r="AI133" i="38" s="1"/>
  <c r="BG133" i="38" s="1"/>
  <c r="AG40" i="38" a="1"/>
  <c r="AG40" i="38" s="1"/>
  <c r="AF80" i="38" a="1"/>
  <c r="AF80" i="38" s="1"/>
  <c r="AI74" i="38" a="1"/>
  <c r="AI74" i="38" s="1"/>
  <c r="BG74" i="38" s="1"/>
  <c r="AF131" i="38" a="1"/>
  <c r="AF131" i="38" s="1"/>
  <c r="AG37" i="38" a="1"/>
  <c r="AG37" i="38" s="1"/>
  <c r="AF127" i="38" a="1"/>
  <c r="AF127" i="38" s="1"/>
  <c r="AI36" i="38" a="1"/>
  <c r="AI36" i="38" s="1"/>
  <c r="BG36" i="38" s="1"/>
  <c r="AI129" i="38" a="1"/>
  <c r="AI129" i="38" s="1"/>
  <c r="BG129" i="38" s="1"/>
  <c r="AF66" i="38" a="1"/>
  <c r="AF66" i="38" s="1"/>
  <c r="AI125" i="38" a="1"/>
  <c r="AI125" i="38" s="1"/>
  <c r="BG125" i="38" s="1"/>
  <c r="AG33" i="38" a="1"/>
  <c r="AG33" i="38" s="1"/>
  <c r="AI61" i="38" a="1"/>
  <c r="AI61" i="38" s="1"/>
  <c r="BG61" i="38" s="1"/>
  <c r="AI32" i="38" a="1"/>
  <c r="AI32" i="38" s="1"/>
  <c r="BG32" i="38" s="1"/>
  <c r="AG123" i="38" a="1"/>
  <c r="AG123" i="38" s="1"/>
  <c r="AF92" i="38" a="1"/>
  <c r="AF92" i="38" s="1"/>
  <c r="AJ143" i="38" a="1"/>
  <c r="AJ143" i="38" s="1"/>
  <c r="AJ89" i="38" a="1"/>
  <c r="AJ89" i="38" s="1"/>
  <c r="AJ113" i="38" a="1"/>
  <c r="AJ113" i="38" s="1"/>
  <c r="AF160" i="38" a="1"/>
  <c r="AF160" i="38" s="1"/>
  <c r="AJ116" i="38" a="1"/>
  <c r="AJ116" i="38" s="1"/>
  <c r="AF109" i="38" a="1"/>
  <c r="AF109" i="38" s="1"/>
  <c r="AJ112" i="38" a="1"/>
  <c r="AJ112" i="38" s="1"/>
  <c r="AJ159" i="38" a="1"/>
  <c r="AJ159" i="38" s="1"/>
  <c r="AJ106" i="38" a="1"/>
  <c r="AJ106" i="38" s="1"/>
  <c r="AJ107" i="38" a="1"/>
  <c r="AJ107" i="38" s="1"/>
  <c r="AG155" i="38" a="1"/>
  <c r="AG155" i="38" s="1"/>
  <c r="AJ101" i="38" a="1"/>
  <c r="AJ101" i="38" s="1"/>
  <c r="AF151" i="38" a="1"/>
  <c r="AF151" i="38" s="1"/>
  <c r="AJ104" i="38" a="1"/>
  <c r="AJ104" i="38" s="1"/>
  <c r="AJ153" i="38" a="1"/>
  <c r="AJ153" i="38" s="1"/>
  <c r="AJ98" i="38" a="1"/>
  <c r="AJ98" i="38" s="1"/>
  <c r="AJ99" i="38" a="1"/>
  <c r="AJ99" i="38" s="1"/>
  <c r="AJ149" i="38" a="1"/>
  <c r="AJ149" i="38" s="1"/>
  <c r="AJ49" i="38" a="1"/>
  <c r="AJ49" i="38" s="1"/>
  <c r="AJ93" i="38" a="1"/>
  <c r="AJ93" i="38" s="1"/>
  <c r="AJ48" i="38" a="1"/>
  <c r="AJ48" i="38" s="1"/>
  <c r="AJ96" i="38" a="1"/>
  <c r="AJ96" i="38" s="1"/>
  <c r="AF45" i="38" a="1"/>
  <c r="AF45" i="38" s="1"/>
  <c r="AF74" i="38" a="1"/>
  <c r="AF74" i="38" s="1"/>
  <c r="AJ45" i="38" a="1"/>
  <c r="AJ45" i="38" s="1"/>
  <c r="AJ90" i="38" a="1"/>
  <c r="AJ90" i="38" s="1"/>
  <c r="AJ164" i="38" a="1"/>
  <c r="AJ164" i="38" s="1"/>
  <c r="AF134" i="38" a="1"/>
  <c r="AF134" i="38" s="1"/>
  <c r="AJ57" i="38" a="1"/>
  <c r="AJ57" i="38" s="1"/>
  <c r="AJ61" i="38" a="1"/>
  <c r="AJ61" i="38" s="1"/>
  <c r="AJ59" i="38" a="1"/>
  <c r="AJ59" i="38" s="1"/>
  <c r="AJ146" i="38" a="1"/>
  <c r="AJ146" i="38" s="1"/>
  <c r="AJ55" i="38" a="1"/>
  <c r="AJ55" i="38" s="1"/>
  <c r="AJ84" i="38" a="1"/>
  <c r="AJ84" i="38" s="1"/>
  <c r="AJ145" i="38" a="1"/>
  <c r="AJ145" i="38" s="1"/>
  <c r="AG41" i="38" a="1"/>
  <c r="AG41" i="38" s="1"/>
  <c r="AJ53" i="38" a="1"/>
  <c r="AJ53" i="38" s="1"/>
  <c r="AJ144" i="38" a="1"/>
  <c r="AJ144" i="38" s="1"/>
  <c r="AG79" i="38" a="1"/>
  <c r="AG79" i="38" s="1"/>
  <c r="AI57" i="38" a="1"/>
  <c r="AI57" i="38" s="1"/>
  <c r="BG57" i="38" s="1"/>
  <c r="AG138" i="38" a="1"/>
  <c r="AG138" i="38" s="1"/>
  <c r="AI66" i="38" a="1"/>
  <c r="AI66" i="38" s="1"/>
  <c r="BG66" i="38" s="1"/>
  <c r="AJ32" i="38" a="1"/>
  <c r="AJ32" i="38" s="1"/>
  <c r="AJ152" i="38" a="1"/>
  <c r="AJ152" i="38" s="1"/>
  <c r="AI115" i="38" a="1"/>
  <c r="AI115" i="38" s="1"/>
  <c r="BG115" i="38" s="1"/>
  <c r="AG56" i="38" a="1"/>
  <c r="AG56" i="38" s="1"/>
  <c r="AG78" i="38" a="1"/>
  <c r="AG78" i="38" s="1"/>
  <c r="AG165" i="38" a="1"/>
  <c r="AG165" i="38" s="1"/>
  <c r="AF43" i="38" a="1"/>
  <c r="AF43" i="38" s="1"/>
  <c r="AF70" i="38" a="1"/>
  <c r="AF70" i="38" s="1"/>
  <c r="AF155" i="38" a="1"/>
  <c r="AF155" i="38" s="1"/>
  <c r="AI44" i="38" a="1"/>
  <c r="AI44" i="38" s="1"/>
  <c r="BG44" i="38" s="1"/>
  <c r="AI82" i="38" a="1"/>
  <c r="AI82" i="38" s="1"/>
  <c r="BG82" i="38" s="1"/>
  <c r="AI95" i="38" a="1"/>
  <c r="AI95" i="38" s="1"/>
  <c r="BG95" i="38" s="1"/>
  <c r="AI152" i="38" a="1"/>
  <c r="AI152" i="38" s="1"/>
  <c r="BG152" i="38" s="1"/>
  <c r="AJ147" i="38" a="1"/>
  <c r="AJ147" i="38" s="1"/>
  <c r="AJ58" i="38" a="1"/>
  <c r="AJ58" i="38" s="1"/>
  <c r="AJ60" i="38" a="1"/>
  <c r="AJ60" i="38" s="1"/>
  <c r="AJ56" i="38" a="1"/>
  <c r="AJ56" i="38" s="1"/>
  <c r="AJ54" i="38" a="1"/>
  <c r="AJ54" i="38" s="1"/>
  <c r="AJ52" i="38" a="1"/>
  <c r="AJ52" i="38" s="1"/>
  <c r="AJ33" i="38" a="1"/>
  <c r="AJ33" i="38" s="1"/>
  <c r="AJ88" i="38" a="1"/>
  <c r="AJ88" i="38" s="1"/>
  <c r="AJ73" i="38" a="1"/>
  <c r="AJ73" i="38" s="1"/>
  <c r="AJ69" i="38" a="1"/>
  <c r="AJ69" i="38" s="1"/>
  <c r="AJ103" i="38" a="1"/>
  <c r="AJ103" i="38" s="1"/>
  <c r="AJ64" i="38" a="1"/>
  <c r="AJ64" i="38" s="1"/>
  <c r="AJ137" i="38" a="1"/>
  <c r="AJ137" i="38" s="1"/>
  <c r="AJ162" i="38" a="1"/>
  <c r="AJ162" i="38" s="1"/>
  <c r="AJ141" i="38" a="1"/>
  <c r="AJ141" i="38" s="1"/>
  <c r="AJ157" i="38" a="1"/>
  <c r="AJ157" i="38" s="1"/>
  <c r="AJ130" i="38" a="1"/>
  <c r="AJ130" i="38" s="1"/>
  <c r="AJ125" i="38" a="1"/>
  <c r="AJ125" i="38" s="1"/>
  <c r="AJ150" i="38" a="1"/>
  <c r="AJ150" i="38" s="1"/>
  <c r="AG39" i="38" a="1"/>
  <c r="AG39" i="38" s="1"/>
  <c r="AG74" i="38" a="1"/>
  <c r="AG74" i="38" s="1"/>
  <c r="AG134" i="38" a="1"/>
  <c r="AG134" i="38" s="1"/>
  <c r="AF37" i="38" a="1"/>
  <c r="AF37" i="38" s="1"/>
  <c r="AF102" i="38" a="1"/>
  <c r="AF102" i="38" s="1"/>
  <c r="AF130" i="38" a="1"/>
  <c r="AF130" i="38" s="1"/>
  <c r="AI55" i="38" a="1"/>
  <c r="AI55" i="38" s="1"/>
  <c r="BG55" i="38" s="1"/>
  <c r="AI86" i="38" a="1"/>
  <c r="AI86" i="38" s="1"/>
  <c r="BG86" i="38" s="1"/>
  <c r="AI62" i="38" a="1"/>
  <c r="AI62" i="38" s="1"/>
  <c r="BG62" i="38" s="1"/>
  <c r="AI124" i="38" a="1"/>
  <c r="AI124" i="38" s="1"/>
  <c r="BG124" i="38" s="1"/>
  <c r="AJ34" i="38" a="1"/>
  <c r="AJ34" i="38" s="1"/>
  <c r="AJ82" i="38" a="1"/>
  <c r="AJ82" i="38" s="1"/>
  <c r="AJ117" i="38" a="1"/>
  <c r="AJ117" i="38" s="1"/>
  <c r="AJ86" i="38" a="1"/>
  <c r="AJ86" i="38" s="1"/>
  <c r="AJ109" i="38" a="1"/>
  <c r="AJ109" i="38" s="1"/>
  <c r="AJ78" i="38" a="1"/>
  <c r="AJ78" i="38" s="1"/>
  <c r="AJ80" i="38" a="1"/>
  <c r="AJ80" i="38" s="1"/>
  <c r="AJ76" i="38" a="1"/>
  <c r="AJ76" i="38" s="1"/>
  <c r="AJ72" i="38" a="1"/>
  <c r="AJ72" i="38" s="1"/>
  <c r="AJ68" i="38" a="1"/>
  <c r="AJ68" i="38" s="1"/>
  <c r="AJ62" i="38" a="1"/>
  <c r="AJ62" i="38" s="1"/>
  <c r="AJ160" i="38" a="1"/>
  <c r="AJ160" i="38" s="1"/>
  <c r="AJ158" i="38" a="1"/>
  <c r="AJ158" i="38" s="1"/>
  <c r="AJ156" i="38" a="1"/>
  <c r="AJ156" i="38" s="1"/>
  <c r="AJ129" i="38" a="1"/>
  <c r="AJ129" i="38" s="1"/>
  <c r="AJ148" i="38" a="1"/>
  <c r="AJ148" i="38" s="1"/>
  <c r="AI119" i="38" a="1"/>
  <c r="AI119" i="38" s="1"/>
  <c r="BG119" i="38" s="1"/>
  <c r="AF107" i="38" a="1"/>
  <c r="AF107" i="38" s="1"/>
  <c r="AG36" i="38" a="1"/>
  <c r="AG36" i="38" s="1"/>
  <c r="AG102" i="38" a="1"/>
  <c r="AG102" i="38" s="1"/>
  <c r="AG130" i="38" a="1"/>
  <c r="AG130" i="38" s="1"/>
  <c r="AF33" i="38" a="1"/>
  <c r="AF33" i="38" s="1"/>
  <c r="AF98" i="38" a="1"/>
  <c r="AF98" i="38" s="1"/>
  <c r="AF129" i="38" a="1"/>
  <c r="AF129" i="38" s="1"/>
  <c r="AI38" i="38" a="1"/>
  <c r="AI38" i="38" s="1"/>
  <c r="BG38" i="38" s="1"/>
  <c r="AI111" i="38" a="1"/>
  <c r="AI111" i="38" s="1"/>
  <c r="BG111" i="38" s="1"/>
  <c r="AI137" i="38" a="1"/>
  <c r="AI137" i="38" s="1"/>
  <c r="BG137" i="38" s="1"/>
  <c r="AI148" i="38" a="1"/>
  <c r="AI148" i="38" s="1"/>
  <c r="BG148" i="38" s="1"/>
  <c r="AJ41" i="38" a="1"/>
  <c r="AJ41" i="38" s="1"/>
  <c r="AJ43" i="38" a="1"/>
  <c r="AJ43" i="38" s="1"/>
  <c r="AJ39" i="38" a="1"/>
  <c r="AJ39" i="38" s="1"/>
  <c r="AJ37" i="38" a="1"/>
  <c r="AJ37" i="38" s="1"/>
  <c r="AJ35" i="38" a="1"/>
  <c r="AJ35" i="38" s="1"/>
  <c r="AJ92" i="38" a="1"/>
  <c r="AJ92" i="38" s="1"/>
  <c r="AJ74" i="38" a="1"/>
  <c r="AJ74" i="38" s="1"/>
  <c r="AJ97" i="38" a="1"/>
  <c r="AJ97" i="38" s="1"/>
  <c r="AJ66" i="38" a="1"/>
  <c r="AJ66" i="38" s="1"/>
  <c r="AJ139" i="38" a="1"/>
  <c r="AJ139" i="38" s="1"/>
  <c r="AJ131" i="38" a="1"/>
  <c r="AJ131" i="38" s="1"/>
  <c r="AJ123" i="38" a="1"/>
  <c r="AJ123" i="38" s="1"/>
  <c r="AG32" i="38" a="1"/>
  <c r="AG32" i="38" s="1"/>
  <c r="AG72" i="38" a="1"/>
  <c r="AG72" i="38" s="1"/>
  <c r="AG129" i="38" a="1"/>
  <c r="AG129" i="38" s="1"/>
  <c r="AF81" i="38" a="1"/>
  <c r="AF81" i="38" s="1"/>
  <c r="AF68" i="38" a="1"/>
  <c r="AF68" i="38" s="1"/>
  <c r="AF150" i="38" a="1"/>
  <c r="AF150" i="38" s="1"/>
  <c r="AI51" i="38" a="1"/>
  <c r="AI51" i="38" s="1"/>
  <c r="BG51" i="38" s="1"/>
  <c r="AI78" i="38" a="1"/>
  <c r="AI78" i="38" s="1"/>
  <c r="BG78" i="38" s="1"/>
  <c r="AI161" i="38" a="1"/>
  <c r="AI161" i="38" s="1"/>
  <c r="BG161" i="38" s="1"/>
  <c r="AI123" i="38" a="1"/>
  <c r="AI123" i="38" s="1"/>
  <c r="BG123" i="38" s="1"/>
  <c r="AJ120" i="38" a="1"/>
  <c r="AJ120" i="38" s="1"/>
  <c r="AJ105" i="38" a="1"/>
  <c r="AJ105" i="38" s="1"/>
  <c r="AJ70" i="38" a="1"/>
  <c r="AJ70" i="38" s="1"/>
  <c r="AJ161" i="38" a="1"/>
  <c r="AJ161" i="38" s="1"/>
  <c r="AJ140" i="38" a="1"/>
  <c r="AJ140" i="38" s="1"/>
  <c r="AJ165" i="38" a="1"/>
  <c r="AJ165" i="38" s="1"/>
  <c r="AJ135" i="38" a="1"/>
  <c r="AJ135" i="38" s="1"/>
  <c r="AJ154" i="38" a="1"/>
  <c r="AJ154" i="38" s="1"/>
  <c r="AJ127" i="38" a="1"/>
  <c r="AJ127" i="38" s="1"/>
  <c r="AJ122" i="38" a="1"/>
  <c r="AJ122" i="38" s="1"/>
  <c r="AJ121" i="38" a="1"/>
  <c r="AJ121" i="38" s="1"/>
  <c r="AG81" i="38" a="1"/>
  <c r="AG81" i="38" s="1"/>
  <c r="AG68" i="38" a="1"/>
  <c r="AG68" i="38" s="1"/>
  <c r="AG126" i="38" a="1"/>
  <c r="AG126" i="38" s="1"/>
  <c r="AF85" i="38" a="1"/>
  <c r="AF85" i="38" s="1"/>
  <c r="AF64" i="38" a="1"/>
  <c r="AF64" i="38" s="1"/>
  <c r="AF122" i="38" a="1"/>
  <c r="AF122" i="38" s="1"/>
  <c r="AI34" i="38" a="1"/>
  <c r="AI34" i="38" s="1"/>
  <c r="BG34" i="38" s="1"/>
  <c r="AI139" i="38" a="1"/>
  <c r="AI139" i="38" s="1"/>
  <c r="BG139" i="38" s="1"/>
  <c r="AI147" i="38" a="1"/>
  <c r="AI147" i="38" s="1"/>
  <c r="BG147" i="38" s="1"/>
  <c r="AJ46" i="38" a="1"/>
  <c r="AJ46" i="38" s="1"/>
  <c r="AJ42" i="38" a="1"/>
  <c r="AJ42" i="38" s="1"/>
  <c r="AJ44" i="38" a="1"/>
  <c r="AJ44" i="38" s="1"/>
  <c r="AJ40" i="38" a="1"/>
  <c r="AJ40" i="38" s="1"/>
  <c r="AJ38" i="38" a="1"/>
  <c r="AJ38" i="38" s="1"/>
  <c r="AJ36" i="38" a="1"/>
  <c r="AJ36" i="38" s="1"/>
  <c r="AJ31" i="38" a="1"/>
  <c r="AJ31" i="38" s="1"/>
  <c r="AJ114" i="38" a="1"/>
  <c r="AJ114" i="38" s="1"/>
  <c r="AJ108" i="38" a="1"/>
  <c r="AJ108" i="38" s="1"/>
  <c r="AJ100" i="38" a="1"/>
  <c r="AJ100" i="38" s="1"/>
  <c r="AJ138" i="38" a="1"/>
  <c r="AJ138" i="38" s="1"/>
  <c r="AJ133" i="38" a="1"/>
  <c r="AJ133" i="38" s="1"/>
  <c r="AJ128" i="38" a="1"/>
  <c r="AJ128" i="38" s="1"/>
  <c r="AJ126" i="38" a="1"/>
  <c r="AJ126" i="38" s="1"/>
  <c r="AG117" i="38" a="1"/>
  <c r="AG117" i="38" s="1"/>
  <c r="AG100" i="38" a="1"/>
  <c r="AG100" i="38" s="1"/>
  <c r="AG150" i="38" a="1"/>
  <c r="AG150" i="38" s="1"/>
  <c r="AF117" i="38" a="1"/>
  <c r="AF117" i="38" s="1"/>
  <c r="AF138" i="38" a="1"/>
  <c r="AF138" i="38" s="1"/>
  <c r="AI47" i="38" a="1"/>
  <c r="AI47" i="38" s="1"/>
  <c r="BG47" i="38" s="1"/>
  <c r="AI103" i="38" a="1"/>
  <c r="AI103" i="38" s="1"/>
  <c r="BG103" i="38" s="1"/>
  <c r="AI163" i="38" a="1"/>
  <c r="AI163" i="38" s="1"/>
  <c r="BG163" i="38" s="1"/>
  <c r="AJ51" i="38" a="1"/>
  <c r="AJ51" i="38" s="1"/>
  <c r="AJ50" i="38" a="1"/>
  <c r="AJ50" i="38" s="1"/>
  <c r="AJ85" i="38" a="1"/>
  <c r="AJ85" i="38" s="1"/>
  <c r="AJ119" i="38" a="1"/>
  <c r="AJ119" i="38" s="1"/>
  <c r="AJ118" i="38" a="1"/>
  <c r="AJ118" i="38" s="1"/>
  <c r="AJ111" i="38" a="1"/>
  <c r="AJ111" i="38" s="1"/>
  <c r="AJ110" i="38" a="1"/>
  <c r="AJ110" i="38" s="1"/>
  <c r="AJ94" i="38" a="1"/>
  <c r="AJ94" i="38" s="1"/>
  <c r="AJ142" i="38" a="1"/>
  <c r="AJ142" i="38" s="1"/>
  <c r="AJ163" i="38" a="1"/>
  <c r="AJ163" i="38" s="1"/>
  <c r="AJ155" i="38" a="1"/>
  <c r="AJ155" i="38" s="1"/>
  <c r="AG87" i="38" a="1"/>
  <c r="AG87" i="38" s="1"/>
  <c r="AG144" i="38" a="1"/>
  <c r="AG144" i="38" s="1"/>
  <c r="AF46" i="38" a="1"/>
  <c r="AF46" i="38" s="1"/>
  <c r="AF111" i="38" a="1"/>
  <c r="AF111" i="38" s="1"/>
  <c r="AF165" i="38" a="1"/>
  <c r="AF165" i="38" s="1"/>
  <c r="AI92" i="38" a="1"/>
  <c r="AI92" i="38" s="1"/>
  <c r="BG92" i="38" s="1"/>
  <c r="AI70" i="38" a="1"/>
  <c r="AI70" i="38" s="1"/>
  <c r="BG70" i="38" s="1"/>
  <c r="AI135" i="38" a="1"/>
  <c r="AI135" i="38" s="1"/>
  <c r="BG135" i="38" s="1"/>
  <c r="AJ81" i="38" a="1"/>
  <c r="AJ81" i="38" s="1"/>
  <c r="AJ115" i="38" a="1"/>
  <c r="AJ115" i="38" s="1"/>
  <c r="AJ77" i="38" a="1"/>
  <c r="AJ77" i="38" s="1"/>
  <c r="AJ102" i="38" a="1"/>
  <c r="AJ102" i="38" s="1"/>
  <c r="AJ95" i="38" a="1"/>
  <c r="AJ95" i="38" s="1"/>
  <c r="AJ136" i="38" a="1"/>
  <c r="AJ136" i="38" s="1"/>
  <c r="AJ134" i="38" a="1"/>
  <c r="AJ134" i="38" s="1"/>
  <c r="AJ132" i="38" a="1"/>
  <c r="AJ132" i="38" s="1"/>
  <c r="AJ151" i="38" a="1"/>
  <c r="AJ151" i="38" s="1"/>
  <c r="AJ124" i="38" a="1"/>
  <c r="AJ124" i="38" s="1"/>
  <c r="AI107" i="38" a="1"/>
  <c r="AI107" i="38" s="1"/>
  <c r="BG107" i="38" s="1"/>
  <c r="AI157" i="38" a="1"/>
  <c r="AI157" i="38" s="1"/>
  <c r="BG157" i="38" s="1"/>
  <c r="AF157" i="38" a="1"/>
  <c r="AF157" i="38" s="1"/>
  <c r="AG157" i="38" a="1"/>
  <c r="AG157" i="38" s="1"/>
  <c r="AG106" i="38" a="1"/>
  <c r="AG106" i="38" s="1"/>
  <c r="AI106" i="38" a="1"/>
  <c r="AI106" i="38" s="1"/>
  <c r="BG106" i="38" s="1"/>
  <c r="AF106" i="38" a="1"/>
  <c r="AF106" i="38" s="1"/>
  <c r="AI151" i="38" a="1"/>
  <c r="AI151" i="38" s="1"/>
  <c r="BG151" i="38" s="1"/>
  <c r="AF99" i="38" a="1"/>
  <c r="AF99" i="38" s="1"/>
  <c r="AI164" i="38" a="1"/>
  <c r="AI164" i="38" s="1"/>
  <c r="BG164" i="38" s="1"/>
  <c r="AF164" i="38" a="1"/>
  <c r="AF164" i="38" s="1"/>
  <c r="AG164" i="38" a="1"/>
  <c r="AG164" i="38" s="1"/>
  <c r="AI56" i="38" a="1"/>
  <c r="AI56" i="38" s="1"/>
  <c r="BG56" i="38" s="1"/>
  <c r="AF56" i="38" a="1"/>
  <c r="AF56" i="38" s="1"/>
  <c r="AI101" i="38" a="1"/>
  <c r="AI101" i="38" s="1"/>
  <c r="BG101" i="38" s="1"/>
  <c r="AF101" i="38" a="1"/>
  <c r="AF101" i="38" s="1"/>
  <c r="AG101" i="38" a="1"/>
  <c r="AG101" i="38" s="1"/>
  <c r="AI153" i="38" a="1"/>
  <c r="AI153" i="38" s="1"/>
  <c r="BG153" i="38" s="1"/>
  <c r="AF153" i="38" a="1"/>
  <c r="AF153" i="38" s="1"/>
  <c r="AG153" i="38" a="1"/>
  <c r="AG153" i="38" s="1"/>
  <c r="AG49" i="38" a="1"/>
  <c r="AG49" i="38" s="1"/>
  <c r="AF49" i="38" a="1"/>
  <c r="AF49" i="38" s="1"/>
  <c r="AI49" i="38" a="1"/>
  <c r="AI49" i="38" s="1"/>
  <c r="BG49" i="38" s="1"/>
  <c r="AI48" i="38" a="1"/>
  <c r="AI48" i="38" s="1"/>
  <c r="BG48" i="38" s="1"/>
  <c r="AG48" i="38" a="1"/>
  <c r="AG48" i="38" s="1"/>
  <c r="AF48" i="38" a="1"/>
  <c r="AF48" i="38" s="1"/>
  <c r="AG89" i="38" a="1"/>
  <c r="AG89" i="38" s="1"/>
  <c r="AI89" i="38" a="1"/>
  <c r="AI89" i="38" s="1"/>
  <c r="BG89" i="38" s="1"/>
  <c r="AI58" i="38" a="1"/>
  <c r="AI58" i="38" s="1"/>
  <c r="BG58" i="38" s="1"/>
  <c r="AF58" i="38" a="1"/>
  <c r="AF58" i="38" s="1"/>
  <c r="AG162" i="38" a="1"/>
  <c r="AG162" i="38" s="1"/>
  <c r="AI162" i="38" a="1"/>
  <c r="AI162" i="38" s="1"/>
  <c r="BG162" i="38" s="1"/>
  <c r="AF162" i="38" a="1"/>
  <c r="AF162" i="38" s="1"/>
  <c r="AG59" i="38" a="1"/>
  <c r="AG59" i="38" s="1"/>
  <c r="AI59" i="38" a="1"/>
  <c r="AI59" i="38" s="1"/>
  <c r="BG59" i="38" s="1"/>
  <c r="AF59" i="38" a="1"/>
  <c r="AF59" i="38" s="1"/>
  <c r="AF112" i="38" a="1"/>
  <c r="AF112" i="38" s="1"/>
  <c r="AI112" i="38" a="1"/>
  <c r="AI112" i="38" s="1"/>
  <c r="BG112" i="38" s="1"/>
  <c r="AG112" i="38" a="1"/>
  <c r="AG112" i="38" s="1"/>
  <c r="AG53" i="38" a="1"/>
  <c r="AG53" i="38" s="1"/>
  <c r="AF53" i="38" a="1"/>
  <c r="AF53" i="38" s="1"/>
  <c r="AI53" i="38" a="1"/>
  <c r="AI53" i="38" s="1"/>
  <c r="BG53" i="38" s="1"/>
  <c r="AI104" i="38" a="1"/>
  <c r="AI104" i="38" s="1"/>
  <c r="BG104" i="38" s="1"/>
  <c r="AF104" i="38" a="1"/>
  <c r="AF104" i="38" s="1"/>
  <c r="AG104" i="38" a="1"/>
  <c r="AG104" i="38" s="1"/>
  <c r="AI149" i="38" a="1"/>
  <c r="AI149" i="38" s="1"/>
  <c r="BG149" i="38" s="1"/>
  <c r="AG149" i="38" a="1"/>
  <c r="AG149" i="38" s="1"/>
  <c r="AF149" i="38" a="1"/>
  <c r="AF149" i="38" s="1"/>
  <c r="AI145" i="38" a="1"/>
  <c r="AI145" i="38" s="1"/>
  <c r="BG145" i="38" s="1"/>
  <c r="AG145" i="38" a="1"/>
  <c r="AG145" i="38" s="1"/>
  <c r="AF145" i="38" a="1"/>
  <c r="AF145" i="38" s="1"/>
  <c r="AG151" i="38" a="1"/>
  <c r="AG151" i="38" s="1"/>
  <c r="AI99" i="38" a="1"/>
  <c r="AI99" i="38" s="1"/>
  <c r="BG99" i="38" s="1"/>
  <c r="AI143" i="38" a="1"/>
  <c r="AI143" i="38" s="1"/>
  <c r="BG143" i="38" s="1"/>
  <c r="AF143" i="38" a="1"/>
  <c r="AF143" i="38" s="1"/>
  <c r="AG143" i="38" a="1"/>
  <c r="AG143" i="38" s="1"/>
  <c r="AI113" i="38" a="1"/>
  <c r="AI113" i="38" s="1"/>
  <c r="BG113" i="38" s="1"/>
  <c r="AG113" i="38" a="1"/>
  <c r="AG113" i="38" s="1"/>
  <c r="AF113" i="38" a="1"/>
  <c r="AF113" i="38" s="1"/>
  <c r="AG160" i="38" a="1"/>
  <c r="AG160" i="38" s="1"/>
  <c r="AI160" i="38" a="1"/>
  <c r="AI160" i="38" s="1"/>
  <c r="BG160" i="38" s="1"/>
  <c r="AF116" i="38" a="1"/>
  <c r="AF116" i="38" s="1"/>
  <c r="AG116" i="38" a="1"/>
  <c r="AG116" i="38" s="1"/>
  <c r="AI116" i="38" a="1"/>
  <c r="AI116" i="38" s="1"/>
  <c r="BG116" i="38" s="1"/>
  <c r="AF118" i="38" a="1"/>
  <c r="AF118" i="38" s="1"/>
  <c r="AG118" i="38" a="1"/>
  <c r="AG118" i="38" s="1"/>
  <c r="AI118" i="38" a="1"/>
  <c r="AI118" i="38" s="1"/>
  <c r="BG118" i="38" s="1"/>
  <c r="AF119" i="38" a="1"/>
  <c r="AF119" i="38" s="1"/>
  <c r="AG109" i="38" a="1"/>
  <c r="AG109" i="38" s="1"/>
  <c r="AI109" i="38" a="1"/>
  <c r="AI109" i="38" s="1"/>
  <c r="BG109" i="38" s="1"/>
  <c r="AF159" i="38" a="1"/>
  <c r="AF159" i="38" s="1"/>
  <c r="AG159" i="38" a="1"/>
  <c r="AG159" i="38" s="1"/>
  <c r="AI159" i="38" a="1"/>
  <c r="AI159" i="38" s="1"/>
  <c r="BG159" i="38" s="1"/>
  <c r="AI155" i="38" a="1"/>
  <c r="AI155" i="38" s="1"/>
  <c r="BG155" i="38" s="1"/>
  <c r="AI52" i="38" a="1"/>
  <c r="AI52" i="38" s="1"/>
  <c r="BG52" i="38" s="1"/>
  <c r="AF52" i="38" a="1"/>
  <c r="AF52" i="38" s="1"/>
  <c r="AG52" i="38" a="1"/>
  <c r="AG52" i="38" s="1"/>
  <c r="AG98" i="38" a="1"/>
  <c r="AG98" i="38" s="1"/>
  <c r="AI98" i="38" a="1"/>
  <c r="AI98" i="38" s="1"/>
  <c r="BG98" i="38" s="1"/>
  <c r="AI93" i="38" a="1"/>
  <c r="AI93" i="38" s="1"/>
  <c r="BG93" i="38" s="1"/>
  <c r="AF93" i="38" a="1"/>
  <c r="AF93" i="38" s="1"/>
  <c r="AG93" i="38" a="1"/>
  <c r="AG93" i="38" s="1"/>
  <c r="AI96" i="38" a="1"/>
  <c r="AI96" i="38" s="1"/>
  <c r="BG96" i="38" s="1"/>
  <c r="AF96" i="38" a="1"/>
  <c r="AF96" i="38" s="1"/>
  <c r="AG58" i="38" a="1"/>
  <c r="AG58" i="38" s="1"/>
  <c r="AG96" i="38" a="1"/>
  <c r="AG96" i="38" s="1"/>
  <c r="AF89" i="38" a="1"/>
  <c r="AF89" i="38" s="1"/>
  <c r="AG57" i="38" a="1"/>
  <c r="AG57" i="38" s="1"/>
  <c r="AG55" i="38" a="1"/>
  <c r="AG55" i="38" s="1"/>
  <c r="AG35" i="38" a="1"/>
  <c r="AG35" i="38" s="1"/>
  <c r="AG31" i="38" a="1"/>
  <c r="AG31" i="38" s="1"/>
  <c r="AG83" i="38" a="1"/>
  <c r="AG83" i="38" s="1"/>
  <c r="AG86" i="38" a="1"/>
  <c r="AG86" i="38" s="1"/>
  <c r="AG110" i="38" a="1"/>
  <c r="AG110" i="38" s="1"/>
  <c r="AG76" i="38" a="1"/>
  <c r="AG76" i="38" s="1"/>
  <c r="AG61" i="38" a="1"/>
  <c r="AG61" i="38" s="1"/>
  <c r="AG158" i="38" a="1"/>
  <c r="AG158" i="38" s="1"/>
  <c r="AG154" i="38" a="1"/>
  <c r="AG154" i="38" s="1"/>
  <c r="AG122" i="38" a="1"/>
  <c r="AG122" i="38" s="1"/>
  <c r="AF42" i="38" a="1"/>
  <c r="AF42" i="38" s="1"/>
  <c r="AF40" i="38" a="1"/>
  <c r="AF40" i="38" s="1"/>
  <c r="AF36" i="38" a="1"/>
  <c r="AF36" i="38" s="1"/>
  <c r="AF32" i="38" a="1"/>
  <c r="AF32" i="38" s="1"/>
  <c r="AF72" i="38" a="1"/>
  <c r="AF72" i="38" s="1"/>
  <c r="AF100" i="38" a="1"/>
  <c r="AF100" i="38" s="1"/>
  <c r="AF144" i="38" a="1"/>
  <c r="AF144" i="38" s="1"/>
  <c r="AF158" i="38" a="1"/>
  <c r="AF158" i="38" s="1"/>
  <c r="AF154" i="38" a="1"/>
  <c r="AF154" i="38" s="1"/>
  <c r="AF146" i="38" a="1"/>
  <c r="AF146" i="38" s="1"/>
  <c r="AI60" i="38" a="1"/>
  <c r="AI60" i="38" s="1"/>
  <c r="BG60" i="38" s="1"/>
  <c r="AI54" i="38" a="1"/>
  <c r="AI54" i="38" s="1"/>
  <c r="BG54" i="38" s="1"/>
  <c r="AI50" i="38" a="1"/>
  <c r="AI50" i="38" s="1"/>
  <c r="BG50" i="38" s="1"/>
  <c r="AI114" i="38" a="1"/>
  <c r="AI114" i="38" s="1"/>
  <c r="BG114" i="38" s="1"/>
  <c r="AI110" i="38" a="1"/>
  <c r="AI110" i="38" s="1"/>
  <c r="BG110" i="38" s="1"/>
  <c r="AI102" i="38" a="1"/>
  <c r="AI102" i="38" s="1"/>
  <c r="BG102" i="38" s="1"/>
  <c r="AI94" i="38" a="1"/>
  <c r="AI94" i="38" s="1"/>
  <c r="BG94" i="38" s="1"/>
  <c r="AI136" i="38" a="1"/>
  <c r="AI136" i="38" s="1"/>
  <c r="BG136" i="38" s="1"/>
  <c r="AI141" i="38" a="1"/>
  <c r="AI141" i="38" s="1"/>
  <c r="BG141" i="38" s="1"/>
  <c r="AI131" i="38" a="1"/>
  <c r="AI131" i="38" s="1"/>
  <c r="BG131" i="38" s="1"/>
  <c r="AI127" i="38" a="1"/>
  <c r="AI127" i="38" s="1"/>
  <c r="BG127" i="38" s="1"/>
  <c r="AI126" i="38" a="1"/>
  <c r="AI126" i="38" s="1"/>
  <c r="BG126" i="38" s="1"/>
  <c r="AG44" i="38" a="1"/>
  <c r="AG44" i="38" s="1"/>
  <c r="AG38" i="38" a="1"/>
  <c r="AG38" i="38" s="1"/>
  <c r="AG51" i="38" a="1"/>
  <c r="AG51" i="38" s="1"/>
  <c r="AG47" i="38" a="1"/>
  <c r="AG47" i="38" s="1"/>
  <c r="AG82" i="38" a="1"/>
  <c r="AG82" i="38" s="1"/>
  <c r="AG80" i="38" a="1"/>
  <c r="AG80" i="38" s="1"/>
  <c r="AG108" i="38" a="1"/>
  <c r="AG108" i="38" s="1"/>
  <c r="AG65" i="38" a="1"/>
  <c r="AG65" i="38" s="1"/>
  <c r="AG142" i="38" a="1"/>
  <c r="AG142" i="38" s="1"/>
  <c r="AG140" i="38" a="1"/>
  <c r="AG140" i="38" s="1"/>
  <c r="AG133" i="38" a="1"/>
  <c r="AG133" i="38" s="1"/>
  <c r="AG132" i="38" a="1"/>
  <c r="AG132" i="38" s="1"/>
  <c r="AG146" i="38" a="1"/>
  <c r="AG146" i="38" s="1"/>
  <c r="AF115" i="38" a="1"/>
  <c r="AF115" i="38" s="1"/>
  <c r="AF86" i="38" a="1"/>
  <c r="AF86" i="38" s="1"/>
  <c r="AF76" i="38" a="1"/>
  <c r="AF76" i="38" s="1"/>
  <c r="AF61" i="38" a="1"/>
  <c r="AF61" i="38" s="1"/>
  <c r="AF140" i="38" a="1"/>
  <c r="AF140" i="38" s="1"/>
  <c r="AF133" i="38" a="1"/>
  <c r="AF133" i="38" s="1"/>
  <c r="AF132" i="38" a="1"/>
  <c r="AF132" i="38" s="1"/>
  <c r="AF125" i="38" a="1"/>
  <c r="AF125" i="38" s="1"/>
  <c r="AF121" i="38" a="1"/>
  <c r="AF121" i="38" s="1"/>
  <c r="AI46" i="38" a="1"/>
  <c r="AI46" i="38" s="1"/>
  <c r="BG46" i="38" s="1"/>
  <c r="AI43" i="38" a="1"/>
  <c r="AI43" i="38" s="1"/>
  <c r="BG43" i="38" s="1"/>
  <c r="AI37" i="38" a="1"/>
  <c r="AI37" i="38" s="1"/>
  <c r="BG37" i="38" s="1"/>
  <c r="AI33" i="38" a="1"/>
  <c r="AI33" i="38" s="1"/>
  <c r="BG33" i="38" s="1"/>
  <c r="AI90" i="38" a="1"/>
  <c r="AI90" i="38" s="1"/>
  <c r="BG90" i="38" s="1"/>
  <c r="AI84" i="38" a="1"/>
  <c r="AI84" i="38" s="1"/>
  <c r="BG84" i="38" s="1"/>
  <c r="AI88" i="38" a="1"/>
  <c r="AI88" i="38" s="1"/>
  <c r="BG88" i="38" s="1"/>
  <c r="AI80" i="38" a="1"/>
  <c r="AI80" i="38" s="1"/>
  <c r="BG80" i="38" s="1"/>
  <c r="AI76" i="38" a="1"/>
  <c r="AI76" i="38" s="1"/>
  <c r="BG76" i="38" s="1"/>
  <c r="AI72" i="38" a="1"/>
  <c r="AI72" i="38" s="1"/>
  <c r="BG72" i="38" s="1"/>
  <c r="AI68" i="38" a="1"/>
  <c r="AI68" i="38" s="1"/>
  <c r="BG68" i="38" s="1"/>
  <c r="AI64" i="38" a="1"/>
  <c r="AI64" i="38" s="1"/>
  <c r="BG64" i="38" s="1"/>
  <c r="AI150" i="38" a="1"/>
  <c r="AI150" i="38" s="1"/>
  <c r="BG150" i="38" s="1"/>
  <c r="AG60" i="38" a="1"/>
  <c r="AG60" i="38" s="1"/>
  <c r="AG34" i="38" a="1"/>
  <c r="AG34" i="38" s="1"/>
  <c r="AG92" i="38" a="1"/>
  <c r="AG92" i="38" s="1"/>
  <c r="AG114" i="38" a="1"/>
  <c r="AG114" i="38" s="1"/>
  <c r="AG88" i="38" a="1"/>
  <c r="AG88" i="38" s="1"/>
  <c r="AG69" i="38" a="1"/>
  <c r="AG69" i="38" s="1"/>
  <c r="AG97" i="38" a="1"/>
  <c r="AG97" i="38" s="1"/>
  <c r="AG63" i="38" a="1"/>
  <c r="AG63" i="38" s="1"/>
  <c r="AG137" i="38" a="1"/>
  <c r="AG137" i="38" s="1"/>
  <c r="AG156" i="38" a="1"/>
  <c r="AG156" i="38" s="1"/>
  <c r="AG125" i="38" a="1"/>
  <c r="AG125" i="38" s="1"/>
  <c r="AG121" i="38" a="1"/>
  <c r="AG121" i="38" s="1"/>
  <c r="AF41" i="38" a="1"/>
  <c r="AF41" i="38" s="1"/>
  <c r="AF39" i="38" a="1"/>
  <c r="AF39" i="38" s="1"/>
  <c r="AF35" i="38" a="1"/>
  <c r="AF35" i="38" s="1"/>
  <c r="AF31" i="38" a="1"/>
  <c r="AF31" i="38" s="1"/>
  <c r="AF82" i="38" a="1"/>
  <c r="AF82" i="38" s="1"/>
  <c r="AF108" i="38" a="1"/>
  <c r="AF108" i="38" s="1"/>
  <c r="AF65" i="38" a="1"/>
  <c r="AF65" i="38" s="1"/>
  <c r="AF142" i="38" a="1"/>
  <c r="AF142" i="38" s="1"/>
  <c r="AF156" i="38" a="1"/>
  <c r="AF156" i="38" s="1"/>
  <c r="AI45" i="38" a="1"/>
  <c r="AI45" i="38" s="1"/>
  <c r="BG45" i="38" s="1"/>
  <c r="AI120" i="38" a="1"/>
  <c r="AI120" i="38" s="1"/>
  <c r="BG120" i="38" s="1"/>
  <c r="AI108" i="38" a="1"/>
  <c r="AI108" i="38" s="1"/>
  <c r="BG108" i="38" s="1"/>
  <c r="AI100" i="38" a="1"/>
  <c r="AI100" i="38" s="1"/>
  <c r="BG100" i="38" s="1"/>
  <c r="AI122" i="38" a="1"/>
  <c r="AI122" i="38" s="1"/>
  <c r="BG122" i="38" s="1"/>
  <c r="AG46" i="38" a="1"/>
  <c r="AG46" i="38" s="1"/>
  <c r="AG54" i="38" a="1"/>
  <c r="AG54" i="38" s="1"/>
  <c r="AG50" i="38" a="1"/>
  <c r="AG50" i="38" s="1"/>
  <c r="AG91" i="38" a="1"/>
  <c r="AG91" i="38" s="1"/>
  <c r="AG84" i="38" a="1"/>
  <c r="AG84" i="38" s="1"/>
  <c r="AG120" i="38" a="1"/>
  <c r="AG120" i="38" s="1"/>
  <c r="AG73" i="38" a="1"/>
  <c r="AG73" i="38" s="1"/>
  <c r="AG67" i="38" a="1"/>
  <c r="AG67" i="38" s="1"/>
  <c r="AG62" i="38" a="1"/>
  <c r="AG62" i="38" s="1"/>
  <c r="AG161" i="38" a="1"/>
  <c r="AG161" i="38" s="1"/>
  <c r="AG139" i="38" a="1"/>
  <c r="AG139" i="38" s="1"/>
  <c r="AG135" i="38" a="1"/>
  <c r="AG135" i="38" s="1"/>
  <c r="AG128" i="38" a="1"/>
  <c r="AG128" i="38" s="1"/>
  <c r="AF57" i="38" a="1"/>
  <c r="AF57" i="38" s="1"/>
  <c r="AF51" i="38" a="1"/>
  <c r="AF51" i="38" s="1"/>
  <c r="AF114" i="38" a="1"/>
  <c r="AF114" i="38" s="1"/>
  <c r="AF69" i="38" a="1"/>
  <c r="AF69" i="38" s="1"/>
  <c r="AF97" i="38" a="1"/>
  <c r="AF97" i="38" s="1"/>
  <c r="AF139" i="38" a="1"/>
  <c r="AF139" i="38" s="1"/>
  <c r="AF135" i="38" a="1"/>
  <c r="AF135" i="38" s="1"/>
  <c r="AF128" i="38" a="1"/>
  <c r="AF128" i="38" s="1"/>
  <c r="AF124" i="38" a="1"/>
  <c r="AF124" i="38" s="1"/>
  <c r="AF123" i="38" a="1"/>
  <c r="AF123" i="38" s="1"/>
  <c r="AI42" i="38" a="1"/>
  <c r="AI42" i="38" s="1"/>
  <c r="BG42" i="38" s="1"/>
  <c r="AI40" i="38" a="1"/>
  <c r="AI40" i="38" s="1"/>
  <c r="BG40" i="38" s="1"/>
  <c r="AI85" i="38" a="1"/>
  <c r="AI85" i="38" s="1"/>
  <c r="BG85" i="38" s="1"/>
  <c r="AI77" i="38" a="1"/>
  <c r="AI77" i="38" s="1"/>
  <c r="BG77" i="38" s="1"/>
  <c r="AI73" i="38" a="1"/>
  <c r="AI73" i="38" s="1"/>
  <c r="BG73" i="38" s="1"/>
  <c r="AI69" i="38" a="1"/>
  <c r="AI69" i="38" s="1"/>
  <c r="BG69" i="38" s="1"/>
  <c r="AI65" i="38" a="1"/>
  <c r="AI65" i="38" s="1"/>
  <c r="BG65" i="38" s="1"/>
  <c r="AI146" i="38" a="1"/>
  <c r="AI146" i="38" s="1"/>
  <c r="BG146" i="38" s="1"/>
  <c r="AG90" i="38" a="1"/>
  <c r="AG90" i="38" s="1"/>
  <c r="AG77" i="38" a="1"/>
  <c r="AG77" i="38" s="1"/>
  <c r="AG105" i="38" a="1"/>
  <c r="AG105" i="38" s="1"/>
  <c r="AG71" i="38" a="1"/>
  <c r="AG71" i="38" s="1"/>
  <c r="AG66" i="38" a="1"/>
  <c r="AG66" i="38" s="1"/>
  <c r="AG94" i="38" a="1"/>
  <c r="AG94" i="38" s="1"/>
  <c r="AG136" i="38" a="1"/>
  <c r="AG136" i="38" s="1"/>
  <c r="AG163" i="38" a="1"/>
  <c r="AG163" i="38" s="1"/>
  <c r="AG152" i="38" a="1"/>
  <c r="AG152" i="38" s="1"/>
  <c r="AF34" i="38" a="1"/>
  <c r="AF34" i="38" s="1"/>
  <c r="AF163" i="38" a="1"/>
  <c r="AF163" i="38" s="1"/>
  <c r="AF148" i="38" a="1"/>
  <c r="AF148" i="38" s="1"/>
  <c r="AF147" i="38" a="1"/>
  <c r="AF147" i="38" s="1"/>
  <c r="AI105" i="38" a="1"/>
  <c r="AI105" i="38" s="1"/>
  <c r="BG105" i="38" s="1"/>
  <c r="AI121" i="38" a="1"/>
  <c r="AI121" i="38" s="1"/>
  <c r="BG121" i="38" s="1"/>
  <c r="AG42" i="38" a="1"/>
  <c r="AG42" i="38" s="1"/>
  <c r="AG75" i="38" a="1"/>
  <c r="AG75" i="38" s="1"/>
  <c r="AG64" i="38" a="1"/>
  <c r="AG64" i="38" s="1"/>
  <c r="AG141" i="38" a="1"/>
  <c r="AG141" i="38" s="1"/>
  <c r="AG131" i="38" a="1"/>
  <c r="AG131" i="38" s="1"/>
  <c r="AG127" i="38" a="1"/>
  <c r="AG127" i="38" s="1"/>
  <c r="AF54" i="38" a="1"/>
  <c r="AF54" i="38" s="1"/>
  <c r="AF141" i="38" a="1"/>
  <c r="AF141" i="38" s="1"/>
  <c r="Q17" i="38"/>
  <c r="O17" i="38"/>
  <c r="S24" i="38"/>
  <c r="Q23" i="38"/>
  <c r="P22" i="38"/>
  <c r="S19" i="38"/>
  <c r="R18" i="38"/>
  <c r="P17" i="38"/>
  <c r="O22" i="38"/>
  <c r="S20" i="38"/>
  <c r="P24" i="38"/>
  <c r="S21" i="38"/>
  <c r="R20" i="38"/>
  <c r="P19" i="38"/>
  <c r="O18" i="38"/>
  <c r="R24" i="38"/>
  <c r="R19" i="38"/>
  <c r="O23" i="38"/>
  <c r="P18" i="38"/>
  <c r="O24" i="38"/>
  <c r="R21" i="38"/>
  <c r="Q20" i="38"/>
  <c r="O19" i="38"/>
  <c r="Q18" i="38"/>
  <c r="Q24" i="38"/>
  <c r="Q19" i="38"/>
  <c r="S22" i="38"/>
  <c r="Q21" i="38"/>
  <c r="P20" i="38"/>
  <c r="S17" i="38"/>
  <c r="S23" i="38"/>
  <c r="R22" i="38"/>
  <c r="P21" i="38"/>
  <c r="O20" i="38"/>
  <c r="R17" i="38"/>
  <c r="P23" i="38"/>
  <c r="R23" i="38"/>
  <c r="Q22" i="38"/>
  <c r="O21" i="38"/>
  <c r="S18" i="38"/>
  <c r="F33" i="4"/>
  <c r="F37" i="4"/>
  <c r="C12" i="34"/>
  <c r="A29" i="36"/>
  <c r="G32" i="36"/>
  <c r="H32" i="36"/>
  <c r="C11" i="2"/>
  <c r="B80" i="4"/>
  <c r="B51" i="4"/>
  <c r="B49" i="4"/>
  <c r="A50" i="4"/>
  <c r="A49" i="4"/>
  <c r="A25" i="2"/>
  <c r="B159" i="22"/>
  <c r="C190" i="22"/>
  <c r="B12" i="13"/>
  <c r="C219" i="22"/>
  <c r="C210" i="22"/>
  <c r="D201" i="22"/>
  <c r="D200" i="22"/>
  <c r="B311" i="22"/>
  <c r="B310" i="22"/>
  <c r="B305" i="22"/>
  <c r="B304" i="22"/>
  <c r="C302" i="22"/>
  <c r="C301" i="22"/>
  <c r="B60" i="22"/>
  <c r="B59" i="22"/>
  <c r="B29" i="4"/>
  <c r="A39" i="26"/>
  <c r="A42" i="26"/>
  <c r="A40" i="26"/>
  <c r="A41" i="26"/>
  <c r="A43" i="26"/>
  <c r="K74" i="13"/>
  <c r="K76" i="13"/>
  <c r="K92" i="13"/>
  <c r="K93" i="13"/>
  <c r="K94" i="13"/>
  <c r="K95" i="13"/>
  <c r="B28" i="4"/>
  <c r="B27" i="4"/>
  <c r="B26" i="4"/>
  <c r="A20" i="4"/>
  <c r="B25" i="4"/>
  <c r="B15" i="4"/>
  <c r="B14" i="4"/>
  <c r="B13" i="4"/>
  <c r="B12" i="4"/>
  <c r="B11" i="4"/>
  <c r="A11" i="4"/>
  <c r="A15" i="4"/>
  <c r="A14" i="4"/>
  <c r="A13" i="4"/>
  <c r="A12" i="4"/>
  <c r="F36" i="4"/>
  <c r="E34" i="4"/>
  <c r="E35" i="4"/>
  <c r="E36" i="4"/>
  <c r="E37" i="4"/>
  <c r="E33" i="4"/>
  <c r="D34" i="4"/>
  <c r="D35" i="4"/>
  <c r="D36" i="4"/>
  <c r="D37" i="4"/>
  <c r="D33" i="4"/>
  <c r="L66" i="4"/>
  <c r="M66" i="4"/>
  <c r="O66" i="4" s="1"/>
  <c r="K66" i="4"/>
  <c r="K58" i="4"/>
  <c r="K59" i="4"/>
  <c r="K60" i="4"/>
  <c r="K61" i="4"/>
  <c r="K62" i="4"/>
  <c r="K63" i="4"/>
  <c r="K64" i="4"/>
  <c r="K65" i="4"/>
  <c r="K57" i="4"/>
  <c r="F72" i="4"/>
  <c r="C365" i="22"/>
  <c r="C363" i="22"/>
  <c r="F34" i="4"/>
  <c r="F35" i="4"/>
  <c r="N66" i="4" l="1"/>
  <c r="N20" i="38"/>
  <c r="N22" i="38"/>
  <c r="N19" i="38"/>
  <c r="N17" i="38"/>
  <c r="N21" i="38"/>
  <c r="N18" i="38"/>
  <c r="N23" i="38"/>
  <c r="N24" i="38"/>
  <c r="I32" i="36"/>
  <c r="C29" i="26"/>
  <c r="B24" i="36"/>
  <c r="P15" i="4" l="1"/>
  <c r="P14" i="4"/>
  <c r="P13" i="4"/>
  <c r="P12" i="4"/>
  <c r="P11" i="4"/>
  <c r="E63" i="4"/>
  <c r="D25" i="37" s="1"/>
  <c r="B19" i="24"/>
  <c r="B20" i="24"/>
  <c r="B18" i="24"/>
  <c r="C17" i="34" a="1"/>
  <c r="C17" i="34" s="1"/>
  <c r="C340" i="22"/>
  <c r="F345" i="22" s="1"/>
  <c r="C338" i="22"/>
  <c r="D347" i="22" s="1"/>
  <c r="G347" i="22" s="1"/>
  <c r="B21" i="36"/>
  <c r="C33" i="34"/>
  <c r="C22" i="34"/>
  <c r="C19" i="34"/>
  <c r="C11" i="34"/>
  <c r="D328" i="22"/>
  <c r="D329" i="22"/>
  <c r="D330" i="22"/>
  <c r="D327" i="22"/>
  <c r="L363" i="22" l="1"/>
  <c r="L365" i="22"/>
  <c r="F52" i="34"/>
  <c r="C23" i="34"/>
  <c r="F344" i="22"/>
  <c r="F343" i="22"/>
  <c r="D346" i="22"/>
  <c r="G346" i="22" s="1"/>
  <c r="D343" i="22"/>
  <c r="D344" i="22"/>
  <c r="D345" i="22"/>
  <c r="D351" i="22"/>
  <c r="G351" i="22" s="1"/>
  <c r="D350" i="22"/>
  <c r="G350" i="22" s="1"/>
  <c r="D349" i="22"/>
  <c r="G349" i="22" s="1"/>
  <c r="D348" i="22"/>
  <c r="G348" i="22" s="1"/>
  <c r="D15" i="4"/>
  <c r="B23" i="24" l="1"/>
  <c r="BA44" i="1"/>
  <c r="BA45" i="1"/>
  <c r="BA46" i="1"/>
  <c r="BA47" i="1"/>
  <c r="BA48" i="1"/>
  <c r="BA49" i="1"/>
  <c r="BA50" i="1"/>
  <c r="BA51" i="1"/>
  <c r="BA52" i="1"/>
  <c r="BA53" i="1"/>
  <c r="BA54" i="1"/>
  <c r="BA55" i="1"/>
  <c r="BA56" i="1"/>
  <c r="BA57" i="1"/>
  <c r="BA58" i="1"/>
  <c r="BA59" i="1"/>
  <c r="BA60" i="1"/>
  <c r="BA61" i="1"/>
  <c r="BA62" i="1"/>
  <c r="BA63" i="1"/>
  <c r="BA64" i="1"/>
  <c r="BA65" i="1"/>
  <c r="BA66" i="1"/>
  <c r="BA67" i="1"/>
  <c r="BA68" i="1"/>
  <c r="BA69" i="1"/>
  <c r="BA70" i="1"/>
  <c r="BA71" i="1"/>
  <c r="BA72" i="1"/>
  <c r="BA73" i="1"/>
  <c r="BA74" i="1"/>
  <c r="BA75" i="1"/>
  <c r="BA76" i="1"/>
  <c r="BA77" i="1"/>
  <c r="BA78" i="1"/>
  <c r="BA79" i="1"/>
  <c r="BA80" i="1"/>
  <c r="BA81" i="1"/>
  <c r="BA82" i="1"/>
  <c r="BA83" i="1"/>
  <c r="BA84" i="1"/>
  <c r="BA85" i="1"/>
  <c r="BA86" i="1"/>
  <c r="BA87" i="1"/>
  <c r="BA88" i="1"/>
  <c r="BA89" i="1"/>
  <c r="BA90" i="1"/>
  <c r="BA91" i="1"/>
  <c r="BA92" i="1"/>
  <c r="BA93" i="1"/>
  <c r="BA94" i="1"/>
  <c r="BA95" i="1"/>
  <c r="BA96" i="1"/>
  <c r="BA97" i="1"/>
  <c r="BA98" i="1"/>
  <c r="BA99" i="1"/>
  <c r="BA100" i="1"/>
  <c r="BA101" i="1"/>
  <c r="BA102" i="1"/>
  <c r="BA103" i="1"/>
  <c r="BA104" i="1"/>
  <c r="BA105" i="1"/>
  <c r="BA106" i="1"/>
  <c r="BA107" i="1"/>
  <c r="BA108" i="1"/>
  <c r="BA109" i="1"/>
  <c r="BA110" i="1"/>
  <c r="BA111" i="1"/>
  <c r="BA112" i="1"/>
  <c r="BA113" i="1"/>
  <c r="BA114" i="1"/>
  <c r="BA115" i="1"/>
  <c r="BA116" i="1"/>
  <c r="BA117" i="1"/>
  <c r="BA118" i="1"/>
  <c r="BA119" i="1"/>
  <c r="BA120" i="1"/>
  <c r="BA121" i="1"/>
  <c r="BA122" i="1"/>
  <c r="BA123" i="1"/>
  <c r="BA124" i="1"/>
  <c r="BA125" i="1"/>
  <c r="BA126" i="1"/>
  <c r="BA127" i="1"/>
  <c r="BA128" i="1"/>
  <c r="BA129" i="1"/>
  <c r="BA130" i="1"/>
  <c r="BA131" i="1"/>
  <c r="BA132" i="1"/>
  <c r="BA133" i="1"/>
  <c r="BA134" i="1"/>
  <c r="BA135" i="1"/>
  <c r="BA136" i="1"/>
  <c r="BA137" i="1"/>
  <c r="BA138" i="1"/>
  <c r="BA139" i="1"/>
  <c r="BA140" i="1"/>
  <c r="BA141" i="1"/>
  <c r="BA142" i="1"/>
  <c r="BA143" i="1"/>
  <c r="BA144" i="1"/>
  <c r="BA145" i="1"/>
  <c r="BA146" i="1"/>
  <c r="BA147" i="1"/>
  <c r="BA148" i="1"/>
  <c r="BA149"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5" i="1"/>
  <c r="BA206" i="1"/>
  <c r="BA207" i="1"/>
  <c r="BA208" i="1"/>
  <c r="BA209" i="1"/>
  <c r="BA210" i="1"/>
  <c r="BA211" i="1"/>
  <c r="BA212" i="1"/>
  <c r="BA213" i="1"/>
  <c r="BA214" i="1"/>
  <c r="BA215" i="1"/>
  <c r="BA216" i="1"/>
  <c r="BA217" i="1"/>
  <c r="BA218" i="1"/>
  <c r="BA219" i="1"/>
  <c r="BA220" i="1"/>
  <c r="BA221" i="1"/>
  <c r="BA222" i="1"/>
  <c r="BA223" i="1"/>
  <c r="BA224"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Z96" i="1"/>
  <c r="AZ97" i="1"/>
  <c r="AZ98" i="1"/>
  <c r="AZ99" i="1"/>
  <c r="AZ100" i="1"/>
  <c r="AZ101" i="1"/>
  <c r="AZ102" i="1"/>
  <c r="AZ103" i="1"/>
  <c r="AZ104"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L41" i="4" l="1"/>
  <c r="M41" i="4"/>
  <c r="B13" i="13"/>
  <c r="B14" i="13" s="1"/>
  <c r="B59" i="13"/>
  <c r="B60" i="13" s="1"/>
  <c r="O41" i="4" l="1"/>
  <c r="K89" i="13"/>
  <c r="K72" i="13"/>
  <c r="K75" i="13"/>
  <c r="K90" i="13"/>
  <c r="K91" i="13"/>
  <c r="K73" i="13"/>
  <c r="B17" i="24" l="1"/>
  <c r="F63" i="4" l="1"/>
  <c r="E25" i="37" s="1"/>
  <c r="K42" i="4" a="1"/>
  <c r="K42" i="4" s="1"/>
  <c r="B15" i="24"/>
  <c r="B16" i="24"/>
  <c r="F73" i="4"/>
  <c r="C80" i="4" l="1"/>
  <c r="L64" i="4"/>
  <c r="N64" i="4" s="1"/>
  <c r="M64" i="4"/>
  <c r="O64" i="4" s="1"/>
  <c r="L42" i="4"/>
  <c r="M42" i="4"/>
  <c r="K43" i="4" a="1"/>
  <c r="K43" i="4" s="1"/>
  <c r="O42" i="4" l="1"/>
  <c r="L43" i="4"/>
  <c r="M43" i="4"/>
  <c r="K44" i="4" a="1"/>
  <c r="K44" i="4" s="1"/>
  <c r="L44" i="4" l="1"/>
  <c r="M44" i="4"/>
  <c r="O43" i="4"/>
  <c r="K45" i="4" a="1"/>
  <c r="K45" i="4" s="1"/>
  <c r="B71" i="24"/>
  <c r="B56" i="24"/>
  <c r="B14" i="24"/>
  <c r="B12" i="24"/>
  <c r="B11" i="24"/>
  <c r="B10" i="24"/>
  <c r="B37" i="24"/>
  <c r="B38" i="24"/>
  <c r="B39" i="24"/>
  <c r="B40" i="24"/>
  <c r="B41" i="24"/>
  <c r="B42" i="24"/>
  <c r="B45" i="24"/>
  <c r="B33" i="24"/>
  <c r="B36" i="24"/>
  <c r="M45" i="4" l="1"/>
  <c r="L45" i="4"/>
  <c r="O44" i="4"/>
  <c r="K46" i="4" a="1"/>
  <c r="K46" i="4" s="1"/>
  <c r="AM45" i="1"/>
  <c r="AA45" i="1" s="1"/>
  <c r="AQ45" i="1"/>
  <c r="AF45" i="1" s="1"/>
  <c r="AR45" i="1"/>
  <c r="AG45" i="1" s="1"/>
  <c r="AS45" i="1"/>
  <c r="AH45" i="1" s="1"/>
  <c r="AT45" i="1"/>
  <c r="AI45" i="1" s="1"/>
  <c r="AU45" i="1"/>
  <c r="AJ45" i="1" s="1"/>
  <c r="BB45" i="1"/>
  <c r="BM45" i="1"/>
  <c r="AY45" i="1" s="1"/>
  <c r="G45" i="1" s="1"/>
  <c r="AM46" i="1"/>
  <c r="AA46" i="1" s="1"/>
  <c r="AQ46" i="1"/>
  <c r="AF46" i="1" s="1"/>
  <c r="AR46" i="1"/>
  <c r="AG46" i="1" s="1"/>
  <c r="AS46" i="1"/>
  <c r="AH46" i="1" s="1"/>
  <c r="AT46" i="1"/>
  <c r="AI46" i="1" s="1"/>
  <c r="AU46" i="1"/>
  <c r="AJ46" i="1" s="1"/>
  <c r="BB46" i="1"/>
  <c r="BM46" i="1"/>
  <c r="AY46" i="1" s="1"/>
  <c r="G46" i="1" s="1"/>
  <c r="AM47" i="1"/>
  <c r="AA47" i="1" s="1"/>
  <c r="AQ47" i="1"/>
  <c r="AF47" i="1" s="1"/>
  <c r="AR47" i="1"/>
  <c r="AG47" i="1" s="1"/>
  <c r="AS47" i="1"/>
  <c r="AH47" i="1" s="1"/>
  <c r="AT47" i="1"/>
  <c r="AI47" i="1" s="1"/>
  <c r="AU47" i="1"/>
  <c r="AJ47" i="1" s="1"/>
  <c r="BB47" i="1"/>
  <c r="BM47" i="1"/>
  <c r="AY47" i="1" s="1"/>
  <c r="G47" i="1" s="1"/>
  <c r="AM48" i="1"/>
  <c r="AA48" i="1" s="1"/>
  <c r="AQ48" i="1"/>
  <c r="AF48" i="1" s="1"/>
  <c r="AR48" i="1"/>
  <c r="AG48" i="1" s="1"/>
  <c r="AS48" i="1"/>
  <c r="AH48" i="1" s="1"/>
  <c r="AT48" i="1"/>
  <c r="AI48" i="1" s="1"/>
  <c r="AU48" i="1"/>
  <c r="AJ48" i="1" s="1"/>
  <c r="BB48" i="1"/>
  <c r="BM48" i="1"/>
  <c r="AY48" i="1" s="1"/>
  <c r="G48" i="1" s="1"/>
  <c r="AM49" i="1"/>
  <c r="AA49" i="1" s="1"/>
  <c r="AQ49" i="1"/>
  <c r="AF49" i="1" s="1"/>
  <c r="AR49" i="1"/>
  <c r="AG49" i="1" s="1"/>
  <c r="AS49" i="1"/>
  <c r="AH49" i="1" s="1"/>
  <c r="AT49" i="1"/>
  <c r="AI49" i="1" s="1"/>
  <c r="AU49" i="1"/>
  <c r="AJ49" i="1" s="1"/>
  <c r="BB49" i="1"/>
  <c r="BM49" i="1"/>
  <c r="AY49" i="1" s="1"/>
  <c r="G49" i="1" s="1"/>
  <c r="AM50" i="1"/>
  <c r="AA50" i="1" s="1"/>
  <c r="AQ50" i="1"/>
  <c r="AF50" i="1" s="1"/>
  <c r="AR50" i="1"/>
  <c r="AG50" i="1" s="1"/>
  <c r="AS50" i="1"/>
  <c r="AH50" i="1" s="1"/>
  <c r="AT50" i="1"/>
  <c r="AI50" i="1" s="1"/>
  <c r="AU50" i="1"/>
  <c r="AJ50" i="1" s="1"/>
  <c r="BB50" i="1"/>
  <c r="BM50" i="1"/>
  <c r="AY50" i="1" s="1"/>
  <c r="G50" i="1" s="1"/>
  <c r="AM51" i="1"/>
  <c r="AA51" i="1" s="1"/>
  <c r="AQ51" i="1"/>
  <c r="AF51" i="1" s="1"/>
  <c r="AR51" i="1"/>
  <c r="AG51" i="1" s="1"/>
  <c r="AS51" i="1"/>
  <c r="AH51" i="1" s="1"/>
  <c r="AT51" i="1"/>
  <c r="AI51" i="1" s="1"/>
  <c r="AU51" i="1"/>
  <c r="AJ51" i="1" s="1"/>
  <c r="BB51" i="1"/>
  <c r="BM51" i="1"/>
  <c r="AY51" i="1" s="1"/>
  <c r="G51" i="1" s="1"/>
  <c r="AM52" i="1"/>
  <c r="AA52" i="1" s="1"/>
  <c r="AQ52" i="1"/>
  <c r="AF52" i="1" s="1"/>
  <c r="AR52" i="1"/>
  <c r="AG52" i="1" s="1"/>
  <c r="AS52" i="1"/>
  <c r="AH52" i="1" s="1"/>
  <c r="AT52" i="1"/>
  <c r="AI52" i="1" s="1"/>
  <c r="AU52" i="1"/>
  <c r="AJ52" i="1" s="1"/>
  <c r="BB52" i="1"/>
  <c r="BM52" i="1"/>
  <c r="AY52" i="1" s="1"/>
  <c r="G52" i="1" s="1"/>
  <c r="AM53" i="1"/>
  <c r="AA53" i="1" s="1"/>
  <c r="AQ53" i="1"/>
  <c r="AF53" i="1" s="1"/>
  <c r="AR53" i="1"/>
  <c r="AG53" i="1" s="1"/>
  <c r="AS53" i="1"/>
  <c r="AH53" i="1" s="1"/>
  <c r="AT53" i="1"/>
  <c r="AI53" i="1" s="1"/>
  <c r="AU53" i="1"/>
  <c r="AJ53" i="1" s="1"/>
  <c r="BB53" i="1"/>
  <c r="BM53" i="1"/>
  <c r="AY53" i="1" s="1"/>
  <c r="G53" i="1" s="1"/>
  <c r="AM54" i="1"/>
  <c r="AA54" i="1" s="1"/>
  <c r="AQ54" i="1"/>
  <c r="AF54" i="1" s="1"/>
  <c r="AR54" i="1"/>
  <c r="AG54" i="1" s="1"/>
  <c r="AS54" i="1"/>
  <c r="AH54" i="1" s="1"/>
  <c r="AT54" i="1"/>
  <c r="AI54" i="1" s="1"/>
  <c r="AU54" i="1"/>
  <c r="AJ54" i="1" s="1"/>
  <c r="BB54" i="1"/>
  <c r="BM54" i="1"/>
  <c r="AY54" i="1" s="1"/>
  <c r="G54" i="1" s="1"/>
  <c r="AM55" i="1"/>
  <c r="AA55" i="1" s="1"/>
  <c r="AQ55" i="1"/>
  <c r="AF55" i="1" s="1"/>
  <c r="AR55" i="1"/>
  <c r="AG55" i="1" s="1"/>
  <c r="AS55" i="1"/>
  <c r="AH55" i="1" s="1"/>
  <c r="AT55" i="1"/>
  <c r="AI55" i="1" s="1"/>
  <c r="AU55" i="1"/>
  <c r="AJ55" i="1" s="1"/>
  <c r="BB55" i="1"/>
  <c r="BM55" i="1"/>
  <c r="AY55" i="1" s="1"/>
  <c r="G55" i="1" s="1"/>
  <c r="AM56" i="1"/>
  <c r="AA56" i="1" s="1"/>
  <c r="AQ56" i="1"/>
  <c r="AF56" i="1" s="1"/>
  <c r="AR56" i="1"/>
  <c r="AG56" i="1" s="1"/>
  <c r="AS56" i="1"/>
  <c r="AH56" i="1" s="1"/>
  <c r="AT56" i="1"/>
  <c r="AI56" i="1" s="1"/>
  <c r="AU56" i="1"/>
  <c r="AJ56" i="1" s="1"/>
  <c r="BB56" i="1"/>
  <c r="BM56" i="1"/>
  <c r="AY56" i="1" s="1"/>
  <c r="G56" i="1" s="1"/>
  <c r="AM57" i="1"/>
  <c r="AA57" i="1" s="1"/>
  <c r="AQ57" i="1"/>
  <c r="AF57" i="1" s="1"/>
  <c r="AR57" i="1"/>
  <c r="AG57" i="1" s="1"/>
  <c r="AS57" i="1"/>
  <c r="AH57" i="1" s="1"/>
  <c r="AT57" i="1"/>
  <c r="AI57" i="1" s="1"/>
  <c r="AU57" i="1"/>
  <c r="AJ57" i="1" s="1"/>
  <c r="BB57" i="1"/>
  <c r="BM57" i="1"/>
  <c r="AY57" i="1" s="1"/>
  <c r="G57" i="1" s="1"/>
  <c r="AM58" i="1"/>
  <c r="AA58" i="1" s="1"/>
  <c r="AQ58" i="1"/>
  <c r="AF58" i="1" s="1"/>
  <c r="AR58" i="1"/>
  <c r="AG58" i="1" s="1"/>
  <c r="AS58" i="1"/>
  <c r="AH58" i="1" s="1"/>
  <c r="AT58" i="1"/>
  <c r="AI58" i="1" s="1"/>
  <c r="AU58" i="1"/>
  <c r="AJ58" i="1" s="1"/>
  <c r="BB58" i="1"/>
  <c r="BM58" i="1"/>
  <c r="AY58" i="1" s="1"/>
  <c r="G58" i="1" s="1"/>
  <c r="AM59" i="1"/>
  <c r="AA59" i="1" s="1"/>
  <c r="AQ59" i="1"/>
  <c r="AF59" i="1" s="1"/>
  <c r="AR59" i="1"/>
  <c r="AG59" i="1" s="1"/>
  <c r="AS59" i="1"/>
  <c r="AH59" i="1" s="1"/>
  <c r="AT59" i="1"/>
  <c r="AI59" i="1" s="1"/>
  <c r="AU59" i="1"/>
  <c r="AJ59" i="1" s="1"/>
  <c r="BB59" i="1"/>
  <c r="BM59" i="1"/>
  <c r="AY59" i="1" s="1"/>
  <c r="G59" i="1" s="1"/>
  <c r="AM60" i="1"/>
  <c r="AA60" i="1" s="1"/>
  <c r="AQ60" i="1"/>
  <c r="AF60" i="1" s="1"/>
  <c r="AR60" i="1"/>
  <c r="AG60" i="1" s="1"/>
  <c r="AS60" i="1"/>
  <c r="AH60" i="1" s="1"/>
  <c r="AT60" i="1"/>
  <c r="AI60" i="1" s="1"/>
  <c r="AU60" i="1"/>
  <c r="AJ60" i="1" s="1"/>
  <c r="BB60" i="1"/>
  <c r="BM60" i="1"/>
  <c r="AY60" i="1" s="1"/>
  <c r="G60" i="1" s="1"/>
  <c r="AM61" i="1"/>
  <c r="AA61" i="1" s="1"/>
  <c r="AQ61" i="1"/>
  <c r="AF61" i="1" s="1"/>
  <c r="AR61" i="1"/>
  <c r="AG61" i="1" s="1"/>
  <c r="AS61" i="1"/>
  <c r="AH61" i="1" s="1"/>
  <c r="AT61" i="1"/>
  <c r="AI61" i="1" s="1"/>
  <c r="AU61" i="1"/>
  <c r="AJ61" i="1" s="1"/>
  <c r="BB61" i="1"/>
  <c r="BM61" i="1"/>
  <c r="AY61" i="1" s="1"/>
  <c r="G61" i="1" s="1"/>
  <c r="AM62" i="1"/>
  <c r="AA62" i="1" s="1"/>
  <c r="AQ62" i="1"/>
  <c r="AF62" i="1" s="1"/>
  <c r="AR62" i="1"/>
  <c r="AG62" i="1" s="1"/>
  <c r="AS62" i="1"/>
  <c r="AH62" i="1" s="1"/>
  <c r="AT62" i="1"/>
  <c r="AI62" i="1" s="1"/>
  <c r="AU62" i="1"/>
  <c r="AJ62" i="1" s="1"/>
  <c r="BB62" i="1"/>
  <c r="BM62" i="1"/>
  <c r="AY62" i="1" s="1"/>
  <c r="G62" i="1" s="1"/>
  <c r="AM63" i="1"/>
  <c r="AA63" i="1" s="1"/>
  <c r="AQ63" i="1"/>
  <c r="AF63" i="1" s="1"/>
  <c r="AR63" i="1"/>
  <c r="AG63" i="1" s="1"/>
  <c r="AS63" i="1"/>
  <c r="AH63" i="1" s="1"/>
  <c r="AT63" i="1"/>
  <c r="AI63" i="1" s="1"/>
  <c r="AU63" i="1"/>
  <c r="AJ63" i="1" s="1"/>
  <c r="BB63" i="1"/>
  <c r="BM63" i="1"/>
  <c r="AY63" i="1" s="1"/>
  <c r="G63" i="1" s="1"/>
  <c r="AM64" i="1"/>
  <c r="AA64" i="1" s="1"/>
  <c r="AQ64" i="1"/>
  <c r="AF64" i="1" s="1"/>
  <c r="AR64" i="1"/>
  <c r="AG64" i="1" s="1"/>
  <c r="AS64" i="1"/>
  <c r="AH64" i="1" s="1"/>
  <c r="AT64" i="1"/>
  <c r="AI64" i="1" s="1"/>
  <c r="AU64" i="1"/>
  <c r="AJ64" i="1" s="1"/>
  <c r="BB64" i="1"/>
  <c r="BM64" i="1"/>
  <c r="AY64" i="1" s="1"/>
  <c r="G64" i="1" s="1"/>
  <c r="AM65" i="1"/>
  <c r="AA65" i="1" s="1"/>
  <c r="AQ65" i="1"/>
  <c r="AF65" i="1" s="1"/>
  <c r="AR65" i="1"/>
  <c r="AG65" i="1" s="1"/>
  <c r="AS65" i="1"/>
  <c r="AH65" i="1" s="1"/>
  <c r="AT65" i="1"/>
  <c r="AI65" i="1" s="1"/>
  <c r="AU65" i="1"/>
  <c r="AJ65" i="1" s="1"/>
  <c r="BB65" i="1"/>
  <c r="BM65" i="1"/>
  <c r="AY65" i="1" s="1"/>
  <c r="G65" i="1" s="1"/>
  <c r="AM66" i="1"/>
  <c r="AA66" i="1" s="1"/>
  <c r="AQ66" i="1"/>
  <c r="AF66" i="1" s="1"/>
  <c r="AR66" i="1"/>
  <c r="AG66" i="1" s="1"/>
  <c r="AS66" i="1"/>
  <c r="AH66" i="1" s="1"/>
  <c r="AT66" i="1"/>
  <c r="AI66" i="1" s="1"/>
  <c r="AU66" i="1"/>
  <c r="AJ66" i="1" s="1"/>
  <c r="BB66" i="1"/>
  <c r="BM66" i="1"/>
  <c r="AY66" i="1" s="1"/>
  <c r="G66" i="1" s="1"/>
  <c r="AM67" i="1"/>
  <c r="AA67" i="1" s="1"/>
  <c r="AQ67" i="1"/>
  <c r="AF67" i="1" s="1"/>
  <c r="AR67" i="1"/>
  <c r="AG67" i="1" s="1"/>
  <c r="AS67" i="1"/>
  <c r="AH67" i="1" s="1"/>
  <c r="AT67" i="1"/>
  <c r="AI67" i="1" s="1"/>
  <c r="AU67" i="1"/>
  <c r="AJ67" i="1" s="1"/>
  <c r="BB67" i="1"/>
  <c r="BM67" i="1"/>
  <c r="AY67" i="1" s="1"/>
  <c r="G67" i="1" s="1"/>
  <c r="AM68" i="1"/>
  <c r="AA68" i="1" s="1"/>
  <c r="AQ68" i="1"/>
  <c r="AF68" i="1" s="1"/>
  <c r="AR68" i="1"/>
  <c r="AG68" i="1" s="1"/>
  <c r="AS68" i="1"/>
  <c r="AH68" i="1" s="1"/>
  <c r="AT68" i="1"/>
  <c r="AI68" i="1" s="1"/>
  <c r="AU68" i="1"/>
  <c r="AJ68" i="1" s="1"/>
  <c r="BB68" i="1"/>
  <c r="BM68" i="1"/>
  <c r="AY68" i="1" s="1"/>
  <c r="G68" i="1" s="1"/>
  <c r="AM69" i="1"/>
  <c r="AA69" i="1" s="1"/>
  <c r="AQ69" i="1"/>
  <c r="AF69" i="1" s="1"/>
  <c r="AR69" i="1"/>
  <c r="AG69" i="1" s="1"/>
  <c r="AS69" i="1"/>
  <c r="AH69" i="1" s="1"/>
  <c r="AT69" i="1"/>
  <c r="AI69" i="1" s="1"/>
  <c r="AU69" i="1"/>
  <c r="AJ69" i="1" s="1"/>
  <c r="BB69" i="1"/>
  <c r="BM69" i="1"/>
  <c r="AY69" i="1" s="1"/>
  <c r="G69" i="1" s="1"/>
  <c r="AM70" i="1"/>
  <c r="AA70" i="1" s="1"/>
  <c r="AQ70" i="1"/>
  <c r="AF70" i="1" s="1"/>
  <c r="AR70" i="1"/>
  <c r="AG70" i="1" s="1"/>
  <c r="AS70" i="1"/>
  <c r="AH70" i="1" s="1"/>
  <c r="AT70" i="1"/>
  <c r="AI70" i="1" s="1"/>
  <c r="AU70" i="1"/>
  <c r="AJ70" i="1" s="1"/>
  <c r="BB70" i="1"/>
  <c r="BM70" i="1"/>
  <c r="AY70" i="1" s="1"/>
  <c r="G70" i="1" s="1"/>
  <c r="AM71" i="1"/>
  <c r="AA71" i="1" s="1"/>
  <c r="AQ71" i="1"/>
  <c r="AF71" i="1" s="1"/>
  <c r="AR71" i="1"/>
  <c r="AG71" i="1" s="1"/>
  <c r="AS71" i="1"/>
  <c r="AH71" i="1" s="1"/>
  <c r="AT71" i="1"/>
  <c r="AI71" i="1" s="1"/>
  <c r="AU71" i="1"/>
  <c r="AJ71" i="1" s="1"/>
  <c r="BB71" i="1"/>
  <c r="BM71" i="1"/>
  <c r="AY71" i="1" s="1"/>
  <c r="G71" i="1" s="1"/>
  <c r="AM72" i="1"/>
  <c r="AA72" i="1" s="1"/>
  <c r="AQ72" i="1"/>
  <c r="AF72" i="1" s="1"/>
  <c r="AR72" i="1"/>
  <c r="AG72" i="1" s="1"/>
  <c r="AS72" i="1"/>
  <c r="AH72" i="1" s="1"/>
  <c r="AT72" i="1"/>
  <c r="AI72" i="1" s="1"/>
  <c r="AU72" i="1"/>
  <c r="AJ72" i="1" s="1"/>
  <c r="BB72" i="1"/>
  <c r="BM72" i="1"/>
  <c r="AY72" i="1" s="1"/>
  <c r="G72" i="1" s="1"/>
  <c r="AM73" i="1"/>
  <c r="AA73" i="1" s="1"/>
  <c r="AQ73" i="1"/>
  <c r="AF73" i="1" s="1"/>
  <c r="AR73" i="1"/>
  <c r="AG73" i="1" s="1"/>
  <c r="AS73" i="1"/>
  <c r="AH73" i="1" s="1"/>
  <c r="AT73" i="1"/>
  <c r="AI73" i="1" s="1"/>
  <c r="AU73" i="1"/>
  <c r="AJ73" i="1" s="1"/>
  <c r="BB73" i="1"/>
  <c r="BM73" i="1"/>
  <c r="AY73" i="1" s="1"/>
  <c r="G73" i="1" s="1"/>
  <c r="AM74" i="1"/>
  <c r="AA74" i="1" s="1"/>
  <c r="AQ74" i="1"/>
  <c r="AF74" i="1" s="1"/>
  <c r="AR74" i="1"/>
  <c r="AG74" i="1" s="1"/>
  <c r="AS74" i="1"/>
  <c r="AH74" i="1" s="1"/>
  <c r="AT74" i="1"/>
  <c r="AI74" i="1" s="1"/>
  <c r="AU74" i="1"/>
  <c r="AJ74" i="1" s="1"/>
  <c r="BB74" i="1"/>
  <c r="BM74" i="1"/>
  <c r="AY74" i="1" s="1"/>
  <c r="G74" i="1" s="1"/>
  <c r="AM75" i="1"/>
  <c r="AA75" i="1" s="1"/>
  <c r="AQ75" i="1"/>
  <c r="AF75" i="1" s="1"/>
  <c r="AR75" i="1"/>
  <c r="AG75" i="1" s="1"/>
  <c r="AS75" i="1"/>
  <c r="AH75" i="1" s="1"/>
  <c r="AT75" i="1"/>
  <c r="AI75" i="1" s="1"/>
  <c r="AU75" i="1"/>
  <c r="AJ75" i="1" s="1"/>
  <c r="BB75" i="1"/>
  <c r="BM75" i="1"/>
  <c r="AY75" i="1" s="1"/>
  <c r="G75" i="1" s="1"/>
  <c r="AM76" i="1"/>
  <c r="AA76" i="1" s="1"/>
  <c r="AQ76" i="1"/>
  <c r="AF76" i="1" s="1"/>
  <c r="AR76" i="1"/>
  <c r="AG76" i="1" s="1"/>
  <c r="AS76" i="1"/>
  <c r="AH76" i="1" s="1"/>
  <c r="AT76" i="1"/>
  <c r="AI76" i="1" s="1"/>
  <c r="AU76" i="1"/>
  <c r="AJ76" i="1" s="1"/>
  <c r="BB76" i="1"/>
  <c r="BM76" i="1"/>
  <c r="AY76" i="1" s="1"/>
  <c r="G76" i="1" s="1"/>
  <c r="AM77" i="1"/>
  <c r="AA77" i="1" s="1"/>
  <c r="AQ77" i="1"/>
  <c r="AF77" i="1" s="1"/>
  <c r="AR77" i="1"/>
  <c r="AG77" i="1" s="1"/>
  <c r="AS77" i="1"/>
  <c r="AH77" i="1" s="1"/>
  <c r="AT77" i="1"/>
  <c r="AI77" i="1" s="1"/>
  <c r="AU77" i="1"/>
  <c r="AJ77" i="1" s="1"/>
  <c r="BB77" i="1"/>
  <c r="BM77" i="1"/>
  <c r="AY77" i="1" s="1"/>
  <c r="G77" i="1" s="1"/>
  <c r="AM78" i="1"/>
  <c r="AA78" i="1" s="1"/>
  <c r="AQ78" i="1"/>
  <c r="AF78" i="1" s="1"/>
  <c r="AR78" i="1"/>
  <c r="AG78" i="1" s="1"/>
  <c r="AS78" i="1"/>
  <c r="AH78" i="1" s="1"/>
  <c r="AT78" i="1"/>
  <c r="AI78" i="1" s="1"/>
  <c r="AU78" i="1"/>
  <c r="AJ78" i="1" s="1"/>
  <c r="BB78" i="1"/>
  <c r="BM78" i="1"/>
  <c r="AY78" i="1" s="1"/>
  <c r="G78" i="1" s="1"/>
  <c r="AM79" i="1"/>
  <c r="AA79" i="1" s="1"/>
  <c r="AQ79" i="1"/>
  <c r="AF79" i="1" s="1"/>
  <c r="AR79" i="1"/>
  <c r="AG79" i="1" s="1"/>
  <c r="AS79" i="1"/>
  <c r="AH79" i="1" s="1"/>
  <c r="AT79" i="1"/>
  <c r="AI79" i="1" s="1"/>
  <c r="AU79" i="1"/>
  <c r="AJ79" i="1" s="1"/>
  <c r="BB79" i="1"/>
  <c r="BM79" i="1"/>
  <c r="AY79" i="1" s="1"/>
  <c r="G79" i="1" s="1"/>
  <c r="AM80" i="1"/>
  <c r="AA80" i="1" s="1"/>
  <c r="AQ80" i="1"/>
  <c r="AF80" i="1" s="1"/>
  <c r="AR80" i="1"/>
  <c r="AG80" i="1" s="1"/>
  <c r="AS80" i="1"/>
  <c r="AH80" i="1" s="1"/>
  <c r="AT80" i="1"/>
  <c r="AI80" i="1" s="1"/>
  <c r="AU80" i="1"/>
  <c r="AJ80" i="1" s="1"/>
  <c r="BB80" i="1"/>
  <c r="BM80" i="1"/>
  <c r="AY80" i="1" s="1"/>
  <c r="G80" i="1" s="1"/>
  <c r="AM81" i="1"/>
  <c r="AA81" i="1" s="1"/>
  <c r="AQ81" i="1"/>
  <c r="AF81" i="1" s="1"/>
  <c r="AR81" i="1"/>
  <c r="AG81" i="1" s="1"/>
  <c r="AS81" i="1"/>
  <c r="AH81" i="1" s="1"/>
  <c r="AT81" i="1"/>
  <c r="AI81" i="1" s="1"/>
  <c r="AU81" i="1"/>
  <c r="AJ81" i="1" s="1"/>
  <c r="BB81" i="1"/>
  <c r="BM81" i="1"/>
  <c r="AY81" i="1" s="1"/>
  <c r="G81" i="1" s="1"/>
  <c r="AM82" i="1"/>
  <c r="AA82" i="1" s="1"/>
  <c r="AQ82" i="1"/>
  <c r="AF82" i="1" s="1"/>
  <c r="AR82" i="1"/>
  <c r="AG82" i="1" s="1"/>
  <c r="AS82" i="1"/>
  <c r="AH82" i="1" s="1"/>
  <c r="AT82" i="1"/>
  <c r="AI82" i="1" s="1"/>
  <c r="AU82" i="1"/>
  <c r="AJ82" i="1" s="1"/>
  <c r="BB82" i="1"/>
  <c r="BM82" i="1"/>
  <c r="AY82" i="1" s="1"/>
  <c r="G82" i="1" s="1"/>
  <c r="AM83" i="1"/>
  <c r="AA83" i="1" s="1"/>
  <c r="AQ83" i="1"/>
  <c r="AF83" i="1" s="1"/>
  <c r="AR83" i="1"/>
  <c r="AG83" i="1" s="1"/>
  <c r="AS83" i="1"/>
  <c r="AH83" i="1" s="1"/>
  <c r="AT83" i="1"/>
  <c r="AI83" i="1" s="1"/>
  <c r="AU83" i="1"/>
  <c r="AJ83" i="1" s="1"/>
  <c r="BB83" i="1"/>
  <c r="BM83" i="1"/>
  <c r="AY83" i="1" s="1"/>
  <c r="G83" i="1" s="1"/>
  <c r="AM84" i="1"/>
  <c r="AA84" i="1" s="1"/>
  <c r="AQ84" i="1"/>
  <c r="AF84" i="1" s="1"/>
  <c r="AR84" i="1"/>
  <c r="AG84" i="1" s="1"/>
  <c r="AS84" i="1"/>
  <c r="AH84" i="1" s="1"/>
  <c r="AT84" i="1"/>
  <c r="AI84" i="1" s="1"/>
  <c r="AU84" i="1"/>
  <c r="AJ84" i="1" s="1"/>
  <c r="BB84" i="1"/>
  <c r="BM84" i="1"/>
  <c r="AY84" i="1" s="1"/>
  <c r="G84" i="1" s="1"/>
  <c r="AM85" i="1"/>
  <c r="AA85" i="1" s="1"/>
  <c r="AQ85" i="1"/>
  <c r="AF85" i="1" s="1"/>
  <c r="AR85" i="1"/>
  <c r="AG85" i="1" s="1"/>
  <c r="AS85" i="1"/>
  <c r="AH85" i="1" s="1"/>
  <c r="AT85" i="1"/>
  <c r="AI85" i="1" s="1"/>
  <c r="AU85" i="1"/>
  <c r="AJ85" i="1" s="1"/>
  <c r="BB85" i="1"/>
  <c r="BM85" i="1"/>
  <c r="AY85" i="1" s="1"/>
  <c r="G85" i="1" s="1"/>
  <c r="AM86" i="1"/>
  <c r="AA86" i="1" s="1"/>
  <c r="AQ86" i="1"/>
  <c r="AF86" i="1" s="1"/>
  <c r="AR86" i="1"/>
  <c r="AG86" i="1" s="1"/>
  <c r="AS86" i="1"/>
  <c r="AH86" i="1" s="1"/>
  <c r="AT86" i="1"/>
  <c r="AI86" i="1" s="1"/>
  <c r="AU86" i="1"/>
  <c r="AJ86" i="1" s="1"/>
  <c r="BB86" i="1"/>
  <c r="BM86" i="1"/>
  <c r="AY86" i="1" s="1"/>
  <c r="G86" i="1" s="1"/>
  <c r="AM87" i="1"/>
  <c r="AA87" i="1" s="1"/>
  <c r="AQ87" i="1"/>
  <c r="AF87" i="1" s="1"/>
  <c r="AR87" i="1"/>
  <c r="AG87" i="1" s="1"/>
  <c r="AS87" i="1"/>
  <c r="AH87" i="1" s="1"/>
  <c r="AT87" i="1"/>
  <c r="AI87" i="1" s="1"/>
  <c r="AU87" i="1"/>
  <c r="AJ87" i="1" s="1"/>
  <c r="BB87" i="1"/>
  <c r="BM87" i="1"/>
  <c r="AY87" i="1" s="1"/>
  <c r="G87" i="1" s="1"/>
  <c r="AM88" i="1"/>
  <c r="AA88" i="1" s="1"/>
  <c r="AQ88" i="1"/>
  <c r="AF88" i="1" s="1"/>
  <c r="AR88" i="1"/>
  <c r="AG88" i="1" s="1"/>
  <c r="AS88" i="1"/>
  <c r="AH88" i="1" s="1"/>
  <c r="AT88" i="1"/>
  <c r="AI88" i="1" s="1"/>
  <c r="AU88" i="1"/>
  <c r="AJ88" i="1" s="1"/>
  <c r="BB88" i="1"/>
  <c r="BM88" i="1"/>
  <c r="AY88" i="1" s="1"/>
  <c r="G88" i="1" s="1"/>
  <c r="AM89" i="1"/>
  <c r="AA89" i="1" s="1"/>
  <c r="AQ89" i="1"/>
  <c r="AF89" i="1" s="1"/>
  <c r="AR89" i="1"/>
  <c r="AG89" i="1" s="1"/>
  <c r="AS89" i="1"/>
  <c r="AH89" i="1" s="1"/>
  <c r="AT89" i="1"/>
  <c r="AI89" i="1" s="1"/>
  <c r="AU89" i="1"/>
  <c r="AJ89" i="1" s="1"/>
  <c r="BB89" i="1"/>
  <c r="BM89" i="1"/>
  <c r="AY89" i="1" s="1"/>
  <c r="G89" i="1" s="1"/>
  <c r="AM90" i="1"/>
  <c r="AA90" i="1" s="1"/>
  <c r="AQ90" i="1"/>
  <c r="AF90" i="1" s="1"/>
  <c r="AR90" i="1"/>
  <c r="AG90" i="1" s="1"/>
  <c r="AS90" i="1"/>
  <c r="AH90" i="1" s="1"/>
  <c r="AT90" i="1"/>
  <c r="AI90" i="1" s="1"/>
  <c r="AU90" i="1"/>
  <c r="AJ90" i="1" s="1"/>
  <c r="BB90" i="1"/>
  <c r="BM90" i="1"/>
  <c r="AY90" i="1" s="1"/>
  <c r="G90" i="1" s="1"/>
  <c r="AM91" i="1"/>
  <c r="AA91" i="1" s="1"/>
  <c r="AQ91" i="1"/>
  <c r="AF91" i="1" s="1"/>
  <c r="AR91" i="1"/>
  <c r="AG91" i="1" s="1"/>
  <c r="AS91" i="1"/>
  <c r="AH91" i="1" s="1"/>
  <c r="AT91" i="1"/>
  <c r="AI91" i="1" s="1"/>
  <c r="AU91" i="1"/>
  <c r="AJ91" i="1" s="1"/>
  <c r="BB91" i="1"/>
  <c r="BM91" i="1"/>
  <c r="AY91" i="1" s="1"/>
  <c r="G91" i="1" s="1"/>
  <c r="AM92" i="1"/>
  <c r="AA92" i="1" s="1"/>
  <c r="AQ92" i="1"/>
  <c r="AF92" i="1" s="1"/>
  <c r="AR92" i="1"/>
  <c r="AG92" i="1" s="1"/>
  <c r="AS92" i="1"/>
  <c r="AH92" i="1" s="1"/>
  <c r="AT92" i="1"/>
  <c r="AI92" i="1" s="1"/>
  <c r="AU92" i="1"/>
  <c r="AJ92" i="1" s="1"/>
  <c r="BB92" i="1"/>
  <c r="BM92" i="1"/>
  <c r="AY92" i="1" s="1"/>
  <c r="G92" i="1" s="1"/>
  <c r="AM93" i="1"/>
  <c r="AA93" i="1" s="1"/>
  <c r="AQ93" i="1"/>
  <c r="AF93" i="1" s="1"/>
  <c r="AR93" i="1"/>
  <c r="AG93" i="1" s="1"/>
  <c r="AS93" i="1"/>
  <c r="AH93" i="1" s="1"/>
  <c r="AT93" i="1"/>
  <c r="AI93" i="1" s="1"/>
  <c r="AU93" i="1"/>
  <c r="AJ93" i="1" s="1"/>
  <c r="BB93" i="1"/>
  <c r="BM93" i="1"/>
  <c r="AY93" i="1" s="1"/>
  <c r="G93" i="1" s="1"/>
  <c r="AM94" i="1"/>
  <c r="AA94" i="1" s="1"/>
  <c r="AQ94" i="1"/>
  <c r="AF94" i="1" s="1"/>
  <c r="AR94" i="1"/>
  <c r="AG94" i="1" s="1"/>
  <c r="AS94" i="1"/>
  <c r="AH94" i="1" s="1"/>
  <c r="AT94" i="1"/>
  <c r="AI94" i="1" s="1"/>
  <c r="AU94" i="1"/>
  <c r="AJ94" i="1" s="1"/>
  <c r="BB94" i="1"/>
  <c r="BM94" i="1"/>
  <c r="AY94" i="1" s="1"/>
  <c r="G94" i="1" s="1"/>
  <c r="AM95" i="1"/>
  <c r="AA95" i="1" s="1"/>
  <c r="AQ95" i="1"/>
  <c r="AF95" i="1" s="1"/>
  <c r="AR95" i="1"/>
  <c r="AG95" i="1" s="1"/>
  <c r="AS95" i="1"/>
  <c r="AH95" i="1" s="1"/>
  <c r="AT95" i="1"/>
  <c r="AI95" i="1" s="1"/>
  <c r="AU95" i="1"/>
  <c r="AJ95" i="1" s="1"/>
  <c r="BB95" i="1"/>
  <c r="BM95" i="1"/>
  <c r="AY95" i="1" s="1"/>
  <c r="G95" i="1" s="1"/>
  <c r="AM96" i="1"/>
  <c r="AA96" i="1" s="1"/>
  <c r="AQ96" i="1"/>
  <c r="AF96" i="1" s="1"/>
  <c r="AR96" i="1"/>
  <c r="AG96" i="1" s="1"/>
  <c r="AS96" i="1"/>
  <c r="AH96" i="1" s="1"/>
  <c r="AT96" i="1"/>
  <c r="AI96" i="1" s="1"/>
  <c r="AU96" i="1"/>
  <c r="AJ96" i="1" s="1"/>
  <c r="BB96" i="1"/>
  <c r="BM96" i="1"/>
  <c r="AY96" i="1" s="1"/>
  <c r="G96" i="1" s="1"/>
  <c r="AM97" i="1"/>
  <c r="AA97" i="1" s="1"/>
  <c r="AQ97" i="1"/>
  <c r="AF97" i="1" s="1"/>
  <c r="AR97" i="1"/>
  <c r="AG97" i="1" s="1"/>
  <c r="AS97" i="1"/>
  <c r="AH97" i="1" s="1"/>
  <c r="AT97" i="1"/>
  <c r="AI97" i="1" s="1"/>
  <c r="AU97" i="1"/>
  <c r="AJ97" i="1" s="1"/>
  <c r="BB97" i="1"/>
  <c r="BM97" i="1"/>
  <c r="AY97" i="1" s="1"/>
  <c r="G97" i="1" s="1"/>
  <c r="AM98" i="1"/>
  <c r="AA98" i="1" s="1"/>
  <c r="AQ98" i="1"/>
  <c r="AF98" i="1" s="1"/>
  <c r="AR98" i="1"/>
  <c r="AG98" i="1" s="1"/>
  <c r="AS98" i="1"/>
  <c r="AH98" i="1" s="1"/>
  <c r="AT98" i="1"/>
  <c r="AI98" i="1" s="1"/>
  <c r="AU98" i="1"/>
  <c r="AJ98" i="1" s="1"/>
  <c r="BB98" i="1"/>
  <c r="BM98" i="1"/>
  <c r="AY98" i="1" s="1"/>
  <c r="G98" i="1" s="1"/>
  <c r="AM99" i="1"/>
  <c r="AA99" i="1" s="1"/>
  <c r="AQ99" i="1"/>
  <c r="AF99" i="1" s="1"/>
  <c r="AR99" i="1"/>
  <c r="AG99" i="1" s="1"/>
  <c r="AS99" i="1"/>
  <c r="AH99" i="1" s="1"/>
  <c r="AT99" i="1"/>
  <c r="AI99" i="1" s="1"/>
  <c r="AU99" i="1"/>
  <c r="AJ99" i="1" s="1"/>
  <c r="BB99" i="1"/>
  <c r="BM99" i="1"/>
  <c r="AY99" i="1" s="1"/>
  <c r="G99" i="1" s="1"/>
  <c r="AM100" i="1"/>
  <c r="AA100" i="1" s="1"/>
  <c r="AQ100" i="1"/>
  <c r="AF100" i="1" s="1"/>
  <c r="AR100" i="1"/>
  <c r="AG100" i="1" s="1"/>
  <c r="AS100" i="1"/>
  <c r="AH100" i="1" s="1"/>
  <c r="AT100" i="1"/>
  <c r="AI100" i="1" s="1"/>
  <c r="AU100" i="1"/>
  <c r="AJ100" i="1" s="1"/>
  <c r="BB100" i="1"/>
  <c r="BM100" i="1"/>
  <c r="AY100" i="1" s="1"/>
  <c r="G100" i="1" s="1"/>
  <c r="AM101" i="1"/>
  <c r="AA101" i="1" s="1"/>
  <c r="AQ101" i="1"/>
  <c r="AF101" i="1" s="1"/>
  <c r="AR101" i="1"/>
  <c r="AG101" i="1" s="1"/>
  <c r="AS101" i="1"/>
  <c r="AH101" i="1" s="1"/>
  <c r="AT101" i="1"/>
  <c r="AI101" i="1" s="1"/>
  <c r="AU101" i="1"/>
  <c r="AJ101" i="1" s="1"/>
  <c r="BB101" i="1"/>
  <c r="BM101" i="1"/>
  <c r="AY101" i="1" s="1"/>
  <c r="G101" i="1" s="1"/>
  <c r="AM102" i="1"/>
  <c r="AA102" i="1" s="1"/>
  <c r="AQ102" i="1"/>
  <c r="AF102" i="1" s="1"/>
  <c r="AR102" i="1"/>
  <c r="AG102" i="1" s="1"/>
  <c r="AS102" i="1"/>
  <c r="AH102" i="1" s="1"/>
  <c r="AT102" i="1"/>
  <c r="AI102" i="1" s="1"/>
  <c r="AU102" i="1"/>
  <c r="AJ102" i="1" s="1"/>
  <c r="BB102" i="1"/>
  <c r="BM102" i="1"/>
  <c r="AY102" i="1" s="1"/>
  <c r="G102" i="1" s="1"/>
  <c r="AM103" i="1"/>
  <c r="AA103" i="1" s="1"/>
  <c r="AQ103" i="1"/>
  <c r="AF103" i="1" s="1"/>
  <c r="AR103" i="1"/>
  <c r="AG103" i="1" s="1"/>
  <c r="AS103" i="1"/>
  <c r="AH103" i="1" s="1"/>
  <c r="AT103" i="1"/>
  <c r="AI103" i="1" s="1"/>
  <c r="AU103" i="1"/>
  <c r="AJ103" i="1" s="1"/>
  <c r="BB103" i="1"/>
  <c r="BM103" i="1"/>
  <c r="AY103" i="1" s="1"/>
  <c r="G103" i="1" s="1"/>
  <c r="AM104" i="1"/>
  <c r="AA104" i="1" s="1"/>
  <c r="AQ104" i="1"/>
  <c r="AF104" i="1" s="1"/>
  <c r="AR104" i="1"/>
  <c r="AG104" i="1" s="1"/>
  <c r="AS104" i="1"/>
  <c r="AH104" i="1" s="1"/>
  <c r="AT104" i="1"/>
  <c r="AI104" i="1" s="1"/>
  <c r="AU104" i="1"/>
  <c r="AJ104" i="1" s="1"/>
  <c r="BB104" i="1"/>
  <c r="BM104" i="1"/>
  <c r="AY104" i="1" s="1"/>
  <c r="G104" i="1" s="1"/>
  <c r="AM105" i="1"/>
  <c r="AA105" i="1" s="1"/>
  <c r="AQ105" i="1"/>
  <c r="AF105" i="1" s="1"/>
  <c r="AR105" i="1"/>
  <c r="AG105" i="1" s="1"/>
  <c r="AS105" i="1"/>
  <c r="AH105" i="1" s="1"/>
  <c r="AT105" i="1"/>
  <c r="AI105" i="1" s="1"/>
  <c r="AU105" i="1"/>
  <c r="AJ105" i="1" s="1"/>
  <c r="BB105" i="1"/>
  <c r="BM105" i="1"/>
  <c r="AY105" i="1" s="1"/>
  <c r="G105" i="1" s="1"/>
  <c r="AM106" i="1"/>
  <c r="AA106" i="1" s="1"/>
  <c r="AQ106" i="1"/>
  <c r="AF106" i="1" s="1"/>
  <c r="AR106" i="1"/>
  <c r="AG106" i="1" s="1"/>
  <c r="AS106" i="1"/>
  <c r="AH106" i="1" s="1"/>
  <c r="AT106" i="1"/>
  <c r="AI106" i="1" s="1"/>
  <c r="AU106" i="1"/>
  <c r="AJ106" i="1" s="1"/>
  <c r="BB106" i="1"/>
  <c r="BM106" i="1"/>
  <c r="AY106" i="1" s="1"/>
  <c r="G106" i="1" s="1"/>
  <c r="AM107" i="1"/>
  <c r="AA107" i="1" s="1"/>
  <c r="AQ107" i="1"/>
  <c r="AF107" i="1" s="1"/>
  <c r="AR107" i="1"/>
  <c r="AG107" i="1" s="1"/>
  <c r="AS107" i="1"/>
  <c r="AH107" i="1" s="1"/>
  <c r="AT107" i="1"/>
  <c r="AI107" i="1" s="1"/>
  <c r="AU107" i="1"/>
  <c r="AJ107" i="1" s="1"/>
  <c r="BB107" i="1"/>
  <c r="BM107" i="1"/>
  <c r="AY107" i="1" s="1"/>
  <c r="G107" i="1" s="1"/>
  <c r="AM108" i="1"/>
  <c r="AA108" i="1" s="1"/>
  <c r="AQ108" i="1"/>
  <c r="AF108" i="1" s="1"/>
  <c r="AR108" i="1"/>
  <c r="AG108" i="1" s="1"/>
  <c r="AS108" i="1"/>
  <c r="AH108" i="1" s="1"/>
  <c r="AT108" i="1"/>
  <c r="AI108" i="1" s="1"/>
  <c r="AU108" i="1"/>
  <c r="AJ108" i="1" s="1"/>
  <c r="BB108" i="1"/>
  <c r="BM108" i="1"/>
  <c r="AY108" i="1" s="1"/>
  <c r="G108" i="1" s="1"/>
  <c r="AM109" i="1"/>
  <c r="AA109" i="1" s="1"/>
  <c r="AQ109" i="1"/>
  <c r="AF109" i="1" s="1"/>
  <c r="AR109" i="1"/>
  <c r="AG109" i="1" s="1"/>
  <c r="AS109" i="1"/>
  <c r="AH109" i="1" s="1"/>
  <c r="AT109" i="1"/>
  <c r="AI109" i="1" s="1"/>
  <c r="AU109" i="1"/>
  <c r="AJ109" i="1" s="1"/>
  <c r="BB109" i="1"/>
  <c r="BM109" i="1"/>
  <c r="AY109" i="1" s="1"/>
  <c r="G109" i="1" s="1"/>
  <c r="AM110" i="1"/>
  <c r="AA110" i="1" s="1"/>
  <c r="AQ110" i="1"/>
  <c r="AF110" i="1" s="1"/>
  <c r="AR110" i="1"/>
  <c r="AG110" i="1" s="1"/>
  <c r="AS110" i="1"/>
  <c r="AH110" i="1" s="1"/>
  <c r="AT110" i="1"/>
  <c r="AI110" i="1" s="1"/>
  <c r="AU110" i="1"/>
  <c r="AJ110" i="1" s="1"/>
  <c r="BB110" i="1"/>
  <c r="BM110" i="1"/>
  <c r="AY110" i="1" s="1"/>
  <c r="G110" i="1" s="1"/>
  <c r="AM111" i="1"/>
  <c r="AA111" i="1" s="1"/>
  <c r="AQ111" i="1"/>
  <c r="AF111" i="1" s="1"/>
  <c r="AR111" i="1"/>
  <c r="AG111" i="1" s="1"/>
  <c r="AS111" i="1"/>
  <c r="AH111" i="1" s="1"/>
  <c r="AT111" i="1"/>
  <c r="AI111" i="1" s="1"/>
  <c r="AU111" i="1"/>
  <c r="AJ111" i="1" s="1"/>
  <c r="BB111" i="1"/>
  <c r="BM111" i="1"/>
  <c r="AY111" i="1" s="1"/>
  <c r="G111" i="1" s="1"/>
  <c r="AM112" i="1"/>
  <c r="AA112" i="1" s="1"/>
  <c r="AQ112" i="1"/>
  <c r="AF112" i="1" s="1"/>
  <c r="AR112" i="1"/>
  <c r="AG112" i="1" s="1"/>
  <c r="AS112" i="1"/>
  <c r="AH112" i="1" s="1"/>
  <c r="AT112" i="1"/>
  <c r="AI112" i="1" s="1"/>
  <c r="AU112" i="1"/>
  <c r="AJ112" i="1" s="1"/>
  <c r="BB112" i="1"/>
  <c r="BM112" i="1"/>
  <c r="AY112" i="1" s="1"/>
  <c r="G112" i="1" s="1"/>
  <c r="AM113" i="1"/>
  <c r="AA113" i="1" s="1"/>
  <c r="AQ113" i="1"/>
  <c r="AF113" i="1" s="1"/>
  <c r="AR113" i="1"/>
  <c r="AG113" i="1" s="1"/>
  <c r="AS113" i="1"/>
  <c r="AH113" i="1" s="1"/>
  <c r="AT113" i="1"/>
  <c r="AI113" i="1" s="1"/>
  <c r="AU113" i="1"/>
  <c r="AJ113" i="1" s="1"/>
  <c r="BB113" i="1"/>
  <c r="BM113" i="1"/>
  <c r="AY113" i="1" s="1"/>
  <c r="G113" i="1" s="1"/>
  <c r="AM114" i="1"/>
  <c r="AA114" i="1" s="1"/>
  <c r="AQ114" i="1"/>
  <c r="AF114" i="1" s="1"/>
  <c r="AR114" i="1"/>
  <c r="AG114" i="1" s="1"/>
  <c r="AS114" i="1"/>
  <c r="AH114" i="1" s="1"/>
  <c r="AT114" i="1"/>
  <c r="AI114" i="1" s="1"/>
  <c r="AU114" i="1"/>
  <c r="AJ114" i="1" s="1"/>
  <c r="BB114" i="1"/>
  <c r="BM114" i="1"/>
  <c r="AY114" i="1" s="1"/>
  <c r="G114" i="1" s="1"/>
  <c r="AM115" i="1"/>
  <c r="AA115" i="1" s="1"/>
  <c r="AQ115" i="1"/>
  <c r="AF115" i="1" s="1"/>
  <c r="AR115" i="1"/>
  <c r="AG115" i="1" s="1"/>
  <c r="AS115" i="1"/>
  <c r="AH115" i="1" s="1"/>
  <c r="AT115" i="1"/>
  <c r="AI115" i="1" s="1"/>
  <c r="AU115" i="1"/>
  <c r="AJ115" i="1" s="1"/>
  <c r="BB115" i="1"/>
  <c r="BM115" i="1"/>
  <c r="AY115" i="1" s="1"/>
  <c r="G115" i="1" s="1"/>
  <c r="AM116" i="1"/>
  <c r="AA116" i="1" s="1"/>
  <c r="AQ116" i="1"/>
  <c r="AF116" i="1" s="1"/>
  <c r="AR116" i="1"/>
  <c r="AG116" i="1" s="1"/>
  <c r="AS116" i="1"/>
  <c r="AH116" i="1" s="1"/>
  <c r="AT116" i="1"/>
  <c r="AI116" i="1" s="1"/>
  <c r="AU116" i="1"/>
  <c r="AJ116" i="1" s="1"/>
  <c r="BB116" i="1"/>
  <c r="BM116" i="1"/>
  <c r="AY116" i="1" s="1"/>
  <c r="G116" i="1" s="1"/>
  <c r="AM117" i="1"/>
  <c r="AA117" i="1" s="1"/>
  <c r="AQ117" i="1"/>
  <c r="AF117" i="1" s="1"/>
  <c r="AR117" i="1"/>
  <c r="AG117" i="1" s="1"/>
  <c r="AS117" i="1"/>
  <c r="AH117" i="1" s="1"/>
  <c r="AT117" i="1"/>
  <c r="AI117" i="1" s="1"/>
  <c r="AU117" i="1"/>
  <c r="AJ117" i="1" s="1"/>
  <c r="BB117" i="1"/>
  <c r="BM117" i="1"/>
  <c r="AY117" i="1" s="1"/>
  <c r="G117" i="1" s="1"/>
  <c r="AM118" i="1"/>
  <c r="AA118" i="1" s="1"/>
  <c r="AQ118" i="1"/>
  <c r="AF118" i="1" s="1"/>
  <c r="AR118" i="1"/>
  <c r="AG118" i="1" s="1"/>
  <c r="AS118" i="1"/>
  <c r="AH118" i="1" s="1"/>
  <c r="AT118" i="1"/>
  <c r="AI118" i="1" s="1"/>
  <c r="AU118" i="1"/>
  <c r="AJ118" i="1" s="1"/>
  <c r="BB118" i="1"/>
  <c r="BM118" i="1"/>
  <c r="AY118" i="1" s="1"/>
  <c r="G118" i="1" s="1"/>
  <c r="AM119" i="1"/>
  <c r="AA119" i="1" s="1"/>
  <c r="AQ119" i="1"/>
  <c r="AF119" i="1" s="1"/>
  <c r="AR119" i="1"/>
  <c r="AG119" i="1" s="1"/>
  <c r="AS119" i="1"/>
  <c r="AH119" i="1" s="1"/>
  <c r="AT119" i="1"/>
  <c r="AI119" i="1" s="1"/>
  <c r="AU119" i="1"/>
  <c r="AJ119" i="1" s="1"/>
  <c r="BB119" i="1"/>
  <c r="BM119" i="1"/>
  <c r="AY119" i="1" s="1"/>
  <c r="G119" i="1" s="1"/>
  <c r="AM120" i="1"/>
  <c r="AA120" i="1" s="1"/>
  <c r="AQ120" i="1"/>
  <c r="AF120" i="1" s="1"/>
  <c r="AR120" i="1"/>
  <c r="AG120" i="1" s="1"/>
  <c r="AS120" i="1"/>
  <c r="AH120" i="1" s="1"/>
  <c r="AT120" i="1"/>
  <c r="AI120" i="1" s="1"/>
  <c r="AU120" i="1"/>
  <c r="AJ120" i="1" s="1"/>
  <c r="BB120" i="1"/>
  <c r="BM120" i="1"/>
  <c r="AY120" i="1" s="1"/>
  <c r="G120" i="1" s="1"/>
  <c r="AM121" i="1"/>
  <c r="AA121" i="1" s="1"/>
  <c r="AQ121" i="1"/>
  <c r="AF121" i="1" s="1"/>
  <c r="AR121" i="1"/>
  <c r="AG121" i="1" s="1"/>
  <c r="AS121" i="1"/>
  <c r="AH121" i="1" s="1"/>
  <c r="AT121" i="1"/>
  <c r="AI121" i="1" s="1"/>
  <c r="AU121" i="1"/>
  <c r="AJ121" i="1" s="1"/>
  <c r="BB121" i="1"/>
  <c r="BM121" i="1"/>
  <c r="AY121" i="1" s="1"/>
  <c r="G121" i="1" s="1"/>
  <c r="AM122" i="1"/>
  <c r="AA122" i="1" s="1"/>
  <c r="AQ122" i="1"/>
  <c r="AF122" i="1" s="1"/>
  <c r="AR122" i="1"/>
  <c r="AG122" i="1" s="1"/>
  <c r="AS122" i="1"/>
  <c r="AH122" i="1" s="1"/>
  <c r="AT122" i="1"/>
  <c r="AI122" i="1" s="1"/>
  <c r="AU122" i="1"/>
  <c r="AJ122" i="1" s="1"/>
  <c r="BB122" i="1"/>
  <c r="BM122" i="1"/>
  <c r="AY122" i="1" s="1"/>
  <c r="G122" i="1" s="1"/>
  <c r="AM123" i="1"/>
  <c r="AA123" i="1" s="1"/>
  <c r="AQ123" i="1"/>
  <c r="AF123" i="1" s="1"/>
  <c r="AR123" i="1"/>
  <c r="AG123" i="1" s="1"/>
  <c r="AS123" i="1"/>
  <c r="AH123" i="1" s="1"/>
  <c r="AT123" i="1"/>
  <c r="AI123" i="1" s="1"/>
  <c r="AU123" i="1"/>
  <c r="AJ123" i="1" s="1"/>
  <c r="BB123" i="1"/>
  <c r="BM123" i="1"/>
  <c r="AY123" i="1" s="1"/>
  <c r="G123" i="1" s="1"/>
  <c r="AM124" i="1"/>
  <c r="AA124" i="1" s="1"/>
  <c r="AQ124" i="1"/>
  <c r="AF124" i="1" s="1"/>
  <c r="AR124" i="1"/>
  <c r="AG124" i="1" s="1"/>
  <c r="AS124" i="1"/>
  <c r="AH124" i="1" s="1"/>
  <c r="AT124" i="1"/>
  <c r="AI124" i="1" s="1"/>
  <c r="AU124" i="1"/>
  <c r="AJ124" i="1" s="1"/>
  <c r="BB124" i="1"/>
  <c r="BM124" i="1"/>
  <c r="AY124" i="1" s="1"/>
  <c r="G124" i="1" s="1"/>
  <c r="AM125" i="1"/>
  <c r="AA125" i="1" s="1"/>
  <c r="AQ125" i="1"/>
  <c r="AF125" i="1" s="1"/>
  <c r="AR125" i="1"/>
  <c r="AG125" i="1" s="1"/>
  <c r="AS125" i="1"/>
  <c r="AH125" i="1" s="1"/>
  <c r="AT125" i="1"/>
  <c r="AI125" i="1" s="1"/>
  <c r="AU125" i="1"/>
  <c r="AJ125" i="1" s="1"/>
  <c r="BB125" i="1"/>
  <c r="BM125" i="1"/>
  <c r="AY125" i="1" s="1"/>
  <c r="G125" i="1" s="1"/>
  <c r="AM126" i="1"/>
  <c r="AA126" i="1" s="1"/>
  <c r="AQ126" i="1"/>
  <c r="AF126" i="1" s="1"/>
  <c r="AR126" i="1"/>
  <c r="AG126" i="1" s="1"/>
  <c r="AS126" i="1"/>
  <c r="AH126" i="1" s="1"/>
  <c r="AT126" i="1"/>
  <c r="AI126" i="1" s="1"/>
  <c r="AU126" i="1"/>
  <c r="AJ126" i="1" s="1"/>
  <c r="BB126" i="1"/>
  <c r="BM126" i="1"/>
  <c r="AY126" i="1" s="1"/>
  <c r="G126" i="1" s="1"/>
  <c r="AM127" i="1"/>
  <c r="AA127" i="1" s="1"/>
  <c r="AQ127" i="1"/>
  <c r="AF127" i="1" s="1"/>
  <c r="AR127" i="1"/>
  <c r="AG127" i="1" s="1"/>
  <c r="AS127" i="1"/>
  <c r="AH127" i="1" s="1"/>
  <c r="AT127" i="1"/>
  <c r="AI127" i="1" s="1"/>
  <c r="AU127" i="1"/>
  <c r="AJ127" i="1" s="1"/>
  <c r="BB127" i="1"/>
  <c r="BM127" i="1"/>
  <c r="AY127" i="1" s="1"/>
  <c r="G127" i="1" s="1"/>
  <c r="AM128" i="1"/>
  <c r="AA128" i="1" s="1"/>
  <c r="AQ128" i="1"/>
  <c r="AF128" i="1" s="1"/>
  <c r="AR128" i="1"/>
  <c r="AG128" i="1" s="1"/>
  <c r="AS128" i="1"/>
  <c r="AH128" i="1" s="1"/>
  <c r="AT128" i="1"/>
  <c r="AI128" i="1" s="1"/>
  <c r="AU128" i="1"/>
  <c r="AJ128" i="1" s="1"/>
  <c r="BB128" i="1"/>
  <c r="BM128" i="1"/>
  <c r="AY128" i="1" s="1"/>
  <c r="G128" i="1" s="1"/>
  <c r="AM129" i="1"/>
  <c r="AA129" i="1" s="1"/>
  <c r="AQ129" i="1"/>
  <c r="AF129" i="1" s="1"/>
  <c r="AR129" i="1"/>
  <c r="AG129" i="1" s="1"/>
  <c r="AS129" i="1"/>
  <c r="AH129" i="1" s="1"/>
  <c r="AT129" i="1"/>
  <c r="AI129" i="1" s="1"/>
  <c r="AU129" i="1"/>
  <c r="AJ129" i="1" s="1"/>
  <c r="BB129" i="1"/>
  <c r="BM129" i="1"/>
  <c r="AY129" i="1" s="1"/>
  <c r="G129" i="1" s="1"/>
  <c r="AM130" i="1"/>
  <c r="AA130" i="1" s="1"/>
  <c r="AQ130" i="1"/>
  <c r="AF130" i="1" s="1"/>
  <c r="AR130" i="1"/>
  <c r="AG130" i="1" s="1"/>
  <c r="AS130" i="1"/>
  <c r="AH130" i="1" s="1"/>
  <c r="AT130" i="1"/>
  <c r="AI130" i="1" s="1"/>
  <c r="AU130" i="1"/>
  <c r="AJ130" i="1" s="1"/>
  <c r="BB130" i="1"/>
  <c r="BM130" i="1"/>
  <c r="AY130" i="1" s="1"/>
  <c r="G130" i="1" s="1"/>
  <c r="AM131" i="1"/>
  <c r="AA131" i="1" s="1"/>
  <c r="AQ131" i="1"/>
  <c r="AF131" i="1" s="1"/>
  <c r="AR131" i="1"/>
  <c r="AG131" i="1" s="1"/>
  <c r="AS131" i="1"/>
  <c r="AH131" i="1" s="1"/>
  <c r="AT131" i="1"/>
  <c r="AI131" i="1" s="1"/>
  <c r="AU131" i="1"/>
  <c r="AJ131" i="1" s="1"/>
  <c r="BB131" i="1"/>
  <c r="BM131" i="1"/>
  <c r="AY131" i="1" s="1"/>
  <c r="G131" i="1" s="1"/>
  <c r="AM132" i="1"/>
  <c r="AA132" i="1" s="1"/>
  <c r="AQ132" i="1"/>
  <c r="AF132" i="1" s="1"/>
  <c r="AR132" i="1"/>
  <c r="AG132" i="1" s="1"/>
  <c r="AS132" i="1"/>
  <c r="AH132" i="1" s="1"/>
  <c r="AT132" i="1"/>
  <c r="AI132" i="1" s="1"/>
  <c r="AU132" i="1"/>
  <c r="AJ132" i="1" s="1"/>
  <c r="BB132" i="1"/>
  <c r="BM132" i="1"/>
  <c r="AY132" i="1" s="1"/>
  <c r="G132" i="1" s="1"/>
  <c r="AM133" i="1"/>
  <c r="AA133" i="1" s="1"/>
  <c r="AQ133" i="1"/>
  <c r="AF133" i="1" s="1"/>
  <c r="AR133" i="1"/>
  <c r="AG133" i="1" s="1"/>
  <c r="AS133" i="1"/>
  <c r="AH133" i="1" s="1"/>
  <c r="AT133" i="1"/>
  <c r="AI133" i="1" s="1"/>
  <c r="AU133" i="1"/>
  <c r="AJ133" i="1" s="1"/>
  <c r="BB133" i="1"/>
  <c r="BM133" i="1"/>
  <c r="AY133" i="1" s="1"/>
  <c r="G133" i="1" s="1"/>
  <c r="AM134" i="1"/>
  <c r="AA134" i="1" s="1"/>
  <c r="AQ134" i="1"/>
  <c r="AF134" i="1" s="1"/>
  <c r="AR134" i="1"/>
  <c r="AG134" i="1" s="1"/>
  <c r="AS134" i="1"/>
  <c r="AH134" i="1" s="1"/>
  <c r="AT134" i="1"/>
  <c r="AI134" i="1" s="1"/>
  <c r="AU134" i="1"/>
  <c r="AJ134" i="1" s="1"/>
  <c r="BB134" i="1"/>
  <c r="BM134" i="1"/>
  <c r="AY134" i="1" s="1"/>
  <c r="G134" i="1" s="1"/>
  <c r="AM135" i="1"/>
  <c r="AA135" i="1" s="1"/>
  <c r="AQ135" i="1"/>
  <c r="AF135" i="1" s="1"/>
  <c r="AR135" i="1"/>
  <c r="AG135" i="1" s="1"/>
  <c r="AS135" i="1"/>
  <c r="AH135" i="1" s="1"/>
  <c r="AT135" i="1"/>
  <c r="AI135" i="1" s="1"/>
  <c r="AU135" i="1"/>
  <c r="AJ135" i="1" s="1"/>
  <c r="BB135" i="1"/>
  <c r="BM135" i="1"/>
  <c r="AY135" i="1" s="1"/>
  <c r="G135" i="1" s="1"/>
  <c r="AM136" i="1"/>
  <c r="AA136" i="1" s="1"/>
  <c r="AQ136" i="1"/>
  <c r="AF136" i="1" s="1"/>
  <c r="AR136" i="1"/>
  <c r="AG136" i="1" s="1"/>
  <c r="AS136" i="1"/>
  <c r="AH136" i="1" s="1"/>
  <c r="AT136" i="1"/>
  <c r="AI136" i="1" s="1"/>
  <c r="AU136" i="1"/>
  <c r="AJ136" i="1" s="1"/>
  <c r="BB136" i="1"/>
  <c r="BM136" i="1"/>
  <c r="AY136" i="1" s="1"/>
  <c r="G136" i="1" s="1"/>
  <c r="AM137" i="1"/>
  <c r="AA137" i="1" s="1"/>
  <c r="AQ137" i="1"/>
  <c r="AF137" i="1" s="1"/>
  <c r="AR137" i="1"/>
  <c r="AG137" i="1" s="1"/>
  <c r="AS137" i="1"/>
  <c r="AH137" i="1" s="1"/>
  <c r="AT137" i="1"/>
  <c r="AI137" i="1" s="1"/>
  <c r="AU137" i="1"/>
  <c r="AJ137" i="1" s="1"/>
  <c r="BB137" i="1"/>
  <c r="BM137" i="1"/>
  <c r="AY137" i="1" s="1"/>
  <c r="G137" i="1" s="1"/>
  <c r="AM138" i="1"/>
  <c r="AA138" i="1" s="1"/>
  <c r="AQ138" i="1"/>
  <c r="AF138" i="1" s="1"/>
  <c r="AR138" i="1"/>
  <c r="AG138" i="1" s="1"/>
  <c r="AS138" i="1"/>
  <c r="AH138" i="1" s="1"/>
  <c r="AT138" i="1"/>
  <c r="AI138" i="1" s="1"/>
  <c r="AU138" i="1"/>
  <c r="AJ138" i="1" s="1"/>
  <c r="BB138" i="1"/>
  <c r="BM138" i="1"/>
  <c r="AY138" i="1" s="1"/>
  <c r="G138" i="1" s="1"/>
  <c r="AM139" i="1"/>
  <c r="AA139" i="1" s="1"/>
  <c r="AQ139" i="1"/>
  <c r="AF139" i="1" s="1"/>
  <c r="AR139" i="1"/>
  <c r="AG139" i="1" s="1"/>
  <c r="AS139" i="1"/>
  <c r="AH139" i="1" s="1"/>
  <c r="AT139" i="1"/>
  <c r="AI139" i="1" s="1"/>
  <c r="AU139" i="1"/>
  <c r="AJ139" i="1" s="1"/>
  <c r="BB139" i="1"/>
  <c r="BM139" i="1"/>
  <c r="AY139" i="1" s="1"/>
  <c r="G139" i="1" s="1"/>
  <c r="AM140" i="1"/>
  <c r="AA140" i="1" s="1"/>
  <c r="AQ140" i="1"/>
  <c r="AF140" i="1" s="1"/>
  <c r="AR140" i="1"/>
  <c r="AG140" i="1" s="1"/>
  <c r="AS140" i="1"/>
  <c r="AH140" i="1" s="1"/>
  <c r="AT140" i="1"/>
  <c r="AI140" i="1" s="1"/>
  <c r="AU140" i="1"/>
  <c r="AJ140" i="1" s="1"/>
  <c r="BB140" i="1"/>
  <c r="BM140" i="1"/>
  <c r="AY140" i="1" s="1"/>
  <c r="G140" i="1" s="1"/>
  <c r="AM141" i="1"/>
  <c r="AA141" i="1" s="1"/>
  <c r="AQ141" i="1"/>
  <c r="AF141" i="1" s="1"/>
  <c r="AR141" i="1"/>
  <c r="AG141" i="1" s="1"/>
  <c r="AS141" i="1"/>
  <c r="AH141" i="1" s="1"/>
  <c r="AT141" i="1"/>
  <c r="AI141" i="1" s="1"/>
  <c r="AU141" i="1"/>
  <c r="AJ141" i="1" s="1"/>
  <c r="BB141" i="1"/>
  <c r="BM141" i="1"/>
  <c r="AY141" i="1" s="1"/>
  <c r="G141" i="1" s="1"/>
  <c r="AM142" i="1"/>
  <c r="AA142" i="1" s="1"/>
  <c r="AQ142" i="1"/>
  <c r="AF142" i="1" s="1"/>
  <c r="AR142" i="1"/>
  <c r="AG142" i="1" s="1"/>
  <c r="AS142" i="1"/>
  <c r="AH142" i="1" s="1"/>
  <c r="AT142" i="1"/>
  <c r="AI142" i="1" s="1"/>
  <c r="AU142" i="1"/>
  <c r="AJ142" i="1" s="1"/>
  <c r="BB142" i="1"/>
  <c r="BM142" i="1"/>
  <c r="AY142" i="1" s="1"/>
  <c r="G142" i="1" s="1"/>
  <c r="AM143" i="1"/>
  <c r="AA143" i="1" s="1"/>
  <c r="AQ143" i="1"/>
  <c r="AF143" i="1" s="1"/>
  <c r="AR143" i="1"/>
  <c r="AG143" i="1" s="1"/>
  <c r="AS143" i="1"/>
  <c r="AH143" i="1" s="1"/>
  <c r="AT143" i="1"/>
  <c r="AI143" i="1" s="1"/>
  <c r="AU143" i="1"/>
  <c r="AJ143" i="1" s="1"/>
  <c r="BB143" i="1"/>
  <c r="BM143" i="1"/>
  <c r="AY143" i="1" s="1"/>
  <c r="G143" i="1" s="1"/>
  <c r="AM144" i="1"/>
  <c r="AA144" i="1" s="1"/>
  <c r="AQ144" i="1"/>
  <c r="AF144" i="1" s="1"/>
  <c r="AR144" i="1"/>
  <c r="AG144" i="1" s="1"/>
  <c r="AS144" i="1"/>
  <c r="AH144" i="1" s="1"/>
  <c r="AT144" i="1"/>
  <c r="AI144" i="1" s="1"/>
  <c r="AU144" i="1"/>
  <c r="AJ144" i="1" s="1"/>
  <c r="BB144" i="1"/>
  <c r="BM144" i="1"/>
  <c r="AY144" i="1" s="1"/>
  <c r="G144" i="1" s="1"/>
  <c r="AM145" i="1"/>
  <c r="AA145" i="1" s="1"/>
  <c r="AQ145" i="1"/>
  <c r="AF145" i="1" s="1"/>
  <c r="AR145" i="1"/>
  <c r="AG145" i="1" s="1"/>
  <c r="AS145" i="1"/>
  <c r="AH145" i="1" s="1"/>
  <c r="AT145" i="1"/>
  <c r="AI145" i="1" s="1"/>
  <c r="AU145" i="1"/>
  <c r="AJ145" i="1" s="1"/>
  <c r="BB145" i="1"/>
  <c r="BM145" i="1"/>
  <c r="AY145" i="1" s="1"/>
  <c r="G145" i="1" s="1"/>
  <c r="AM146" i="1"/>
  <c r="AA146" i="1" s="1"/>
  <c r="AQ146" i="1"/>
  <c r="AF146" i="1" s="1"/>
  <c r="AR146" i="1"/>
  <c r="AG146" i="1" s="1"/>
  <c r="AS146" i="1"/>
  <c r="AH146" i="1" s="1"/>
  <c r="AT146" i="1"/>
  <c r="AI146" i="1" s="1"/>
  <c r="AU146" i="1"/>
  <c r="AJ146" i="1" s="1"/>
  <c r="BB146" i="1"/>
  <c r="BM146" i="1"/>
  <c r="AY146" i="1" s="1"/>
  <c r="G146" i="1" s="1"/>
  <c r="AM147" i="1"/>
  <c r="AA147" i="1" s="1"/>
  <c r="AQ147" i="1"/>
  <c r="AF147" i="1" s="1"/>
  <c r="AR147" i="1"/>
  <c r="AG147" i="1" s="1"/>
  <c r="AS147" i="1"/>
  <c r="AH147" i="1" s="1"/>
  <c r="AT147" i="1"/>
  <c r="AI147" i="1" s="1"/>
  <c r="AU147" i="1"/>
  <c r="AJ147" i="1" s="1"/>
  <c r="BB147" i="1"/>
  <c r="BM147" i="1"/>
  <c r="AY147" i="1" s="1"/>
  <c r="G147" i="1" s="1"/>
  <c r="AM148" i="1"/>
  <c r="AA148" i="1" s="1"/>
  <c r="AQ148" i="1"/>
  <c r="AF148" i="1" s="1"/>
  <c r="AR148" i="1"/>
  <c r="AG148" i="1" s="1"/>
  <c r="AS148" i="1"/>
  <c r="AH148" i="1" s="1"/>
  <c r="AT148" i="1"/>
  <c r="AI148" i="1" s="1"/>
  <c r="AU148" i="1"/>
  <c r="AJ148" i="1" s="1"/>
  <c r="BB148" i="1"/>
  <c r="BM148" i="1"/>
  <c r="AY148" i="1" s="1"/>
  <c r="G148" i="1" s="1"/>
  <c r="AM149" i="1"/>
  <c r="AA149" i="1" s="1"/>
  <c r="AQ149" i="1"/>
  <c r="AF149" i="1" s="1"/>
  <c r="AR149" i="1"/>
  <c r="AG149" i="1" s="1"/>
  <c r="AS149" i="1"/>
  <c r="AH149" i="1" s="1"/>
  <c r="AT149" i="1"/>
  <c r="AI149" i="1" s="1"/>
  <c r="AU149" i="1"/>
  <c r="AJ149" i="1" s="1"/>
  <c r="BB149" i="1"/>
  <c r="BM149" i="1"/>
  <c r="AY149" i="1" s="1"/>
  <c r="G149" i="1" s="1"/>
  <c r="AM150" i="1"/>
  <c r="AA150" i="1" s="1"/>
  <c r="AQ150" i="1"/>
  <c r="AF150" i="1" s="1"/>
  <c r="AR150" i="1"/>
  <c r="AG150" i="1" s="1"/>
  <c r="AS150" i="1"/>
  <c r="AH150" i="1" s="1"/>
  <c r="AT150" i="1"/>
  <c r="AI150" i="1" s="1"/>
  <c r="AU150" i="1"/>
  <c r="AJ150" i="1" s="1"/>
  <c r="BB150" i="1"/>
  <c r="BM150" i="1"/>
  <c r="AY150" i="1" s="1"/>
  <c r="G150" i="1" s="1"/>
  <c r="AM151" i="1"/>
  <c r="AA151" i="1" s="1"/>
  <c r="AQ151" i="1"/>
  <c r="AF151" i="1" s="1"/>
  <c r="AR151" i="1"/>
  <c r="AG151" i="1" s="1"/>
  <c r="AS151" i="1"/>
  <c r="AH151" i="1" s="1"/>
  <c r="AT151" i="1"/>
  <c r="AI151" i="1" s="1"/>
  <c r="AU151" i="1"/>
  <c r="AJ151" i="1" s="1"/>
  <c r="BB151" i="1"/>
  <c r="BM151" i="1"/>
  <c r="AY151" i="1" s="1"/>
  <c r="G151" i="1" s="1"/>
  <c r="AM152" i="1"/>
  <c r="AA152" i="1" s="1"/>
  <c r="AQ152" i="1"/>
  <c r="AF152" i="1" s="1"/>
  <c r="AR152" i="1"/>
  <c r="AG152" i="1" s="1"/>
  <c r="AS152" i="1"/>
  <c r="AH152" i="1" s="1"/>
  <c r="AT152" i="1"/>
  <c r="AI152" i="1" s="1"/>
  <c r="AU152" i="1"/>
  <c r="AJ152" i="1" s="1"/>
  <c r="BB152" i="1"/>
  <c r="BM152" i="1"/>
  <c r="AY152" i="1" s="1"/>
  <c r="G152" i="1" s="1"/>
  <c r="AM153" i="1"/>
  <c r="AA153" i="1" s="1"/>
  <c r="AQ153" i="1"/>
  <c r="AF153" i="1" s="1"/>
  <c r="AR153" i="1"/>
  <c r="AG153" i="1" s="1"/>
  <c r="AS153" i="1"/>
  <c r="AH153" i="1" s="1"/>
  <c r="AT153" i="1"/>
  <c r="AI153" i="1" s="1"/>
  <c r="AU153" i="1"/>
  <c r="AJ153" i="1" s="1"/>
  <c r="BB153" i="1"/>
  <c r="BM153" i="1"/>
  <c r="AY153" i="1" s="1"/>
  <c r="G153" i="1" s="1"/>
  <c r="AM154" i="1"/>
  <c r="AA154" i="1" s="1"/>
  <c r="AQ154" i="1"/>
  <c r="AF154" i="1" s="1"/>
  <c r="AR154" i="1"/>
  <c r="AG154" i="1" s="1"/>
  <c r="AS154" i="1"/>
  <c r="AH154" i="1" s="1"/>
  <c r="AT154" i="1"/>
  <c r="AI154" i="1" s="1"/>
  <c r="AU154" i="1"/>
  <c r="AJ154" i="1" s="1"/>
  <c r="BB154" i="1"/>
  <c r="BM154" i="1"/>
  <c r="AY154" i="1" s="1"/>
  <c r="G154" i="1" s="1"/>
  <c r="AM155" i="1"/>
  <c r="AA155" i="1" s="1"/>
  <c r="AQ155" i="1"/>
  <c r="AF155" i="1" s="1"/>
  <c r="AR155" i="1"/>
  <c r="AG155" i="1" s="1"/>
  <c r="AS155" i="1"/>
  <c r="AH155" i="1" s="1"/>
  <c r="AT155" i="1"/>
  <c r="AI155" i="1" s="1"/>
  <c r="AU155" i="1"/>
  <c r="AJ155" i="1" s="1"/>
  <c r="BB155" i="1"/>
  <c r="BM155" i="1"/>
  <c r="AY155" i="1" s="1"/>
  <c r="G155" i="1" s="1"/>
  <c r="AM156" i="1"/>
  <c r="AA156" i="1" s="1"/>
  <c r="AQ156" i="1"/>
  <c r="AF156" i="1" s="1"/>
  <c r="AR156" i="1"/>
  <c r="AG156" i="1" s="1"/>
  <c r="AS156" i="1"/>
  <c r="AH156" i="1" s="1"/>
  <c r="AT156" i="1"/>
  <c r="AI156" i="1" s="1"/>
  <c r="AU156" i="1"/>
  <c r="AJ156" i="1" s="1"/>
  <c r="BB156" i="1"/>
  <c r="BM156" i="1"/>
  <c r="AY156" i="1" s="1"/>
  <c r="G156" i="1" s="1"/>
  <c r="AM157" i="1"/>
  <c r="AA157" i="1" s="1"/>
  <c r="AQ157" i="1"/>
  <c r="AF157" i="1" s="1"/>
  <c r="AR157" i="1"/>
  <c r="AG157" i="1" s="1"/>
  <c r="AS157" i="1"/>
  <c r="AH157" i="1" s="1"/>
  <c r="AT157" i="1"/>
  <c r="AI157" i="1" s="1"/>
  <c r="AU157" i="1"/>
  <c r="AJ157" i="1" s="1"/>
  <c r="BB157" i="1"/>
  <c r="BM157" i="1"/>
  <c r="AY157" i="1" s="1"/>
  <c r="G157" i="1" s="1"/>
  <c r="AM158" i="1"/>
  <c r="AA158" i="1" s="1"/>
  <c r="AQ158" i="1"/>
  <c r="AF158" i="1" s="1"/>
  <c r="AR158" i="1"/>
  <c r="AG158" i="1" s="1"/>
  <c r="AS158" i="1"/>
  <c r="AH158" i="1" s="1"/>
  <c r="AT158" i="1"/>
  <c r="AI158" i="1" s="1"/>
  <c r="AU158" i="1"/>
  <c r="AJ158" i="1" s="1"/>
  <c r="BB158" i="1"/>
  <c r="BM158" i="1"/>
  <c r="AY158" i="1" s="1"/>
  <c r="G158" i="1" s="1"/>
  <c r="AM159" i="1"/>
  <c r="AA159" i="1" s="1"/>
  <c r="AQ159" i="1"/>
  <c r="AF159" i="1" s="1"/>
  <c r="AR159" i="1"/>
  <c r="AG159" i="1" s="1"/>
  <c r="AS159" i="1"/>
  <c r="AH159" i="1" s="1"/>
  <c r="AT159" i="1"/>
  <c r="AI159" i="1" s="1"/>
  <c r="AU159" i="1"/>
  <c r="AJ159" i="1" s="1"/>
  <c r="BB159" i="1"/>
  <c r="BM159" i="1"/>
  <c r="AY159" i="1" s="1"/>
  <c r="G159" i="1" s="1"/>
  <c r="AM160" i="1"/>
  <c r="AA160" i="1" s="1"/>
  <c r="AQ160" i="1"/>
  <c r="AF160" i="1" s="1"/>
  <c r="AR160" i="1"/>
  <c r="AG160" i="1" s="1"/>
  <c r="AS160" i="1"/>
  <c r="AH160" i="1" s="1"/>
  <c r="AT160" i="1"/>
  <c r="AI160" i="1" s="1"/>
  <c r="AU160" i="1"/>
  <c r="AJ160" i="1" s="1"/>
  <c r="BB160" i="1"/>
  <c r="BM160" i="1"/>
  <c r="AY160" i="1" s="1"/>
  <c r="G160" i="1" s="1"/>
  <c r="AM161" i="1"/>
  <c r="AA161" i="1" s="1"/>
  <c r="AQ161" i="1"/>
  <c r="AF161" i="1" s="1"/>
  <c r="AR161" i="1"/>
  <c r="AG161" i="1" s="1"/>
  <c r="AS161" i="1"/>
  <c r="AH161" i="1" s="1"/>
  <c r="AT161" i="1"/>
  <c r="AI161" i="1" s="1"/>
  <c r="AU161" i="1"/>
  <c r="AJ161" i="1" s="1"/>
  <c r="BB161" i="1"/>
  <c r="BM161" i="1"/>
  <c r="AY161" i="1" s="1"/>
  <c r="G161" i="1" s="1"/>
  <c r="AM162" i="1"/>
  <c r="AA162" i="1" s="1"/>
  <c r="AQ162" i="1"/>
  <c r="AF162" i="1" s="1"/>
  <c r="AR162" i="1"/>
  <c r="AG162" i="1" s="1"/>
  <c r="AS162" i="1"/>
  <c r="AH162" i="1" s="1"/>
  <c r="AT162" i="1"/>
  <c r="AI162" i="1" s="1"/>
  <c r="AU162" i="1"/>
  <c r="AJ162" i="1" s="1"/>
  <c r="BB162" i="1"/>
  <c r="BM162" i="1"/>
  <c r="AY162" i="1" s="1"/>
  <c r="G162" i="1" s="1"/>
  <c r="AM163" i="1"/>
  <c r="AA163" i="1" s="1"/>
  <c r="AQ163" i="1"/>
  <c r="AF163" i="1" s="1"/>
  <c r="AR163" i="1"/>
  <c r="AG163" i="1" s="1"/>
  <c r="AS163" i="1"/>
  <c r="AH163" i="1" s="1"/>
  <c r="AT163" i="1"/>
  <c r="AI163" i="1" s="1"/>
  <c r="AU163" i="1"/>
  <c r="AJ163" i="1" s="1"/>
  <c r="BB163" i="1"/>
  <c r="BM163" i="1"/>
  <c r="AY163" i="1" s="1"/>
  <c r="G163" i="1" s="1"/>
  <c r="AM164" i="1"/>
  <c r="AA164" i="1" s="1"/>
  <c r="AQ164" i="1"/>
  <c r="AF164" i="1" s="1"/>
  <c r="AR164" i="1"/>
  <c r="AG164" i="1" s="1"/>
  <c r="AS164" i="1"/>
  <c r="AH164" i="1" s="1"/>
  <c r="AT164" i="1"/>
  <c r="AI164" i="1" s="1"/>
  <c r="AU164" i="1"/>
  <c r="AJ164" i="1" s="1"/>
  <c r="BB164" i="1"/>
  <c r="BM164" i="1"/>
  <c r="AY164" i="1" s="1"/>
  <c r="G164" i="1" s="1"/>
  <c r="AM165" i="1"/>
  <c r="AA165" i="1" s="1"/>
  <c r="AQ165" i="1"/>
  <c r="AF165" i="1" s="1"/>
  <c r="AR165" i="1"/>
  <c r="AG165" i="1" s="1"/>
  <c r="AS165" i="1"/>
  <c r="AH165" i="1" s="1"/>
  <c r="AT165" i="1"/>
  <c r="AI165" i="1" s="1"/>
  <c r="AU165" i="1"/>
  <c r="AJ165" i="1" s="1"/>
  <c r="BB165" i="1"/>
  <c r="BM165" i="1"/>
  <c r="AY165" i="1" s="1"/>
  <c r="G165" i="1" s="1"/>
  <c r="AM166" i="1"/>
  <c r="AA166" i="1" s="1"/>
  <c r="AQ166" i="1"/>
  <c r="AF166" i="1" s="1"/>
  <c r="AR166" i="1"/>
  <c r="AG166" i="1" s="1"/>
  <c r="AS166" i="1"/>
  <c r="AH166" i="1" s="1"/>
  <c r="AT166" i="1"/>
  <c r="AI166" i="1" s="1"/>
  <c r="AU166" i="1"/>
  <c r="AJ166" i="1" s="1"/>
  <c r="BB166" i="1"/>
  <c r="BM166" i="1"/>
  <c r="AY166" i="1" s="1"/>
  <c r="G166" i="1" s="1"/>
  <c r="AM167" i="1"/>
  <c r="AA167" i="1" s="1"/>
  <c r="AQ167" i="1"/>
  <c r="AF167" i="1" s="1"/>
  <c r="AR167" i="1"/>
  <c r="AG167" i="1" s="1"/>
  <c r="AS167" i="1"/>
  <c r="AH167" i="1" s="1"/>
  <c r="AT167" i="1"/>
  <c r="AI167" i="1" s="1"/>
  <c r="AU167" i="1"/>
  <c r="AJ167" i="1" s="1"/>
  <c r="BB167" i="1"/>
  <c r="BM167" i="1"/>
  <c r="AY167" i="1" s="1"/>
  <c r="G167" i="1" s="1"/>
  <c r="AM168" i="1"/>
  <c r="AA168" i="1" s="1"/>
  <c r="AQ168" i="1"/>
  <c r="AF168" i="1" s="1"/>
  <c r="AR168" i="1"/>
  <c r="AG168" i="1" s="1"/>
  <c r="AS168" i="1"/>
  <c r="AH168" i="1" s="1"/>
  <c r="AT168" i="1"/>
  <c r="AI168" i="1" s="1"/>
  <c r="AU168" i="1"/>
  <c r="AJ168" i="1" s="1"/>
  <c r="BB168" i="1"/>
  <c r="BM168" i="1"/>
  <c r="AY168" i="1" s="1"/>
  <c r="G168" i="1" s="1"/>
  <c r="AM169" i="1"/>
  <c r="AA169" i="1" s="1"/>
  <c r="AQ169" i="1"/>
  <c r="AF169" i="1" s="1"/>
  <c r="AR169" i="1"/>
  <c r="AG169" i="1" s="1"/>
  <c r="AS169" i="1"/>
  <c r="AH169" i="1" s="1"/>
  <c r="AT169" i="1"/>
  <c r="AI169" i="1" s="1"/>
  <c r="AU169" i="1"/>
  <c r="AJ169" i="1" s="1"/>
  <c r="BB169" i="1"/>
  <c r="BM169" i="1"/>
  <c r="AY169" i="1" s="1"/>
  <c r="G169" i="1" s="1"/>
  <c r="AM170" i="1"/>
  <c r="AA170" i="1" s="1"/>
  <c r="AQ170" i="1"/>
  <c r="AF170" i="1" s="1"/>
  <c r="AR170" i="1"/>
  <c r="AG170" i="1" s="1"/>
  <c r="AS170" i="1"/>
  <c r="AH170" i="1" s="1"/>
  <c r="AT170" i="1"/>
  <c r="AI170" i="1" s="1"/>
  <c r="AU170" i="1"/>
  <c r="AJ170" i="1" s="1"/>
  <c r="BB170" i="1"/>
  <c r="BM170" i="1"/>
  <c r="AY170" i="1" s="1"/>
  <c r="G170" i="1" s="1"/>
  <c r="AM171" i="1"/>
  <c r="AA171" i="1" s="1"/>
  <c r="AQ171" i="1"/>
  <c r="AF171" i="1" s="1"/>
  <c r="AR171" i="1"/>
  <c r="AG171" i="1" s="1"/>
  <c r="AS171" i="1"/>
  <c r="AH171" i="1" s="1"/>
  <c r="AT171" i="1"/>
  <c r="AI171" i="1" s="1"/>
  <c r="AU171" i="1"/>
  <c r="AJ171" i="1" s="1"/>
  <c r="BB171" i="1"/>
  <c r="BM171" i="1"/>
  <c r="AY171" i="1" s="1"/>
  <c r="G171" i="1" s="1"/>
  <c r="AM172" i="1"/>
  <c r="AA172" i="1" s="1"/>
  <c r="AQ172" i="1"/>
  <c r="AF172" i="1" s="1"/>
  <c r="AR172" i="1"/>
  <c r="AG172" i="1" s="1"/>
  <c r="AS172" i="1"/>
  <c r="AH172" i="1" s="1"/>
  <c r="AT172" i="1"/>
  <c r="AI172" i="1" s="1"/>
  <c r="AU172" i="1"/>
  <c r="AJ172" i="1" s="1"/>
  <c r="BB172" i="1"/>
  <c r="BM172" i="1"/>
  <c r="AY172" i="1" s="1"/>
  <c r="G172" i="1" s="1"/>
  <c r="AM173" i="1"/>
  <c r="AA173" i="1" s="1"/>
  <c r="AQ173" i="1"/>
  <c r="AF173" i="1" s="1"/>
  <c r="AR173" i="1"/>
  <c r="AG173" i="1" s="1"/>
  <c r="AS173" i="1"/>
  <c r="AH173" i="1" s="1"/>
  <c r="AT173" i="1"/>
  <c r="AI173" i="1" s="1"/>
  <c r="AU173" i="1"/>
  <c r="AJ173" i="1" s="1"/>
  <c r="BB173" i="1"/>
  <c r="BM173" i="1"/>
  <c r="AY173" i="1" s="1"/>
  <c r="G173" i="1" s="1"/>
  <c r="AM174" i="1"/>
  <c r="AA174" i="1" s="1"/>
  <c r="AQ174" i="1"/>
  <c r="AF174" i="1" s="1"/>
  <c r="AR174" i="1"/>
  <c r="AG174" i="1" s="1"/>
  <c r="AS174" i="1"/>
  <c r="AH174" i="1" s="1"/>
  <c r="AT174" i="1"/>
  <c r="AI174" i="1" s="1"/>
  <c r="AU174" i="1"/>
  <c r="AJ174" i="1" s="1"/>
  <c r="BB174" i="1"/>
  <c r="BM174" i="1"/>
  <c r="AY174" i="1" s="1"/>
  <c r="G174" i="1" s="1"/>
  <c r="AM175" i="1"/>
  <c r="AA175" i="1" s="1"/>
  <c r="AQ175" i="1"/>
  <c r="AF175" i="1" s="1"/>
  <c r="AR175" i="1"/>
  <c r="AG175" i="1" s="1"/>
  <c r="AS175" i="1"/>
  <c r="AH175" i="1" s="1"/>
  <c r="AT175" i="1"/>
  <c r="AI175" i="1" s="1"/>
  <c r="AU175" i="1"/>
  <c r="AJ175" i="1" s="1"/>
  <c r="BB175" i="1"/>
  <c r="BM175" i="1"/>
  <c r="AY175" i="1" s="1"/>
  <c r="G175" i="1" s="1"/>
  <c r="AM176" i="1"/>
  <c r="AA176" i="1" s="1"/>
  <c r="AQ176" i="1"/>
  <c r="AF176" i="1" s="1"/>
  <c r="AR176" i="1"/>
  <c r="AG176" i="1" s="1"/>
  <c r="AS176" i="1"/>
  <c r="AH176" i="1" s="1"/>
  <c r="AT176" i="1"/>
  <c r="AI176" i="1" s="1"/>
  <c r="AU176" i="1"/>
  <c r="AJ176" i="1" s="1"/>
  <c r="BB176" i="1"/>
  <c r="BM176" i="1"/>
  <c r="AY176" i="1" s="1"/>
  <c r="G176" i="1" s="1"/>
  <c r="AM177" i="1"/>
  <c r="AA177" i="1" s="1"/>
  <c r="AQ177" i="1"/>
  <c r="AF177" i="1" s="1"/>
  <c r="AR177" i="1"/>
  <c r="AG177" i="1" s="1"/>
  <c r="AS177" i="1"/>
  <c r="AH177" i="1" s="1"/>
  <c r="AT177" i="1"/>
  <c r="AI177" i="1" s="1"/>
  <c r="AU177" i="1"/>
  <c r="AJ177" i="1" s="1"/>
  <c r="BB177" i="1"/>
  <c r="BM177" i="1"/>
  <c r="AY177" i="1" s="1"/>
  <c r="G177" i="1" s="1"/>
  <c r="AM178" i="1"/>
  <c r="AA178" i="1" s="1"/>
  <c r="AQ178" i="1"/>
  <c r="AF178" i="1" s="1"/>
  <c r="AR178" i="1"/>
  <c r="AG178" i="1" s="1"/>
  <c r="AS178" i="1"/>
  <c r="AH178" i="1" s="1"/>
  <c r="AT178" i="1"/>
  <c r="AI178" i="1" s="1"/>
  <c r="AU178" i="1"/>
  <c r="AJ178" i="1" s="1"/>
  <c r="BB178" i="1"/>
  <c r="BM178" i="1"/>
  <c r="AY178" i="1" s="1"/>
  <c r="G178" i="1" s="1"/>
  <c r="AM179" i="1"/>
  <c r="AA179" i="1" s="1"/>
  <c r="AQ179" i="1"/>
  <c r="AF179" i="1" s="1"/>
  <c r="AR179" i="1"/>
  <c r="AG179" i="1" s="1"/>
  <c r="AS179" i="1"/>
  <c r="AH179" i="1" s="1"/>
  <c r="AT179" i="1"/>
  <c r="AI179" i="1" s="1"/>
  <c r="AU179" i="1"/>
  <c r="AJ179" i="1" s="1"/>
  <c r="BB179" i="1"/>
  <c r="BM179" i="1"/>
  <c r="AY179" i="1" s="1"/>
  <c r="G179" i="1" s="1"/>
  <c r="AM180" i="1"/>
  <c r="AA180" i="1" s="1"/>
  <c r="AQ180" i="1"/>
  <c r="AF180" i="1" s="1"/>
  <c r="AR180" i="1"/>
  <c r="AG180" i="1" s="1"/>
  <c r="AS180" i="1"/>
  <c r="AH180" i="1" s="1"/>
  <c r="AT180" i="1"/>
  <c r="AI180" i="1" s="1"/>
  <c r="AU180" i="1"/>
  <c r="AJ180" i="1" s="1"/>
  <c r="BB180" i="1"/>
  <c r="BM180" i="1"/>
  <c r="AY180" i="1" s="1"/>
  <c r="G180" i="1" s="1"/>
  <c r="AM181" i="1"/>
  <c r="AA181" i="1" s="1"/>
  <c r="AQ181" i="1"/>
  <c r="AF181" i="1" s="1"/>
  <c r="AR181" i="1"/>
  <c r="AG181" i="1" s="1"/>
  <c r="AS181" i="1"/>
  <c r="AH181" i="1" s="1"/>
  <c r="AT181" i="1"/>
  <c r="AI181" i="1" s="1"/>
  <c r="AU181" i="1"/>
  <c r="AJ181" i="1" s="1"/>
  <c r="BB181" i="1"/>
  <c r="BM181" i="1"/>
  <c r="AY181" i="1" s="1"/>
  <c r="G181" i="1" s="1"/>
  <c r="AM182" i="1"/>
  <c r="AA182" i="1" s="1"/>
  <c r="AQ182" i="1"/>
  <c r="AF182" i="1" s="1"/>
  <c r="AR182" i="1"/>
  <c r="AG182" i="1" s="1"/>
  <c r="AS182" i="1"/>
  <c r="AH182" i="1" s="1"/>
  <c r="AT182" i="1"/>
  <c r="AI182" i="1" s="1"/>
  <c r="AU182" i="1"/>
  <c r="AJ182" i="1" s="1"/>
  <c r="BB182" i="1"/>
  <c r="BM182" i="1"/>
  <c r="AY182" i="1" s="1"/>
  <c r="G182" i="1" s="1"/>
  <c r="AM183" i="1"/>
  <c r="AA183" i="1" s="1"/>
  <c r="AQ183" i="1"/>
  <c r="AF183" i="1" s="1"/>
  <c r="AR183" i="1"/>
  <c r="AG183" i="1" s="1"/>
  <c r="AS183" i="1"/>
  <c r="AH183" i="1" s="1"/>
  <c r="AT183" i="1"/>
  <c r="AI183" i="1" s="1"/>
  <c r="AU183" i="1"/>
  <c r="AJ183" i="1" s="1"/>
  <c r="BB183" i="1"/>
  <c r="BM183" i="1"/>
  <c r="AY183" i="1" s="1"/>
  <c r="G183" i="1" s="1"/>
  <c r="AM184" i="1"/>
  <c r="AA184" i="1" s="1"/>
  <c r="AQ184" i="1"/>
  <c r="AF184" i="1" s="1"/>
  <c r="AR184" i="1"/>
  <c r="AG184" i="1" s="1"/>
  <c r="AS184" i="1"/>
  <c r="AH184" i="1" s="1"/>
  <c r="AT184" i="1"/>
  <c r="AI184" i="1" s="1"/>
  <c r="AU184" i="1"/>
  <c r="AJ184" i="1" s="1"/>
  <c r="BB184" i="1"/>
  <c r="BM184" i="1"/>
  <c r="AY184" i="1" s="1"/>
  <c r="G184" i="1" s="1"/>
  <c r="AM185" i="1"/>
  <c r="AA185" i="1" s="1"/>
  <c r="AQ185" i="1"/>
  <c r="AF185" i="1" s="1"/>
  <c r="AR185" i="1"/>
  <c r="AG185" i="1" s="1"/>
  <c r="AS185" i="1"/>
  <c r="AH185" i="1" s="1"/>
  <c r="AT185" i="1"/>
  <c r="AI185" i="1" s="1"/>
  <c r="AU185" i="1"/>
  <c r="AJ185" i="1" s="1"/>
  <c r="BB185" i="1"/>
  <c r="BM185" i="1"/>
  <c r="AY185" i="1" s="1"/>
  <c r="G185" i="1" s="1"/>
  <c r="AM186" i="1"/>
  <c r="AA186" i="1" s="1"/>
  <c r="AQ186" i="1"/>
  <c r="AF186" i="1" s="1"/>
  <c r="AR186" i="1"/>
  <c r="AG186" i="1" s="1"/>
  <c r="AS186" i="1"/>
  <c r="AH186" i="1" s="1"/>
  <c r="AT186" i="1"/>
  <c r="AI186" i="1" s="1"/>
  <c r="AU186" i="1"/>
  <c r="AJ186" i="1" s="1"/>
  <c r="BB186" i="1"/>
  <c r="BM186" i="1"/>
  <c r="AY186" i="1" s="1"/>
  <c r="G186" i="1" s="1"/>
  <c r="AM187" i="1"/>
  <c r="AA187" i="1" s="1"/>
  <c r="AQ187" i="1"/>
  <c r="AF187" i="1" s="1"/>
  <c r="AR187" i="1"/>
  <c r="AG187" i="1" s="1"/>
  <c r="AS187" i="1"/>
  <c r="AH187" i="1" s="1"/>
  <c r="AT187" i="1"/>
  <c r="AI187" i="1" s="1"/>
  <c r="AU187" i="1"/>
  <c r="AJ187" i="1" s="1"/>
  <c r="BB187" i="1"/>
  <c r="BM187" i="1"/>
  <c r="AY187" i="1" s="1"/>
  <c r="G187" i="1" s="1"/>
  <c r="AM188" i="1"/>
  <c r="AA188" i="1" s="1"/>
  <c r="AQ188" i="1"/>
  <c r="AF188" i="1" s="1"/>
  <c r="AR188" i="1"/>
  <c r="AG188" i="1" s="1"/>
  <c r="AS188" i="1"/>
  <c r="AH188" i="1" s="1"/>
  <c r="AT188" i="1"/>
  <c r="AI188" i="1" s="1"/>
  <c r="AU188" i="1"/>
  <c r="AJ188" i="1" s="1"/>
  <c r="BB188" i="1"/>
  <c r="BM188" i="1"/>
  <c r="AY188" i="1" s="1"/>
  <c r="G188" i="1" s="1"/>
  <c r="AM189" i="1"/>
  <c r="AA189" i="1" s="1"/>
  <c r="AQ189" i="1"/>
  <c r="AF189" i="1" s="1"/>
  <c r="AR189" i="1"/>
  <c r="AG189" i="1" s="1"/>
  <c r="AS189" i="1"/>
  <c r="AH189" i="1" s="1"/>
  <c r="AT189" i="1"/>
  <c r="AI189" i="1" s="1"/>
  <c r="AU189" i="1"/>
  <c r="AJ189" i="1" s="1"/>
  <c r="BB189" i="1"/>
  <c r="BM189" i="1"/>
  <c r="AY189" i="1" s="1"/>
  <c r="G189" i="1" s="1"/>
  <c r="AM190" i="1"/>
  <c r="AA190" i="1" s="1"/>
  <c r="AQ190" i="1"/>
  <c r="AF190" i="1" s="1"/>
  <c r="AR190" i="1"/>
  <c r="AG190" i="1" s="1"/>
  <c r="AS190" i="1"/>
  <c r="AH190" i="1" s="1"/>
  <c r="AT190" i="1"/>
  <c r="AI190" i="1" s="1"/>
  <c r="AU190" i="1"/>
  <c r="AJ190" i="1" s="1"/>
  <c r="BB190" i="1"/>
  <c r="BM190" i="1"/>
  <c r="AY190" i="1" s="1"/>
  <c r="G190" i="1" s="1"/>
  <c r="AM191" i="1"/>
  <c r="AA191" i="1" s="1"/>
  <c r="AQ191" i="1"/>
  <c r="AF191" i="1" s="1"/>
  <c r="AR191" i="1"/>
  <c r="AG191" i="1" s="1"/>
  <c r="AS191" i="1"/>
  <c r="AH191" i="1" s="1"/>
  <c r="AT191" i="1"/>
  <c r="AI191" i="1" s="1"/>
  <c r="AU191" i="1"/>
  <c r="AJ191" i="1" s="1"/>
  <c r="BB191" i="1"/>
  <c r="BM191" i="1"/>
  <c r="AY191" i="1" s="1"/>
  <c r="G191" i="1" s="1"/>
  <c r="AM192" i="1"/>
  <c r="AA192" i="1" s="1"/>
  <c r="AQ192" i="1"/>
  <c r="AF192" i="1" s="1"/>
  <c r="AR192" i="1"/>
  <c r="AG192" i="1" s="1"/>
  <c r="AS192" i="1"/>
  <c r="AH192" i="1" s="1"/>
  <c r="AT192" i="1"/>
  <c r="AI192" i="1" s="1"/>
  <c r="AU192" i="1"/>
  <c r="AJ192" i="1" s="1"/>
  <c r="BB192" i="1"/>
  <c r="BM192" i="1"/>
  <c r="AY192" i="1" s="1"/>
  <c r="G192" i="1" s="1"/>
  <c r="AM193" i="1"/>
  <c r="AA193" i="1" s="1"/>
  <c r="AQ193" i="1"/>
  <c r="AF193" i="1" s="1"/>
  <c r="AR193" i="1"/>
  <c r="AG193" i="1" s="1"/>
  <c r="AS193" i="1"/>
  <c r="AH193" i="1" s="1"/>
  <c r="AT193" i="1"/>
  <c r="AI193" i="1" s="1"/>
  <c r="AU193" i="1"/>
  <c r="AJ193" i="1" s="1"/>
  <c r="BB193" i="1"/>
  <c r="BM193" i="1"/>
  <c r="AY193" i="1" s="1"/>
  <c r="G193" i="1" s="1"/>
  <c r="AM194" i="1"/>
  <c r="AA194" i="1" s="1"/>
  <c r="AQ194" i="1"/>
  <c r="AF194" i="1" s="1"/>
  <c r="AR194" i="1"/>
  <c r="AG194" i="1" s="1"/>
  <c r="AS194" i="1"/>
  <c r="AH194" i="1" s="1"/>
  <c r="AT194" i="1"/>
  <c r="AI194" i="1" s="1"/>
  <c r="AU194" i="1"/>
  <c r="AJ194" i="1" s="1"/>
  <c r="BB194" i="1"/>
  <c r="BM194" i="1"/>
  <c r="AY194" i="1" s="1"/>
  <c r="G194" i="1" s="1"/>
  <c r="AM195" i="1"/>
  <c r="AA195" i="1" s="1"/>
  <c r="AQ195" i="1"/>
  <c r="AF195" i="1" s="1"/>
  <c r="AR195" i="1"/>
  <c r="AG195" i="1" s="1"/>
  <c r="AS195" i="1"/>
  <c r="AH195" i="1" s="1"/>
  <c r="AT195" i="1"/>
  <c r="AI195" i="1" s="1"/>
  <c r="AU195" i="1"/>
  <c r="AJ195" i="1" s="1"/>
  <c r="BB195" i="1"/>
  <c r="BM195" i="1"/>
  <c r="AY195" i="1" s="1"/>
  <c r="G195" i="1" s="1"/>
  <c r="AM196" i="1"/>
  <c r="AA196" i="1" s="1"/>
  <c r="AQ196" i="1"/>
  <c r="AF196" i="1" s="1"/>
  <c r="AR196" i="1"/>
  <c r="AG196" i="1" s="1"/>
  <c r="AS196" i="1"/>
  <c r="AH196" i="1" s="1"/>
  <c r="AT196" i="1"/>
  <c r="AI196" i="1" s="1"/>
  <c r="AU196" i="1"/>
  <c r="AJ196" i="1" s="1"/>
  <c r="BB196" i="1"/>
  <c r="BM196" i="1"/>
  <c r="AY196" i="1" s="1"/>
  <c r="G196" i="1" s="1"/>
  <c r="AM197" i="1"/>
  <c r="AA197" i="1" s="1"/>
  <c r="AQ197" i="1"/>
  <c r="AF197" i="1" s="1"/>
  <c r="AR197" i="1"/>
  <c r="AG197" i="1" s="1"/>
  <c r="AS197" i="1"/>
  <c r="AH197" i="1" s="1"/>
  <c r="AT197" i="1"/>
  <c r="AI197" i="1" s="1"/>
  <c r="AU197" i="1"/>
  <c r="AJ197" i="1" s="1"/>
  <c r="BB197" i="1"/>
  <c r="BM197" i="1"/>
  <c r="AY197" i="1" s="1"/>
  <c r="G197" i="1" s="1"/>
  <c r="AM198" i="1"/>
  <c r="AA198" i="1" s="1"/>
  <c r="AQ198" i="1"/>
  <c r="AF198" i="1" s="1"/>
  <c r="AR198" i="1"/>
  <c r="AG198" i="1" s="1"/>
  <c r="AS198" i="1"/>
  <c r="AH198" i="1" s="1"/>
  <c r="AT198" i="1"/>
  <c r="AI198" i="1" s="1"/>
  <c r="AU198" i="1"/>
  <c r="AJ198" i="1" s="1"/>
  <c r="BB198" i="1"/>
  <c r="BM198" i="1"/>
  <c r="AY198" i="1" s="1"/>
  <c r="G198" i="1" s="1"/>
  <c r="AM199" i="1"/>
  <c r="AA199" i="1" s="1"/>
  <c r="AQ199" i="1"/>
  <c r="AF199" i="1" s="1"/>
  <c r="AR199" i="1"/>
  <c r="AG199" i="1" s="1"/>
  <c r="AS199" i="1"/>
  <c r="AH199" i="1" s="1"/>
  <c r="AT199" i="1"/>
  <c r="AI199" i="1" s="1"/>
  <c r="AU199" i="1"/>
  <c r="AJ199" i="1" s="1"/>
  <c r="BB199" i="1"/>
  <c r="BM199" i="1"/>
  <c r="AY199" i="1" s="1"/>
  <c r="G199" i="1" s="1"/>
  <c r="AM200" i="1"/>
  <c r="AA200" i="1" s="1"/>
  <c r="AQ200" i="1"/>
  <c r="AF200" i="1" s="1"/>
  <c r="AR200" i="1"/>
  <c r="AG200" i="1" s="1"/>
  <c r="AS200" i="1"/>
  <c r="AH200" i="1" s="1"/>
  <c r="AT200" i="1"/>
  <c r="AI200" i="1" s="1"/>
  <c r="AU200" i="1"/>
  <c r="AJ200" i="1" s="1"/>
  <c r="BB200" i="1"/>
  <c r="BM200" i="1"/>
  <c r="AY200" i="1" s="1"/>
  <c r="G200" i="1" s="1"/>
  <c r="AM201" i="1"/>
  <c r="AA201" i="1" s="1"/>
  <c r="AQ201" i="1"/>
  <c r="AF201" i="1" s="1"/>
  <c r="AR201" i="1"/>
  <c r="AG201" i="1" s="1"/>
  <c r="AS201" i="1"/>
  <c r="AH201" i="1" s="1"/>
  <c r="AT201" i="1"/>
  <c r="AI201" i="1" s="1"/>
  <c r="AU201" i="1"/>
  <c r="AJ201" i="1" s="1"/>
  <c r="BB201" i="1"/>
  <c r="BM201" i="1"/>
  <c r="AY201" i="1" s="1"/>
  <c r="G201" i="1" s="1"/>
  <c r="AM202" i="1"/>
  <c r="AA202" i="1" s="1"/>
  <c r="AQ202" i="1"/>
  <c r="AF202" i="1" s="1"/>
  <c r="AR202" i="1"/>
  <c r="AG202" i="1" s="1"/>
  <c r="AS202" i="1"/>
  <c r="AH202" i="1" s="1"/>
  <c r="AT202" i="1"/>
  <c r="AI202" i="1" s="1"/>
  <c r="AU202" i="1"/>
  <c r="AJ202" i="1" s="1"/>
  <c r="BB202" i="1"/>
  <c r="BM202" i="1"/>
  <c r="AY202" i="1" s="1"/>
  <c r="G202" i="1" s="1"/>
  <c r="AM203" i="1"/>
  <c r="AA203" i="1" s="1"/>
  <c r="AQ203" i="1"/>
  <c r="AF203" i="1" s="1"/>
  <c r="AR203" i="1"/>
  <c r="AG203" i="1" s="1"/>
  <c r="AS203" i="1"/>
  <c r="AH203" i="1" s="1"/>
  <c r="AT203" i="1"/>
  <c r="AI203" i="1" s="1"/>
  <c r="AU203" i="1"/>
  <c r="AJ203" i="1" s="1"/>
  <c r="BB203" i="1"/>
  <c r="BM203" i="1"/>
  <c r="AY203" i="1" s="1"/>
  <c r="G203" i="1" s="1"/>
  <c r="AM204" i="1"/>
  <c r="AA204" i="1" s="1"/>
  <c r="AQ204" i="1"/>
  <c r="AF204" i="1" s="1"/>
  <c r="AR204" i="1"/>
  <c r="AG204" i="1" s="1"/>
  <c r="AS204" i="1"/>
  <c r="AH204" i="1" s="1"/>
  <c r="AT204" i="1"/>
  <c r="AI204" i="1" s="1"/>
  <c r="AU204" i="1"/>
  <c r="AJ204" i="1" s="1"/>
  <c r="BB204" i="1"/>
  <c r="BM204" i="1"/>
  <c r="AY204" i="1" s="1"/>
  <c r="G204" i="1" s="1"/>
  <c r="AM205" i="1"/>
  <c r="AA205" i="1" s="1"/>
  <c r="AQ205" i="1"/>
  <c r="AF205" i="1" s="1"/>
  <c r="AR205" i="1"/>
  <c r="AG205" i="1" s="1"/>
  <c r="AS205" i="1"/>
  <c r="AH205" i="1" s="1"/>
  <c r="AT205" i="1"/>
  <c r="AI205" i="1" s="1"/>
  <c r="AU205" i="1"/>
  <c r="AJ205" i="1" s="1"/>
  <c r="BB205" i="1"/>
  <c r="BM205" i="1"/>
  <c r="AY205" i="1" s="1"/>
  <c r="G205" i="1" s="1"/>
  <c r="AM206" i="1"/>
  <c r="AA206" i="1" s="1"/>
  <c r="AQ206" i="1"/>
  <c r="AF206" i="1" s="1"/>
  <c r="AR206" i="1"/>
  <c r="AG206" i="1" s="1"/>
  <c r="AS206" i="1"/>
  <c r="AH206" i="1" s="1"/>
  <c r="AT206" i="1"/>
  <c r="AI206" i="1" s="1"/>
  <c r="AU206" i="1"/>
  <c r="AJ206" i="1" s="1"/>
  <c r="BB206" i="1"/>
  <c r="BM206" i="1"/>
  <c r="AY206" i="1" s="1"/>
  <c r="G206" i="1" s="1"/>
  <c r="AM207" i="1"/>
  <c r="AA207" i="1" s="1"/>
  <c r="AQ207" i="1"/>
  <c r="AF207" i="1" s="1"/>
  <c r="AR207" i="1"/>
  <c r="AG207" i="1" s="1"/>
  <c r="AS207" i="1"/>
  <c r="AH207" i="1" s="1"/>
  <c r="AT207" i="1"/>
  <c r="AI207" i="1" s="1"/>
  <c r="AU207" i="1"/>
  <c r="AJ207" i="1" s="1"/>
  <c r="BB207" i="1"/>
  <c r="BM207" i="1"/>
  <c r="AY207" i="1" s="1"/>
  <c r="G207" i="1" s="1"/>
  <c r="AM208" i="1"/>
  <c r="AA208" i="1" s="1"/>
  <c r="AQ208" i="1"/>
  <c r="AF208" i="1" s="1"/>
  <c r="AR208" i="1"/>
  <c r="AG208" i="1" s="1"/>
  <c r="AS208" i="1"/>
  <c r="AH208" i="1" s="1"/>
  <c r="AT208" i="1"/>
  <c r="AI208" i="1" s="1"/>
  <c r="AU208" i="1"/>
  <c r="AJ208" i="1" s="1"/>
  <c r="BB208" i="1"/>
  <c r="BM208" i="1"/>
  <c r="AY208" i="1" s="1"/>
  <c r="G208" i="1" s="1"/>
  <c r="AM209" i="1"/>
  <c r="AA209" i="1" s="1"/>
  <c r="AQ209" i="1"/>
  <c r="AF209" i="1" s="1"/>
  <c r="AR209" i="1"/>
  <c r="AG209" i="1" s="1"/>
  <c r="AS209" i="1"/>
  <c r="AH209" i="1" s="1"/>
  <c r="AT209" i="1"/>
  <c r="AI209" i="1" s="1"/>
  <c r="AU209" i="1"/>
  <c r="AJ209" i="1" s="1"/>
  <c r="BB209" i="1"/>
  <c r="BM209" i="1"/>
  <c r="AY209" i="1" s="1"/>
  <c r="G209" i="1" s="1"/>
  <c r="AM210" i="1"/>
  <c r="AA210" i="1" s="1"/>
  <c r="AQ210" i="1"/>
  <c r="AF210" i="1" s="1"/>
  <c r="AR210" i="1"/>
  <c r="AG210" i="1" s="1"/>
  <c r="AS210" i="1"/>
  <c r="AH210" i="1" s="1"/>
  <c r="AT210" i="1"/>
  <c r="AI210" i="1" s="1"/>
  <c r="AU210" i="1"/>
  <c r="AJ210" i="1" s="1"/>
  <c r="BB210" i="1"/>
  <c r="BM210" i="1"/>
  <c r="AY210" i="1" s="1"/>
  <c r="G210" i="1" s="1"/>
  <c r="AM211" i="1"/>
  <c r="AA211" i="1" s="1"/>
  <c r="AQ211" i="1"/>
  <c r="AF211" i="1" s="1"/>
  <c r="AR211" i="1"/>
  <c r="AG211" i="1" s="1"/>
  <c r="AS211" i="1"/>
  <c r="AH211" i="1" s="1"/>
  <c r="AT211" i="1"/>
  <c r="AI211" i="1" s="1"/>
  <c r="AU211" i="1"/>
  <c r="AJ211" i="1" s="1"/>
  <c r="BB211" i="1"/>
  <c r="BM211" i="1"/>
  <c r="AY211" i="1" s="1"/>
  <c r="G211" i="1" s="1"/>
  <c r="AM212" i="1"/>
  <c r="AA212" i="1" s="1"/>
  <c r="AQ212" i="1"/>
  <c r="AF212" i="1" s="1"/>
  <c r="AR212" i="1"/>
  <c r="AG212" i="1" s="1"/>
  <c r="AS212" i="1"/>
  <c r="AH212" i="1" s="1"/>
  <c r="AT212" i="1"/>
  <c r="AI212" i="1" s="1"/>
  <c r="AU212" i="1"/>
  <c r="AJ212" i="1" s="1"/>
  <c r="BB212" i="1"/>
  <c r="BM212" i="1"/>
  <c r="AY212" i="1" s="1"/>
  <c r="G212" i="1" s="1"/>
  <c r="AM213" i="1"/>
  <c r="AA213" i="1" s="1"/>
  <c r="AQ213" i="1"/>
  <c r="AF213" i="1" s="1"/>
  <c r="AR213" i="1"/>
  <c r="AG213" i="1" s="1"/>
  <c r="AS213" i="1"/>
  <c r="AH213" i="1" s="1"/>
  <c r="AT213" i="1"/>
  <c r="AI213" i="1" s="1"/>
  <c r="AU213" i="1"/>
  <c r="AJ213" i="1" s="1"/>
  <c r="BB213" i="1"/>
  <c r="BM213" i="1"/>
  <c r="AY213" i="1" s="1"/>
  <c r="G213" i="1" s="1"/>
  <c r="AM214" i="1"/>
  <c r="AA214" i="1" s="1"/>
  <c r="AQ214" i="1"/>
  <c r="AF214" i="1" s="1"/>
  <c r="AR214" i="1"/>
  <c r="AG214" i="1" s="1"/>
  <c r="AS214" i="1"/>
  <c r="AH214" i="1" s="1"/>
  <c r="AT214" i="1"/>
  <c r="AI214" i="1" s="1"/>
  <c r="AU214" i="1"/>
  <c r="AJ214" i="1" s="1"/>
  <c r="BB214" i="1"/>
  <c r="BM214" i="1"/>
  <c r="AY214" i="1" s="1"/>
  <c r="G214" i="1" s="1"/>
  <c r="AM215" i="1"/>
  <c r="AA215" i="1" s="1"/>
  <c r="AQ215" i="1"/>
  <c r="AF215" i="1" s="1"/>
  <c r="AR215" i="1"/>
  <c r="AG215" i="1" s="1"/>
  <c r="AS215" i="1"/>
  <c r="AH215" i="1" s="1"/>
  <c r="AT215" i="1"/>
  <c r="AI215" i="1" s="1"/>
  <c r="AU215" i="1"/>
  <c r="AJ215" i="1" s="1"/>
  <c r="BB215" i="1"/>
  <c r="BM215" i="1"/>
  <c r="AY215" i="1" s="1"/>
  <c r="G215" i="1" s="1"/>
  <c r="AM216" i="1"/>
  <c r="AA216" i="1" s="1"/>
  <c r="AQ216" i="1"/>
  <c r="AF216" i="1" s="1"/>
  <c r="AR216" i="1"/>
  <c r="AG216" i="1" s="1"/>
  <c r="AS216" i="1"/>
  <c r="AH216" i="1" s="1"/>
  <c r="AT216" i="1"/>
  <c r="AI216" i="1" s="1"/>
  <c r="AU216" i="1"/>
  <c r="AJ216" i="1" s="1"/>
  <c r="BB216" i="1"/>
  <c r="BM216" i="1"/>
  <c r="AY216" i="1" s="1"/>
  <c r="G216" i="1" s="1"/>
  <c r="AM217" i="1"/>
  <c r="AA217" i="1" s="1"/>
  <c r="AQ217" i="1"/>
  <c r="AF217" i="1" s="1"/>
  <c r="AR217" i="1"/>
  <c r="AG217" i="1" s="1"/>
  <c r="AS217" i="1"/>
  <c r="AH217" i="1" s="1"/>
  <c r="AT217" i="1"/>
  <c r="AI217" i="1" s="1"/>
  <c r="AU217" i="1"/>
  <c r="AJ217" i="1" s="1"/>
  <c r="BB217" i="1"/>
  <c r="BM217" i="1"/>
  <c r="AY217" i="1" s="1"/>
  <c r="G217" i="1" s="1"/>
  <c r="AM218" i="1"/>
  <c r="AA218" i="1" s="1"/>
  <c r="AQ218" i="1"/>
  <c r="AF218" i="1" s="1"/>
  <c r="AR218" i="1"/>
  <c r="AG218" i="1" s="1"/>
  <c r="AS218" i="1"/>
  <c r="AH218" i="1" s="1"/>
  <c r="AT218" i="1"/>
  <c r="AI218" i="1" s="1"/>
  <c r="AU218" i="1"/>
  <c r="AJ218" i="1" s="1"/>
  <c r="BB218" i="1"/>
  <c r="BM218" i="1"/>
  <c r="AY218" i="1" s="1"/>
  <c r="G218" i="1" s="1"/>
  <c r="AM219" i="1"/>
  <c r="AA219" i="1" s="1"/>
  <c r="AQ219" i="1"/>
  <c r="AF219" i="1" s="1"/>
  <c r="AR219" i="1"/>
  <c r="AG219" i="1" s="1"/>
  <c r="AS219" i="1"/>
  <c r="AH219" i="1" s="1"/>
  <c r="AT219" i="1"/>
  <c r="AI219" i="1" s="1"/>
  <c r="AU219" i="1"/>
  <c r="AJ219" i="1" s="1"/>
  <c r="BB219" i="1"/>
  <c r="BM219" i="1"/>
  <c r="AY219" i="1" s="1"/>
  <c r="G219" i="1" s="1"/>
  <c r="AM220" i="1"/>
  <c r="AA220" i="1" s="1"/>
  <c r="AQ220" i="1"/>
  <c r="AF220" i="1" s="1"/>
  <c r="AR220" i="1"/>
  <c r="AG220" i="1" s="1"/>
  <c r="AS220" i="1"/>
  <c r="AH220" i="1" s="1"/>
  <c r="AT220" i="1"/>
  <c r="AI220" i="1" s="1"/>
  <c r="AU220" i="1"/>
  <c r="AJ220" i="1" s="1"/>
  <c r="BB220" i="1"/>
  <c r="BM220" i="1"/>
  <c r="AY220" i="1" s="1"/>
  <c r="G220" i="1" s="1"/>
  <c r="AM221" i="1"/>
  <c r="AA221" i="1" s="1"/>
  <c r="AQ221" i="1"/>
  <c r="AF221" i="1" s="1"/>
  <c r="AR221" i="1"/>
  <c r="AG221" i="1" s="1"/>
  <c r="AS221" i="1"/>
  <c r="AH221" i="1" s="1"/>
  <c r="AT221" i="1"/>
  <c r="AI221" i="1" s="1"/>
  <c r="AU221" i="1"/>
  <c r="AJ221" i="1" s="1"/>
  <c r="BB221" i="1"/>
  <c r="BM221" i="1"/>
  <c r="AY221" i="1" s="1"/>
  <c r="G221" i="1" s="1"/>
  <c r="AM222" i="1"/>
  <c r="AA222" i="1" s="1"/>
  <c r="AQ222" i="1"/>
  <c r="AF222" i="1" s="1"/>
  <c r="AR222" i="1"/>
  <c r="AG222" i="1" s="1"/>
  <c r="AS222" i="1"/>
  <c r="AH222" i="1" s="1"/>
  <c r="AT222" i="1"/>
  <c r="AI222" i="1" s="1"/>
  <c r="AU222" i="1"/>
  <c r="AJ222" i="1" s="1"/>
  <c r="BB222" i="1"/>
  <c r="BM222" i="1"/>
  <c r="AY222" i="1" s="1"/>
  <c r="G222" i="1" s="1"/>
  <c r="AM223" i="1"/>
  <c r="AA223" i="1" s="1"/>
  <c r="AQ223" i="1"/>
  <c r="AF223" i="1" s="1"/>
  <c r="AR223" i="1"/>
  <c r="AG223" i="1" s="1"/>
  <c r="AS223" i="1"/>
  <c r="AH223" i="1" s="1"/>
  <c r="AT223" i="1"/>
  <c r="AI223" i="1" s="1"/>
  <c r="AU223" i="1"/>
  <c r="AJ223" i="1" s="1"/>
  <c r="BB223" i="1"/>
  <c r="BM223" i="1"/>
  <c r="AY223" i="1" s="1"/>
  <c r="G223" i="1" s="1"/>
  <c r="AM224" i="1"/>
  <c r="AA224" i="1" s="1"/>
  <c r="AQ224" i="1"/>
  <c r="AF224" i="1" s="1"/>
  <c r="AR224" i="1"/>
  <c r="AG224" i="1" s="1"/>
  <c r="AS224" i="1"/>
  <c r="AH224" i="1" s="1"/>
  <c r="AT224" i="1"/>
  <c r="AI224" i="1" s="1"/>
  <c r="AU224" i="1"/>
  <c r="AJ224" i="1" s="1"/>
  <c r="BB224" i="1"/>
  <c r="BM224" i="1"/>
  <c r="AY224" i="1" s="1"/>
  <c r="G224" i="1" s="1"/>
  <c r="O45" i="4" l="1"/>
  <c r="K47" i="4" a="1"/>
  <c r="K47" i="4" s="1"/>
  <c r="L46" i="4"/>
  <c r="M46" i="4"/>
  <c r="AK100" i="1"/>
  <c r="AX100" i="1" s="1"/>
  <c r="AK170" i="1"/>
  <c r="AX170" i="1" s="1"/>
  <c r="AK175" i="1"/>
  <c r="AX175" i="1" s="1"/>
  <c r="AK140" i="1"/>
  <c r="AX140" i="1" s="1"/>
  <c r="AK101" i="1"/>
  <c r="AX101" i="1" s="1"/>
  <c r="AK97" i="1"/>
  <c r="AX97" i="1" s="1"/>
  <c r="AK87" i="1"/>
  <c r="AX87" i="1" s="1"/>
  <c r="AK51" i="1"/>
  <c r="AX51" i="1" s="1"/>
  <c r="AK61" i="1"/>
  <c r="AX61" i="1" s="1"/>
  <c r="AK198" i="1"/>
  <c r="AX198" i="1" s="1"/>
  <c r="AK219" i="1"/>
  <c r="AX219" i="1" s="1"/>
  <c r="AK214" i="1"/>
  <c r="AX214" i="1" s="1"/>
  <c r="AK211" i="1"/>
  <c r="AX211" i="1" s="1"/>
  <c r="AK210" i="1"/>
  <c r="AX210" i="1" s="1"/>
  <c r="AK199" i="1"/>
  <c r="AX199" i="1" s="1"/>
  <c r="AK215" i="1"/>
  <c r="AX215" i="1" s="1"/>
  <c r="AK224" i="1"/>
  <c r="AX224" i="1" s="1"/>
  <c r="AK177" i="1"/>
  <c r="AX177" i="1" s="1"/>
  <c r="AK206" i="1"/>
  <c r="AX206" i="1" s="1"/>
  <c r="AK134" i="1"/>
  <c r="AX134" i="1" s="1"/>
  <c r="AK218" i="1"/>
  <c r="AX218" i="1" s="1"/>
  <c r="AK202" i="1"/>
  <c r="AX202" i="1" s="1"/>
  <c r="AK144" i="1"/>
  <c r="AX144" i="1" s="1"/>
  <c r="AK223" i="1"/>
  <c r="AX223" i="1" s="1"/>
  <c r="AK222" i="1"/>
  <c r="AX222" i="1" s="1"/>
  <c r="AK212" i="1"/>
  <c r="AX212" i="1" s="1"/>
  <c r="AK183" i="1"/>
  <c r="AX183" i="1" s="1"/>
  <c r="AK121" i="1"/>
  <c r="AX121" i="1" s="1"/>
  <c r="AK113" i="1"/>
  <c r="AX113" i="1" s="1"/>
  <c r="AK191" i="1"/>
  <c r="AX191" i="1" s="1"/>
  <c r="AK190" i="1"/>
  <c r="AX190" i="1" s="1"/>
  <c r="AK182" i="1"/>
  <c r="AX182" i="1" s="1"/>
  <c r="AK145" i="1"/>
  <c r="AX145" i="1" s="1"/>
  <c r="AK141" i="1"/>
  <c r="AX141" i="1" s="1"/>
  <c r="AK136" i="1"/>
  <c r="AX136" i="1" s="1"/>
  <c r="AK79" i="1"/>
  <c r="AX79" i="1" s="1"/>
  <c r="AK167" i="1"/>
  <c r="AX167" i="1" s="1"/>
  <c r="AK162" i="1"/>
  <c r="AX162" i="1" s="1"/>
  <c r="AK158" i="1"/>
  <c r="AX158" i="1" s="1"/>
  <c r="AK131" i="1"/>
  <c r="AX131" i="1" s="1"/>
  <c r="AK105" i="1"/>
  <c r="AX105" i="1" s="1"/>
  <c r="AK104" i="1"/>
  <c r="AX104" i="1" s="1"/>
  <c r="AK78" i="1"/>
  <c r="AX78" i="1" s="1"/>
  <c r="AK179" i="1"/>
  <c r="AX179" i="1" s="1"/>
  <c r="AK135" i="1"/>
  <c r="AX135" i="1" s="1"/>
  <c r="AK59" i="1"/>
  <c r="AX59" i="1" s="1"/>
  <c r="AK195" i="1"/>
  <c r="AX195" i="1" s="1"/>
  <c r="AK194" i="1"/>
  <c r="AX194" i="1" s="1"/>
  <c r="AK187" i="1"/>
  <c r="AX187" i="1" s="1"/>
  <c r="AK176" i="1"/>
  <c r="AX176" i="1" s="1"/>
  <c r="AK172" i="1"/>
  <c r="AX172" i="1" s="1"/>
  <c r="AK164" i="1"/>
  <c r="AX164" i="1" s="1"/>
  <c r="AK127" i="1"/>
  <c r="AX127" i="1" s="1"/>
  <c r="AK117" i="1"/>
  <c r="AX117" i="1" s="1"/>
  <c r="AK186" i="1"/>
  <c r="AX186" i="1" s="1"/>
  <c r="AK90" i="1"/>
  <c r="AX90" i="1" s="1"/>
  <c r="AK163" i="1"/>
  <c r="AX163" i="1" s="1"/>
  <c r="AK125" i="1"/>
  <c r="AX125" i="1" s="1"/>
  <c r="AK114" i="1"/>
  <c r="AX114" i="1" s="1"/>
  <c r="AK108" i="1"/>
  <c r="AX108" i="1" s="1"/>
  <c r="AK106" i="1"/>
  <c r="AX106" i="1" s="1"/>
  <c r="AK73" i="1"/>
  <c r="AX73" i="1" s="1"/>
  <c r="AK98" i="1"/>
  <c r="AX98" i="1" s="1"/>
  <c r="AK92" i="1"/>
  <c r="AX92" i="1" s="1"/>
  <c r="AK89" i="1"/>
  <c r="AX89" i="1" s="1"/>
  <c r="AK81" i="1"/>
  <c r="AX81" i="1" s="1"/>
  <c r="AK53" i="1"/>
  <c r="AX53" i="1" s="1"/>
  <c r="AK70" i="1"/>
  <c r="AX70" i="1" s="1"/>
  <c r="AK109" i="1"/>
  <c r="AX109" i="1" s="1"/>
  <c r="AK107" i="1"/>
  <c r="AX107" i="1" s="1"/>
  <c r="AK96" i="1"/>
  <c r="AX96" i="1" s="1"/>
  <c r="AK84" i="1"/>
  <c r="AX84" i="1" s="1"/>
  <c r="AK80" i="1"/>
  <c r="AX80" i="1" s="1"/>
  <c r="AK75" i="1"/>
  <c r="AX75" i="1" s="1"/>
  <c r="AK60" i="1"/>
  <c r="AX60" i="1" s="1"/>
  <c r="AK45" i="1"/>
  <c r="AX45" i="1" s="1"/>
  <c r="AK102" i="1"/>
  <c r="AX102" i="1" s="1"/>
  <c r="AK88" i="1"/>
  <c r="AX88" i="1" s="1"/>
  <c r="AK77" i="1"/>
  <c r="AX77" i="1" s="1"/>
  <c r="AK65" i="1"/>
  <c r="AX65" i="1" s="1"/>
  <c r="AK52" i="1"/>
  <c r="AX52" i="1" s="1"/>
  <c r="AK57" i="1"/>
  <c r="AX57" i="1" s="1"/>
  <c r="AK220" i="1"/>
  <c r="AX220" i="1" s="1"/>
  <c r="AK207" i="1"/>
  <c r="AX207" i="1" s="1"/>
  <c r="AK203" i="1"/>
  <c r="AX203" i="1" s="1"/>
  <c r="AK171" i="1"/>
  <c r="AX171" i="1" s="1"/>
  <c r="AK147" i="1"/>
  <c r="AX147" i="1" s="1"/>
  <c r="AK128" i="1"/>
  <c r="AX128" i="1" s="1"/>
  <c r="AK221" i="1"/>
  <c r="AX221" i="1" s="1"/>
  <c r="AK217" i="1"/>
  <c r="AX217" i="1" s="1"/>
  <c r="AK213" i="1"/>
  <c r="AX213" i="1" s="1"/>
  <c r="AK188" i="1"/>
  <c r="AX188" i="1" s="1"/>
  <c r="AK184" i="1"/>
  <c r="AX184" i="1" s="1"/>
  <c r="AK180" i="1"/>
  <c r="AX180" i="1" s="1"/>
  <c r="AK152" i="1"/>
  <c r="AX152" i="1" s="1"/>
  <c r="AK216" i="1"/>
  <c r="AX216" i="1" s="1"/>
  <c r="AK196" i="1"/>
  <c r="AX196" i="1" s="1"/>
  <c r="AK192" i="1"/>
  <c r="AX192" i="1" s="1"/>
  <c r="AK189" i="1"/>
  <c r="AX189" i="1" s="1"/>
  <c r="AK185" i="1"/>
  <c r="AX185" i="1" s="1"/>
  <c r="AK181" i="1"/>
  <c r="AX181" i="1" s="1"/>
  <c r="AK173" i="1"/>
  <c r="AX173" i="1" s="1"/>
  <c r="AK193" i="1"/>
  <c r="AX193" i="1" s="1"/>
  <c r="AK200" i="1"/>
  <c r="AX200" i="1" s="1"/>
  <c r="AK208" i="1"/>
  <c r="AX208" i="1" s="1"/>
  <c r="AK204" i="1"/>
  <c r="AX204" i="1" s="1"/>
  <c r="AK201" i="1"/>
  <c r="AX201" i="1" s="1"/>
  <c r="AK157" i="1"/>
  <c r="AX157" i="1" s="1"/>
  <c r="AK197" i="1"/>
  <c r="AX197" i="1" s="1"/>
  <c r="AK205" i="1"/>
  <c r="AX205" i="1" s="1"/>
  <c r="AK209" i="1"/>
  <c r="AX209" i="1" s="1"/>
  <c r="AK168" i="1"/>
  <c r="AX168" i="1" s="1"/>
  <c r="AK169" i="1"/>
  <c r="AX169" i="1" s="1"/>
  <c r="AK165" i="1"/>
  <c r="AX165" i="1" s="1"/>
  <c r="AK160" i="1"/>
  <c r="AX160" i="1" s="1"/>
  <c r="AK159" i="1"/>
  <c r="AX159" i="1" s="1"/>
  <c r="AK154" i="1"/>
  <c r="AX154" i="1" s="1"/>
  <c r="AK178" i="1"/>
  <c r="AX178" i="1" s="1"/>
  <c r="AK161" i="1"/>
  <c r="AX161" i="1" s="1"/>
  <c r="AK132" i="1"/>
  <c r="AX132" i="1" s="1"/>
  <c r="AK166" i="1"/>
  <c r="AX166" i="1" s="1"/>
  <c r="AK153" i="1"/>
  <c r="AX153" i="1" s="1"/>
  <c r="AK129" i="1"/>
  <c r="AX129" i="1" s="1"/>
  <c r="AK155" i="1"/>
  <c r="AX155" i="1" s="1"/>
  <c r="AK150" i="1"/>
  <c r="AX150" i="1" s="1"/>
  <c r="AK148" i="1"/>
  <c r="AX148" i="1" s="1"/>
  <c r="AK139" i="1"/>
  <c r="AX139" i="1" s="1"/>
  <c r="AK156" i="1"/>
  <c r="AX156" i="1" s="1"/>
  <c r="AK174" i="1"/>
  <c r="AX174" i="1" s="1"/>
  <c r="AK149" i="1"/>
  <c r="AX149" i="1" s="1"/>
  <c r="AK151" i="1"/>
  <c r="AX151" i="1" s="1"/>
  <c r="AK143" i="1"/>
  <c r="AX143" i="1" s="1"/>
  <c r="AK146" i="1"/>
  <c r="AX146" i="1" s="1"/>
  <c r="AK133" i="1"/>
  <c r="AX133" i="1" s="1"/>
  <c r="AK122" i="1"/>
  <c r="AX122" i="1" s="1"/>
  <c r="AK120" i="1"/>
  <c r="AX120" i="1" s="1"/>
  <c r="AK130" i="1"/>
  <c r="AX130" i="1" s="1"/>
  <c r="AK124" i="1"/>
  <c r="AX124" i="1" s="1"/>
  <c r="AK118" i="1"/>
  <c r="AX118" i="1" s="1"/>
  <c r="AK116" i="1"/>
  <c r="AX116" i="1" s="1"/>
  <c r="AK138" i="1"/>
  <c r="AX138" i="1" s="1"/>
  <c r="AK112" i="1"/>
  <c r="AX112" i="1" s="1"/>
  <c r="AK126" i="1"/>
  <c r="AX126" i="1" s="1"/>
  <c r="AK142" i="1"/>
  <c r="AX142" i="1" s="1"/>
  <c r="AK137" i="1"/>
  <c r="AX137" i="1" s="1"/>
  <c r="AK111" i="1"/>
  <c r="AX111" i="1" s="1"/>
  <c r="AK103" i="1"/>
  <c r="AX103" i="1" s="1"/>
  <c r="AK110" i="1"/>
  <c r="AX110" i="1" s="1"/>
  <c r="AK93" i="1"/>
  <c r="AX93" i="1" s="1"/>
  <c r="AK123" i="1"/>
  <c r="AX123" i="1" s="1"/>
  <c r="AK119" i="1"/>
  <c r="AX119" i="1" s="1"/>
  <c r="AK115" i="1"/>
  <c r="AX115" i="1" s="1"/>
  <c r="AK95" i="1"/>
  <c r="AX95" i="1" s="1"/>
  <c r="AK49" i="1"/>
  <c r="AX49" i="1" s="1"/>
  <c r="AK91" i="1"/>
  <c r="AX91" i="1" s="1"/>
  <c r="AK82" i="1"/>
  <c r="AX82" i="1" s="1"/>
  <c r="AK74" i="1"/>
  <c r="AX74" i="1" s="1"/>
  <c r="AK83" i="1"/>
  <c r="AX83" i="1" s="1"/>
  <c r="AK99" i="1"/>
  <c r="AX99" i="1" s="1"/>
  <c r="AK69" i="1"/>
  <c r="AX69" i="1" s="1"/>
  <c r="AK85" i="1"/>
  <c r="AX85" i="1" s="1"/>
  <c r="AK94" i="1"/>
  <c r="AX94" i="1" s="1"/>
  <c r="AK86" i="1"/>
  <c r="AX86" i="1" s="1"/>
  <c r="AK66" i="1"/>
  <c r="AX66" i="1" s="1"/>
  <c r="AK62" i="1"/>
  <c r="AX62" i="1" s="1"/>
  <c r="AK54" i="1"/>
  <c r="AX54" i="1" s="1"/>
  <c r="AK46" i="1"/>
  <c r="AX46" i="1" s="1"/>
  <c r="AK71" i="1"/>
  <c r="AX71" i="1" s="1"/>
  <c r="AK63" i="1"/>
  <c r="AX63" i="1" s="1"/>
  <c r="AK55" i="1"/>
  <c r="AX55" i="1" s="1"/>
  <c r="AK47" i="1"/>
  <c r="AX47" i="1" s="1"/>
  <c r="AK67" i="1"/>
  <c r="AX67" i="1" s="1"/>
  <c r="AK72" i="1"/>
  <c r="AX72" i="1" s="1"/>
  <c r="AK64" i="1"/>
  <c r="AX64" i="1" s="1"/>
  <c r="AK56" i="1"/>
  <c r="AX56" i="1" s="1"/>
  <c r="AK48" i="1"/>
  <c r="AX48" i="1" s="1"/>
  <c r="AK68" i="1"/>
  <c r="AX68" i="1" s="1"/>
  <c r="AK58" i="1"/>
  <c r="AX58" i="1" s="1"/>
  <c r="AK50" i="1"/>
  <c r="AX50" i="1" s="1"/>
  <c r="AK76" i="1"/>
  <c r="AX76" i="1" s="1"/>
  <c r="O46" i="4" l="1"/>
  <c r="L47" i="4"/>
  <c r="M47" i="4"/>
  <c r="K48" i="4" a="1"/>
  <c r="K48" i="4" s="1"/>
  <c r="AU44" i="1"/>
  <c r="AJ44" i="1" s="1"/>
  <c r="AT44" i="1"/>
  <c r="AI44" i="1" s="1"/>
  <c r="AS44" i="1"/>
  <c r="AH44" i="1" s="1"/>
  <c r="AR44" i="1"/>
  <c r="AG44" i="1" s="1"/>
  <c r="AQ44" i="1"/>
  <c r="AF44" i="1" s="1"/>
  <c r="AM44" i="1"/>
  <c r="AA44" i="1" s="1"/>
  <c r="B72" i="24"/>
  <c r="B67" i="24" a="1"/>
  <c r="B67" i="24" s="1"/>
  <c r="B32" i="24"/>
  <c r="B13" i="24"/>
  <c r="A43" i="4"/>
  <c r="A44" i="4"/>
  <c r="A45" i="4"/>
  <c r="A42" i="4"/>
  <c r="A41" i="4"/>
  <c r="A44" i="26"/>
  <c r="A94" i="26"/>
  <c r="A95" i="26"/>
  <c r="A96" i="26"/>
  <c r="A93" i="26"/>
  <c r="C124" i="26"/>
  <c r="C105" i="13" s="1"/>
  <c r="L48" i="4" l="1"/>
  <c r="M48" i="4"/>
  <c r="O47" i="4"/>
  <c r="K49" i="4" a="1"/>
  <c r="K49" i="4" s="1"/>
  <c r="AK44" i="1"/>
  <c r="B13" i="36" s="1"/>
  <c r="D45" i="4"/>
  <c r="H45" i="4" s="1"/>
  <c r="C37" i="1"/>
  <c r="C36" i="1"/>
  <c r="C33" i="1"/>
  <c r="C35" i="1"/>
  <c r="B56" i="22"/>
  <c r="A366" i="22" s="1"/>
  <c r="H366" i="22" s="1"/>
  <c r="L366" i="22" s="1"/>
  <c r="B54" i="22"/>
  <c r="A364" i="22" s="1"/>
  <c r="H364" i="22" s="1"/>
  <c r="L364" i="22" s="1"/>
  <c r="B52" i="22"/>
  <c r="A362" i="22" s="1"/>
  <c r="H362" i="22" s="1"/>
  <c r="B51" i="22"/>
  <c r="A361" i="22" s="1"/>
  <c r="H361" i="22" s="1"/>
  <c r="L361" i="22" s="1"/>
  <c r="B50" i="22"/>
  <c r="B25" i="22"/>
  <c r="B26" i="22"/>
  <c r="B27" i="22"/>
  <c r="B28" i="22"/>
  <c r="B29" i="22"/>
  <c r="B24" i="22"/>
  <c r="C115" i="22"/>
  <c r="C116" i="22"/>
  <c r="B362" i="22" l="1"/>
  <c r="C362" i="22" s="1"/>
  <c r="B366" i="22"/>
  <c r="B361" i="22"/>
  <c r="C361" i="22" s="1"/>
  <c r="I361" i="22" s="1"/>
  <c r="B364" i="22"/>
  <c r="I23" i="1" a="1"/>
  <c r="A360" i="22"/>
  <c r="A104" i="22"/>
  <c r="A111" i="22"/>
  <c r="A95" i="22"/>
  <c r="Q1" i="38"/>
  <c r="A105" i="22"/>
  <c r="A102" i="22"/>
  <c r="A96" i="22"/>
  <c r="O1" i="38"/>
  <c r="A106" i="22"/>
  <c r="A89" i="22"/>
  <c r="M1" i="38"/>
  <c r="A107" i="22"/>
  <c r="A90" i="22"/>
  <c r="A97" i="22"/>
  <c r="K1" i="38"/>
  <c r="A109" i="22"/>
  <c r="A93" i="22"/>
  <c r="A108" i="22"/>
  <c r="A91" i="22"/>
  <c r="A88" i="22"/>
  <c r="A92" i="22"/>
  <c r="A103" i="22"/>
  <c r="A94" i="22"/>
  <c r="S1" i="38"/>
  <c r="A110" i="22"/>
  <c r="R1" i="38"/>
  <c r="AS1" i="38" s="1"/>
  <c r="P1" i="38"/>
  <c r="AR1" i="38" s="1"/>
  <c r="N1" i="38"/>
  <c r="AQ1" i="38" s="1"/>
  <c r="L1" i="38"/>
  <c r="AP1" i="38" s="1"/>
  <c r="J1" i="38"/>
  <c r="AO1" i="38" s="1"/>
  <c r="B27" i="1"/>
  <c r="A21" i="4"/>
  <c r="O48" i="4"/>
  <c r="L49" i="4"/>
  <c r="M49" i="4"/>
  <c r="K50" i="4" a="1"/>
  <c r="K50" i="4" s="1"/>
  <c r="BG45" i="1"/>
  <c r="BG46" i="1"/>
  <c r="BE47" i="1"/>
  <c r="BE48" i="1"/>
  <c r="BC49" i="1"/>
  <c r="BK49" i="1"/>
  <c r="BJ50" i="1"/>
  <c r="BI51" i="1"/>
  <c r="BC52" i="1"/>
  <c r="BK52" i="1"/>
  <c r="BD53" i="1"/>
  <c r="BL53" i="1"/>
  <c r="BJ54" i="1"/>
  <c r="BD55" i="1"/>
  <c r="BL55" i="1"/>
  <c r="BE56" i="1"/>
  <c r="BE57" i="1"/>
  <c r="BF58" i="1"/>
  <c r="BD59" i="1"/>
  <c r="BL59" i="1"/>
  <c r="BF60" i="1"/>
  <c r="BF61" i="1"/>
  <c r="BC62" i="1"/>
  <c r="BK62" i="1"/>
  <c r="BD63" i="1"/>
  <c r="BL63" i="1"/>
  <c r="BF64" i="1"/>
  <c r="BH65" i="1"/>
  <c r="BG66" i="1"/>
  <c r="BG67" i="1"/>
  <c r="BG68" i="1"/>
  <c r="BD69" i="1"/>
  <c r="BL69" i="1"/>
  <c r="BE70" i="1"/>
  <c r="BF71" i="1"/>
  <c r="BG72" i="1"/>
  <c r="BE73" i="1"/>
  <c r="BH45" i="1"/>
  <c r="BH46" i="1"/>
  <c r="BF47" i="1"/>
  <c r="BF48" i="1"/>
  <c r="BD49" i="1"/>
  <c r="BL49" i="1"/>
  <c r="BC50" i="1"/>
  <c r="BK50" i="1"/>
  <c r="BJ51" i="1"/>
  <c r="BD52" i="1"/>
  <c r="BL52" i="1"/>
  <c r="BE53" i="1"/>
  <c r="BC54" i="1"/>
  <c r="BK54" i="1"/>
  <c r="BE55" i="1"/>
  <c r="BF56" i="1"/>
  <c r="BF57" i="1"/>
  <c r="BG58" i="1"/>
  <c r="BE59" i="1"/>
  <c r="BG60" i="1"/>
  <c r="BG61" i="1"/>
  <c r="BD62" i="1"/>
  <c r="BL62" i="1"/>
  <c r="BE63" i="1"/>
  <c r="BG64" i="1"/>
  <c r="BI65" i="1"/>
  <c r="BH66" i="1"/>
  <c r="BH67" i="1"/>
  <c r="BH68" i="1"/>
  <c r="BE69" i="1"/>
  <c r="BF70" i="1"/>
  <c r="BG71" i="1"/>
  <c r="BH72" i="1"/>
  <c r="BF73" i="1"/>
  <c r="BE74" i="1"/>
  <c r="BF75" i="1"/>
  <c r="BF76" i="1"/>
  <c r="BF77" i="1"/>
  <c r="BG78" i="1"/>
  <c r="BH79" i="1"/>
  <c r="BI80" i="1"/>
  <c r="BJ81" i="1"/>
  <c r="BH82" i="1"/>
  <c r="BI83" i="1"/>
  <c r="BJ84" i="1"/>
  <c r="BJ45" i="1"/>
  <c r="BJ46" i="1"/>
  <c r="BH47" i="1"/>
  <c r="BH48" i="1"/>
  <c r="BF49" i="1"/>
  <c r="BE50" i="1"/>
  <c r="BD51" i="1"/>
  <c r="BL51" i="1"/>
  <c r="BF52" i="1"/>
  <c r="BG53" i="1"/>
  <c r="BE54" i="1"/>
  <c r="BG55" i="1"/>
  <c r="BH56" i="1"/>
  <c r="BH57" i="1"/>
  <c r="BI58" i="1"/>
  <c r="BG59" i="1"/>
  <c r="BI60" i="1"/>
  <c r="BI61" i="1"/>
  <c r="BF62" i="1"/>
  <c r="BG63" i="1"/>
  <c r="BI64" i="1"/>
  <c r="BC65" i="1"/>
  <c r="BK65" i="1"/>
  <c r="BJ66" i="1"/>
  <c r="BJ67" i="1"/>
  <c r="BJ68" i="1"/>
  <c r="BC45" i="1"/>
  <c r="BK45" i="1"/>
  <c r="BC46" i="1"/>
  <c r="BK46" i="1"/>
  <c r="BI47" i="1"/>
  <c r="BI48" i="1"/>
  <c r="BG49" i="1"/>
  <c r="BF50" i="1"/>
  <c r="BE51" i="1"/>
  <c r="BG52" i="1"/>
  <c r="BH53" i="1"/>
  <c r="BF54" i="1"/>
  <c r="BH55" i="1"/>
  <c r="BI56" i="1"/>
  <c r="BI57" i="1"/>
  <c r="BJ58" i="1"/>
  <c r="BH59" i="1"/>
  <c r="BJ60" i="1"/>
  <c r="BJ61" i="1"/>
  <c r="BG62" i="1"/>
  <c r="BH63" i="1"/>
  <c r="BJ64" i="1"/>
  <c r="BD65" i="1"/>
  <c r="BL65" i="1"/>
  <c r="BC66" i="1"/>
  <c r="BK66" i="1"/>
  <c r="BC67" i="1"/>
  <c r="BK67" i="1"/>
  <c r="BC68" i="1"/>
  <c r="BK68" i="1"/>
  <c r="BH69" i="1"/>
  <c r="BI70" i="1"/>
  <c r="BJ71" i="1"/>
  <c r="BC72" i="1"/>
  <c r="BK72" i="1"/>
  <c r="BI73" i="1"/>
  <c r="BH74" i="1"/>
  <c r="BI75" i="1"/>
  <c r="BI76" i="1"/>
  <c r="BI77" i="1"/>
  <c r="BJ78" i="1"/>
  <c r="BC79" i="1"/>
  <c r="BK79" i="1"/>
  <c r="BD80" i="1"/>
  <c r="BL80" i="1"/>
  <c r="BE81" i="1"/>
  <c r="BC82" i="1"/>
  <c r="BK82" i="1"/>
  <c r="BD83" i="1"/>
  <c r="BL83" i="1"/>
  <c r="BE84" i="1"/>
  <c r="BE85" i="1"/>
  <c r="BC86" i="1"/>
  <c r="BK86" i="1"/>
  <c r="BE87" i="1"/>
  <c r="BF88" i="1"/>
  <c r="BG89" i="1"/>
  <c r="BE90" i="1"/>
  <c r="BE91" i="1"/>
  <c r="BF92" i="1"/>
  <c r="BF93" i="1"/>
  <c r="BF94" i="1"/>
  <c r="BG95" i="1"/>
  <c r="BG96" i="1"/>
  <c r="BF97" i="1"/>
  <c r="BF98" i="1"/>
  <c r="BG99" i="1"/>
  <c r="BH100" i="1"/>
  <c r="BD45" i="1"/>
  <c r="BL45" i="1"/>
  <c r="BD46" i="1"/>
  <c r="BL46" i="1"/>
  <c r="BJ47" i="1"/>
  <c r="BJ48" i="1"/>
  <c r="BH49" i="1"/>
  <c r="BG50" i="1"/>
  <c r="BF51" i="1"/>
  <c r="BH52" i="1"/>
  <c r="BI53" i="1"/>
  <c r="BG54" i="1"/>
  <c r="BI55" i="1"/>
  <c r="BJ56" i="1"/>
  <c r="BJ57" i="1"/>
  <c r="BC58" i="1"/>
  <c r="BK58" i="1"/>
  <c r="BI59" i="1"/>
  <c r="BC60" i="1"/>
  <c r="BK60" i="1"/>
  <c r="BC61" i="1"/>
  <c r="BK61" i="1"/>
  <c r="BH62" i="1"/>
  <c r="BI63" i="1"/>
  <c r="BC64" i="1"/>
  <c r="BK64" i="1"/>
  <c r="BE65" i="1"/>
  <c r="BD66" i="1"/>
  <c r="BL66" i="1"/>
  <c r="BD67" i="1"/>
  <c r="BL67" i="1"/>
  <c r="BD68" i="1"/>
  <c r="BL68" i="1"/>
  <c r="BI69" i="1"/>
  <c r="BJ70" i="1"/>
  <c r="BC71" i="1"/>
  <c r="BK71" i="1"/>
  <c r="BD72" i="1"/>
  <c r="BL72" i="1"/>
  <c r="BJ73" i="1"/>
  <c r="BI74" i="1"/>
  <c r="BJ75" i="1"/>
  <c r="BJ76" i="1"/>
  <c r="BJ77" i="1"/>
  <c r="BC78" i="1"/>
  <c r="BK78" i="1"/>
  <c r="BD79" i="1"/>
  <c r="BL79" i="1"/>
  <c r="BE80" i="1"/>
  <c r="BF81" i="1"/>
  <c r="BD82" i="1"/>
  <c r="BL82" i="1"/>
  <c r="BE83" i="1"/>
  <c r="BF84" i="1"/>
  <c r="BF85" i="1"/>
  <c r="BD86" i="1"/>
  <c r="BL86" i="1"/>
  <c r="BF87" i="1"/>
  <c r="BL47" i="1"/>
  <c r="BG48" i="1"/>
  <c r="BE49" i="1"/>
  <c r="BH50" i="1"/>
  <c r="BC51" i="1"/>
  <c r="BE52" i="1"/>
  <c r="BF53" i="1"/>
  <c r="BD54" i="1"/>
  <c r="BC55" i="1"/>
  <c r="BL57" i="1"/>
  <c r="BL58" i="1"/>
  <c r="BF59" i="1"/>
  <c r="BE60" i="1"/>
  <c r="BE61" i="1"/>
  <c r="BI68" i="1"/>
  <c r="BC69" i="1"/>
  <c r="BL71" i="1"/>
  <c r="BI72" i="1"/>
  <c r="BC73" i="1"/>
  <c r="BG74" i="1"/>
  <c r="BC75" i="1"/>
  <c r="BG76" i="1"/>
  <c r="BH78" i="1"/>
  <c r="BE79" i="1"/>
  <c r="BH81" i="1"/>
  <c r="BH83" i="1"/>
  <c r="BC84" i="1"/>
  <c r="BI85" i="1"/>
  <c r="BI86" i="1"/>
  <c r="BG87" i="1"/>
  <c r="BJ88" i="1"/>
  <c r="BD89" i="1"/>
  <c r="BD90" i="1"/>
  <c r="BF91" i="1"/>
  <c r="BH92" i="1"/>
  <c r="BJ93" i="1"/>
  <c r="BC94" i="1"/>
  <c r="BL94" i="1"/>
  <c r="BF95" i="1"/>
  <c r="BI96" i="1"/>
  <c r="BJ97" i="1"/>
  <c r="BC98" i="1"/>
  <c r="BL98" i="1"/>
  <c r="BF99" i="1"/>
  <c r="BI100" i="1"/>
  <c r="BG101" i="1"/>
  <c r="BD102" i="1"/>
  <c r="BL102" i="1"/>
  <c r="BD103" i="1"/>
  <c r="BL103" i="1"/>
  <c r="BE104" i="1"/>
  <c r="BD105" i="1"/>
  <c r="BL105" i="1"/>
  <c r="BC106" i="1"/>
  <c r="BK106" i="1"/>
  <c r="BC107" i="1"/>
  <c r="BK107" i="1"/>
  <c r="BD108" i="1"/>
  <c r="BL108" i="1"/>
  <c r="BD109" i="1"/>
  <c r="BL109" i="1"/>
  <c r="BD110" i="1"/>
  <c r="BL110" i="1"/>
  <c r="BD111" i="1"/>
  <c r="BL111" i="1"/>
  <c r="BC112" i="1"/>
  <c r="BK112" i="1"/>
  <c r="BJ113" i="1"/>
  <c r="BI114" i="1"/>
  <c r="BK48" i="1"/>
  <c r="BI49" i="1"/>
  <c r="BI50" i="1"/>
  <c r="BG51" i="1"/>
  <c r="BI52" i="1"/>
  <c r="BJ53" i="1"/>
  <c r="BH54" i="1"/>
  <c r="BF55" i="1"/>
  <c r="BC56" i="1"/>
  <c r="BJ59" i="1"/>
  <c r="BH60" i="1"/>
  <c r="BH61" i="1"/>
  <c r="BF69" i="1"/>
  <c r="BJ72" i="1"/>
  <c r="BD73" i="1"/>
  <c r="BJ74" i="1"/>
  <c r="BD75" i="1"/>
  <c r="BH76" i="1"/>
  <c r="BC77" i="1"/>
  <c r="BI78" i="1"/>
  <c r="BF79" i="1"/>
  <c r="BI81" i="1"/>
  <c r="BJ83" i="1"/>
  <c r="BD84" i="1"/>
  <c r="BJ85" i="1"/>
  <c r="BJ86" i="1"/>
  <c r="BH87" i="1"/>
  <c r="BK88" i="1"/>
  <c r="BE89" i="1"/>
  <c r="BF90" i="1"/>
  <c r="BG91" i="1"/>
  <c r="BI92" i="1"/>
  <c r="BK93" i="1"/>
  <c r="BD94" i="1"/>
  <c r="BH95" i="1"/>
  <c r="BJ96" i="1"/>
  <c r="BK97" i="1"/>
  <c r="BD98" i="1"/>
  <c r="BH99" i="1"/>
  <c r="BJ100" i="1"/>
  <c r="BH101" i="1"/>
  <c r="BE102" i="1"/>
  <c r="BE103" i="1"/>
  <c r="BF104" i="1"/>
  <c r="BE105" i="1"/>
  <c r="BD106" i="1"/>
  <c r="BL106" i="1"/>
  <c r="BD107" i="1"/>
  <c r="BL107" i="1"/>
  <c r="BE108" i="1"/>
  <c r="BE109" i="1"/>
  <c r="BE110" i="1"/>
  <c r="BE111" i="1"/>
  <c r="BD112" i="1"/>
  <c r="BL112" i="1"/>
  <c r="BC113" i="1"/>
  <c r="BK113" i="1"/>
  <c r="BJ114" i="1"/>
  <c r="BJ115" i="1"/>
  <c r="BJ116" i="1"/>
  <c r="BJ117" i="1"/>
  <c r="BJ118" i="1"/>
  <c r="BJ119" i="1"/>
  <c r="BJ120" i="1"/>
  <c r="BI121" i="1"/>
  <c r="BL48" i="1"/>
  <c r="BJ49" i="1"/>
  <c r="BL50" i="1"/>
  <c r="BH51" i="1"/>
  <c r="BJ52" i="1"/>
  <c r="BK53" i="1"/>
  <c r="BI54" i="1"/>
  <c r="BJ55" i="1"/>
  <c r="BD56" i="1"/>
  <c r="BK59" i="1"/>
  <c r="BL60" i="1"/>
  <c r="BL61" i="1"/>
  <c r="BG69" i="1"/>
  <c r="BC70" i="1"/>
  <c r="BG73" i="1"/>
  <c r="BK74" i="1"/>
  <c r="BE75" i="1"/>
  <c r="BK76" i="1"/>
  <c r="BD77" i="1"/>
  <c r="BL78" i="1"/>
  <c r="BG79" i="1"/>
  <c r="BC80" i="1"/>
  <c r="BK81" i="1"/>
  <c r="BK83" i="1"/>
  <c r="BG84" i="1"/>
  <c r="BK85" i="1"/>
  <c r="BI87" i="1"/>
  <c r="BC88" i="1"/>
  <c r="BL88" i="1"/>
  <c r="BF89" i="1"/>
  <c r="BG90" i="1"/>
  <c r="BH91" i="1"/>
  <c r="BJ92" i="1"/>
  <c r="BC93" i="1"/>
  <c r="BL93" i="1"/>
  <c r="BE94" i="1"/>
  <c r="BI95" i="1"/>
  <c r="BK96" i="1"/>
  <c r="BC97" i="1"/>
  <c r="BL97" i="1"/>
  <c r="BE98" i="1"/>
  <c r="BE45" i="1"/>
  <c r="BE46" i="1"/>
  <c r="BK51" i="1"/>
  <c r="BL54" i="1"/>
  <c r="BK55" i="1"/>
  <c r="BG56" i="1"/>
  <c r="BC63" i="1"/>
  <c r="BD64" i="1"/>
  <c r="BF65" i="1"/>
  <c r="BJ69" i="1"/>
  <c r="BD70" i="1"/>
  <c r="BH73" i="1"/>
  <c r="BL74" i="1"/>
  <c r="BG75" i="1"/>
  <c r="BL76" i="1"/>
  <c r="BE77" i="1"/>
  <c r="BI79" i="1"/>
  <c r="BF80" i="1"/>
  <c r="BL81" i="1"/>
  <c r="BE82" i="1"/>
  <c r="BH84" i="1"/>
  <c r="BL85" i="1"/>
  <c r="BJ87" i="1"/>
  <c r="BD88" i="1"/>
  <c r="BH89" i="1"/>
  <c r="BH90" i="1"/>
  <c r="BI91" i="1"/>
  <c r="BK92" i="1"/>
  <c r="BD93" i="1"/>
  <c r="BG94" i="1"/>
  <c r="BJ95" i="1"/>
  <c r="BC96" i="1"/>
  <c r="BL96" i="1"/>
  <c r="BD97" i="1"/>
  <c r="BG98" i="1"/>
  <c r="BJ99" i="1"/>
  <c r="BC100" i="1"/>
  <c r="BL100" i="1"/>
  <c r="BJ101" i="1"/>
  <c r="BG102" i="1"/>
  <c r="BG103" i="1"/>
  <c r="BH104" i="1"/>
  <c r="BG105" i="1"/>
  <c r="BF106" i="1"/>
  <c r="BF107" i="1"/>
  <c r="BG108" i="1"/>
  <c r="BG109" i="1"/>
  <c r="BG110" i="1"/>
  <c r="BG111" i="1"/>
  <c r="BF112" i="1"/>
  <c r="BE113" i="1"/>
  <c r="BF45" i="1"/>
  <c r="BF46" i="1"/>
  <c r="BC47" i="1"/>
  <c r="BK56" i="1"/>
  <c r="BC57" i="1"/>
  <c r="BE62" i="1"/>
  <c r="BF63" i="1"/>
  <c r="BE64" i="1"/>
  <c r="BG65" i="1"/>
  <c r="BE66" i="1"/>
  <c r="BK69" i="1"/>
  <c r="BG70" i="1"/>
  <c r="BD71" i="1"/>
  <c r="BK73" i="1"/>
  <c r="BH75" i="1"/>
  <c r="BG77" i="1"/>
  <c r="BJ79" i="1"/>
  <c r="BG80" i="1"/>
  <c r="BF82" i="1"/>
  <c r="BI84" i="1"/>
  <c r="BC85" i="1"/>
  <c r="BE86" i="1"/>
  <c r="BK87" i="1"/>
  <c r="BE88" i="1"/>
  <c r="BI89" i="1"/>
  <c r="BI90" i="1"/>
  <c r="BJ91" i="1"/>
  <c r="BC92" i="1"/>
  <c r="BL92" i="1"/>
  <c r="BE93" i="1"/>
  <c r="BH94" i="1"/>
  <c r="BK95" i="1"/>
  <c r="BD96" i="1"/>
  <c r="BE97" i="1"/>
  <c r="BH98" i="1"/>
  <c r="BK99" i="1"/>
  <c r="BD100" i="1"/>
  <c r="BC101" i="1"/>
  <c r="BK101" i="1"/>
  <c r="BH102" i="1"/>
  <c r="BH103" i="1"/>
  <c r="BI104" i="1"/>
  <c r="BH105" i="1"/>
  <c r="BG106" i="1"/>
  <c r="BG107" i="1"/>
  <c r="BH108" i="1"/>
  <c r="BH109" i="1"/>
  <c r="BH110" i="1"/>
  <c r="BH111" i="1"/>
  <c r="BG112" i="1"/>
  <c r="BF113" i="1"/>
  <c r="BE114" i="1"/>
  <c r="BE115" i="1"/>
  <c r="BE116" i="1"/>
  <c r="BE117" i="1"/>
  <c r="BE118" i="1"/>
  <c r="BE119" i="1"/>
  <c r="BE120" i="1"/>
  <c r="BD121" i="1"/>
  <c r="BL121" i="1"/>
  <c r="BI45" i="1"/>
  <c r="BI46" i="1"/>
  <c r="BD47" i="1"/>
  <c r="BL56" i="1"/>
  <c r="BD57" i="1"/>
  <c r="BD58" i="1"/>
  <c r="BI62" i="1"/>
  <c r="BJ63" i="1"/>
  <c r="BH64" i="1"/>
  <c r="BJ65" i="1"/>
  <c r="BF66" i="1"/>
  <c r="BE67" i="1"/>
  <c r="BH70" i="1"/>
  <c r="BE71" i="1"/>
  <c r="BL73" i="1"/>
  <c r="BC74" i="1"/>
  <c r="BK75" i="1"/>
  <c r="BC76" i="1"/>
  <c r="BH77" i="1"/>
  <c r="BD78" i="1"/>
  <c r="BH80" i="1"/>
  <c r="BC81" i="1"/>
  <c r="BG82" i="1"/>
  <c r="BC83" i="1"/>
  <c r="BK84" i="1"/>
  <c r="BD85" i="1"/>
  <c r="BF86" i="1"/>
  <c r="BL87" i="1"/>
  <c r="BG88" i="1"/>
  <c r="BJ89" i="1"/>
  <c r="BJ90" i="1"/>
  <c r="BK91" i="1"/>
  <c r="BD92" i="1"/>
  <c r="BG93" i="1"/>
  <c r="BI94" i="1"/>
  <c r="BC95" i="1"/>
  <c r="BL95" i="1"/>
  <c r="BE96" i="1"/>
  <c r="BG97" i="1"/>
  <c r="BI98" i="1"/>
  <c r="BC99" i="1"/>
  <c r="BL99" i="1"/>
  <c r="BE100" i="1"/>
  <c r="BD101" i="1"/>
  <c r="BL101" i="1"/>
  <c r="BI102" i="1"/>
  <c r="BI103" i="1"/>
  <c r="BJ104" i="1"/>
  <c r="BI105" i="1"/>
  <c r="BH106" i="1"/>
  <c r="BH107" i="1"/>
  <c r="BI108" i="1"/>
  <c r="BI109" i="1"/>
  <c r="BI110" i="1"/>
  <c r="BI111" i="1"/>
  <c r="BH112" i="1"/>
  <c r="BG113" i="1"/>
  <c r="BF114" i="1"/>
  <c r="BF115" i="1"/>
  <c r="BF116" i="1"/>
  <c r="BF117" i="1"/>
  <c r="BF118" i="1"/>
  <c r="BF119" i="1"/>
  <c r="BF120" i="1"/>
  <c r="BE121" i="1"/>
  <c r="BD122" i="1"/>
  <c r="BL122" i="1"/>
  <c r="BD123" i="1"/>
  <c r="BL123" i="1"/>
  <c r="BE124" i="1"/>
  <c r="BG47" i="1"/>
  <c r="BC48" i="1"/>
  <c r="BG57" i="1"/>
  <c r="BE58" i="1"/>
  <c r="BJ62" i="1"/>
  <c r="BK63" i="1"/>
  <c r="BL64" i="1"/>
  <c r="BI66" i="1"/>
  <c r="BF67" i="1"/>
  <c r="BE68" i="1"/>
  <c r="BK70" i="1"/>
  <c r="BH71" i="1"/>
  <c r="BE72" i="1"/>
  <c r="BD74" i="1"/>
  <c r="BL75" i="1"/>
  <c r="BD76" i="1"/>
  <c r="BK77" i="1"/>
  <c r="BE78" i="1"/>
  <c r="BJ80" i="1"/>
  <c r="BD81" i="1"/>
  <c r="BI82" i="1"/>
  <c r="BF83" i="1"/>
  <c r="BL84" i="1"/>
  <c r="BG85" i="1"/>
  <c r="BG86" i="1"/>
  <c r="BC87" i="1"/>
  <c r="BH88" i="1"/>
  <c r="BK89" i="1"/>
  <c r="BK90" i="1"/>
  <c r="BC91" i="1"/>
  <c r="BL91" i="1"/>
  <c r="BE92" i="1"/>
  <c r="BH93" i="1"/>
  <c r="BJ94" i="1"/>
  <c r="BD95" i="1"/>
  <c r="BF96" i="1"/>
  <c r="BH97" i="1"/>
  <c r="BJ98" i="1"/>
  <c r="BD99" i="1"/>
  <c r="BF100" i="1"/>
  <c r="BE101" i="1"/>
  <c r="BJ102" i="1"/>
  <c r="BJ103" i="1"/>
  <c r="BC104" i="1"/>
  <c r="BK104" i="1"/>
  <c r="BJ105" i="1"/>
  <c r="BI106" i="1"/>
  <c r="BI107" i="1"/>
  <c r="BJ108" i="1"/>
  <c r="BJ109" i="1"/>
  <c r="BJ110" i="1"/>
  <c r="BJ111" i="1"/>
  <c r="BI112" i="1"/>
  <c r="BH113" i="1"/>
  <c r="BG114" i="1"/>
  <c r="BG115" i="1"/>
  <c r="BG116" i="1"/>
  <c r="BG117" i="1"/>
  <c r="BG118" i="1"/>
  <c r="BG119" i="1"/>
  <c r="BK57" i="1"/>
  <c r="BK80" i="1"/>
  <c r="BD87" i="1"/>
  <c r="BD91" i="1"/>
  <c r="BK94" i="1"/>
  <c r="BI97" i="1"/>
  <c r="BL115" i="1"/>
  <c r="BH116" i="1"/>
  <c r="BL118" i="1"/>
  <c r="BI119" i="1"/>
  <c r="BC120" i="1"/>
  <c r="BH121" i="1"/>
  <c r="BJ122" i="1"/>
  <c r="BC123" i="1"/>
  <c r="BG124" i="1"/>
  <c r="BG125" i="1"/>
  <c r="BH126" i="1"/>
  <c r="BG127" i="1"/>
  <c r="BG128" i="1"/>
  <c r="BF129" i="1"/>
  <c r="BG130" i="1"/>
  <c r="BF131" i="1"/>
  <c r="BH132" i="1"/>
  <c r="BD133" i="1"/>
  <c r="BL133" i="1"/>
  <c r="BD134" i="1"/>
  <c r="BL134" i="1"/>
  <c r="BC135" i="1"/>
  <c r="BK135" i="1"/>
  <c r="BJ136" i="1"/>
  <c r="BH137" i="1"/>
  <c r="BI138" i="1"/>
  <c r="BH139" i="1"/>
  <c r="BG140" i="1"/>
  <c r="BG141" i="1"/>
  <c r="BF142" i="1"/>
  <c r="BG143" i="1"/>
  <c r="BF144" i="1"/>
  <c r="BF145" i="1"/>
  <c r="BF146" i="1"/>
  <c r="BF147" i="1"/>
  <c r="BG148" i="1"/>
  <c r="BF149" i="1"/>
  <c r="BG150" i="1"/>
  <c r="BG151" i="1"/>
  <c r="BG152" i="1"/>
  <c r="BF153" i="1"/>
  <c r="BF154" i="1"/>
  <c r="BG155" i="1"/>
  <c r="BG156" i="1"/>
  <c r="BE157" i="1"/>
  <c r="BE158" i="1"/>
  <c r="BF159" i="1"/>
  <c r="BF160" i="1"/>
  <c r="BD161" i="1"/>
  <c r="BL161" i="1"/>
  <c r="BD162" i="1"/>
  <c r="BL162" i="1"/>
  <c r="BD163" i="1"/>
  <c r="BL163" i="1"/>
  <c r="BD60" i="1"/>
  <c r="BF74" i="1"/>
  <c r="BG83" i="1"/>
  <c r="BC90" i="1"/>
  <c r="BC108" i="1"/>
  <c r="BD113" i="1"/>
  <c r="BI116" i="1"/>
  <c r="BC117" i="1"/>
  <c r="BK119" i="1"/>
  <c r="BD120" i="1"/>
  <c r="BJ121" i="1"/>
  <c r="BK122" i="1"/>
  <c r="BE123" i="1"/>
  <c r="BH124" i="1"/>
  <c r="BH125" i="1"/>
  <c r="BI126" i="1"/>
  <c r="BH127" i="1"/>
  <c r="BH128" i="1"/>
  <c r="BG129" i="1"/>
  <c r="BH130" i="1"/>
  <c r="BG131" i="1"/>
  <c r="BI132" i="1"/>
  <c r="BE133" i="1"/>
  <c r="BE134" i="1"/>
  <c r="BD135" i="1"/>
  <c r="BL135" i="1"/>
  <c r="BC136" i="1"/>
  <c r="BK136" i="1"/>
  <c r="BI137" i="1"/>
  <c r="BJ138" i="1"/>
  <c r="BI139" i="1"/>
  <c r="BH140" i="1"/>
  <c r="BH141" i="1"/>
  <c r="BG142" i="1"/>
  <c r="BH143" i="1"/>
  <c r="BG144" i="1"/>
  <c r="BG145" i="1"/>
  <c r="BG146" i="1"/>
  <c r="BG147" i="1"/>
  <c r="BH148" i="1"/>
  <c r="BG149" i="1"/>
  <c r="BH150" i="1"/>
  <c r="BH151" i="1"/>
  <c r="BH152" i="1"/>
  <c r="BG153" i="1"/>
  <c r="BG154" i="1"/>
  <c r="BH155" i="1"/>
  <c r="BH156" i="1"/>
  <c r="BF157" i="1"/>
  <c r="BF158" i="1"/>
  <c r="BG159" i="1"/>
  <c r="BL70" i="1"/>
  <c r="BL77" i="1"/>
  <c r="BC89" i="1"/>
  <c r="BL90" i="1"/>
  <c r="BG100" i="1"/>
  <c r="BF101" i="1"/>
  <c r="BC102" i="1"/>
  <c r="BC103" i="1"/>
  <c r="BD104" i="1"/>
  <c r="BF108" i="1"/>
  <c r="BC109" i="1"/>
  <c r="BC110" i="1"/>
  <c r="BC111" i="1"/>
  <c r="BI113" i="1"/>
  <c r="BC114" i="1"/>
  <c r="BK116" i="1"/>
  <c r="BD117" i="1"/>
  <c r="BL119" i="1"/>
  <c r="BG120" i="1"/>
  <c r="BK121" i="1"/>
  <c r="BC122" i="1"/>
  <c r="BF123" i="1"/>
  <c r="BI124" i="1"/>
  <c r="BI125" i="1"/>
  <c r="BJ126" i="1"/>
  <c r="BI127" i="1"/>
  <c r="BI128" i="1"/>
  <c r="BH129" i="1"/>
  <c r="BI130" i="1"/>
  <c r="BH131" i="1"/>
  <c r="BJ132" i="1"/>
  <c r="BF133" i="1"/>
  <c r="BJ82" i="1"/>
  <c r="BH86" i="1"/>
  <c r="BL89" i="1"/>
  <c r="BI93" i="1"/>
  <c r="BH96" i="1"/>
  <c r="BE99" i="1"/>
  <c r="BK100" i="1"/>
  <c r="BI101" i="1"/>
  <c r="BF102" i="1"/>
  <c r="BF103" i="1"/>
  <c r="BG104" i="1"/>
  <c r="BC105" i="1"/>
  <c r="BE107" i="1"/>
  <c r="BK108" i="1"/>
  <c r="BF109" i="1"/>
  <c r="BF110" i="1"/>
  <c r="BF111" i="1"/>
  <c r="BE112" i="1"/>
  <c r="BL113" i="1"/>
  <c r="BD114" i="1"/>
  <c r="BC115" i="1"/>
  <c r="BL116" i="1"/>
  <c r="BH117" i="1"/>
  <c r="BC118" i="1"/>
  <c r="BH120" i="1"/>
  <c r="BE122" i="1"/>
  <c r="BG123" i="1"/>
  <c r="BJ124" i="1"/>
  <c r="BJ125" i="1"/>
  <c r="BC126" i="1"/>
  <c r="BK126" i="1"/>
  <c r="BJ127" i="1"/>
  <c r="BJ128" i="1"/>
  <c r="BI129" i="1"/>
  <c r="BJ130" i="1"/>
  <c r="BI131" i="1"/>
  <c r="BC132" i="1"/>
  <c r="BK132" i="1"/>
  <c r="BG133" i="1"/>
  <c r="BG134" i="1"/>
  <c r="BF135" i="1"/>
  <c r="BE136" i="1"/>
  <c r="BC137" i="1"/>
  <c r="BK137" i="1"/>
  <c r="BD138" i="1"/>
  <c r="BL138" i="1"/>
  <c r="BC139" i="1"/>
  <c r="BK139" i="1"/>
  <c r="BJ140" i="1"/>
  <c r="BJ141" i="1"/>
  <c r="BI142" i="1"/>
  <c r="BJ143" i="1"/>
  <c r="BI144" i="1"/>
  <c r="BI145" i="1"/>
  <c r="BI146" i="1"/>
  <c r="BI147" i="1"/>
  <c r="BJ148" i="1"/>
  <c r="BI149" i="1"/>
  <c r="BJ150" i="1"/>
  <c r="BJ151" i="1"/>
  <c r="BJ152" i="1"/>
  <c r="BI153" i="1"/>
  <c r="BI154" i="1"/>
  <c r="BJ155" i="1"/>
  <c r="BJ156" i="1"/>
  <c r="BH157" i="1"/>
  <c r="BD48" i="1"/>
  <c r="BC53" i="1"/>
  <c r="BC59" i="1"/>
  <c r="BE76" i="1"/>
  <c r="BH85" i="1"/>
  <c r="BI99" i="1"/>
  <c r="BK102" i="1"/>
  <c r="BK103" i="1"/>
  <c r="BL104" i="1"/>
  <c r="BF105" i="1"/>
  <c r="BE106" i="1"/>
  <c r="BJ107" i="1"/>
  <c r="BK109" i="1"/>
  <c r="BK110" i="1"/>
  <c r="BK111" i="1"/>
  <c r="BJ112" i="1"/>
  <c r="BH114" i="1"/>
  <c r="BD115" i="1"/>
  <c r="BI117" i="1"/>
  <c r="BD118" i="1"/>
  <c r="BI120" i="1"/>
  <c r="BF122" i="1"/>
  <c r="BH123" i="1"/>
  <c r="BK124" i="1"/>
  <c r="BC125" i="1"/>
  <c r="BK125" i="1"/>
  <c r="BD126" i="1"/>
  <c r="BL126" i="1"/>
  <c r="BC127" i="1"/>
  <c r="BK127" i="1"/>
  <c r="BC128" i="1"/>
  <c r="BK128" i="1"/>
  <c r="BJ129" i="1"/>
  <c r="BC130" i="1"/>
  <c r="BK130" i="1"/>
  <c r="BJ131" i="1"/>
  <c r="BD132" i="1"/>
  <c r="BL132" i="1"/>
  <c r="BH133" i="1"/>
  <c r="BH134" i="1"/>
  <c r="BG135" i="1"/>
  <c r="BF136" i="1"/>
  <c r="BD137" i="1"/>
  <c r="BL137" i="1"/>
  <c r="BE138" i="1"/>
  <c r="BD139" i="1"/>
  <c r="BL139" i="1"/>
  <c r="BC140" i="1"/>
  <c r="BK140" i="1"/>
  <c r="BH58" i="1"/>
  <c r="BF72" i="1"/>
  <c r="BG81" i="1"/>
  <c r="BI88" i="1"/>
  <c r="BG92" i="1"/>
  <c r="BE95" i="1"/>
  <c r="BK105" i="1"/>
  <c r="BJ106" i="1"/>
  <c r="BK114" i="1"/>
  <c r="BH115" i="1"/>
  <c r="BK117" i="1"/>
  <c r="BH118" i="1"/>
  <c r="BC119" i="1"/>
  <c r="BK120" i="1"/>
  <c r="BC121" i="1"/>
  <c r="BG122" i="1"/>
  <c r="BI123" i="1"/>
  <c r="BC124" i="1"/>
  <c r="BL124" i="1"/>
  <c r="BD125" i="1"/>
  <c r="BL125" i="1"/>
  <c r="BE126" i="1"/>
  <c r="BD127" i="1"/>
  <c r="BL127" i="1"/>
  <c r="BD128" i="1"/>
  <c r="BL128" i="1"/>
  <c r="BC129" i="1"/>
  <c r="BK129" i="1"/>
  <c r="BD130" i="1"/>
  <c r="BL130" i="1"/>
  <c r="BC131" i="1"/>
  <c r="BK131" i="1"/>
  <c r="BE132" i="1"/>
  <c r="BI133" i="1"/>
  <c r="BI134" i="1"/>
  <c r="BH135" i="1"/>
  <c r="BG136" i="1"/>
  <c r="BE137" i="1"/>
  <c r="BF138" i="1"/>
  <c r="BE139" i="1"/>
  <c r="BD140" i="1"/>
  <c r="BL140" i="1"/>
  <c r="BD141" i="1"/>
  <c r="BL141" i="1"/>
  <c r="BC142" i="1"/>
  <c r="BK142" i="1"/>
  <c r="BD143" i="1"/>
  <c r="BL143" i="1"/>
  <c r="BC144" i="1"/>
  <c r="BK144" i="1"/>
  <c r="BC145" i="1"/>
  <c r="BK145" i="1"/>
  <c r="BC146" i="1"/>
  <c r="BK146" i="1"/>
  <c r="BC147" i="1"/>
  <c r="BK147" i="1"/>
  <c r="BD148" i="1"/>
  <c r="BL148" i="1"/>
  <c r="BC149" i="1"/>
  <c r="BK149" i="1"/>
  <c r="BD150" i="1"/>
  <c r="BL150" i="1"/>
  <c r="BD151" i="1"/>
  <c r="BL151" i="1"/>
  <c r="BD152" i="1"/>
  <c r="BL152" i="1"/>
  <c r="BC153" i="1"/>
  <c r="BK153" i="1"/>
  <c r="BC154" i="1"/>
  <c r="BK154" i="1"/>
  <c r="BD155" i="1"/>
  <c r="BL155" i="1"/>
  <c r="BD156" i="1"/>
  <c r="BL156" i="1"/>
  <c r="BJ157" i="1"/>
  <c r="BK47" i="1"/>
  <c r="BD50" i="1"/>
  <c r="BD61" i="1"/>
  <c r="BF68" i="1"/>
  <c r="BK98" i="1"/>
  <c r="BL114" i="1"/>
  <c r="BI115" i="1"/>
  <c r="BC116" i="1"/>
  <c r="BL117" i="1"/>
  <c r="BI118" i="1"/>
  <c r="BD119" i="1"/>
  <c r="BL120" i="1"/>
  <c r="BF121" i="1"/>
  <c r="BH122" i="1"/>
  <c r="BJ123" i="1"/>
  <c r="BD124" i="1"/>
  <c r="BE125" i="1"/>
  <c r="BF126" i="1"/>
  <c r="BE127" i="1"/>
  <c r="BE128" i="1"/>
  <c r="BD129" i="1"/>
  <c r="BL129" i="1"/>
  <c r="BE130" i="1"/>
  <c r="BD131" i="1"/>
  <c r="BL131" i="1"/>
  <c r="BF132" i="1"/>
  <c r="BJ133" i="1"/>
  <c r="BJ134" i="1"/>
  <c r="BI135" i="1"/>
  <c r="BH136" i="1"/>
  <c r="BF137" i="1"/>
  <c r="BG138" i="1"/>
  <c r="BF139" i="1"/>
  <c r="BE140" i="1"/>
  <c r="BE141" i="1"/>
  <c r="BD142" i="1"/>
  <c r="BL142" i="1"/>
  <c r="BE143" i="1"/>
  <c r="BD144" i="1"/>
  <c r="BL144" i="1"/>
  <c r="BD145" i="1"/>
  <c r="BL145" i="1"/>
  <c r="BD146" i="1"/>
  <c r="BL146" i="1"/>
  <c r="BD147" i="1"/>
  <c r="BL147" i="1"/>
  <c r="BE148" i="1"/>
  <c r="BD149" i="1"/>
  <c r="BL149" i="1"/>
  <c r="BE150" i="1"/>
  <c r="BE151" i="1"/>
  <c r="BE152" i="1"/>
  <c r="BD153" i="1"/>
  <c r="BL153" i="1"/>
  <c r="BD154" i="1"/>
  <c r="BL154" i="1"/>
  <c r="BE155" i="1"/>
  <c r="BE156" i="1"/>
  <c r="BC157" i="1"/>
  <c r="BK157" i="1"/>
  <c r="BC158" i="1"/>
  <c r="BK158" i="1"/>
  <c r="BD159" i="1"/>
  <c r="BL159" i="1"/>
  <c r="BD160" i="1"/>
  <c r="BL160" i="1"/>
  <c r="BI67" i="1"/>
  <c r="BI71" i="1"/>
  <c r="BF78" i="1"/>
  <c r="BK115" i="1"/>
  <c r="BD116" i="1"/>
  <c r="BK118" i="1"/>
  <c r="BH119" i="1"/>
  <c r="BG121" i="1"/>
  <c r="BI122" i="1"/>
  <c r="BK123" i="1"/>
  <c r="BF124" i="1"/>
  <c r="BF125" i="1"/>
  <c r="BG126" i="1"/>
  <c r="BF127" i="1"/>
  <c r="BF128" i="1"/>
  <c r="BE129" i="1"/>
  <c r="BF130" i="1"/>
  <c r="BE131" i="1"/>
  <c r="BG132" i="1"/>
  <c r="BC133" i="1"/>
  <c r="BK133" i="1"/>
  <c r="BC134" i="1"/>
  <c r="BK134" i="1"/>
  <c r="BJ135" i="1"/>
  <c r="BI136" i="1"/>
  <c r="BG137" i="1"/>
  <c r="BH138" i="1"/>
  <c r="BG139" i="1"/>
  <c r="BF140" i="1"/>
  <c r="BF141" i="1"/>
  <c r="BE142" i="1"/>
  <c r="BF143" i="1"/>
  <c r="BE144" i="1"/>
  <c r="BE145" i="1"/>
  <c r="BE146" i="1"/>
  <c r="BE147" i="1"/>
  <c r="BF148" i="1"/>
  <c r="BE149" i="1"/>
  <c r="BF150" i="1"/>
  <c r="BF151" i="1"/>
  <c r="BF152" i="1"/>
  <c r="BE153" i="1"/>
  <c r="BE154" i="1"/>
  <c r="BF155" i="1"/>
  <c r="BF156" i="1"/>
  <c r="BD157" i="1"/>
  <c r="BL157" i="1"/>
  <c r="BD158" i="1"/>
  <c r="BL158" i="1"/>
  <c r="BE159" i="1"/>
  <c r="BE160" i="1"/>
  <c r="BJ137" i="1"/>
  <c r="BI141" i="1"/>
  <c r="BI148" i="1"/>
  <c r="BH154" i="1"/>
  <c r="BK155" i="1"/>
  <c r="BJ158" i="1"/>
  <c r="BJ159" i="1"/>
  <c r="BG160" i="1"/>
  <c r="BH161" i="1"/>
  <c r="BJ162" i="1"/>
  <c r="BC163" i="1"/>
  <c r="BC164" i="1"/>
  <c r="BK164" i="1"/>
  <c r="BC165" i="1"/>
  <c r="BK165" i="1"/>
  <c r="BE166" i="1"/>
  <c r="BD167" i="1"/>
  <c r="BL167" i="1"/>
  <c r="BD168" i="1"/>
  <c r="BL168" i="1"/>
  <c r="BC169" i="1"/>
  <c r="BK169" i="1"/>
  <c r="BC170" i="1"/>
  <c r="BK170" i="1"/>
  <c r="BD171" i="1"/>
  <c r="BL171" i="1"/>
  <c r="BC172" i="1"/>
  <c r="BK172" i="1"/>
  <c r="BD173" i="1"/>
  <c r="BL173" i="1"/>
  <c r="BD174" i="1"/>
  <c r="BL174" i="1"/>
  <c r="BD175" i="1"/>
  <c r="BL175" i="1"/>
  <c r="BC176" i="1"/>
  <c r="BK176" i="1"/>
  <c r="BD177" i="1"/>
  <c r="BL177" i="1"/>
  <c r="BE178" i="1"/>
  <c r="BE179" i="1"/>
  <c r="BE180" i="1"/>
  <c r="BE181" i="1"/>
  <c r="BF182" i="1"/>
  <c r="BD183" i="1"/>
  <c r="BL183" i="1"/>
  <c r="BD184" i="1"/>
  <c r="BL184" i="1"/>
  <c r="BJ185" i="1"/>
  <c r="BJ186" i="1"/>
  <c r="BI187" i="1"/>
  <c r="BH188" i="1"/>
  <c r="BH189" i="1"/>
  <c r="BI190" i="1"/>
  <c r="BI191" i="1"/>
  <c r="BI192" i="1"/>
  <c r="BH193" i="1"/>
  <c r="BI194" i="1"/>
  <c r="BH195" i="1"/>
  <c r="BG196" i="1"/>
  <c r="BG197" i="1"/>
  <c r="BG198" i="1"/>
  <c r="BF199" i="1"/>
  <c r="BH200" i="1"/>
  <c r="BH201" i="1"/>
  <c r="BJ202" i="1"/>
  <c r="BJ203" i="1"/>
  <c r="BJ204" i="1"/>
  <c r="BJ205" i="1"/>
  <c r="BJ206" i="1"/>
  <c r="BJ207" i="1"/>
  <c r="BD136" i="1"/>
  <c r="BK141" i="1"/>
  <c r="BH147" i="1"/>
  <c r="BK148" i="1"/>
  <c r="BJ154" i="1"/>
  <c r="BK159" i="1"/>
  <c r="BH160" i="1"/>
  <c r="BI161" i="1"/>
  <c r="BK162" i="1"/>
  <c r="BE163" i="1"/>
  <c r="BD164" i="1"/>
  <c r="BL164" i="1"/>
  <c r="BD165" i="1"/>
  <c r="BL165" i="1"/>
  <c r="BF166" i="1"/>
  <c r="BE167" i="1"/>
  <c r="BE168" i="1"/>
  <c r="BD169" i="1"/>
  <c r="BL169" i="1"/>
  <c r="BD170" i="1"/>
  <c r="BL170" i="1"/>
  <c r="BE171" i="1"/>
  <c r="BD172" i="1"/>
  <c r="BL172" i="1"/>
  <c r="BE173" i="1"/>
  <c r="BE174" i="1"/>
  <c r="BE175" i="1"/>
  <c r="BD176" i="1"/>
  <c r="BL176" i="1"/>
  <c r="BE177" i="1"/>
  <c r="BF178" i="1"/>
  <c r="BF179" i="1"/>
  <c r="BF180" i="1"/>
  <c r="BF181" i="1"/>
  <c r="BG182" i="1"/>
  <c r="BE183" i="1"/>
  <c r="BE184" i="1"/>
  <c r="BC185" i="1"/>
  <c r="BK185" i="1"/>
  <c r="BC186" i="1"/>
  <c r="BK186" i="1"/>
  <c r="BJ187" i="1"/>
  <c r="BI188" i="1"/>
  <c r="BI189" i="1"/>
  <c r="BJ190" i="1"/>
  <c r="BJ191" i="1"/>
  <c r="BJ192" i="1"/>
  <c r="BI193" i="1"/>
  <c r="BJ194" i="1"/>
  <c r="BI195" i="1"/>
  <c r="BH196" i="1"/>
  <c r="BH197" i="1"/>
  <c r="BH198" i="1"/>
  <c r="BG199" i="1"/>
  <c r="BI200" i="1"/>
  <c r="BI201" i="1"/>
  <c r="BC202" i="1"/>
  <c r="BK202" i="1"/>
  <c r="BC203" i="1"/>
  <c r="BK203" i="1"/>
  <c r="BC204" i="1"/>
  <c r="BK204" i="1"/>
  <c r="BC205" i="1"/>
  <c r="BK205" i="1"/>
  <c r="BC206" i="1"/>
  <c r="BK206" i="1"/>
  <c r="BC207" i="1"/>
  <c r="BK207" i="1"/>
  <c r="BD208" i="1"/>
  <c r="BL208" i="1"/>
  <c r="BF209" i="1"/>
  <c r="BF210" i="1"/>
  <c r="BE135" i="1"/>
  <c r="BL136" i="1"/>
  <c r="BI140" i="1"/>
  <c r="BH146" i="1"/>
  <c r="BJ147" i="1"/>
  <c r="BH153" i="1"/>
  <c r="BI160" i="1"/>
  <c r="BJ161" i="1"/>
  <c r="BC162" i="1"/>
  <c r="BF163" i="1"/>
  <c r="BE164" i="1"/>
  <c r="BE165" i="1"/>
  <c r="BG166" i="1"/>
  <c r="BF167" i="1"/>
  <c r="BF168" i="1"/>
  <c r="BE169" i="1"/>
  <c r="BE170" i="1"/>
  <c r="BF171" i="1"/>
  <c r="BE172" i="1"/>
  <c r="BF173" i="1"/>
  <c r="BF174" i="1"/>
  <c r="BF175" i="1"/>
  <c r="BE176" i="1"/>
  <c r="BF177" i="1"/>
  <c r="BG178" i="1"/>
  <c r="BG179" i="1"/>
  <c r="BG180" i="1"/>
  <c r="BG181" i="1"/>
  <c r="BH182" i="1"/>
  <c r="BF183" i="1"/>
  <c r="BF184" i="1"/>
  <c r="BD185" i="1"/>
  <c r="BL185" i="1"/>
  <c r="BD186" i="1"/>
  <c r="BL186" i="1"/>
  <c r="BC187" i="1"/>
  <c r="BK187" i="1"/>
  <c r="BJ188" i="1"/>
  <c r="BJ189" i="1"/>
  <c r="BC190" i="1"/>
  <c r="BK190" i="1"/>
  <c r="BC191" i="1"/>
  <c r="BK191" i="1"/>
  <c r="BC192" i="1"/>
  <c r="BK192" i="1"/>
  <c r="BJ193" i="1"/>
  <c r="BC194" i="1"/>
  <c r="BK194" i="1"/>
  <c r="BJ195" i="1"/>
  <c r="BI196" i="1"/>
  <c r="BI197" i="1"/>
  <c r="BI198" i="1"/>
  <c r="BH199" i="1"/>
  <c r="BJ200" i="1"/>
  <c r="BJ201" i="1"/>
  <c r="BD202" i="1"/>
  <c r="BL202" i="1"/>
  <c r="BD203" i="1"/>
  <c r="BL203" i="1"/>
  <c r="BD204" i="1"/>
  <c r="BL204" i="1"/>
  <c r="BD205" i="1"/>
  <c r="BL205" i="1"/>
  <c r="BD206" i="1"/>
  <c r="BL206" i="1"/>
  <c r="BD207" i="1"/>
  <c r="BL207" i="1"/>
  <c r="BF134" i="1"/>
  <c r="BH145" i="1"/>
  <c r="BJ146" i="1"/>
  <c r="BC152" i="1"/>
  <c r="BJ153" i="1"/>
  <c r="BJ160" i="1"/>
  <c r="BK161" i="1"/>
  <c r="BE162" i="1"/>
  <c r="BG163" i="1"/>
  <c r="BF164" i="1"/>
  <c r="BF165" i="1"/>
  <c r="BH166" i="1"/>
  <c r="BG167" i="1"/>
  <c r="BG168" i="1"/>
  <c r="BF169" i="1"/>
  <c r="BF170" i="1"/>
  <c r="BG171" i="1"/>
  <c r="BF172" i="1"/>
  <c r="BG173" i="1"/>
  <c r="BG174" i="1"/>
  <c r="BG175" i="1"/>
  <c r="BF176" i="1"/>
  <c r="BG177" i="1"/>
  <c r="BH178" i="1"/>
  <c r="BH179" i="1"/>
  <c r="BH180" i="1"/>
  <c r="BH181" i="1"/>
  <c r="BI182" i="1"/>
  <c r="BG183" i="1"/>
  <c r="BG184" i="1"/>
  <c r="BE185" i="1"/>
  <c r="BE186" i="1"/>
  <c r="BD187" i="1"/>
  <c r="BL187" i="1"/>
  <c r="BC188" i="1"/>
  <c r="BK188" i="1"/>
  <c r="BC189" i="1"/>
  <c r="BK189" i="1"/>
  <c r="BD190" i="1"/>
  <c r="BL190" i="1"/>
  <c r="BD191" i="1"/>
  <c r="BL191" i="1"/>
  <c r="BD192" i="1"/>
  <c r="BL192" i="1"/>
  <c r="BC193" i="1"/>
  <c r="BK193" i="1"/>
  <c r="BD194" i="1"/>
  <c r="BL194" i="1"/>
  <c r="BC195" i="1"/>
  <c r="BK195" i="1"/>
  <c r="BJ196" i="1"/>
  <c r="BJ197" i="1"/>
  <c r="BJ139" i="1"/>
  <c r="BC143" i="1"/>
  <c r="BH144" i="1"/>
  <c r="BJ145" i="1"/>
  <c r="BC150" i="1"/>
  <c r="BC151" i="1"/>
  <c r="BI152" i="1"/>
  <c r="BC138" i="1"/>
  <c r="BI143" i="1"/>
  <c r="BJ144" i="1"/>
  <c r="BI150" i="1"/>
  <c r="BI151" i="1"/>
  <c r="BK152" i="1"/>
  <c r="BC156" i="1"/>
  <c r="BG158" i="1"/>
  <c r="BC159" i="1"/>
  <c r="BE161" i="1"/>
  <c r="BG162" i="1"/>
  <c r="BI163" i="1"/>
  <c r="BH164" i="1"/>
  <c r="BH165" i="1"/>
  <c r="BJ166" i="1"/>
  <c r="BI167" i="1"/>
  <c r="BI168" i="1"/>
  <c r="BH169" i="1"/>
  <c r="BH170" i="1"/>
  <c r="BI171" i="1"/>
  <c r="BH172" i="1"/>
  <c r="BI173" i="1"/>
  <c r="BI174" i="1"/>
  <c r="BI175" i="1"/>
  <c r="BH176" i="1"/>
  <c r="BI177" i="1"/>
  <c r="BJ178" i="1"/>
  <c r="BJ179" i="1"/>
  <c r="BJ180" i="1"/>
  <c r="BJ181" i="1"/>
  <c r="BC182" i="1"/>
  <c r="BK182" i="1"/>
  <c r="BI183" i="1"/>
  <c r="BI184" i="1"/>
  <c r="BG185" i="1"/>
  <c r="BG186" i="1"/>
  <c r="BF187" i="1"/>
  <c r="BE188" i="1"/>
  <c r="BE189" i="1"/>
  <c r="BF190" i="1"/>
  <c r="BF191" i="1"/>
  <c r="BF192" i="1"/>
  <c r="BE193" i="1"/>
  <c r="BF194" i="1"/>
  <c r="BE195" i="1"/>
  <c r="BD196" i="1"/>
  <c r="BL196" i="1"/>
  <c r="BD197" i="1"/>
  <c r="BL197" i="1"/>
  <c r="BD198" i="1"/>
  <c r="BL198" i="1"/>
  <c r="BC199" i="1"/>
  <c r="BK199" i="1"/>
  <c r="BE200" i="1"/>
  <c r="BE201" i="1"/>
  <c r="BG202" i="1"/>
  <c r="BG203" i="1"/>
  <c r="BG204" i="1"/>
  <c r="BG205" i="1"/>
  <c r="BG206" i="1"/>
  <c r="BG207" i="1"/>
  <c r="BK138" i="1"/>
  <c r="BH142" i="1"/>
  <c r="BK143" i="1"/>
  <c r="BH149" i="1"/>
  <c r="BK150" i="1"/>
  <c r="BK151" i="1"/>
  <c r="BC155" i="1"/>
  <c r="BI156" i="1"/>
  <c r="BG157" i="1"/>
  <c r="BH158" i="1"/>
  <c r="BH159" i="1"/>
  <c r="BF161" i="1"/>
  <c r="BH162" i="1"/>
  <c r="BJ163" i="1"/>
  <c r="BI164" i="1"/>
  <c r="BI165" i="1"/>
  <c r="BC166" i="1"/>
  <c r="BK166" i="1"/>
  <c r="BJ167" i="1"/>
  <c r="BJ168" i="1"/>
  <c r="BI169" i="1"/>
  <c r="BI170" i="1"/>
  <c r="BJ171" i="1"/>
  <c r="BI172" i="1"/>
  <c r="BJ173" i="1"/>
  <c r="BJ174" i="1"/>
  <c r="BJ175" i="1"/>
  <c r="BI176" i="1"/>
  <c r="BJ177" i="1"/>
  <c r="BC178" i="1"/>
  <c r="BK178" i="1"/>
  <c r="BC179" i="1"/>
  <c r="BK179" i="1"/>
  <c r="BC180" i="1"/>
  <c r="BK180" i="1"/>
  <c r="BC181" i="1"/>
  <c r="BK181" i="1"/>
  <c r="BD182" i="1"/>
  <c r="BL182" i="1"/>
  <c r="BJ183" i="1"/>
  <c r="BJ184" i="1"/>
  <c r="BH185" i="1"/>
  <c r="BH186" i="1"/>
  <c r="BG187" i="1"/>
  <c r="BF188" i="1"/>
  <c r="BF189" i="1"/>
  <c r="BG190" i="1"/>
  <c r="BG191" i="1"/>
  <c r="BG192" i="1"/>
  <c r="BF193" i="1"/>
  <c r="BG194" i="1"/>
  <c r="BF195" i="1"/>
  <c r="BE196" i="1"/>
  <c r="BE197" i="1"/>
  <c r="BE198" i="1"/>
  <c r="BD199" i="1"/>
  <c r="BL199" i="1"/>
  <c r="BF200" i="1"/>
  <c r="BF201" i="1"/>
  <c r="BH202" i="1"/>
  <c r="BH203" i="1"/>
  <c r="BH204" i="1"/>
  <c r="BH205" i="1"/>
  <c r="BC141" i="1"/>
  <c r="BJ142" i="1"/>
  <c r="BC148" i="1"/>
  <c r="BJ149" i="1"/>
  <c r="BI155" i="1"/>
  <c r="BK156" i="1"/>
  <c r="BI157" i="1"/>
  <c r="BI158" i="1"/>
  <c r="BI159" i="1"/>
  <c r="BC160" i="1"/>
  <c r="BG161" i="1"/>
  <c r="BI162" i="1"/>
  <c r="BK163" i="1"/>
  <c r="BJ164" i="1"/>
  <c r="BJ165" i="1"/>
  <c r="BD166" i="1"/>
  <c r="BL166" i="1"/>
  <c r="BC167" i="1"/>
  <c r="BK167" i="1"/>
  <c r="BC168" i="1"/>
  <c r="BK168" i="1"/>
  <c r="BJ169" i="1"/>
  <c r="BJ170" i="1"/>
  <c r="BC171" i="1"/>
  <c r="BK171" i="1"/>
  <c r="BJ172" i="1"/>
  <c r="BC173" i="1"/>
  <c r="BK173" i="1"/>
  <c r="BC174" i="1"/>
  <c r="BK174" i="1"/>
  <c r="BC175" i="1"/>
  <c r="BK175" i="1"/>
  <c r="BJ176" i="1"/>
  <c r="BC177" i="1"/>
  <c r="BK177" i="1"/>
  <c r="BD178" i="1"/>
  <c r="BL178" i="1"/>
  <c r="BD179" i="1"/>
  <c r="BL179" i="1"/>
  <c r="BD180" i="1"/>
  <c r="BL180" i="1"/>
  <c r="BD181" i="1"/>
  <c r="BL181" i="1"/>
  <c r="BE182" i="1"/>
  <c r="BC183" i="1"/>
  <c r="BK183" i="1"/>
  <c r="BC184" i="1"/>
  <c r="BK184" i="1"/>
  <c r="BI185" i="1"/>
  <c r="BI186" i="1"/>
  <c r="BH187" i="1"/>
  <c r="BG188" i="1"/>
  <c r="BK160" i="1"/>
  <c r="BG165" i="1"/>
  <c r="BH168" i="1"/>
  <c r="BH173" i="1"/>
  <c r="BH192" i="1"/>
  <c r="BD193" i="1"/>
  <c r="BH194" i="1"/>
  <c r="BL195" i="1"/>
  <c r="BF196" i="1"/>
  <c r="BF197" i="1"/>
  <c r="BF198" i="1"/>
  <c r="BE199" i="1"/>
  <c r="BD200" i="1"/>
  <c r="BI206" i="1"/>
  <c r="BF207" i="1"/>
  <c r="BC208" i="1"/>
  <c r="BH209" i="1"/>
  <c r="BJ210" i="1"/>
  <c r="BI211" i="1"/>
  <c r="BI212" i="1"/>
  <c r="BJ213" i="1"/>
  <c r="BC214" i="1"/>
  <c r="BK214" i="1"/>
  <c r="BC215" i="1"/>
  <c r="BK215" i="1"/>
  <c r="BD216" i="1"/>
  <c r="BL216" i="1"/>
  <c r="BD217" i="1"/>
  <c r="BL217" i="1"/>
  <c r="BE218" i="1"/>
  <c r="BF219" i="1"/>
  <c r="BD220" i="1"/>
  <c r="BL220" i="1"/>
  <c r="BF221" i="1"/>
  <c r="BE222" i="1"/>
  <c r="BD223" i="1"/>
  <c r="BL223" i="1"/>
  <c r="BE224" i="1"/>
  <c r="BF224" i="1"/>
  <c r="BF220" i="1"/>
  <c r="BG222" i="1"/>
  <c r="BG224" i="1"/>
  <c r="BF215" i="1"/>
  <c r="BG217" i="1"/>
  <c r="BH222" i="1"/>
  <c r="BG223" i="1"/>
  <c r="BG201" i="1"/>
  <c r="BE212" i="1"/>
  <c r="BG214" i="1"/>
  <c r="BG164" i="1"/>
  <c r="BG176" i="1"/>
  <c r="BH183" i="1"/>
  <c r="BD188" i="1"/>
  <c r="BD189" i="1"/>
  <c r="BE190" i="1"/>
  <c r="BE191" i="1"/>
  <c r="BG193" i="1"/>
  <c r="BK196" i="1"/>
  <c r="BK197" i="1"/>
  <c r="BJ198" i="1"/>
  <c r="BI199" i="1"/>
  <c r="BG200" i="1"/>
  <c r="BH207" i="1"/>
  <c r="BE208" i="1"/>
  <c r="BI209" i="1"/>
  <c r="BK210" i="1"/>
  <c r="BJ211" i="1"/>
  <c r="BJ212" i="1"/>
  <c r="BC213" i="1"/>
  <c r="BK213" i="1"/>
  <c r="BD214" i="1"/>
  <c r="BL214" i="1"/>
  <c r="BD215" i="1"/>
  <c r="BL215" i="1"/>
  <c r="BE216" i="1"/>
  <c r="BE217" i="1"/>
  <c r="BF218" i="1"/>
  <c r="BG219" i="1"/>
  <c r="BE220" i="1"/>
  <c r="BG221" i="1"/>
  <c r="BF222" i="1"/>
  <c r="BE223" i="1"/>
  <c r="BH221" i="1"/>
  <c r="BG216" i="1"/>
  <c r="BI178" i="1"/>
  <c r="BF202" i="1"/>
  <c r="BF213" i="1"/>
  <c r="BI218" i="1"/>
  <c r="BH167" i="1"/>
  <c r="BG172" i="1"/>
  <c r="BI179" i="1"/>
  <c r="BJ182" i="1"/>
  <c r="BL188" i="1"/>
  <c r="BG189" i="1"/>
  <c r="BH190" i="1"/>
  <c r="BH191" i="1"/>
  <c r="BL193" i="1"/>
  <c r="BK198" i="1"/>
  <c r="BJ199" i="1"/>
  <c r="BK200" i="1"/>
  <c r="BC201" i="1"/>
  <c r="BI207" i="1"/>
  <c r="BF208" i="1"/>
  <c r="BJ209" i="1"/>
  <c r="BC210" i="1"/>
  <c r="BL210" i="1"/>
  <c r="BC211" i="1"/>
  <c r="BK211" i="1"/>
  <c r="BC212" i="1"/>
  <c r="BK212" i="1"/>
  <c r="BD213" i="1"/>
  <c r="BL213" i="1"/>
  <c r="BE214" i="1"/>
  <c r="BE215" i="1"/>
  <c r="BF216" i="1"/>
  <c r="BF217" i="1"/>
  <c r="BG218" i="1"/>
  <c r="BH219" i="1"/>
  <c r="BF223" i="1"/>
  <c r="BL209" i="1"/>
  <c r="BE210" i="1"/>
  <c r="BG215" i="1"/>
  <c r="BH217" i="1"/>
  <c r="BJ221" i="1"/>
  <c r="BI222" i="1"/>
  <c r="BH163" i="1"/>
  <c r="BH175" i="1"/>
  <c r="BE187" i="1"/>
  <c r="BL189" i="1"/>
  <c r="BL200" i="1"/>
  <c r="BD201" i="1"/>
  <c r="BE202" i="1"/>
  <c r="BG208" i="1"/>
  <c r="BK209" i="1"/>
  <c r="BD210" i="1"/>
  <c r="BD211" i="1"/>
  <c r="BL211" i="1"/>
  <c r="BD212" i="1"/>
  <c r="BL212" i="1"/>
  <c r="BE213" i="1"/>
  <c r="BF214" i="1"/>
  <c r="BG220" i="1"/>
  <c r="BE211" i="1"/>
  <c r="BH220" i="1"/>
  <c r="BH171" i="1"/>
  <c r="BE203" i="1"/>
  <c r="BJ219" i="1"/>
  <c r="BI224" i="1"/>
  <c r="BF162" i="1"/>
  <c r="BI166" i="1"/>
  <c r="BI181" i="1"/>
  <c r="BF186" i="1"/>
  <c r="BK201" i="1"/>
  <c r="BI202" i="1"/>
  <c r="BF203" i="1"/>
  <c r="BE204" i="1"/>
  <c r="BE205" i="1"/>
  <c r="BE206" i="1"/>
  <c r="BI208" i="1"/>
  <c r="BD209" i="1"/>
  <c r="BG210" i="1"/>
  <c r="BF211" i="1"/>
  <c r="BF212" i="1"/>
  <c r="BG213" i="1"/>
  <c r="BH214" i="1"/>
  <c r="BH215" i="1"/>
  <c r="BI216" i="1"/>
  <c r="BI217" i="1"/>
  <c r="BJ218" i="1"/>
  <c r="BC219" i="1"/>
  <c r="BK219" i="1"/>
  <c r="BI220" i="1"/>
  <c r="BC221" i="1"/>
  <c r="BK221" i="1"/>
  <c r="BJ222" i="1"/>
  <c r="BI223" i="1"/>
  <c r="BJ224" i="1"/>
  <c r="BJ220" i="1"/>
  <c r="BD221" i="1"/>
  <c r="BL221" i="1"/>
  <c r="BK222" i="1"/>
  <c r="BH208" i="1"/>
  <c r="BH216" i="1"/>
  <c r="BG170" i="1"/>
  <c r="BH174" i="1"/>
  <c r="BF185" i="1"/>
  <c r="BD195" i="1"/>
  <c r="BL201" i="1"/>
  <c r="BI203" i="1"/>
  <c r="BF204" i="1"/>
  <c r="BF205" i="1"/>
  <c r="BF206" i="1"/>
  <c r="BJ208" i="1"/>
  <c r="BE209" i="1"/>
  <c r="BH210" i="1"/>
  <c r="BG211" i="1"/>
  <c r="BG212" i="1"/>
  <c r="BH213" i="1"/>
  <c r="BI214" i="1"/>
  <c r="BI215" i="1"/>
  <c r="BJ216" i="1"/>
  <c r="BJ217" i="1"/>
  <c r="BC218" i="1"/>
  <c r="BK218" i="1"/>
  <c r="BD219" i="1"/>
  <c r="BL219" i="1"/>
  <c r="BC222" i="1"/>
  <c r="BJ223" i="1"/>
  <c r="BC224" i="1"/>
  <c r="BK224" i="1"/>
  <c r="BI221" i="1"/>
  <c r="BC209" i="1"/>
  <c r="BH223" i="1"/>
  <c r="BC161" i="1"/>
  <c r="BG169" i="1"/>
  <c r="BH177" i="1"/>
  <c r="BI180" i="1"/>
  <c r="BH184" i="1"/>
  <c r="BE192" i="1"/>
  <c r="BE194" i="1"/>
  <c r="BG195" i="1"/>
  <c r="BC196" i="1"/>
  <c r="BC197" i="1"/>
  <c r="BC198" i="1"/>
  <c r="BC200" i="1"/>
  <c r="BI204" i="1"/>
  <c r="BI205" i="1"/>
  <c r="BH206" i="1"/>
  <c r="BE207" i="1"/>
  <c r="BK208" i="1"/>
  <c r="BG209" i="1"/>
  <c r="BI210" i="1"/>
  <c r="BH211" i="1"/>
  <c r="BH212" i="1"/>
  <c r="BI213" i="1"/>
  <c r="BJ214" i="1"/>
  <c r="BJ215" i="1"/>
  <c r="BC216" i="1"/>
  <c r="BK216" i="1"/>
  <c r="BC217" i="1"/>
  <c r="BK217" i="1"/>
  <c r="BD218" i="1"/>
  <c r="BL218" i="1"/>
  <c r="BE219" i="1"/>
  <c r="BC220" i="1"/>
  <c r="BK220" i="1"/>
  <c r="BE221" i="1"/>
  <c r="BD222" i="1"/>
  <c r="BL222" i="1"/>
  <c r="BC223" i="1"/>
  <c r="BK223" i="1"/>
  <c r="BD224" i="1"/>
  <c r="BL224" i="1"/>
  <c r="BH218" i="1"/>
  <c r="BI219" i="1"/>
  <c r="BH224" i="1"/>
  <c r="B28" i="1"/>
  <c r="D274" i="22"/>
  <c r="B274" i="22"/>
  <c r="B272" i="22"/>
  <c r="H360" i="22" l="1"/>
  <c r="L360" i="22" s="1"/>
  <c r="I365" i="22"/>
  <c r="I363" i="22"/>
  <c r="I362" i="22"/>
  <c r="J361" i="22"/>
  <c r="K361" i="22" s="1"/>
  <c r="M361" i="22" s="1"/>
  <c r="J362" i="22"/>
  <c r="K362" i="22" s="1"/>
  <c r="B360" i="22"/>
  <c r="I23" i="1"/>
  <c r="M23" i="1" a="1"/>
  <c r="M23" i="1" s="1"/>
  <c r="L23" i="1" a="1"/>
  <c r="P23" i="1" a="1"/>
  <c r="P23" i="1" s="1"/>
  <c r="C364" i="22"/>
  <c r="I364" i="22" s="1"/>
  <c r="C366" i="22"/>
  <c r="I366" i="22" s="1"/>
  <c r="AT72" i="38" a="1"/>
  <c r="AT72" i="38" s="1"/>
  <c r="AT66" i="38" a="1"/>
  <c r="AT66" i="38" s="1"/>
  <c r="AT85" i="38" a="1"/>
  <c r="AT85" i="38" s="1"/>
  <c r="AT98" i="38" a="1"/>
  <c r="AT98" i="38" s="1"/>
  <c r="AT123" i="38" a="1"/>
  <c r="AT123" i="38" s="1"/>
  <c r="AT136" i="38" a="1"/>
  <c r="AT136" i="38" s="1"/>
  <c r="AT155" i="38" a="1"/>
  <c r="AT155" i="38" s="1"/>
  <c r="AT53" i="38" a="1"/>
  <c r="AT53" i="38" s="1"/>
  <c r="AT59" i="38" a="1"/>
  <c r="AT59" i="38" s="1"/>
  <c r="AT40" i="38" a="1"/>
  <c r="AT40" i="38" s="1"/>
  <c r="AT91" i="38" a="1"/>
  <c r="AT91" i="38" s="1"/>
  <c r="AT104" i="38" a="1"/>
  <c r="AT104" i="38" s="1"/>
  <c r="AT117" i="38" a="1"/>
  <c r="AT117" i="38" s="1"/>
  <c r="AT149" i="38" a="1"/>
  <c r="AT149" i="38" s="1"/>
  <c r="AT162" i="38" a="1"/>
  <c r="AT162" i="38" s="1"/>
  <c r="AT35" i="38" a="1"/>
  <c r="AT35" i="38" s="1"/>
  <c r="AT130" i="38" a="1"/>
  <c r="AT130" i="38" s="1"/>
  <c r="AT122" i="38" a="1"/>
  <c r="AT122" i="38" s="1"/>
  <c r="AT81" i="38" a="1"/>
  <c r="AT81" i="38" s="1"/>
  <c r="AT108" i="38" a="1"/>
  <c r="AT108" i="38" s="1"/>
  <c r="AT116" i="38" a="1"/>
  <c r="AT116" i="38" s="1"/>
  <c r="AT46" i="38" a="1"/>
  <c r="AT46" i="38" s="1"/>
  <c r="AT96" i="38" a="1"/>
  <c r="AT96" i="38" s="1"/>
  <c r="AT159" i="38" a="1"/>
  <c r="AT159" i="38" s="1"/>
  <c r="AT76" i="38" a="1"/>
  <c r="AT76" i="38" s="1"/>
  <c r="AT152" i="38" a="1"/>
  <c r="AT152" i="38" s="1"/>
  <c r="AT82" i="38" a="1"/>
  <c r="AT82" i="38" s="1"/>
  <c r="AT145" i="38" a="1"/>
  <c r="AT145" i="38" s="1"/>
  <c r="AT68" i="38" a="1"/>
  <c r="AT68" i="38" s="1"/>
  <c r="AT112" i="38" a="1"/>
  <c r="AT112" i="38" s="1"/>
  <c r="AT48" i="38" a="1"/>
  <c r="AT48" i="38" s="1"/>
  <c r="AT111" i="38" a="1"/>
  <c r="AT111" i="38" s="1"/>
  <c r="AT92" i="38" a="1"/>
  <c r="AT92" i="38" s="1"/>
  <c r="AT140" i="38" a="1"/>
  <c r="AT140" i="38" s="1"/>
  <c r="AT58" i="38" a="1"/>
  <c r="AT58" i="38" s="1"/>
  <c r="AT110" i="38" a="1"/>
  <c r="AT110" i="38" s="1"/>
  <c r="AT39" i="38" a="1"/>
  <c r="AT39" i="38" s="1"/>
  <c r="AT90" i="38" a="1"/>
  <c r="AT90" i="38" s="1"/>
  <c r="AT153" i="38" a="1"/>
  <c r="AT153" i="38" s="1"/>
  <c r="AT70" i="38" a="1"/>
  <c r="AT70" i="38" s="1"/>
  <c r="AT146" i="38" a="1"/>
  <c r="AT146" i="38" s="1"/>
  <c r="AT56" i="38" a="1"/>
  <c r="AT56" i="38" s="1"/>
  <c r="AT132" i="38" a="1"/>
  <c r="AT132" i="38" s="1"/>
  <c r="AT62" i="38" a="1"/>
  <c r="AT62" i="38" s="1"/>
  <c r="AT106" i="38" a="1"/>
  <c r="AT106" i="38" s="1"/>
  <c r="AT42" i="38" a="1"/>
  <c r="AT42" i="38" s="1"/>
  <c r="AT105" i="38" a="1"/>
  <c r="AT105" i="38" s="1"/>
  <c r="AT77" i="38" a="1"/>
  <c r="AT77" i="38" s="1"/>
  <c r="AT65" i="38" a="1"/>
  <c r="AT65" i="38" s="1"/>
  <c r="AT103" i="38" a="1"/>
  <c r="AT103" i="38" s="1"/>
  <c r="AT160" i="38" a="1"/>
  <c r="AT160" i="38" s="1"/>
  <c r="AT83" i="38" a="1"/>
  <c r="AT83" i="38" s="1"/>
  <c r="AT134" i="38" a="1"/>
  <c r="AT134" i="38" s="1"/>
  <c r="AT63" i="38" a="1"/>
  <c r="AT63" i="38" s="1"/>
  <c r="AT139" i="38" a="1"/>
  <c r="AT139" i="38" s="1"/>
  <c r="AT50" i="38" a="1"/>
  <c r="AT50" i="38" s="1"/>
  <c r="AT126" i="38" a="1"/>
  <c r="AT126" i="38" s="1"/>
  <c r="AT55" i="38" a="1"/>
  <c r="AT55" i="38" s="1"/>
  <c r="AT99" i="38" a="1"/>
  <c r="AT99" i="38" s="1"/>
  <c r="AT36" i="38" a="1"/>
  <c r="AT36" i="38" s="1"/>
  <c r="AT86" i="38" a="1"/>
  <c r="AT86" i="38" s="1"/>
  <c r="AT115" i="38" a="1"/>
  <c r="AT115" i="38" s="1"/>
  <c r="AT75" i="38" a="1"/>
  <c r="AT75" i="38" s="1"/>
  <c r="AT144" i="38" a="1"/>
  <c r="AT144" i="38" s="1"/>
  <c r="AT97" i="38" a="1"/>
  <c r="AT97" i="38" s="1"/>
  <c r="AT154" i="38" a="1"/>
  <c r="AT154" i="38" s="1"/>
  <c r="AT64" i="38" a="1"/>
  <c r="AT64" i="38" s="1"/>
  <c r="AT127" i="38" a="1"/>
  <c r="AT127" i="38" s="1"/>
  <c r="AT57" i="38" a="1"/>
  <c r="AT57" i="38" s="1"/>
  <c r="AT133" i="38" a="1"/>
  <c r="AT133" i="38" s="1"/>
  <c r="AT43" i="38" a="1"/>
  <c r="AT43" i="38" s="1"/>
  <c r="AT119" i="38" a="1"/>
  <c r="AT119" i="38" s="1"/>
  <c r="AT49" i="38" a="1"/>
  <c r="AT49" i="38" s="1"/>
  <c r="AT93" i="38" a="1"/>
  <c r="AT93" i="38" s="1"/>
  <c r="AT156" i="38" a="1"/>
  <c r="AT156" i="38" s="1"/>
  <c r="AT79" i="38" a="1"/>
  <c r="AT79" i="38" s="1"/>
  <c r="AT150" i="38" a="1"/>
  <c r="AT150" i="38" s="1"/>
  <c r="AT69" i="38" a="1"/>
  <c r="AT69" i="38" s="1"/>
  <c r="AT161" i="38" a="1"/>
  <c r="AT161" i="38" s="1"/>
  <c r="AT84" i="38" a="1"/>
  <c r="AT84" i="38" s="1"/>
  <c r="AT147" i="38" a="1"/>
  <c r="AT147" i="38" s="1"/>
  <c r="AT51" i="38" a="1"/>
  <c r="AT51" i="38" s="1"/>
  <c r="AT121" i="38" a="1"/>
  <c r="AT121" i="38" s="1"/>
  <c r="AT44" i="38" a="1"/>
  <c r="AT44" i="38" s="1"/>
  <c r="AT114" i="38" a="1"/>
  <c r="AT114" i="38" s="1"/>
  <c r="AT37" i="38" a="1"/>
  <c r="AT37" i="38" s="1"/>
  <c r="AT113" i="38" a="1"/>
  <c r="AT113" i="38" s="1"/>
  <c r="AT163" i="38" a="1"/>
  <c r="AT163" i="38" s="1"/>
  <c r="AT80" i="38" a="1"/>
  <c r="AT80" i="38" s="1"/>
  <c r="AT143" i="38" a="1"/>
  <c r="AT143" i="38" s="1"/>
  <c r="AT60" i="38" a="1"/>
  <c r="AT60" i="38" s="1"/>
  <c r="AT73" i="38" a="1"/>
  <c r="AT73" i="38" s="1"/>
  <c r="AT129" i="38" a="1"/>
  <c r="AT129" i="38" s="1"/>
  <c r="AT148" i="38" a="1"/>
  <c r="AT148" i="38" s="1"/>
  <c r="AT78" i="38" a="1"/>
  <c r="AT78" i="38" s="1"/>
  <c r="AT141" i="38" a="1"/>
  <c r="AT141" i="38" s="1"/>
  <c r="AT45" i="38" a="1"/>
  <c r="AT45" i="38" s="1"/>
  <c r="AT102" i="38" a="1"/>
  <c r="AT102" i="38" s="1"/>
  <c r="AT38" i="38" a="1"/>
  <c r="AT38" i="38" s="1"/>
  <c r="AT107" i="38" a="1"/>
  <c r="AT107" i="38" s="1"/>
  <c r="AT164" i="38" a="1"/>
  <c r="AT164" i="38" s="1"/>
  <c r="AT100" i="38" a="1"/>
  <c r="AT100" i="38" s="1"/>
  <c r="AT157" i="38" a="1"/>
  <c r="AT157" i="38" s="1"/>
  <c r="AT74" i="38" a="1"/>
  <c r="AT74" i="38" s="1"/>
  <c r="AT137" i="38" a="1"/>
  <c r="AT137" i="38" s="1"/>
  <c r="AT54" i="38" a="1"/>
  <c r="AT54" i="38" s="1"/>
  <c r="AT120" i="38" a="1"/>
  <c r="AT120" i="38" s="1"/>
  <c r="AT32" i="38" a="1"/>
  <c r="AT32" i="38" s="1"/>
  <c r="AT142" i="38" a="1"/>
  <c r="AT142" i="38" s="1"/>
  <c r="AT71" i="38" a="1"/>
  <c r="AT71" i="38" s="1"/>
  <c r="AT128" i="38" a="1"/>
  <c r="AT128" i="38" s="1"/>
  <c r="AT34" i="38" a="1"/>
  <c r="AT34" i="38" s="1"/>
  <c r="AT95" i="38" a="1"/>
  <c r="AT95" i="38" s="1"/>
  <c r="AT33" i="38" a="1"/>
  <c r="AT33" i="38" s="1"/>
  <c r="AT101" i="38" a="1"/>
  <c r="AT101" i="38" s="1"/>
  <c r="AT158" i="38" a="1"/>
  <c r="AT158" i="38" s="1"/>
  <c r="AT94" i="38" a="1"/>
  <c r="AT94" i="38" s="1"/>
  <c r="AT131" i="38" a="1"/>
  <c r="AT131" i="38" s="1"/>
  <c r="AT67" i="38" a="1"/>
  <c r="AT67" i="38" s="1"/>
  <c r="AT124" i="38" a="1"/>
  <c r="AT124" i="38" s="1"/>
  <c r="AT41" i="38" a="1"/>
  <c r="AT41" i="38" s="1"/>
  <c r="AT47" i="38" a="1"/>
  <c r="AT47" i="38" s="1"/>
  <c r="AT138" i="38" a="1"/>
  <c r="AT138" i="38" s="1"/>
  <c r="AT135" i="38" a="1"/>
  <c r="AT135" i="38" s="1"/>
  <c r="AT52" i="38" a="1"/>
  <c r="AT52" i="38" s="1"/>
  <c r="AT109" i="38" a="1"/>
  <c r="AT109" i="38" s="1"/>
  <c r="AT89" i="38" a="1"/>
  <c r="AT89" i="38" s="1"/>
  <c r="AT165" i="38" a="1"/>
  <c r="AT165" i="38" s="1"/>
  <c r="AT88" i="38" a="1"/>
  <c r="AT88" i="38" s="1"/>
  <c r="AT151" i="38" a="1"/>
  <c r="AT151" i="38" s="1"/>
  <c r="AT87" i="38" a="1"/>
  <c r="AT87" i="38" s="1"/>
  <c r="AT125" i="38" a="1"/>
  <c r="AT125" i="38" s="1"/>
  <c r="AT61" i="38" a="1"/>
  <c r="AT61" i="38" s="1"/>
  <c r="AT118" i="38" a="1"/>
  <c r="AT118" i="38" s="1"/>
  <c r="AT31" i="38" a="1"/>
  <c r="AT31" i="38" s="1"/>
  <c r="S60" i="38" a="1"/>
  <c r="S60" i="38" s="1"/>
  <c r="S36" i="38" a="1"/>
  <c r="S36" i="38" s="1"/>
  <c r="S43" i="38" a="1"/>
  <c r="S43" i="38" s="1"/>
  <c r="S33" i="38" a="1"/>
  <c r="S33" i="38" s="1"/>
  <c r="S56" i="38" a="1"/>
  <c r="S56" i="38" s="1"/>
  <c r="S48" i="38" a="1"/>
  <c r="S48" i="38" s="1"/>
  <c r="S120" i="38" a="1"/>
  <c r="S120" i="38" s="1"/>
  <c r="S88" i="38" a="1"/>
  <c r="S88" i="38" s="1"/>
  <c r="S59" i="38" a="1"/>
  <c r="S59" i="38" s="1"/>
  <c r="S54" i="38" a="1"/>
  <c r="S54" i="38" s="1"/>
  <c r="S109" i="38" a="1"/>
  <c r="S109" i="38" s="1"/>
  <c r="S49" i="38" a="1"/>
  <c r="S49" i="38" s="1"/>
  <c r="S74" i="38" a="1"/>
  <c r="S74" i="38" s="1"/>
  <c r="S46" i="38" a="1"/>
  <c r="S46" i="38" s="1"/>
  <c r="S41" i="38" a="1"/>
  <c r="S41" i="38" s="1"/>
  <c r="S35" i="38" a="1"/>
  <c r="S35" i="38" s="1"/>
  <c r="S81" i="38" a="1"/>
  <c r="S81" i="38" s="1"/>
  <c r="S55" i="38" a="1"/>
  <c r="S55" i="38" s="1"/>
  <c r="S66" i="38" a="1"/>
  <c r="S66" i="38" s="1"/>
  <c r="S134" i="38" a="1"/>
  <c r="S134" i="38" s="1"/>
  <c r="S152" i="38" a="1"/>
  <c r="S152" i="38" s="1"/>
  <c r="S126" i="38" a="1"/>
  <c r="S126" i="38" s="1"/>
  <c r="S94" i="38" a="1"/>
  <c r="S94" i="38" s="1"/>
  <c r="S63" i="38" a="1"/>
  <c r="S63" i="38" s="1"/>
  <c r="S69" i="38" a="1"/>
  <c r="S69" i="38" s="1"/>
  <c r="S117" i="38" a="1"/>
  <c r="S117" i="38" s="1"/>
  <c r="S84" i="38" a="1"/>
  <c r="S84" i="38" s="1"/>
  <c r="S105" i="38" a="1"/>
  <c r="S105" i="38" s="1"/>
  <c r="S85" i="38" a="1"/>
  <c r="S85" i="38" s="1"/>
  <c r="S87" i="38" a="1"/>
  <c r="S87" i="38" s="1"/>
  <c r="S42" i="38" a="1"/>
  <c r="S42" i="38" s="1"/>
  <c r="S75" i="38" a="1"/>
  <c r="S75" i="38" s="1"/>
  <c r="S128" i="38" a="1"/>
  <c r="S128" i="38" s="1"/>
  <c r="S45" i="38" a="1"/>
  <c r="S45" i="38" s="1"/>
  <c r="S53" i="38" a="1"/>
  <c r="S53" i="38" s="1"/>
  <c r="S141" i="38" a="1"/>
  <c r="S141" i="38" s="1"/>
  <c r="S153" i="38" a="1"/>
  <c r="S153" i="38" s="1"/>
  <c r="S93" i="38" a="1"/>
  <c r="S93" i="38" s="1"/>
  <c r="S164" i="38" a="1"/>
  <c r="S164" i="38" s="1"/>
  <c r="S132" i="38" a="1"/>
  <c r="S132" i="38" s="1"/>
  <c r="S155" i="38" a="1"/>
  <c r="S155" i="38" s="1"/>
  <c r="S154" i="38" a="1"/>
  <c r="S154" i="38" s="1"/>
  <c r="S114" i="38" a="1"/>
  <c r="S114" i="38" s="1"/>
  <c r="S65" i="38" a="1"/>
  <c r="S65" i="38" s="1"/>
  <c r="S151" i="38" a="1"/>
  <c r="S151" i="38" s="1"/>
  <c r="S116" i="38" a="1"/>
  <c r="S116" i="38" s="1"/>
  <c r="S111" i="38" a="1"/>
  <c r="S111" i="38" s="1"/>
  <c r="S102" i="38" a="1"/>
  <c r="S102" i="38" s="1"/>
  <c r="S44" i="38" a="1"/>
  <c r="S44" i="38" s="1"/>
  <c r="S34" i="38" a="1"/>
  <c r="S34" i="38" s="1"/>
  <c r="S136" i="38" a="1"/>
  <c r="S136" i="38" s="1"/>
  <c r="S127" i="38" a="1"/>
  <c r="S127" i="38" s="1"/>
  <c r="S97" i="38" a="1"/>
  <c r="S97" i="38" s="1"/>
  <c r="S142" i="38" a="1"/>
  <c r="S142" i="38" s="1"/>
  <c r="S159" i="38" a="1"/>
  <c r="S159" i="38" s="1"/>
  <c r="S157" i="38" a="1"/>
  <c r="S157" i="38" s="1"/>
  <c r="S139" i="38" a="1"/>
  <c r="S139" i="38" s="1"/>
  <c r="S91" i="38" a="1"/>
  <c r="S91" i="38" s="1"/>
  <c r="S101" i="38" a="1"/>
  <c r="S101" i="38" s="1"/>
  <c r="S100" i="38" a="1"/>
  <c r="S100" i="38" s="1"/>
  <c r="S83" i="38" a="1"/>
  <c r="S83" i="38" s="1"/>
  <c r="S31" i="38" a="1"/>
  <c r="S31" i="38" s="1"/>
  <c r="S40" i="38" a="1"/>
  <c r="S40" i="38" s="1"/>
  <c r="S32" i="38" a="1"/>
  <c r="S32" i="38" s="1"/>
  <c r="S62" i="38" a="1"/>
  <c r="S62" i="38" s="1"/>
  <c r="S135" i="38" a="1"/>
  <c r="S135" i="38" s="1"/>
  <c r="S123" i="38" a="1"/>
  <c r="S123" i="38" s="1"/>
  <c r="S121" i="38" a="1"/>
  <c r="S121" i="38" s="1"/>
  <c r="S161" i="38" a="1"/>
  <c r="S161" i="38" s="1"/>
  <c r="S96" i="38" a="1"/>
  <c r="S96" i="38" s="1"/>
  <c r="S70" i="38" a="1"/>
  <c r="S70" i="38" s="1"/>
  <c r="S112" i="38" a="1"/>
  <c r="S112" i="38" s="1"/>
  <c r="S118" i="38" a="1"/>
  <c r="S118" i="38" s="1"/>
  <c r="S104" i="38" a="1"/>
  <c r="S104" i="38" s="1"/>
  <c r="S80" i="38" a="1"/>
  <c r="S80" i="38" s="1"/>
  <c r="S147" i="38" a="1"/>
  <c r="S147" i="38" s="1"/>
  <c r="S113" i="38" a="1"/>
  <c r="S113" i="38" s="1"/>
  <c r="S50" i="38" a="1"/>
  <c r="S50" i="38" s="1"/>
  <c r="S156" i="38" a="1"/>
  <c r="S156" i="38" s="1"/>
  <c r="S95" i="38" a="1"/>
  <c r="S95" i="38" s="1"/>
  <c r="S162" i="38" a="1"/>
  <c r="S162" i="38" s="1"/>
  <c r="S108" i="38" a="1"/>
  <c r="S108" i="38" s="1"/>
  <c r="S103" i="38" a="1"/>
  <c r="S103" i="38" s="1"/>
  <c r="S146" i="38" a="1"/>
  <c r="S146" i="38" s="1"/>
  <c r="S140" i="38" a="1"/>
  <c r="S140" i="38" s="1"/>
  <c r="S149" i="38" a="1"/>
  <c r="S149" i="38" s="1"/>
  <c r="S98" i="38" a="1"/>
  <c r="S98" i="38" s="1"/>
  <c r="S90" i="38" a="1"/>
  <c r="S90" i="38" s="1"/>
  <c r="S79" i="38" a="1"/>
  <c r="S79" i="38" s="1"/>
  <c r="S125" i="38" a="1"/>
  <c r="S125" i="38" s="1"/>
  <c r="S133" i="38" a="1"/>
  <c r="S133" i="38" s="1"/>
  <c r="S138" i="38" a="1"/>
  <c r="S138" i="38" s="1"/>
  <c r="S129" i="38" a="1"/>
  <c r="S129" i="38" s="1"/>
  <c r="S145" i="38" a="1"/>
  <c r="S145" i="38" s="1"/>
  <c r="S67" i="38" a="1"/>
  <c r="S67" i="38" s="1"/>
  <c r="S119" i="38" a="1"/>
  <c r="S119" i="38" s="1"/>
  <c r="S52" i="38" a="1"/>
  <c r="S52" i="38" s="1"/>
  <c r="S57" i="38" a="1"/>
  <c r="S57" i="38" s="1"/>
  <c r="S110" i="38" a="1"/>
  <c r="S110" i="38" s="1"/>
  <c r="S137" i="38" a="1"/>
  <c r="S137" i="38" s="1"/>
  <c r="S68" i="38" a="1"/>
  <c r="S68" i="38" s="1"/>
  <c r="S160" i="38" a="1"/>
  <c r="S160" i="38" s="1"/>
  <c r="S89" i="38" a="1"/>
  <c r="S89" i="38" s="1"/>
  <c r="S51" i="38" a="1"/>
  <c r="S51" i="38" s="1"/>
  <c r="S130" i="38" a="1"/>
  <c r="S130" i="38" s="1"/>
  <c r="S143" i="38" a="1"/>
  <c r="S143" i="38" s="1"/>
  <c r="S148" i="38" a="1"/>
  <c r="S148" i="38" s="1"/>
  <c r="S92" i="38" a="1"/>
  <c r="S92" i="38" s="1"/>
  <c r="S124" i="38" a="1"/>
  <c r="S124" i="38" s="1"/>
  <c r="S107" i="38" a="1"/>
  <c r="S107" i="38" s="1"/>
  <c r="S99" i="38" a="1"/>
  <c r="S99" i="38" s="1"/>
  <c r="S58" i="38" a="1"/>
  <c r="S58" i="38" s="1"/>
  <c r="S82" i="38" a="1"/>
  <c r="S82" i="38" s="1"/>
  <c r="S144" i="38" a="1"/>
  <c r="S144" i="38" s="1"/>
  <c r="S78" i="38" a="1"/>
  <c r="S78" i="38" s="1"/>
  <c r="S165" i="38" a="1"/>
  <c r="S165" i="38" s="1"/>
  <c r="S72" i="38" a="1"/>
  <c r="S72" i="38" s="1"/>
  <c r="S71" i="38" a="1"/>
  <c r="S71" i="38" s="1"/>
  <c r="S37" i="38" a="1"/>
  <c r="S37" i="38" s="1"/>
  <c r="S163" i="38" a="1"/>
  <c r="S163" i="38" s="1"/>
  <c r="S115" i="38" a="1"/>
  <c r="S115" i="38" s="1"/>
  <c r="S47" i="38" a="1"/>
  <c r="S47" i="38" s="1"/>
  <c r="S131" i="38" a="1"/>
  <c r="S131" i="38" s="1"/>
  <c r="S73" i="38" a="1"/>
  <c r="S73" i="38" s="1"/>
  <c r="S38" i="38" a="1"/>
  <c r="S38" i="38" s="1"/>
  <c r="S122" i="38" a="1"/>
  <c r="S122" i="38" s="1"/>
  <c r="S39" i="38" a="1"/>
  <c r="S39" i="38" s="1"/>
  <c r="S64" i="38" a="1"/>
  <c r="S64" i="38" s="1"/>
  <c r="S61" i="38" a="1"/>
  <c r="S61" i="38" s="1"/>
  <c r="S77" i="38" a="1"/>
  <c r="S77" i="38" s="1"/>
  <c r="S76" i="38" a="1"/>
  <c r="S76" i="38" s="1"/>
  <c r="S150" i="38" a="1"/>
  <c r="S150" i="38" s="1"/>
  <c r="S158" i="38" a="1"/>
  <c r="S158" i="38" s="1"/>
  <c r="S86" i="38" a="1"/>
  <c r="S86" i="38" s="1"/>
  <c r="S106" i="38" a="1"/>
  <c r="S106" i="38" s="1"/>
  <c r="K57" i="38" a="1"/>
  <c r="K57" i="38" s="1"/>
  <c r="K138" i="38" a="1"/>
  <c r="K138" i="38" s="1"/>
  <c r="K144" i="38" a="1"/>
  <c r="K144" i="38" s="1"/>
  <c r="K122" i="38" a="1"/>
  <c r="K122" i="38" s="1"/>
  <c r="K165" i="38" a="1"/>
  <c r="K165" i="38" s="1"/>
  <c r="K143" i="38" a="1"/>
  <c r="K143" i="38" s="1"/>
  <c r="K139" i="38" a="1"/>
  <c r="K139" i="38" s="1"/>
  <c r="K113" i="38" a="1"/>
  <c r="K113" i="38" s="1"/>
  <c r="K151" i="38" a="1"/>
  <c r="K151" i="38" s="1"/>
  <c r="K115" i="38" a="1"/>
  <c r="K115" i="38" s="1"/>
  <c r="K114" i="38" a="1"/>
  <c r="K114" i="38" s="1"/>
  <c r="K77" i="38" a="1"/>
  <c r="K77" i="38" s="1"/>
  <c r="K35" i="38" a="1"/>
  <c r="K35" i="38" s="1"/>
  <c r="K136" i="38" a="1"/>
  <c r="K136" i="38" s="1"/>
  <c r="K121" i="38" a="1"/>
  <c r="K121" i="38" s="1"/>
  <c r="K126" i="38" a="1"/>
  <c r="K126" i="38" s="1"/>
  <c r="K162" i="38" a="1"/>
  <c r="K162" i="38" s="1"/>
  <c r="K96" i="38" a="1"/>
  <c r="K96" i="38" s="1"/>
  <c r="K64" i="38" a="1"/>
  <c r="K64" i="38" s="1"/>
  <c r="K137" i="38" a="1"/>
  <c r="K137" i="38" s="1"/>
  <c r="K154" i="38" a="1"/>
  <c r="K154" i="38" s="1"/>
  <c r="K62" i="38" a="1"/>
  <c r="K62" i="38" s="1"/>
  <c r="K90" i="38" a="1"/>
  <c r="K90" i="38" s="1"/>
  <c r="K117" i="38" a="1"/>
  <c r="K117" i="38" s="1"/>
  <c r="K56" i="38" a="1"/>
  <c r="K56" i="38" s="1"/>
  <c r="K41" i="38" a="1"/>
  <c r="K41" i="38" s="1"/>
  <c r="K38" i="38" a="1"/>
  <c r="K38" i="38" s="1"/>
  <c r="K153" i="38" a="1"/>
  <c r="K153" i="38" s="1"/>
  <c r="K97" i="38" a="1"/>
  <c r="K97" i="38" s="1"/>
  <c r="K161" i="38" a="1"/>
  <c r="K161" i="38" s="1"/>
  <c r="K152" i="38" a="1"/>
  <c r="K152" i="38" s="1"/>
  <c r="K61" i="38" a="1"/>
  <c r="K61" i="38" s="1"/>
  <c r="K150" i="38" a="1"/>
  <c r="K150" i="38" s="1"/>
  <c r="K74" i="38" a="1"/>
  <c r="K74" i="38" s="1"/>
  <c r="K88" i="38" a="1"/>
  <c r="K88" i="38" s="1"/>
  <c r="K103" i="38" a="1"/>
  <c r="K103" i="38" s="1"/>
  <c r="K104" i="38" a="1"/>
  <c r="K104" i="38" s="1"/>
  <c r="K70" i="38" a="1"/>
  <c r="K70" i="38" s="1"/>
  <c r="K85" i="38" a="1"/>
  <c r="K85" i="38" s="1"/>
  <c r="K51" i="38" a="1"/>
  <c r="K51" i="38" s="1"/>
  <c r="K127" i="38" a="1"/>
  <c r="K127" i="38" s="1"/>
  <c r="K123" i="38" a="1"/>
  <c r="K123" i="38" s="1"/>
  <c r="K142" i="38" a="1"/>
  <c r="K142" i="38" s="1"/>
  <c r="K132" i="38" a="1"/>
  <c r="K132" i="38" s="1"/>
  <c r="K65" i="38" a="1"/>
  <c r="K65" i="38" s="1"/>
  <c r="K135" i="38" a="1"/>
  <c r="K135" i="38" s="1"/>
  <c r="K73" i="38" a="1"/>
  <c r="K73" i="38" s="1"/>
  <c r="K116" i="38" a="1"/>
  <c r="K116" i="38" s="1"/>
  <c r="K106" i="38" a="1"/>
  <c r="K106" i="38" s="1"/>
  <c r="K69" i="38" a="1"/>
  <c r="K69" i="38" s="1"/>
  <c r="K71" i="38" a="1"/>
  <c r="K71" i="38" s="1"/>
  <c r="K68" i="38" a="1"/>
  <c r="K68" i="38" s="1"/>
  <c r="K129" i="38" a="1"/>
  <c r="K129" i="38" s="1"/>
  <c r="K98" i="38" a="1"/>
  <c r="K98" i="38" s="1"/>
  <c r="K110" i="38" a="1"/>
  <c r="K110" i="38" s="1"/>
  <c r="K108" i="38" a="1"/>
  <c r="K108" i="38" s="1"/>
  <c r="K46" i="38" a="1"/>
  <c r="K46" i="38" s="1"/>
  <c r="K84" i="38" a="1"/>
  <c r="K84" i="38" s="1"/>
  <c r="K119" i="38" a="1"/>
  <c r="K119" i="38" s="1"/>
  <c r="K158" i="38" a="1"/>
  <c r="K158" i="38" s="1"/>
  <c r="K160" i="38" a="1"/>
  <c r="K160" i="38" s="1"/>
  <c r="K66" i="38" a="1"/>
  <c r="K66" i="38" s="1"/>
  <c r="K141" i="38" a="1"/>
  <c r="K141" i="38" s="1"/>
  <c r="K125" i="38" a="1"/>
  <c r="K125" i="38" s="1"/>
  <c r="K42" i="38" a="1"/>
  <c r="K42" i="38" s="1"/>
  <c r="K36" i="38" a="1"/>
  <c r="K36" i="38" s="1"/>
  <c r="K91" i="38" a="1"/>
  <c r="K91" i="38" s="1"/>
  <c r="K47" i="38" a="1"/>
  <c r="K47" i="38" s="1"/>
  <c r="K58" i="38" a="1"/>
  <c r="K58" i="38" s="1"/>
  <c r="K76" i="38" a="1"/>
  <c r="K76" i="38" s="1"/>
  <c r="K124" i="38" a="1"/>
  <c r="K124" i="38" s="1"/>
  <c r="K163" i="38" a="1"/>
  <c r="K163" i="38" s="1"/>
  <c r="K94" i="38" a="1"/>
  <c r="K94" i="38" s="1"/>
  <c r="K140" i="38" a="1"/>
  <c r="K140" i="38" s="1"/>
  <c r="K100" i="38" a="1"/>
  <c r="K100" i="38" s="1"/>
  <c r="K128" i="38" a="1"/>
  <c r="K128" i="38" s="1"/>
  <c r="K37" i="38" a="1"/>
  <c r="K37" i="38" s="1"/>
  <c r="K75" i="38" a="1"/>
  <c r="K75" i="38" s="1"/>
  <c r="K72" i="38" a="1"/>
  <c r="K72" i="38" s="1"/>
  <c r="K39" i="38" a="1"/>
  <c r="K39" i="38" s="1"/>
  <c r="K93" i="38" a="1"/>
  <c r="K93" i="38" s="1"/>
  <c r="K149" i="38" a="1"/>
  <c r="K149" i="38" s="1"/>
  <c r="K63" i="38" a="1"/>
  <c r="K63" i="38" s="1"/>
  <c r="K67" i="38" a="1"/>
  <c r="K67" i="38" s="1"/>
  <c r="K102" i="38" a="1"/>
  <c r="K102" i="38" s="1"/>
  <c r="K89" i="38" a="1"/>
  <c r="K89" i="38" s="1"/>
  <c r="K59" i="38" a="1"/>
  <c r="K59" i="38" s="1"/>
  <c r="K49" i="38" a="1"/>
  <c r="K49" i="38" s="1"/>
  <c r="K81" i="38" a="1"/>
  <c r="K81" i="38" s="1"/>
  <c r="K95" i="38" a="1"/>
  <c r="K95" i="38" s="1"/>
  <c r="K109" i="38" a="1"/>
  <c r="K109" i="38" s="1"/>
  <c r="K101" i="38" a="1"/>
  <c r="K101" i="38" s="1"/>
  <c r="K82" i="38" a="1"/>
  <c r="K82" i="38" s="1"/>
  <c r="K43" i="38" a="1"/>
  <c r="K43" i="38" s="1"/>
  <c r="K32" i="38" a="1"/>
  <c r="K32" i="38" s="1"/>
  <c r="K159" i="38" a="1"/>
  <c r="K159" i="38" s="1"/>
  <c r="K83" i="38" a="1"/>
  <c r="K83" i="38" s="1"/>
  <c r="K107" i="38" a="1"/>
  <c r="K107" i="38" s="1"/>
  <c r="K54" i="38" a="1"/>
  <c r="K54" i="38" s="1"/>
  <c r="K45" i="38" a="1"/>
  <c r="K45" i="38" s="1"/>
  <c r="K157" i="38" a="1"/>
  <c r="K157" i="38" s="1"/>
  <c r="K148" i="38" a="1"/>
  <c r="K148" i="38" s="1"/>
  <c r="K60" i="38" a="1"/>
  <c r="K60" i="38" s="1"/>
  <c r="K55" i="38" a="1"/>
  <c r="K55" i="38" s="1"/>
  <c r="K156" i="38" a="1"/>
  <c r="K156" i="38" s="1"/>
  <c r="K145" i="38" a="1"/>
  <c r="K145" i="38" s="1"/>
  <c r="K105" i="38" a="1"/>
  <c r="K105" i="38" s="1"/>
  <c r="K130" i="38" a="1"/>
  <c r="K130" i="38" s="1"/>
  <c r="K112" i="38" a="1"/>
  <c r="K112" i="38" s="1"/>
  <c r="K33" i="38" a="1"/>
  <c r="K33" i="38" s="1"/>
  <c r="K146" i="38" a="1"/>
  <c r="K146" i="38" s="1"/>
  <c r="K164" i="38" a="1"/>
  <c r="K164" i="38" s="1"/>
  <c r="K111" i="38" a="1"/>
  <c r="K111" i="38" s="1"/>
  <c r="K31" i="38" a="1"/>
  <c r="K31" i="38" s="1"/>
  <c r="K48" i="38" a="1"/>
  <c r="K48" i="38" s="1"/>
  <c r="K86" i="38" a="1"/>
  <c r="K86" i="38" s="1"/>
  <c r="K80" i="38" a="1"/>
  <c r="K80" i="38" s="1"/>
  <c r="K92" i="38" a="1"/>
  <c r="K92" i="38" s="1"/>
  <c r="K40" i="38" a="1"/>
  <c r="K40" i="38" s="1"/>
  <c r="K87" i="38" a="1"/>
  <c r="K87" i="38" s="1"/>
  <c r="K118" i="38" a="1"/>
  <c r="K118" i="38" s="1"/>
  <c r="K44" i="38" a="1"/>
  <c r="K44" i="38" s="1"/>
  <c r="K131" i="38" a="1"/>
  <c r="K131" i="38" s="1"/>
  <c r="K53" i="38" a="1"/>
  <c r="K53" i="38" s="1"/>
  <c r="K99" i="38" a="1"/>
  <c r="K99" i="38" s="1"/>
  <c r="K78" i="38" a="1"/>
  <c r="K78" i="38" s="1"/>
  <c r="K134" i="38" a="1"/>
  <c r="K134" i="38" s="1"/>
  <c r="K79" i="38" a="1"/>
  <c r="K79" i="38" s="1"/>
  <c r="K34" i="38" a="1"/>
  <c r="K34" i="38" s="1"/>
  <c r="K155" i="38" a="1"/>
  <c r="K155" i="38" s="1"/>
  <c r="K50" i="38" a="1"/>
  <c r="K50" i="38" s="1"/>
  <c r="K120" i="38" a="1"/>
  <c r="K120" i="38" s="1"/>
  <c r="K52" i="38" a="1"/>
  <c r="K52" i="38" s="1"/>
  <c r="K133" i="38" a="1"/>
  <c r="K133" i="38" s="1"/>
  <c r="K147" i="38" a="1"/>
  <c r="K147" i="38" s="1"/>
  <c r="O51" i="38" a="1"/>
  <c r="O51" i="38" s="1"/>
  <c r="O160" i="38" a="1"/>
  <c r="O160" i="38" s="1"/>
  <c r="O151" i="38" a="1"/>
  <c r="O151" i="38" s="1"/>
  <c r="O141" i="38" a="1"/>
  <c r="O141" i="38" s="1"/>
  <c r="O135" i="38" a="1"/>
  <c r="O135" i="38" s="1"/>
  <c r="O138" i="38" a="1"/>
  <c r="O138" i="38" s="1"/>
  <c r="O152" i="38" a="1"/>
  <c r="O152" i="38" s="1"/>
  <c r="O94" i="38" a="1"/>
  <c r="O94" i="38" s="1"/>
  <c r="O119" i="38" a="1"/>
  <c r="O119" i="38" s="1"/>
  <c r="O75" i="38" a="1"/>
  <c r="O75" i="38" s="1"/>
  <c r="O71" i="38" a="1"/>
  <c r="O71" i="38" s="1"/>
  <c r="O87" i="38" a="1"/>
  <c r="O87" i="38" s="1"/>
  <c r="O83" i="38" a="1"/>
  <c r="O83" i="38" s="1"/>
  <c r="O36" i="38" a="1"/>
  <c r="O36" i="38" s="1"/>
  <c r="O92" i="38" a="1"/>
  <c r="O92" i="38" s="1"/>
  <c r="O39" i="38" a="1"/>
  <c r="O39" i="38" s="1"/>
  <c r="O40" i="38" a="1"/>
  <c r="O40" i="38" s="1"/>
  <c r="O77" i="38" a="1"/>
  <c r="O77" i="38" s="1"/>
  <c r="O155" i="38" a="1"/>
  <c r="O155" i="38" s="1"/>
  <c r="O128" i="38" a="1"/>
  <c r="O128" i="38" s="1"/>
  <c r="O139" i="38" a="1"/>
  <c r="O139" i="38" s="1"/>
  <c r="O134" i="38" a="1"/>
  <c r="O134" i="38" s="1"/>
  <c r="O144" i="38" a="1"/>
  <c r="O144" i="38" s="1"/>
  <c r="O132" i="38" a="1"/>
  <c r="O132" i="38" s="1"/>
  <c r="O61" i="38" a="1"/>
  <c r="O61" i="38" s="1"/>
  <c r="O115" i="38" a="1"/>
  <c r="O115" i="38" s="1"/>
  <c r="O111" i="38" a="1"/>
  <c r="O111" i="38" s="1"/>
  <c r="O73" i="38" a="1"/>
  <c r="O73" i="38" s="1"/>
  <c r="O113" i="38" a="1"/>
  <c r="O113" i="38" s="1"/>
  <c r="O31" i="38" a="1"/>
  <c r="O31" i="38" s="1"/>
  <c r="O59" i="38" a="1"/>
  <c r="O59" i="38" s="1"/>
  <c r="O50" i="38" a="1"/>
  <c r="O50" i="38" s="1"/>
  <c r="O58" i="38" a="1"/>
  <c r="O58" i="38" s="1"/>
  <c r="O45" i="38" a="1"/>
  <c r="O45" i="38" s="1"/>
  <c r="O54" i="38" a="1"/>
  <c r="O54" i="38" s="1"/>
  <c r="O43" i="38" a="1"/>
  <c r="O43" i="38" s="1"/>
  <c r="O122" i="38" a="1"/>
  <c r="O122" i="38" s="1"/>
  <c r="O98" i="38" a="1"/>
  <c r="O98" i="38" s="1"/>
  <c r="O67" i="38" a="1"/>
  <c r="O67" i="38" s="1"/>
  <c r="O62" i="38" a="1"/>
  <c r="O62" i="38" s="1"/>
  <c r="O66" i="38" a="1"/>
  <c r="O66" i="38" s="1"/>
  <c r="O97" i="38" a="1"/>
  <c r="O97" i="38" s="1"/>
  <c r="O165" i="38" a="1"/>
  <c r="O165" i="38" s="1"/>
  <c r="O123" i="38" a="1"/>
  <c r="O123" i="38" s="1"/>
  <c r="O120" i="38" a="1"/>
  <c r="O120" i="38" s="1"/>
  <c r="O70" i="38" a="1"/>
  <c r="O70" i="38" s="1"/>
  <c r="O81" i="38" a="1"/>
  <c r="O81" i="38" s="1"/>
  <c r="O34" i="38" a="1"/>
  <c r="O34" i="38" s="1"/>
  <c r="O41" i="38" a="1"/>
  <c r="O41" i="38" s="1"/>
  <c r="O112" i="38" a="1"/>
  <c r="O112" i="38" s="1"/>
  <c r="O46" i="38" a="1"/>
  <c r="O46" i="38" s="1"/>
  <c r="O110" i="38" a="1"/>
  <c r="O110" i="38" s="1"/>
  <c r="O126" i="38" a="1"/>
  <c r="O126" i="38" s="1"/>
  <c r="O145" i="38" a="1"/>
  <c r="O145" i="38" s="1"/>
  <c r="O146" i="38" a="1"/>
  <c r="O146" i="38" s="1"/>
  <c r="O150" i="38" a="1"/>
  <c r="O150" i="38" s="1"/>
  <c r="O124" i="38" a="1"/>
  <c r="O124" i="38" s="1"/>
  <c r="O121" i="38" a="1"/>
  <c r="O121" i="38" s="1"/>
  <c r="O163" i="38" a="1"/>
  <c r="O163" i="38" s="1"/>
  <c r="O76" i="38" a="1"/>
  <c r="O76" i="38" s="1"/>
  <c r="O85" i="38" a="1"/>
  <c r="O85" i="38" s="1"/>
  <c r="O101" i="38" a="1"/>
  <c r="O101" i="38" s="1"/>
  <c r="O103" i="38" a="1"/>
  <c r="O103" i="38" s="1"/>
  <c r="O55" i="38" a="1"/>
  <c r="O55" i="38" s="1"/>
  <c r="O89" i="38" a="1"/>
  <c r="O89" i="38" s="1"/>
  <c r="O78" i="38" a="1"/>
  <c r="O78" i="38" s="1"/>
  <c r="O102" i="38" a="1"/>
  <c r="O102" i="38" s="1"/>
  <c r="O116" i="38" a="1"/>
  <c r="O116" i="38" s="1"/>
  <c r="O38" i="38" a="1"/>
  <c r="O38" i="38" s="1"/>
  <c r="O107" i="38" a="1"/>
  <c r="O107" i="38" s="1"/>
  <c r="O33" i="38" a="1"/>
  <c r="O33" i="38" s="1"/>
  <c r="O100" i="38" a="1"/>
  <c r="O100" i="38" s="1"/>
  <c r="O136" i="38" a="1"/>
  <c r="O136" i="38" s="1"/>
  <c r="O158" i="38" a="1"/>
  <c r="O158" i="38" s="1"/>
  <c r="O106" i="38" a="1"/>
  <c r="O106" i="38" s="1"/>
  <c r="O118" i="38" a="1"/>
  <c r="O118" i="38" s="1"/>
  <c r="O56" i="38" a="1"/>
  <c r="O56" i="38" s="1"/>
  <c r="O60" i="38" a="1"/>
  <c r="O60" i="38" s="1"/>
  <c r="O96" i="38" a="1"/>
  <c r="O96" i="38" s="1"/>
  <c r="O137" i="38" a="1"/>
  <c r="O137" i="38" s="1"/>
  <c r="O93" i="38" a="1"/>
  <c r="O93" i="38" s="1"/>
  <c r="O99" i="38" a="1"/>
  <c r="O99" i="38" s="1"/>
  <c r="O86" i="38" a="1"/>
  <c r="O86" i="38" s="1"/>
  <c r="O114" i="38" a="1"/>
  <c r="O114" i="38" s="1"/>
  <c r="O42" i="38" a="1"/>
  <c r="O42" i="38" s="1"/>
  <c r="O147" i="38" a="1"/>
  <c r="O147" i="38" s="1"/>
  <c r="O57" i="38" a="1"/>
  <c r="O57" i="38" s="1"/>
  <c r="O148" i="38" a="1"/>
  <c r="O148" i="38" s="1"/>
  <c r="O153" i="38" a="1"/>
  <c r="O153" i="38" s="1"/>
  <c r="O149" i="38" a="1"/>
  <c r="O149" i="38" s="1"/>
  <c r="O80" i="38" a="1"/>
  <c r="O80" i="38" s="1"/>
  <c r="O69" i="38" a="1"/>
  <c r="O69" i="38" s="1"/>
  <c r="O63" i="38" a="1"/>
  <c r="O63" i="38" s="1"/>
  <c r="O64" i="38" a="1"/>
  <c r="O64" i="38" s="1"/>
  <c r="O68" i="38" a="1"/>
  <c r="O68" i="38" s="1"/>
  <c r="O65" i="38" a="1"/>
  <c r="O65" i="38" s="1"/>
  <c r="O72" i="38" a="1"/>
  <c r="O72" i="38" s="1"/>
  <c r="O48" i="38" a="1"/>
  <c r="O48" i="38" s="1"/>
  <c r="O164" i="38" a="1"/>
  <c r="O164" i="38" s="1"/>
  <c r="O130" i="38" a="1"/>
  <c r="O130" i="38" s="1"/>
  <c r="O143" i="38" a="1"/>
  <c r="O143" i="38" s="1"/>
  <c r="O140" i="38" a="1"/>
  <c r="O140" i="38" s="1"/>
  <c r="O159" i="38" a="1"/>
  <c r="O159" i="38" s="1"/>
  <c r="O104" i="38" a="1"/>
  <c r="O104" i="38" s="1"/>
  <c r="O109" i="38" a="1"/>
  <c r="O109" i="38" s="1"/>
  <c r="O35" i="38" a="1"/>
  <c r="O35" i="38" s="1"/>
  <c r="O37" i="38" a="1"/>
  <c r="O37" i="38" s="1"/>
  <c r="O162" i="38" a="1"/>
  <c r="O162" i="38" s="1"/>
  <c r="O161" i="38" a="1"/>
  <c r="O161" i="38" s="1"/>
  <c r="O44" i="38" a="1"/>
  <c r="O44" i="38" s="1"/>
  <c r="O32" i="38" a="1"/>
  <c r="O32" i="38" s="1"/>
  <c r="O154" i="38" a="1"/>
  <c r="O154" i="38" s="1"/>
  <c r="O79" i="38" a="1"/>
  <c r="O79" i="38" s="1"/>
  <c r="O47" i="38" a="1"/>
  <c r="O47" i="38" s="1"/>
  <c r="O133" i="38" a="1"/>
  <c r="O133" i="38" s="1"/>
  <c r="O82" i="38" a="1"/>
  <c r="O82" i="38" s="1"/>
  <c r="O49" i="38" a="1"/>
  <c r="O49" i="38" s="1"/>
  <c r="O90" i="38" a="1"/>
  <c r="O90" i="38" s="1"/>
  <c r="O156" i="38" a="1"/>
  <c r="O156" i="38" s="1"/>
  <c r="O108" i="38" a="1"/>
  <c r="O108" i="38" s="1"/>
  <c r="O117" i="38" a="1"/>
  <c r="O117" i="38" s="1"/>
  <c r="O74" i="38" a="1"/>
  <c r="O74" i="38" s="1"/>
  <c r="O157" i="38" a="1"/>
  <c r="O157" i="38" s="1"/>
  <c r="O88" i="38" a="1"/>
  <c r="O88" i="38" s="1"/>
  <c r="O129" i="38" a="1"/>
  <c r="O129" i="38" s="1"/>
  <c r="O52" i="38" a="1"/>
  <c r="O52" i="38" s="1"/>
  <c r="O142" i="38" a="1"/>
  <c r="O142" i="38" s="1"/>
  <c r="O125" i="38" a="1"/>
  <c r="O125" i="38" s="1"/>
  <c r="O105" i="38" a="1"/>
  <c r="O105" i="38" s="1"/>
  <c r="O53" i="38" a="1"/>
  <c r="O53" i="38" s="1"/>
  <c r="O95" i="38" a="1"/>
  <c r="O95" i="38" s="1"/>
  <c r="O127" i="38" a="1"/>
  <c r="O127" i="38" s="1"/>
  <c r="O84" i="38" a="1"/>
  <c r="O84" i="38" s="1"/>
  <c r="O131" i="38" a="1"/>
  <c r="O131" i="38" s="1"/>
  <c r="O91" i="38" a="1"/>
  <c r="O91" i="38" s="1"/>
  <c r="I67" i="38"/>
  <c r="I106" i="38"/>
  <c r="I129" i="38"/>
  <c r="I38" i="38"/>
  <c r="I65" i="38"/>
  <c r="I60" i="38"/>
  <c r="I97" i="38"/>
  <c r="I84" i="38"/>
  <c r="I127" i="38"/>
  <c r="I152" i="38"/>
  <c r="I48" i="38"/>
  <c r="I68" i="38"/>
  <c r="I51" i="38"/>
  <c r="I159" i="38"/>
  <c r="I121" i="38"/>
  <c r="I101" i="38"/>
  <c r="I33" i="38"/>
  <c r="I44" i="38"/>
  <c r="I141" i="38"/>
  <c r="I165" i="38"/>
  <c r="I50" i="38"/>
  <c r="I72" i="38"/>
  <c r="I107" i="38"/>
  <c r="I86" i="38"/>
  <c r="I134" i="38"/>
  <c r="I120" i="38"/>
  <c r="I148" i="38"/>
  <c r="I70" i="38"/>
  <c r="I64" i="38"/>
  <c r="I99" i="38"/>
  <c r="I42" i="38"/>
  <c r="I162" i="38"/>
  <c r="I59" i="38"/>
  <c r="I79" i="38"/>
  <c r="I126" i="38"/>
  <c r="I111" i="38"/>
  <c r="I150" i="38"/>
  <c r="I140" i="38"/>
  <c r="I160" i="38"/>
  <c r="I53" i="38"/>
  <c r="I73" i="38"/>
  <c r="I122" i="38"/>
  <c r="I100" i="38"/>
  <c r="I81" i="38"/>
  <c r="I66" i="38"/>
  <c r="I145" i="38"/>
  <c r="I138" i="38"/>
  <c r="I155" i="38"/>
  <c r="I39" i="38"/>
  <c r="I63" i="38"/>
  <c r="I55" i="38"/>
  <c r="I95" i="38"/>
  <c r="I77" i="38"/>
  <c r="I125" i="38"/>
  <c r="I116" i="38"/>
  <c r="I151" i="38"/>
  <c r="I78" i="38"/>
  <c r="I158" i="38"/>
  <c r="I94" i="38"/>
  <c r="I54" i="38"/>
  <c r="I87" i="38"/>
  <c r="I113" i="38"/>
  <c r="I96" i="38"/>
  <c r="I43" i="38"/>
  <c r="I52" i="38"/>
  <c r="I130" i="38"/>
  <c r="I31" i="38"/>
  <c r="I154" i="38"/>
  <c r="I47" i="38"/>
  <c r="I40" i="38"/>
  <c r="I61" i="38"/>
  <c r="I118" i="38"/>
  <c r="I104" i="38"/>
  <c r="I83" i="38"/>
  <c r="I132" i="38"/>
  <c r="I105" i="38"/>
  <c r="I146" i="38"/>
  <c r="I110" i="38"/>
  <c r="I133" i="38"/>
  <c r="I119" i="38"/>
  <c r="I147" i="38"/>
  <c r="I153" i="38"/>
  <c r="I76" i="38"/>
  <c r="I114" i="38"/>
  <c r="I108" i="38"/>
  <c r="I34" i="38"/>
  <c r="I135" i="38"/>
  <c r="I32" i="38"/>
  <c r="I164" i="38"/>
  <c r="I98" i="38"/>
  <c r="I41" i="38"/>
  <c r="I71" i="38"/>
  <c r="I74" i="38"/>
  <c r="I131" i="38"/>
  <c r="I75" i="38"/>
  <c r="I139" i="38"/>
  <c r="I36" i="38"/>
  <c r="I128" i="38"/>
  <c r="I37" i="38"/>
  <c r="I88" i="38"/>
  <c r="I80" i="38"/>
  <c r="I49" i="38"/>
  <c r="I123" i="38"/>
  <c r="I35" i="38"/>
  <c r="I69" i="38"/>
  <c r="I58" i="38"/>
  <c r="I117" i="38"/>
  <c r="I82" i="38"/>
  <c r="I124" i="38"/>
  <c r="I157" i="38"/>
  <c r="I102" i="38"/>
  <c r="I109" i="38"/>
  <c r="I115" i="38"/>
  <c r="I112" i="38"/>
  <c r="I56" i="38"/>
  <c r="I57" i="38"/>
  <c r="I85" i="38"/>
  <c r="I136" i="38"/>
  <c r="I93" i="38"/>
  <c r="I103" i="38"/>
  <c r="I163" i="38"/>
  <c r="I62" i="38"/>
  <c r="I137" i="38"/>
  <c r="I161" i="38"/>
  <c r="I149" i="38"/>
  <c r="I156" i="38"/>
  <c r="H91" i="38"/>
  <c r="H44" i="38"/>
  <c r="H159" i="38"/>
  <c r="H78" i="38"/>
  <c r="BH78" i="38" s="1"/>
  <c r="H163" i="38"/>
  <c r="BH163" i="38" s="1"/>
  <c r="H33" i="38"/>
  <c r="H64" i="38"/>
  <c r="H45" i="38"/>
  <c r="H108" i="38"/>
  <c r="H122" i="38"/>
  <c r="BH122" i="38" s="1"/>
  <c r="H77" i="38"/>
  <c r="BH77" i="38" s="1"/>
  <c r="H154" i="38"/>
  <c r="BH154" i="38" s="1"/>
  <c r="H117" i="38"/>
  <c r="BH117" i="38" s="1"/>
  <c r="H133" i="38"/>
  <c r="BH133" i="38" s="1"/>
  <c r="H31" i="38"/>
  <c r="H142" i="38"/>
  <c r="H55" i="38"/>
  <c r="H99" i="38"/>
  <c r="BH99" i="38" s="1"/>
  <c r="H34" i="38"/>
  <c r="H86" i="38"/>
  <c r="BH86" i="38" s="1"/>
  <c r="H141" i="38"/>
  <c r="H62" i="38"/>
  <c r="BH62" i="38" s="1"/>
  <c r="H148" i="38"/>
  <c r="BH148" i="38" s="1"/>
  <c r="H90" i="38"/>
  <c r="BH90" i="38" s="1"/>
  <c r="H160" i="38"/>
  <c r="BH160" i="38" s="1"/>
  <c r="H59" i="38"/>
  <c r="H104" i="38"/>
  <c r="H98" i="38"/>
  <c r="BH98" i="38" s="1"/>
  <c r="H73" i="38"/>
  <c r="BH73" i="38" s="1"/>
  <c r="H153" i="38"/>
  <c r="H109" i="38"/>
  <c r="BH109" i="38" s="1"/>
  <c r="H132" i="38"/>
  <c r="H83" i="38"/>
  <c r="BH83" i="38" s="1"/>
  <c r="H164" i="38"/>
  <c r="BH164" i="38" s="1"/>
  <c r="H51" i="38"/>
  <c r="H95" i="38"/>
  <c r="BH95" i="38" s="1"/>
  <c r="H66" i="38"/>
  <c r="BH66" i="38" s="1"/>
  <c r="H131" i="38"/>
  <c r="BH131" i="38" s="1"/>
  <c r="H110" i="38"/>
  <c r="BH110" i="38" s="1"/>
  <c r="H94" i="38"/>
  <c r="BH94" i="38" s="1"/>
  <c r="H84" i="38"/>
  <c r="H165" i="38"/>
  <c r="H53" i="38"/>
  <c r="H100" i="38"/>
  <c r="H42" i="38"/>
  <c r="H69" i="38"/>
  <c r="BH69" i="38" s="1"/>
  <c r="H146" i="38"/>
  <c r="BH146" i="38" s="1"/>
  <c r="H105" i="38"/>
  <c r="BH105" i="38" s="1"/>
  <c r="H125" i="38"/>
  <c r="BH125" i="38" s="1"/>
  <c r="H87" i="38"/>
  <c r="BH87" i="38" s="1"/>
  <c r="H157" i="38"/>
  <c r="BH157" i="38" s="1"/>
  <c r="H47" i="38"/>
  <c r="H137" i="38"/>
  <c r="BH137" i="38" s="1"/>
  <c r="H147" i="38"/>
  <c r="H38" i="38"/>
  <c r="H88" i="38"/>
  <c r="H155" i="38"/>
  <c r="BH155" i="38" s="1"/>
  <c r="H49" i="38"/>
  <c r="H96" i="38"/>
  <c r="H40" i="38"/>
  <c r="H65" i="38"/>
  <c r="BH65" i="38" s="1"/>
  <c r="H58" i="38"/>
  <c r="H101" i="38"/>
  <c r="BH101" i="38" s="1"/>
  <c r="H121" i="38"/>
  <c r="BH121" i="38" s="1"/>
  <c r="H79" i="38"/>
  <c r="BH79" i="38" s="1"/>
  <c r="H156" i="38"/>
  <c r="H115" i="38"/>
  <c r="BH115" i="38" s="1"/>
  <c r="H139" i="38"/>
  <c r="BH139" i="38" s="1"/>
  <c r="H102" i="38"/>
  <c r="BH102" i="38" s="1"/>
  <c r="H114" i="38"/>
  <c r="BH114" i="38" s="1"/>
  <c r="H60" i="38"/>
  <c r="H80" i="38"/>
  <c r="H151" i="38"/>
  <c r="BH151" i="38" s="1"/>
  <c r="H89" i="38"/>
  <c r="H138" i="38"/>
  <c r="H36" i="38"/>
  <c r="H61" i="38"/>
  <c r="BH61" i="38" s="1"/>
  <c r="H56" i="38"/>
  <c r="H97" i="38"/>
  <c r="BH97" i="38" s="1"/>
  <c r="H106" i="38"/>
  <c r="BH106" i="38" s="1"/>
  <c r="H75" i="38"/>
  <c r="BH75" i="38" s="1"/>
  <c r="H149" i="38"/>
  <c r="BH149" i="38" s="1"/>
  <c r="H119" i="38"/>
  <c r="BH119" i="38" s="1"/>
  <c r="H135" i="38"/>
  <c r="H74" i="38"/>
  <c r="BH74" i="38" s="1"/>
  <c r="H92" i="38"/>
  <c r="BH92" i="38" s="1"/>
  <c r="H82" i="38"/>
  <c r="BH82" i="38" s="1"/>
  <c r="H127" i="38"/>
  <c r="BH127" i="38" s="1"/>
  <c r="H54" i="38"/>
  <c r="H46" i="38"/>
  <c r="H76" i="38"/>
  <c r="H150" i="38"/>
  <c r="H116" i="38"/>
  <c r="H134" i="38"/>
  <c r="BH134" i="38" s="1"/>
  <c r="H32" i="38"/>
  <c r="H144" i="38"/>
  <c r="BH144" i="38" s="1"/>
  <c r="H52" i="38"/>
  <c r="H93" i="38"/>
  <c r="BH93" i="38" s="1"/>
  <c r="H41" i="38"/>
  <c r="H71" i="38"/>
  <c r="BH71" i="38" s="1"/>
  <c r="H145" i="38"/>
  <c r="BH145" i="38" s="1"/>
  <c r="H111" i="38"/>
  <c r="BH111" i="38" s="1"/>
  <c r="H128" i="38"/>
  <c r="BH128" i="38" s="1"/>
  <c r="H70" i="38"/>
  <c r="BH70" i="38" s="1"/>
  <c r="H50" i="38"/>
  <c r="H120" i="38"/>
  <c r="H48" i="38"/>
  <c r="H118" i="38"/>
  <c r="BH118" i="38" s="1"/>
  <c r="H126" i="38"/>
  <c r="H112" i="38"/>
  <c r="H113" i="38"/>
  <c r="BH113" i="38" s="1"/>
  <c r="H57" i="38"/>
  <c r="H161" i="38"/>
  <c r="BH161" i="38" s="1"/>
  <c r="H43" i="38"/>
  <c r="H130" i="38"/>
  <c r="BH130" i="38" s="1"/>
  <c r="H143" i="38"/>
  <c r="BH143" i="38" s="1"/>
  <c r="H107" i="38"/>
  <c r="BH107" i="38" s="1"/>
  <c r="H37" i="38"/>
  <c r="H129" i="38"/>
  <c r="H140" i="38"/>
  <c r="BH140" i="38" s="1"/>
  <c r="H103" i="38"/>
  <c r="BH103" i="38" s="1"/>
  <c r="H72" i="38"/>
  <c r="H81" i="38"/>
  <c r="BH81" i="38" s="1"/>
  <c r="H39" i="38"/>
  <c r="H124" i="38"/>
  <c r="BH124" i="38" s="1"/>
  <c r="H136" i="38"/>
  <c r="BH136" i="38" s="1"/>
  <c r="H152" i="38"/>
  <c r="BH152" i="38" s="1"/>
  <c r="H68" i="38"/>
  <c r="H85" i="38"/>
  <c r="BH85" i="38" s="1"/>
  <c r="H35" i="38"/>
  <c r="H123" i="38"/>
  <c r="H158" i="38"/>
  <c r="BH158" i="38" s="1"/>
  <c r="H63" i="38"/>
  <c r="BH63" i="38" s="1"/>
  <c r="H162" i="38"/>
  <c r="H67" i="38"/>
  <c r="BH67" i="38" s="1"/>
  <c r="M104" i="38" a="1"/>
  <c r="M104" i="38" s="1"/>
  <c r="M145" i="38" a="1"/>
  <c r="M145" i="38" s="1"/>
  <c r="M100" i="38" a="1"/>
  <c r="M100" i="38" s="1"/>
  <c r="M64" i="38" a="1"/>
  <c r="M64" i="38" s="1"/>
  <c r="M138" i="38" a="1"/>
  <c r="M138" i="38" s="1"/>
  <c r="M68" i="38" a="1"/>
  <c r="M68" i="38" s="1"/>
  <c r="M37" i="38" a="1"/>
  <c r="M37" i="38" s="1"/>
  <c r="M36" i="38" a="1"/>
  <c r="M36" i="38" s="1"/>
  <c r="M55" i="38" a="1"/>
  <c r="M55" i="38" s="1"/>
  <c r="M33" i="38" a="1"/>
  <c r="M33" i="38" s="1"/>
  <c r="M128" i="38" a="1"/>
  <c r="M128" i="38" s="1"/>
  <c r="M135" i="38" a="1"/>
  <c r="M135" i="38" s="1"/>
  <c r="M153" i="38" a="1"/>
  <c r="M153" i="38" s="1"/>
  <c r="M97" i="38" a="1"/>
  <c r="M97" i="38" s="1"/>
  <c r="M99" i="38" a="1"/>
  <c r="M99" i="38" s="1"/>
  <c r="M111" i="38" a="1"/>
  <c r="M111" i="38" s="1"/>
  <c r="M41" i="38" a="1"/>
  <c r="M41" i="38" s="1"/>
  <c r="M35" i="38" a="1"/>
  <c r="M35" i="38" s="1"/>
  <c r="M147" i="38" a="1"/>
  <c r="M147" i="38" s="1"/>
  <c r="M46" i="38" a="1"/>
  <c r="M46" i="38" s="1"/>
  <c r="M141" i="38" a="1"/>
  <c r="M141" i="38" s="1"/>
  <c r="M139" i="38" a="1"/>
  <c r="M139" i="38" s="1"/>
  <c r="M93" i="38" a="1"/>
  <c r="M93" i="38" s="1"/>
  <c r="M122" i="38" a="1"/>
  <c r="M122" i="38" s="1"/>
  <c r="M165" i="38" a="1"/>
  <c r="M165" i="38" s="1"/>
  <c r="M143" i="38" a="1"/>
  <c r="M143" i="38" s="1"/>
  <c r="M90" i="38" a="1"/>
  <c r="M90" i="38" s="1"/>
  <c r="M162" i="38" a="1"/>
  <c r="M162" i="38" s="1"/>
  <c r="M102" i="38" a="1"/>
  <c r="M102" i="38" s="1"/>
  <c r="M120" i="38" a="1"/>
  <c r="M120" i="38" s="1"/>
  <c r="M48" i="38" a="1"/>
  <c r="M48" i="38" s="1"/>
  <c r="M73" i="38" a="1"/>
  <c r="M73" i="38" s="1"/>
  <c r="M40" i="38" a="1"/>
  <c r="M40" i="38" s="1"/>
  <c r="M32" i="38" a="1"/>
  <c r="M32" i="38" s="1"/>
  <c r="M49" i="38" a="1"/>
  <c r="M49" i="38" s="1"/>
  <c r="M67" i="38" a="1"/>
  <c r="M67" i="38" s="1"/>
  <c r="M124" i="38" a="1"/>
  <c r="M124" i="38" s="1"/>
  <c r="M130" i="38" a="1"/>
  <c r="M130" i="38" s="1"/>
  <c r="M129" i="38" a="1"/>
  <c r="M129" i="38" s="1"/>
  <c r="M142" i="38" a="1"/>
  <c r="M142" i="38" s="1"/>
  <c r="M98" i="38" a="1"/>
  <c r="M98" i="38" s="1"/>
  <c r="M69" i="38" a="1"/>
  <c r="M69" i="38" s="1"/>
  <c r="M118" i="38" a="1"/>
  <c r="M118" i="38" s="1"/>
  <c r="M119" i="38" a="1"/>
  <c r="M119" i="38" s="1"/>
  <c r="M113" i="38" a="1"/>
  <c r="M113" i="38" s="1"/>
  <c r="M57" i="38" a="1"/>
  <c r="M57" i="38" s="1"/>
  <c r="M51" i="38" a="1"/>
  <c r="M51" i="38" s="1"/>
  <c r="M60" i="38" a="1"/>
  <c r="M60" i="38" s="1"/>
  <c r="M50" i="38" a="1"/>
  <c r="M50" i="38" s="1"/>
  <c r="M92" i="38" a="1"/>
  <c r="M92" i="38" s="1"/>
  <c r="M105" i="38" a="1"/>
  <c r="M105" i="38" s="1"/>
  <c r="M31" i="38" a="1"/>
  <c r="M31" i="38" s="1"/>
  <c r="M146" i="38" a="1"/>
  <c r="M146" i="38" s="1"/>
  <c r="M127" i="38" a="1"/>
  <c r="M127" i="38" s="1"/>
  <c r="M144" i="38" a="1"/>
  <c r="M144" i="38" s="1"/>
  <c r="M152" i="38" a="1"/>
  <c r="M152" i="38" s="1"/>
  <c r="M94" i="38" a="1"/>
  <c r="M94" i="38" s="1"/>
  <c r="M101" i="38" a="1"/>
  <c r="M101" i="38" s="1"/>
  <c r="M107" i="38" a="1"/>
  <c r="M107" i="38" s="1"/>
  <c r="M84" i="38" a="1"/>
  <c r="M84" i="38" s="1"/>
  <c r="M115" i="38" a="1"/>
  <c r="M115" i="38" s="1"/>
  <c r="M116" i="38" a="1"/>
  <c r="M116" i="38" s="1"/>
  <c r="M58" i="38" a="1"/>
  <c r="M58" i="38" s="1"/>
  <c r="M52" i="38" a="1"/>
  <c r="M52" i="38" s="1"/>
  <c r="M74" i="38" a="1"/>
  <c r="M74" i="38" s="1"/>
  <c r="M56" i="38" a="1"/>
  <c r="M56" i="38" s="1"/>
  <c r="M151" i="38" a="1"/>
  <c r="M151" i="38" s="1"/>
  <c r="M134" i="38" a="1"/>
  <c r="M134" i="38" s="1"/>
  <c r="M136" i="38" a="1"/>
  <c r="M136" i="38" s="1"/>
  <c r="M95" i="38" a="1"/>
  <c r="M95" i="38" s="1"/>
  <c r="M158" i="38" a="1"/>
  <c r="M158" i="38" s="1"/>
  <c r="M155" i="38" a="1"/>
  <c r="M155" i="38" s="1"/>
  <c r="M114" i="38" a="1"/>
  <c r="M114" i="38" s="1"/>
  <c r="M89" i="38" a="1"/>
  <c r="M89" i="38" s="1"/>
  <c r="M160" i="38" a="1"/>
  <c r="M160" i="38" s="1"/>
  <c r="M80" i="38" a="1"/>
  <c r="M80" i="38" s="1"/>
  <c r="M110" i="38" a="1"/>
  <c r="M110" i="38" s="1"/>
  <c r="M75" i="38" a="1"/>
  <c r="M75" i="38" s="1"/>
  <c r="M39" i="38" a="1"/>
  <c r="M39" i="38" s="1"/>
  <c r="M38" i="38" a="1"/>
  <c r="M38" i="38" s="1"/>
  <c r="M85" i="38" a="1"/>
  <c r="M85" i="38" s="1"/>
  <c r="M42" i="38" a="1"/>
  <c r="M42" i="38" s="1"/>
  <c r="M148" i="38" a="1"/>
  <c r="M148" i="38" s="1"/>
  <c r="M156" i="38" a="1"/>
  <c r="M156" i="38" s="1"/>
  <c r="M132" i="38" a="1"/>
  <c r="M132" i="38" s="1"/>
  <c r="M112" i="38" a="1"/>
  <c r="M112" i="38" s="1"/>
  <c r="M81" i="38" a="1"/>
  <c r="M81" i="38" s="1"/>
  <c r="M44" i="38" a="1"/>
  <c r="M44" i="38" s="1"/>
  <c r="M87" i="38" a="1"/>
  <c r="M87" i="38" s="1"/>
  <c r="M103" i="38" a="1"/>
  <c r="M103" i="38" s="1"/>
  <c r="M83" i="38" a="1"/>
  <c r="M83" i="38" s="1"/>
  <c r="M47" i="38" a="1"/>
  <c r="M47" i="38" s="1"/>
  <c r="M140" i="38" a="1"/>
  <c r="M140" i="38" s="1"/>
  <c r="M66" i="38" a="1"/>
  <c r="M66" i="38" s="1"/>
  <c r="M163" i="38" a="1"/>
  <c r="M163" i="38" s="1"/>
  <c r="M72" i="38" a="1"/>
  <c r="M72" i="38" s="1"/>
  <c r="M106" i="38" a="1"/>
  <c r="M106" i="38" s="1"/>
  <c r="M54" i="38" a="1"/>
  <c r="M54" i="38" s="1"/>
  <c r="M88" i="38" a="1"/>
  <c r="M88" i="38" s="1"/>
  <c r="M137" i="38" a="1"/>
  <c r="M137" i="38" s="1"/>
  <c r="M123" i="38" a="1"/>
  <c r="M123" i="38" s="1"/>
  <c r="M161" i="38" a="1"/>
  <c r="M161" i="38" s="1"/>
  <c r="M70" i="38" a="1"/>
  <c r="M70" i="38" s="1"/>
  <c r="M79" i="38" a="1"/>
  <c r="M79" i="38" s="1"/>
  <c r="M45" i="38" a="1"/>
  <c r="M45" i="38" s="1"/>
  <c r="M154" i="38" a="1"/>
  <c r="M154" i="38" s="1"/>
  <c r="M121" i="38" a="1"/>
  <c r="M121" i="38" s="1"/>
  <c r="M61" i="38" a="1"/>
  <c r="M61" i="38" s="1"/>
  <c r="M78" i="38" a="1"/>
  <c r="M78" i="38" s="1"/>
  <c r="M108" i="38" a="1"/>
  <c r="M108" i="38" s="1"/>
  <c r="M34" i="38" a="1"/>
  <c r="M34" i="38" s="1"/>
  <c r="M62" i="38" a="1"/>
  <c r="M62" i="38" s="1"/>
  <c r="M96" i="38" a="1"/>
  <c r="M96" i="38" s="1"/>
  <c r="M82" i="38" a="1"/>
  <c r="M82" i="38" s="1"/>
  <c r="M76" i="38" a="1"/>
  <c r="M76" i="38" s="1"/>
  <c r="M150" i="38" a="1"/>
  <c r="M150" i="38" s="1"/>
  <c r="M63" i="38" a="1"/>
  <c r="M63" i="38" s="1"/>
  <c r="M86" i="38" a="1"/>
  <c r="M86" i="38" s="1"/>
  <c r="M159" i="38" a="1"/>
  <c r="M159" i="38" s="1"/>
  <c r="M43" i="38" a="1"/>
  <c r="M43" i="38" s="1"/>
  <c r="M133" i="38" a="1"/>
  <c r="M133" i="38" s="1"/>
  <c r="M131" i="38" a="1"/>
  <c r="M131" i="38" s="1"/>
  <c r="M117" i="38" a="1"/>
  <c r="M117" i="38" s="1"/>
  <c r="M53" i="38" a="1"/>
  <c r="M53" i="38" s="1"/>
  <c r="M149" i="38" a="1"/>
  <c r="M149" i="38" s="1"/>
  <c r="M109" i="38" a="1"/>
  <c r="M109" i="38" s="1"/>
  <c r="M91" i="38" a="1"/>
  <c r="M91" i="38" s="1"/>
  <c r="M125" i="38" a="1"/>
  <c r="M125" i="38" s="1"/>
  <c r="M157" i="38" a="1"/>
  <c r="M157" i="38" s="1"/>
  <c r="M65" i="38" a="1"/>
  <c r="M65" i="38" s="1"/>
  <c r="M164" i="38" a="1"/>
  <c r="M164" i="38" s="1"/>
  <c r="M77" i="38" a="1"/>
  <c r="M77" i="38" s="1"/>
  <c r="M59" i="38" a="1"/>
  <c r="M59" i="38" s="1"/>
  <c r="M126" i="38" a="1"/>
  <c r="M126" i="38" s="1"/>
  <c r="M71" i="38" a="1"/>
  <c r="M71" i="38" s="1"/>
  <c r="Q57" i="38" a="1"/>
  <c r="Q57" i="38" s="1"/>
  <c r="Q31" i="38" a="1"/>
  <c r="Q31" i="38" s="1"/>
  <c r="Q42" i="38" a="1"/>
  <c r="Q42" i="38" s="1"/>
  <c r="Q52" i="38" a="1"/>
  <c r="Q52" i="38" s="1"/>
  <c r="Q79" i="38" a="1"/>
  <c r="Q79" i="38" s="1"/>
  <c r="Q78" i="38" a="1"/>
  <c r="Q78" i="38" s="1"/>
  <c r="Q40" i="38" a="1"/>
  <c r="Q40" i="38" s="1"/>
  <c r="Q36" i="38" a="1"/>
  <c r="Q36" i="38" s="1"/>
  <c r="Q51" i="38" a="1"/>
  <c r="Q51" i="38" s="1"/>
  <c r="Q115" i="38" a="1"/>
  <c r="Q115" i="38" s="1"/>
  <c r="Q68" i="38" a="1"/>
  <c r="Q68" i="38" s="1"/>
  <c r="Q94" i="38" a="1"/>
  <c r="Q94" i="38" s="1"/>
  <c r="Q163" i="38" a="1"/>
  <c r="Q163" i="38" s="1"/>
  <c r="Q98" i="38" a="1"/>
  <c r="Q98" i="38" s="1"/>
  <c r="Q145" i="38" a="1"/>
  <c r="Q145" i="38" s="1"/>
  <c r="Q153" i="38" a="1"/>
  <c r="Q153" i="38" s="1"/>
  <c r="Q65" i="38" a="1"/>
  <c r="Q65" i="38" s="1"/>
  <c r="Q71" i="38" a="1"/>
  <c r="Q71" i="38" s="1"/>
  <c r="Q119" i="38" a="1"/>
  <c r="Q119" i="38" s="1"/>
  <c r="Q114" i="38" a="1"/>
  <c r="Q114" i="38" s="1"/>
  <c r="Q117" i="38" a="1"/>
  <c r="Q117" i="38" s="1"/>
  <c r="Q66" i="38" a="1"/>
  <c r="Q66" i="38" s="1"/>
  <c r="Q54" i="38" a="1"/>
  <c r="Q54" i="38" s="1"/>
  <c r="Q85" i="38" a="1"/>
  <c r="Q85" i="38" s="1"/>
  <c r="Q45" i="38" a="1"/>
  <c r="Q45" i="38" s="1"/>
  <c r="Q53" i="38" a="1"/>
  <c r="Q53" i="38" s="1"/>
  <c r="Q82" i="38" a="1"/>
  <c r="Q82" i="38" s="1"/>
  <c r="Q38" i="38" a="1"/>
  <c r="Q38" i="38" s="1"/>
  <c r="Q152" i="38" a="1"/>
  <c r="Q152" i="38" s="1"/>
  <c r="Q122" i="38" a="1"/>
  <c r="Q122" i="38" s="1"/>
  <c r="Q157" i="38" a="1"/>
  <c r="Q157" i="38" s="1"/>
  <c r="Q151" i="38" a="1"/>
  <c r="Q151" i="38" s="1"/>
  <c r="Q141" i="38" a="1"/>
  <c r="Q141" i="38" s="1"/>
  <c r="Q131" i="38" a="1"/>
  <c r="Q131" i="38" s="1"/>
  <c r="Q109" i="38" a="1"/>
  <c r="Q109" i="38" s="1"/>
  <c r="Q88" i="38" a="1"/>
  <c r="Q88" i="38" s="1"/>
  <c r="Q104" i="38" a="1"/>
  <c r="Q104" i="38" s="1"/>
  <c r="Q101" i="38" a="1"/>
  <c r="Q101" i="38" s="1"/>
  <c r="Q80" i="38" a="1"/>
  <c r="Q80" i="38" s="1"/>
  <c r="Q76" i="38" a="1"/>
  <c r="Q76" i="38" s="1"/>
  <c r="Q39" i="38" a="1"/>
  <c r="Q39" i="38" s="1"/>
  <c r="Q123" i="38" a="1"/>
  <c r="Q123" i="38" s="1"/>
  <c r="Q132" i="38" a="1"/>
  <c r="Q132" i="38" s="1"/>
  <c r="Q126" i="38" a="1"/>
  <c r="Q126" i="38" s="1"/>
  <c r="Q162" i="38" a="1"/>
  <c r="Q162" i="38" s="1"/>
  <c r="Q128" i="38" a="1"/>
  <c r="Q128" i="38" s="1"/>
  <c r="Q139" i="38" a="1"/>
  <c r="Q139" i="38" s="1"/>
  <c r="Q138" i="38" a="1"/>
  <c r="Q138" i="38" s="1"/>
  <c r="Q81" i="38" a="1"/>
  <c r="Q81" i="38" s="1"/>
  <c r="Q87" i="38" a="1"/>
  <c r="Q87" i="38" s="1"/>
  <c r="Q146" i="38" a="1"/>
  <c r="Q146" i="38" s="1"/>
  <c r="Q69" i="38" a="1"/>
  <c r="Q69" i="38" s="1"/>
  <c r="Q89" i="38" a="1"/>
  <c r="Q89" i="38" s="1"/>
  <c r="Q44" i="38" a="1"/>
  <c r="Q44" i="38" s="1"/>
  <c r="Q34" i="38" a="1"/>
  <c r="Q34" i="38" s="1"/>
  <c r="Q43" i="38" a="1"/>
  <c r="Q43" i="38" s="1"/>
  <c r="Q33" i="38" a="1"/>
  <c r="Q33" i="38" s="1"/>
  <c r="Q91" i="38" a="1"/>
  <c r="Q91" i="38" s="1"/>
  <c r="Q84" i="38" a="1"/>
  <c r="Q84" i="38" s="1"/>
  <c r="Q56" i="38" a="1"/>
  <c r="Q56" i="38" s="1"/>
  <c r="Q92" i="38" a="1"/>
  <c r="Q92" i="38" s="1"/>
  <c r="Q95" i="38" a="1"/>
  <c r="Q95" i="38" s="1"/>
  <c r="Q142" i="38" a="1"/>
  <c r="Q142" i="38" s="1"/>
  <c r="Q158" i="38" a="1"/>
  <c r="Q158" i="38" s="1"/>
  <c r="Q63" i="38" a="1"/>
  <c r="Q63" i="38" s="1"/>
  <c r="Q67" i="38" a="1"/>
  <c r="Q67" i="38" s="1"/>
  <c r="Q124" i="38" a="1"/>
  <c r="Q124" i="38" s="1"/>
  <c r="Q134" i="38" a="1"/>
  <c r="Q134" i="38" s="1"/>
  <c r="Q102" i="38" a="1"/>
  <c r="Q102" i="38" s="1"/>
  <c r="Q105" i="38" a="1"/>
  <c r="Q105" i="38" s="1"/>
  <c r="Q86" i="38" a="1"/>
  <c r="Q86" i="38" s="1"/>
  <c r="Q77" i="38" a="1"/>
  <c r="Q77" i="38" s="1"/>
  <c r="Q165" i="38" a="1"/>
  <c r="Q165" i="38" s="1"/>
  <c r="Q160" i="38" a="1"/>
  <c r="Q160" i="38" s="1"/>
  <c r="Q137" i="38" a="1"/>
  <c r="Q137" i="38" s="1"/>
  <c r="Q140" i="38" a="1"/>
  <c r="Q140" i="38" s="1"/>
  <c r="Q108" i="38" a="1"/>
  <c r="Q108" i="38" s="1"/>
  <c r="Q41" i="38" a="1"/>
  <c r="Q41" i="38" s="1"/>
  <c r="Q136" i="38" a="1"/>
  <c r="Q136" i="38" s="1"/>
  <c r="Q60" i="38" a="1"/>
  <c r="Q60" i="38" s="1"/>
  <c r="Q61" i="38" a="1"/>
  <c r="Q61" i="38" s="1"/>
  <c r="Q148" i="38" a="1"/>
  <c r="Q148" i="38" s="1"/>
  <c r="Q127" i="38" a="1"/>
  <c r="Q127" i="38" s="1"/>
  <c r="Q74" i="38" a="1"/>
  <c r="Q74" i="38" s="1"/>
  <c r="Q72" i="38" a="1"/>
  <c r="Q72" i="38" s="1"/>
  <c r="Q55" i="38" a="1"/>
  <c r="Q55" i="38" s="1"/>
  <c r="Q118" i="38" a="1"/>
  <c r="Q118" i="38" s="1"/>
  <c r="Q37" i="38" a="1"/>
  <c r="Q37" i="38" s="1"/>
  <c r="Q106" i="38" a="1"/>
  <c r="Q106" i="38" s="1"/>
  <c r="Q99" i="38" a="1"/>
  <c r="Q99" i="38" s="1"/>
  <c r="Q125" i="38" a="1"/>
  <c r="Q125" i="38" s="1"/>
  <c r="Q156" i="38" a="1"/>
  <c r="Q156" i="38" s="1"/>
  <c r="Q110" i="38" a="1"/>
  <c r="Q110" i="38" s="1"/>
  <c r="Q70" i="38" a="1"/>
  <c r="Q70" i="38" s="1"/>
  <c r="Q111" i="38" a="1"/>
  <c r="Q111" i="38" s="1"/>
  <c r="Q50" i="38" a="1"/>
  <c r="Q50" i="38" s="1"/>
  <c r="Q130" i="38" a="1"/>
  <c r="Q130" i="38" s="1"/>
  <c r="Q149" i="38" a="1"/>
  <c r="Q149" i="38" s="1"/>
  <c r="Q143" i="38" a="1"/>
  <c r="Q143" i="38" s="1"/>
  <c r="Q93" i="38" a="1"/>
  <c r="Q93" i="38" s="1"/>
  <c r="Q113" i="38" a="1"/>
  <c r="Q113" i="38" s="1"/>
  <c r="Q107" i="38" a="1"/>
  <c r="Q107" i="38" s="1"/>
  <c r="Q35" i="38" a="1"/>
  <c r="Q35" i="38" s="1"/>
  <c r="Q58" i="38" a="1"/>
  <c r="Q58" i="38" s="1"/>
  <c r="Q121" i="38" a="1"/>
  <c r="Q121" i="38" s="1"/>
  <c r="Q154" i="38" a="1"/>
  <c r="Q154" i="38" s="1"/>
  <c r="Q116" i="38" a="1"/>
  <c r="Q116" i="38" s="1"/>
  <c r="Q48" i="38" a="1"/>
  <c r="Q48" i="38" s="1"/>
  <c r="Q64" i="38" a="1"/>
  <c r="Q64" i="38" s="1"/>
  <c r="Q46" i="38" a="1"/>
  <c r="Q46" i="38" s="1"/>
  <c r="Q129" i="38" a="1"/>
  <c r="Q129" i="38" s="1"/>
  <c r="Q133" i="38" a="1"/>
  <c r="Q133" i="38" s="1"/>
  <c r="Q83" i="38" a="1"/>
  <c r="Q83" i="38" s="1"/>
  <c r="Q73" i="38" a="1"/>
  <c r="Q73" i="38" s="1"/>
  <c r="Q144" i="38" a="1"/>
  <c r="Q144" i="38" s="1"/>
  <c r="Q135" i="38" a="1"/>
  <c r="Q135" i="38" s="1"/>
  <c r="Q59" i="38" a="1"/>
  <c r="Q59" i="38" s="1"/>
  <c r="Q164" i="38" a="1"/>
  <c r="Q164" i="38" s="1"/>
  <c r="Q150" i="38" a="1"/>
  <c r="Q150" i="38" s="1"/>
  <c r="Q75" i="38" a="1"/>
  <c r="Q75" i="38" s="1"/>
  <c r="Q155" i="38" a="1"/>
  <c r="Q155" i="38" s="1"/>
  <c r="Q147" i="38" a="1"/>
  <c r="Q147" i="38" s="1"/>
  <c r="Q96" i="38" a="1"/>
  <c r="Q96" i="38" s="1"/>
  <c r="Q100" i="38" a="1"/>
  <c r="Q100" i="38" s="1"/>
  <c r="Q62" i="38" a="1"/>
  <c r="Q62" i="38" s="1"/>
  <c r="Q49" i="38" a="1"/>
  <c r="Q49" i="38" s="1"/>
  <c r="Q159" i="38" a="1"/>
  <c r="Q159" i="38" s="1"/>
  <c r="Q97" i="38" a="1"/>
  <c r="Q97" i="38" s="1"/>
  <c r="Q112" i="38" a="1"/>
  <c r="Q112" i="38" s="1"/>
  <c r="Q120" i="38" a="1"/>
  <c r="Q120" i="38" s="1"/>
  <c r="Q47" i="38" a="1"/>
  <c r="Q47" i="38" s="1"/>
  <c r="Q161" i="38" a="1"/>
  <c r="Q161" i="38" s="1"/>
  <c r="Q103" i="38" a="1"/>
  <c r="Q103" i="38" s="1"/>
  <c r="Q90" i="38" a="1"/>
  <c r="Q90" i="38" s="1"/>
  <c r="Q32" i="38" a="1"/>
  <c r="Q32" i="38" s="1"/>
  <c r="AO121" i="38" a="1"/>
  <c r="AO121" i="38" s="1"/>
  <c r="AO101" i="38" a="1"/>
  <c r="AO101" i="38" s="1"/>
  <c r="AO80" i="38" a="1"/>
  <c r="AO80" i="38" s="1"/>
  <c r="AO137" i="38" a="1"/>
  <c r="AO137" i="38" s="1"/>
  <c r="AO71" i="38" a="1"/>
  <c r="AO71" i="38" s="1"/>
  <c r="AO128" i="38" a="1"/>
  <c r="AO128" i="38" s="1"/>
  <c r="AO63" i="38" a="1"/>
  <c r="AO63" i="38" s="1"/>
  <c r="AO143" i="38" a="1"/>
  <c r="AO143" i="38" s="1"/>
  <c r="AO110" i="38" a="1"/>
  <c r="AO110" i="38" s="1"/>
  <c r="AO50" i="38" a="1"/>
  <c r="AO50" i="38" s="1"/>
  <c r="AO163" i="38" a="1"/>
  <c r="AO163" i="38" s="1"/>
  <c r="AO87" i="38" a="1"/>
  <c r="AO87" i="38" s="1"/>
  <c r="AO74" i="38" a="1"/>
  <c r="AO74" i="38" s="1"/>
  <c r="AO36" i="38" a="1"/>
  <c r="AO36" i="38" s="1"/>
  <c r="AO129" i="38" a="1"/>
  <c r="AO129" i="38" s="1"/>
  <c r="AO113" i="38" a="1"/>
  <c r="AO113" i="38" s="1"/>
  <c r="AO145" i="38" a="1"/>
  <c r="AO145" i="38" s="1"/>
  <c r="AO46" i="38" a="1"/>
  <c r="AO46" i="38" s="1"/>
  <c r="AO83" i="38" a="1"/>
  <c r="AO83" i="38" s="1"/>
  <c r="AO85" i="38" a="1"/>
  <c r="AO85" i="38" s="1"/>
  <c r="AO44" i="38" a="1"/>
  <c r="AO44" i="38" s="1"/>
  <c r="AO78" i="38" a="1"/>
  <c r="AO78" i="38" s="1"/>
  <c r="AO73" i="38" a="1"/>
  <c r="AO73" i="38" s="1"/>
  <c r="AO65" i="38" a="1"/>
  <c r="AO65" i="38" s="1"/>
  <c r="AO55" i="38" a="1"/>
  <c r="AO55" i="38" s="1"/>
  <c r="AO156" i="38" a="1"/>
  <c r="AO156" i="38" s="1"/>
  <c r="AO152" i="38" a="1"/>
  <c r="AO152" i="38" s="1"/>
  <c r="AO148" i="38" a="1"/>
  <c r="AO148" i="38" s="1"/>
  <c r="AO47" i="38" a="1"/>
  <c r="AO47" i="38" s="1"/>
  <c r="AO77" i="38" a="1"/>
  <c r="AO77" i="38" s="1"/>
  <c r="AO127" i="38" a="1"/>
  <c r="AO127" i="38" s="1"/>
  <c r="AO160" i="38" a="1"/>
  <c r="AO160" i="38" s="1"/>
  <c r="AO119" i="38" a="1"/>
  <c r="AO119" i="38" s="1"/>
  <c r="AO59" i="38" a="1"/>
  <c r="AO59" i="38" s="1"/>
  <c r="AO39" i="38" a="1"/>
  <c r="AO39" i="38" s="1"/>
  <c r="AO38" i="38" a="1"/>
  <c r="AO38" i="38" s="1"/>
  <c r="AO70" i="38" a="1"/>
  <c r="AO70" i="38" s="1"/>
  <c r="AO34" i="38" a="1"/>
  <c r="AO34" i="38" s="1"/>
  <c r="AO62" i="38" a="1"/>
  <c r="AO62" i="38" s="1"/>
  <c r="AO158" i="38" a="1"/>
  <c r="AO158" i="38" s="1"/>
  <c r="AO154" i="38" a="1"/>
  <c r="AO154" i="38" s="1"/>
  <c r="AO51" i="38" a="1"/>
  <c r="AO51" i="38" s="1"/>
  <c r="AO146" i="38" a="1"/>
  <c r="AO146" i="38" s="1"/>
  <c r="AO161" i="38" a="1"/>
  <c r="AO161" i="38" s="1"/>
  <c r="AO115" i="38" a="1"/>
  <c r="AO115" i="38" s="1"/>
  <c r="AO120" i="38" a="1"/>
  <c r="AO120" i="38" s="1"/>
  <c r="AO131" i="38" a="1"/>
  <c r="AO131" i="38" s="1"/>
  <c r="AO123" i="38" a="1"/>
  <c r="AO123" i="38" s="1"/>
  <c r="AO89" i="38" a="1"/>
  <c r="AO89" i="38" s="1"/>
  <c r="AO155" i="38" a="1"/>
  <c r="AO155" i="38" s="1"/>
  <c r="AO151" i="38" a="1"/>
  <c r="AO151" i="38" s="1"/>
  <c r="AO104" i="38" a="1"/>
  <c r="AO104" i="38" s="1"/>
  <c r="AO37" i="38" a="1"/>
  <c r="AO37" i="38" s="1"/>
  <c r="AO82" i="38" a="1"/>
  <c r="AO82" i="38" s="1"/>
  <c r="AO35" i="38" a="1"/>
  <c r="AO35" i="38" s="1"/>
  <c r="AO68" i="38" a="1"/>
  <c r="AO68" i="38" s="1"/>
  <c r="AO57" i="38" a="1"/>
  <c r="AO57" i="38" s="1"/>
  <c r="AO105" i="38" a="1"/>
  <c r="AO105" i="38" s="1"/>
  <c r="AO108" i="38" a="1"/>
  <c r="AO108" i="38" s="1"/>
  <c r="AO86" i="38" a="1"/>
  <c r="AO86" i="38" s="1"/>
  <c r="AO40" i="38" a="1"/>
  <c r="AO40" i="38" s="1"/>
  <c r="AO67" i="38" a="1"/>
  <c r="AO67" i="38" s="1"/>
  <c r="AO125" i="38" a="1"/>
  <c r="AO125" i="38" s="1"/>
  <c r="AO58" i="38" a="1"/>
  <c r="AO58" i="38" s="1"/>
  <c r="AO118" i="38" a="1"/>
  <c r="AO118" i="38" s="1"/>
  <c r="AO164" i="38" a="1"/>
  <c r="AO164" i="38" s="1"/>
  <c r="AO56" i="38" a="1"/>
  <c r="AO56" i="38" s="1"/>
  <c r="AO141" i="38" a="1"/>
  <c r="AO141" i="38" s="1"/>
  <c r="AO134" i="38" a="1"/>
  <c r="AO134" i="38" s="1"/>
  <c r="AO130" i="38" a="1"/>
  <c r="AO130" i="38" s="1"/>
  <c r="AO31" i="38" a="1"/>
  <c r="AO31" i="38" s="1"/>
  <c r="AO114" i="38" a="1"/>
  <c r="AO114" i="38" s="1"/>
  <c r="AO100" i="38" a="1"/>
  <c r="AO100" i="38" s="1"/>
  <c r="AO142" i="38" a="1"/>
  <c r="AO142" i="38" s="1"/>
  <c r="AO117" i="38" a="1"/>
  <c r="AO117" i="38" s="1"/>
  <c r="AO81" i="38" a="1"/>
  <c r="AO81" i="38" s="1"/>
  <c r="AO61" i="38" a="1"/>
  <c r="AO61" i="38" s="1"/>
  <c r="AO43" i="38" a="1"/>
  <c r="AO43" i="38" s="1"/>
  <c r="AO88" i="38" a="1"/>
  <c r="AO88" i="38" s="1"/>
  <c r="AO41" i="38" a="1"/>
  <c r="AO41" i="38" s="1"/>
  <c r="AO84" i="38" a="1"/>
  <c r="AO84" i="38" s="1"/>
  <c r="AO147" i="38" a="1"/>
  <c r="AO147" i="38" s="1"/>
  <c r="AO126" i="38" a="1"/>
  <c r="AO126" i="38" s="1"/>
  <c r="AO165" i="38" a="1"/>
  <c r="AO165" i="38" s="1"/>
  <c r="AO150" i="38" a="1"/>
  <c r="AO150" i="38" s="1"/>
  <c r="AO42" i="38" a="1"/>
  <c r="AO42" i="38" s="1"/>
  <c r="AO138" i="38" a="1"/>
  <c r="AO138" i="38" s="1"/>
  <c r="AO135" i="38" a="1"/>
  <c r="AO135" i="38" s="1"/>
  <c r="AO75" i="38" a="1"/>
  <c r="AO75" i="38" s="1"/>
  <c r="AO69" i="38" a="1"/>
  <c r="AO69" i="38" s="1"/>
  <c r="AO64" i="38" a="1"/>
  <c r="AO64" i="38" s="1"/>
  <c r="AO92" i="38" a="1"/>
  <c r="AO92" i="38" s="1"/>
  <c r="AO157" i="38" a="1"/>
  <c r="AO157" i="38" s="1"/>
  <c r="AO107" i="38" a="1"/>
  <c r="AO107" i="38" s="1"/>
  <c r="AO98" i="38" a="1"/>
  <c r="AO98" i="38" s="1"/>
  <c r="AO49" i="38" a="1"/>
  <c r="AO49" i="38" s="1"/>
  <c r="AO139" i="38" a="1"/>
  <c r="AO139" i="38" s="1"/>
  <c r="AO122" i="38" a="1"/>
  <c r="AO122" i="38" s="1"/>
  <c r="AO60" i="38" a="1"/>
  <c r="AO60" i="38" s="1"/>
  <c r="AO102" i="38" a="1"/>
  <c r="AO102" i="38" s="1"/>
  <c r="AO33" i="38" a="1"/>
  <c r="AO33" i="38" s="1"/>
  <c r="AO76" i="38" a="1"/>
  <c r="AO76" i="38" s="1"/>
  <c r="AO136" i="38" a="1"/>
  <c r="AO136" i="38" s="1"/>
  <c r="AO66" i="38" a="1"/>
  <c r="AO66" i="38" s="1"/>
  <c r="AO109" i="38" a="1"/>
  <c r="AO109" i="38" s="1"/>
  <c r="AO149" i="38" a="1"/>
  <c r="AO149" i="38" s="1"/>
  <c r="AO99" i="38" a="1"/>
  <c r="AO99" i="38" s="1"/>
  <c r="AO133" i="38" a="1"/>
  <c r="AO133" i="38" s="1"/>
  <c r="AO79" i="38" a="1"/>
  <c r="AO79" i="38" s="1"/>
  <c r="AO54" i="38" a="1"/>
  <c r="AO54" i="38" s="1"/>
  <c r="AO103" i="38" a="1"/>
  <c r="AO103" i="38" s="1"/>
  <c r="AO94" i="38" a="1"/>
  <c r="AO94" i="38" s="1"/>
  <c r="AO106" i="38" a="1"/>
  <c r="AO106" i="38" s="1"/>
  <c r="AO53" i="38" a="1"/>
  <c r="AO53" i="38" s="1"/>
  <c r="AO153" i="38" a="1"/>
  <c r="AO153" i="38" s="1"/>
  <c r="AO96" i="38" a="1"/>
  <c r="AO96" i="38" s="1"/>
  <c r="AO45" i="38" a="1"/>
  <c r="AO45" i="38" s="1"/>
  <c r="AO144" i="38" a="1"/>
  <c r="AO144" i="38" s="1"/>
  <c r="AO116" i="38" a="1"/>
  <c r="AO116" i="38" s="1"/>
  <c r="AO52" i="38" a="1"/>
  <c r="AO52" i="38" s="1"/>
  <c r="AO95" i="38" a="1"/>
  <c r="AO95" i="38" s="1"/>
  <c r="AO112" i="38" a="1"/>
  <c r="AO112" i="38" s="1"/>
  <c r="AO97" i="38" a="1"/>
  <c r="AO97" i="38" s="1"/>
  <c r="AO132" i="38" a="1"/>
  <c r="AO132" i="38" s="1"/>
  <c r="AO162" i="38" a="1"/>
  <c r="AO162" i="38" s="1"/>
  <c r="AO72" i="38" a="1"/>
  <c r="AO72" i="38" s="1"/>
  <c r="AO32" i="38" a="1"/>
  <c r="AO32" i="38" s="1"/>
  <c r="AO140" i="38" a="1"/>
  <c r="AO140" i="38" s="1"/>
  <c r="AO48" i="38" a="1"/>
  <c r="AO48" i="38" s="1"/>
  <c r="AO159" i="38" a="1"/>
  <c r="AO159" i="38" s="1"/>
  <c r="AO93" i="38" a="1"/>
  <c r="AO93" i="38" s="1"/>
  <c r="AO124" i="38" a="1"/>
  <c r="AO124" i="38" s="1"/>
  <c r="AO111" i="38" a="1"/>
  <c r="AO111" i="38" s="1"/>
  <c r="AP47" i="38" a="1"/>
  <c r="AP47" i="38" s="1"/>
  <c r="AP119" i="38" a="1"/>
  <c r="AP119" i="38" s="1"/>
  <c r="AP107" i="38" a="1"/>
  <c r="AP107" i="38" s="1"/>
  <c r="AP79" i="38" a="1"/>
  <c r="AP79" i="38" s="1"/>
  <c r="AP76" i="38" a="1"/>
  <c r="AP76" i="38" s="1"/>
  <c r="AP124" i="38" a="1"/>
  <c r="AP124" i="38" s="1"/>
  <c r="AP54" i="38" a="1"/>
  <c r="AP54" i="38" s="1"/>
  <c r="AP102" i="38" a="1"/>
  <c r="AP102" i="38" s="1"/>
  <c r="AP94" i="38" a="1"/>
  <c r="AP94" i="38" s="1"/>
  <c r="AP57" i="38" a="1"/>
  <c r="AP57" i="38" s="1"/>
  <c r="AP136" i="38" a="1"/>
  <c r="AP136" i="38" s="1"/>
  <c r="AP84" i="38" a="1"/>
  <c r="AP84" i="38" s="1"/>
  <c r="AP121" i="38" a="1"/>
  <c r="AP121" i="38" s="1"/>
  <c r="AP32" i="38" a="1"/>
  <c r="AP32" i="38" s="1"/>
  <c r="AP72" i="38" a="1"/>
  <c r="AP72" i="38" s="1"/>
  <c r="AP116" i="38" a="1"/>
  <c r="AP116" i="38" s="1"/>
  <c r="AP109" i="38" a="1"/>
  <c r="AP109" i="38" s="1"/>
  <c r="AP159" i="38" a="1"/>
  <c r="AP159" i="38" s="1"/>
  <c r="AP149" i="38" a="1"/>
  <c r="AP149" i="38" s="1"/>
  <c r="AP137" i="38" a="1"/>
  <c r="AP137" i="38" s="1"/>
  <c r="AP71" i="38" a="1"/>
  <c r="AP71" i="38" s="1"/>
  <c r="AP128" i="38" a="1"/>
  <c r="AP128" i="38" s="1"/>
  <c r="AP63" i="38" a="1"/>
  <c r="AP63" i="38" s="1"/>
  <c r="AP110" i="38" a="1"/>
  <c r="AP110" i="38" s="1"/>
  <c r="AP50" i="38" a="1"/>
  <c r="AP50" i="38" s="1"/>
  <c r="AP163" i="38" a="1"/>
  <c r="AP163" i="38" s="1"/>
  <c r="AP45" i="38" a="1"/>
  <c r="AP45" i="38" s="1"/>
  <c r="AP87" i="38" a="1"/>
  <c r="AP87" i="38" s="1"/>
  <c r="AP74" i="38" a="1"/>
  <c r="AP74" i="38" s="1"/>
  <c r="AP36" i="38" a="1"/>
  <c r="AP36" i="38" s="1"/>
  <c r="AP129" i="38" a="1"/>
  <c r="AP129" i="38" s="1"/>
  <c r="AP125" i="38" a="1"/>
  <c r="AP125" i="38" s="1"/>
  <c r="AP113" i="38" a="1"/>
  <c r="AP113" i="38" s="1"/>
  <c r="AP165" i="38" a="1"/>
  <c r="AP165" i="38" s="1"/>
  <c r="AP83" i="38" a="1"/>
  <c r="AP83" i="38" s="1"/>
  <c r="AP85" i="38" a="1"/>
  <c r="AP85" i="38" s="1"/>
  <c r="AP44" i="38" a="1"/>
  <c r="AP44" i="38" s="1"/>
  <c r="AP78" i="38" a="1"/>
  <c r="AP78" i="38" s="1"/>
  <c r="AP73" i="38" a="1"/>
  <c r="AP73" i="38" s="1"/>
  <c r="AP65" i="38" a="1"/>
  <c r="AP65" i="38" s="1"/>
  <c r="AP156" i="38" a="1"/>
  <c r="AP156" i="38" s="1"/>
  <c r="AP152" i="38" a="1"/>
  <c r="AP152" i="38" s="1"/>
  <c r="AP148" i="38" a="1"/>
  <c r="AP148" i="38" s="1"/>
  <c r="AP43" i="38" a="1"/>
  <c r="AP43" i="38" s="1"/>
  <c r="AP77" i="38" a="1"/>
  <c r="AP77" i="38" s="1"/>
  <c r="AP127" i="38" a="1"/>
  <c r="AP127" i="38" s="1"/>
  <c r="AP46" i="38" a="1"/>
  <c r="AP46" i="38" s="1"/>
  <c r="AP59" i="38" a="1"/>
  <c r="AP59" i="38" s="1"/>
  <c r="AP112" i="38" a="1"/>
  <c r="AP112" i="38" s="1"/>
  <c r="AP101" i="38" a="1"/>
  <c r="AP101" i="38" s="1"/>
  <c r="AP153" i="38" a="1"/>
  <c r="AP153" i="38" s="1"/>
  <c r="AP160" i="38" a="1"/>
  <c r="AP160" i="38" s="1"/>
  <c r="AP111" i="38" a="1"/>
  <c r="AP111" i="38" s="1"/>
  <c r="AP91" i="38" a="1"/>
  <c r="AP91" i="38" s="1"/>
  <c r="AP41" i="38" a="1"/>
  <c r="AP41" i="38" s="1"/>
  <c r="AP39" i="38" a="1"/>
  <c r="AP39" i="38" s="1"/>
  <c r="AP38" i="38" a="1"/>
  <c r="AP38" i="38" s="1"/>
  <c r="AP70" i="38" a="1"/>
  <c r="AP70" i="38" s="1"/>
  <c r="AP34" i="38" a="1"/>
  <c r="AP34" i="38" s="1"/>
  <c r="AP62" i="38" a="1"/>
  <c r="AP62" i="38" s="1"/>
  <c r="AP158" i="38" a="1"/>
  <c r="AP158" i="38" s="1"/>
  <c r="AP154" i="38" a="1"/>
  <c r="AP154" i="38" s="1"/>
  <c r="AP146" i="38" a="1"/>
  <c r="AP146" i="38" s="1"/>
  <c r="AP161" i="38" a="1"/>
  <c r="AP161" i="38" s="1"/>
  <c r="AP120" i="38" a="1"/>
  <c r="AP120" i="38" s="1"/>
  <c r="AP131" i="38" a="1"/>
  <c r="AP131" i="38" s="1"/>
  <c r="AP123" i="38" a="1"/>
  <c r="AP123" i="38" s="1"/>
  <c r="AP89" i="38" a="1"/>
  <c r="AP89" i="38" s="1"/>
  <c r="AP104" i="38" a="1"/>
  <c r="AP104" i="38" s="1"/>
  <c r="AP93" i="38" a="1"/>
  <c r="AP93" i="38" s="1"/>
  <c r="AP151" i="38" a="1"/>
  <c r="AP151" i="38" s="1"/>
  <c r="AP82" i="38" a="1"/>
  <c r="AP82" i="38" s="1"/>
  <c r="AP35" i="38" a="1"/>
  <c r="AP35" i="38" s="1"/>
  <c r="AP105" i="38" a="1"/>
  <c r="AP105" i="38" s="1"/>
  <c r="AP108" i="38" a="1"/>
  <c r="AP108" i="38" s="1"/>
  <c r="AP97" i="38" a="1"/>
  <c r="AP97" i="38" s="1"/>
  <c r="AP86" i="38" a="1"/>
  <c r="AP86" i="38" s="1"/>
  <c r="AP133" i="38" a="1"/>
  <c r="AP133" i="38" s="1"/>
  <c r="AP40" i="38" a="1"/>
  <c r="AP40" i="38" s="1"/>
  <c r="AP67" i="38" a="1"/>
  <c r="AP67" i="38" s="1"/>
  <c r="AP118" i="38" a="1"/>
  <c r="AP118" i="38" s="1"/>
  <c r="AP141" i="38" a="1"/>
  <c r="AP141" i="38" s="1"/>
  <c r="AP134" i="38" a="1"/>
  <c r="AP134" i="38" s="1"/>
  <c r="AP130" i="38" a="1"/>
  <c r="AP130" i="38" s="1"/>
  <c r="AP132" i="38" a="1"/>
  <c r="AP132" i="38" s="1"/>
  <c r="AP31" i="38" a="1"/>
  <c r="AP31" i="38" s="1"/>
  <c r="AP114" i="38" a="1"/>
  <c r="AP114" i="38" s="1"/>
  <c r="AP100" i="38" a="1"/>
  <c r="AP100" i="38" s="1"/>
  <c r="AP142" i="38" a="1"/>
  <c r="AP142" i="38" s="1"/>
  <c r="AP117" i="38" a="1"/>
  <c r="AP117" i="38" s="1"/>
  <c r="AP81" i="38" a="1"/>
  <c r="AP81" i="38" s="1"/>
  <c r="AP140" i="38" a="1"/>
  <c r="AP140" i="38" s="1"/>
  <c r="AP61" i="38" a="1"/>
  <c r="AP61" i="38" s="1"/>
  <c r="AP51" i="38" a="1"/>
  <c r="AP51" i="38" s="1"/>
  <c r="AP143" i="38" a="1"/>
  <c r="AP143" i="38" s="1"/>
  <c r="AP53" i="38" a="1"/>
  <c r="AP53" i="38" s="1"/>
  <c r="AP52" i="38" a="1"/>
  <c r="AP52" i="38" s="1"/>
  <c r="AP99" i="38" a="1"/>
  <c r="AP99" i="38" s="1"/>
  <c r="AP96" i="38" a="1"/>
  <c r="AP96" i="38" s="1"/>
  <c r="AP155" i="38" a="1"/>
  <c r="AP155" i="38" s="1"/>
  <c r="AP56" i="38" a="1"/>
  <c r="AP56" i="38" s="1"/>
  <c r="AP162" i="38" a="1"/>
  <c r="AP162" i="38" s="1"/>
  <c r="AP147" i="38" a="1"/>
  <c r="AP147" i="38" s="1"/>
  <c r="AP69" i="38" a="1"/>
  <c r="AP69" i="38" s="1"/>
  <c r="AP48" i="38" a="1"/>
  <c r="AP48" i="38" s="1"/>
  <c r="AP68" i="38" a="1"/>
  <c r="AP68" i="38" s="1"/>
  <c r="AP139" i="38" a="1"/>
  <c r="AP139" i="38" s="1"/>
  <c r="AP122" i="38" a="1"/>
  <c r="AP122" i="38" s="1"/>
  <c r="AP60" i="38" a="1"/>
  <c r="AP60" i="38" s="1"/>
  <c r="AP42" i="38" a="1"/>
  <c r="AP42" i="38" s="1"/>
  <c r="AP75" i="38" a="1"/>
  <c r="AP75" i="38" s="1"/>
  <c r="AP115" i="38" a="1"/>
  <c r="AP115" i="38" s="1"/>
  <c r="AP126" i="38" a="1"/>
  <c r="AP126" i="38" s="1"/>
  <c r="AP66" i="38" a="1"/>
  <c r="AP66" i="38" s="1"/>
  <c r="AP103" i="38" a="1"/>
  <c r="AP103" i="38" s="1"/>
  <c r="AP164" i="38" a="1"/>
  <c r="AP164" i="38" s="1"/>
  <c r="AP106" i="38" a="1"/>
  <c r="AP106" i="38" s="1"/>
  <c r="AP145" i="38" a="1"/>
  <c r="AP145" i="38" s="1"/>
  <c r="AP58" i="38" a="1"/>
  <c r="AP58" i="38" s="1"/>
  <c r="AP88" i="38" a="1"/>
  <c r="AP88" i="38" s="1"/>
  <c r="AP144" i="38" a="1"/>
  <c r="AP144" i="38" s="1"/>
  <c r="AP138" i="38" a="1"/>
  <c r="AP138" i="38" s="1"/>
  <c r="AP80" i="38" a="1"/>
  <c r="AP80" i="38" s="1"/>
  <c r="AP157" i="38" a="1"/>
  <c r="AP157" i="38" s="1"/>
  <c r="AP98" i="38" a="1"/>
  <c r="AP98" i="38" s="1"/>
  <c r="AP49" i="38" a="1"/>
  <c r="AP49" i="38" s="1"/>
  <c r="AP55" i="38" a="1"/>
  <c r="AP55" i="38" s="1"/>
  <c r="AP64" i="38" a="1"/>
  <c r="AP64" i="38" s="1"/>
  <c r="AP150" i="38" a="1"/>
  <c r="AP150" i="38" s="1"/>
  <c r="AP95" i="38" a="1"/>
  <c r="AP95" i="38" s="1"/>
  <c r="AP37" i="38" a="1"/>
  <c r="AP37" i="38" s="1"/>
  <c r="AP92" i="38" a="1"/>
  <c r="AP92" i="38" s="1"/>
  <c r="AP135" i="38" a="1"/>
  <c r="AP135" i="38" s="1"/>
  <c r="AP33" i="38" a="1"/>
  <c r="AP33" i="38" s="1"/>
  <c r="AQ88" i="38" a="1"/>
  <c r="AQ88" i="38" s="1"/>
  <c r="AQ68" i="38" a="1"/>
  <c r="AQ68" i="38" s="1"/>
  <c r="AQ122" i="38" a="1"/>
  <c r="AQ122" i="38" s="1"/>
  <c r="AQ57" i="38" a="1"/>
  <c r="AQ57" i="38" s="1"/>
  <c r="AQ60" i="38" a="1"/>
  <c r="AQ60" i="38" s="1"/>
  <c r="AQ144" i="38" a="1"/>
  <c r="AQ144" i="38" s="1"/>
  <c r="AQ37" i="38" a="1"/>
  <c r="AQ37" i="38" s="1"/>
  <c r="AQ66" i="38" a="1"/>
  <c r="AQ66" i="38" s="1"/>
  <c r="AQ42" i="38" a="1"/>
  <c r="AQ42" i="38" s="1"/>
  <c r="AQ124" i="38" a="1"/>
  <c r="AQ124" i="38" s="1"/>
  <c r="AQ162" i="38" a="1"/>
  <c r="AQ162" i="38" s="1"/>
  <c r="AQ106" i="38" a="1"/>
  <c r="AQ106" i="38" s="1"/>
  <c r="AQ48" i="38" a="1"/>
  <c r="AQ48" i="38" s="1"/>
  <c r="AQ46" i="38" a="1"/>
  <c r="AQ46" i="38" s="1"/>
  <c r="AQ135" i="38" a="1"/>
  <c r="AQ135" i="38" s="1"/>
  <c r="AQ79" i="38" a="1"/>
  <c r="AQ79" i="38" s="1"/>
  <c r="AQ76" i="38" a="1"/>
  <c r="AQ76" i="38" s="1"/>
  <c r="AQ128" i="38" a="1"/>
  <c r="AQ128" i="38" s="1"/>
  <c r="AQ54" i="38" a="1"/>
  <c r="AQ54" i="38" s="1"/>
  <c r="AQ102" i="38" a="1"/>
  <c r="AQ102" i="38" s="1"/>
  <c r="AQ94" i="38" a="1"/>
  <c r="AQ94" i="38" s="1"/>
  <c r="AQ90" i="38" a="1"/>
  <c r="AQ90" i="38" s="1"/>
  <c r="AQ136" i="38" a="1"/>
  <c r="AQ136" i="38" s="1"/>
  <c r="AQ84" i="38" a="1"/>
  <c r="AQ84" i="38" s="1"/>
  <c r="AQ121" i="38" a="1"/>
  <c r="AQ121" i="38" s="1"/>
  <c r="AQ95" i="38" a="1"/>
  <c r="AQ95" i="38" s="1"/>
  <c r="AQ40" i="38" a="1"/>
  <c r="AQ40" i="38" s="1"/>
  <c r="AQ116" i="38" a="1"/>
  <c r="AQ116" i="38" s="1"/>
  <c r="AQ71" i="38" a="1"/>
  <c r="AQ71" i="38" s="1"/>
  <c r="AQ63" i="38" a="1"/>
  <c r="AQ63" i="38" s="1"/>
  <c r="AQ165" i="38" a="1"/>
  <c r="AQ165" i="38" s="1"/>
  <c r="AQ110" i="38" a="1"/>
  <c r="AQ110" i="38" s="1"/>
  <c r="AQ50" i="38" a="1"/>
  <c r="AQ50" i="38" s="1"/>
  <c r="AQ150" i="38" a="1"/>
  <c r="AQ150" i="38" s="1"/>
  <c r="AQ103" i="38" a="1"/>
  <c r="AQ103" i="38" s="1"/>
  <c r="AQ163" i="38" a="1"/>
  <c r="AQ163" i="38" s="1"/>
  <c r="AQ87" i="38" a="1"/>
  <c r="AQ87" i="38" s="1"/>
  <c r="AQ74" i="38" a="1"/>
  <c r="AQ74" i="38" s="1"/>
  <c r="AQ129" i="38" a="1"/>
  <c r="AQ129" i="38" s="1"/>
  <c r="AQ125" i="38" a="1"/>
  <c r="AQ125" i="38" s="1"/>
  <c r="AQ64" i="38" a="1"/>
  <c r="AQ64" i="38" s="1"/>
  <c r="AQ113" i="38" a="1"/>
  <c r="AQ113" i="38" s="1"/>
  <c r="AQ107" i="38" a="1"/>
  <c r="AQ107" i="38" s="1"/>
  <c r="AQ145" i="38" a="1"/>
  <c r="AQ145" i="38" s="1"/>
  <c r="AQ36" i="38" a="1"/>
  <c r="AQ36" i="38" s="1"/>
  <c r="AQ83" i="38" a="1"/>
  <c r="AQ83" i="38" s="1"/>
  <c r="AQ44" i="38" a="1"/>
  <c r="AQ44" i="38" s="1"/>
  <c r="AQ78" i="38" a="1"/>
  <c r="AQ78" i="38" s="1"/>
  <c r="AQ65" i="38" a="1"/>
  <c r="AQ65" i="38" s="1"/>
  <c r="AQ156" i="38" a="1"/>
  <c r="AQ156" i="38" s="1"/>
  <c r="AQ152" i="38" a="1"/>
  <c r="AQ152" i="38" s="1"/>
  <c r="AQ148" i="38" a="1"/>
  <c r="AQ148" i="38" s="1"/>
  <c r="AQ43" i="38" a="1"/>
  <c r="AQ43" i="38" s="1"/>
  <c r="AQ127" i="38" a="1"/>
  <c r="AQ127" i="38" s="1"/>
  <c r="AQ72" i="38" a="1"/>
  <c r="AQ72" i="38" s="1"/>
  <c r="AQ59" i="38" a="1"/>
  <c r="AQ59" i="38" s="1"/>
  <c r="AQ112" i="38" a="1"/>
  <c r="AQ112" i="38" s="1"/>
  <c r="AQ101" i="38" a="1"/>
  <c r="AQ101" i="38" s="1"/>
  <c r="AQ153" i="38" a="1"/>
  <c r="AQ153" i="38" s="1"/>
  <c r="AQ137" i="38" a="1"/>
  <c r="AQ137" i="38" s="1"/>
  <c r="AQ91" i="38" a="1"/>
  <c r="AQ91" i="38" s="1"/>
  <c r="AQ41" i="38" a="1"/>
  <c r="AQ41" i="38" s="1"/>
  <c r="AQ39" i="38" a="1"/>
  <c r="AQ39" i="38" s="1"/>
  <c r="AQ38" i="38" a="1"/>
  <c r="AQ38" i="38" s="1"/>
  <c r="AQ70" i="38" a="1"/>
  <c r="AQ70" i="38" s="1"/>
  <c r="AQ34" i="38" a="1"/>
  <c r="AQ34" i="38" s="1"/>
  <c r="AQ62" i="38" a="1"/>
  <c r="AQ62" i="38" s="1"/>
  <c r="AQ111" i="38" a="1"/>
  <c r="AQ111" i="38" s="1"/>
  <c r="AQ158" i="38" a="1"/>
  <c r="AQ158" i="38" s="1"/>
  <c r="AQ154" i="38" a="1"/>
  <c r="AQ154" i="38" s="1"/>
  <c r="AQ146" i="38" a="1"/>
  <c r="AQ146" i="38" s="1"/>
  <c r="AQ161" i="38" a="1"/>
  <c r="AQ161" i="38" s="1"/>
  <c r="AQ73" i="38" a="1"/>
  <c r="AQ73" i="38" s="1"/>
  <c r="AQ120" i="38" a="1"/>
  <c r="AQ120" i="38" s="1"/>
  <c r="AQ131" i="38" a="1"/>
  <c r="AQ131" i="38" s="1"/>
  <c r="AQ89" i="38" a="1"/>
  <c r="AQ89" i="38" s="1"/>
  <c r="AQ58" i="38" a="1"/>
  <c r="AQ58" i="38" s="1"/>
  <c r="AQ123" i="38" a="1"/>
  <c r="AQ123" i="38" s="1"/>
  <c r="AQ82" i="38" a="1"/>
  <c r="AQ82" i="38" s="1"/>
  <c r="AQ35" i="38" a="1"/>
  <c r="AQ35" i="38" s="1"/>
  <c r="AQ105" i="38" a="1"/>
  <c r="AQ105" i="38" s="1"/>
  <c r="AQ108" i="38" a="1"/>
  <c r="AQ108" i="38" s="1"/>
  <c r="AQ97" i="38" a="1"/>
  <c r="AQ97" i="38" s="1"/>
  <c r="AQ86" i="38" a="1"/>
  <c r="AQ86" i="38" s="1"/>
  <c r="AQ133" i="38" a="1"/>
  <c r="AQ133" i="38" s="1"/>
  <c r="AQ67" i="38" a="1"/>
  <c r="AQ67" i="38" s="1"/>
  <c r="AQ118" i="38" a="1"/>
  <c r="AQ118" i="38" s="1"/>
  <c r="AQ164" i="38" a="1"/>
  <c r="AQ164" i="38" s="1"/>
  <c r="AQ56" i="38" a="1"/>
  <c r="AQ56" i="38" s="1"/>
  <c r="AQ85" i="38" a="1"/>
  <c r="AQ85" i="38" s="1"/>
  <c r="AQ147" i="38" a="1"/>
  <c r="AQ147" i="38" s="1"/>
  <c r="AQ132" i="38" a="1"/>
  <c r="AQ132" i="38" s="1"/>
  <c r="AQ47" i="38" a="1"/>
  <c r="AQ47" i="38" s="1"/>
  <c r="AQ69" i="38" a="1"/>
  <c r="AQ69" i="38" s="1"/>
  <c r="AQ33" i="38" a="1"/>
  <c r="AQ33" i="38" s="1"/>
  <c r="AQ119" i="38" a="1"/>
  <c r="AQ119" i="38" s="1"/>
  <c r="AQ159" i="38" a="1"/>
  <c r="AQ159" i="38" s="1"/>
  <c r="AQ151" i="38" a="1"/>
  <c r="AQ151" i="38" s="1"/>
  <c r="AQ93" i="38" a="1"/>
  <c r="AQ93" i="38" s="1"/>
  <c r="AQ141" i="38" a="1"/>
  <c r="AQ141" i="38" s="1"/>
  <c r="AQ100" i="38" a="1"/>
  <c r="AQ100" i="38" s="1"/>
  <c r="AQ92" i="38" a="1"/>
  <c r="AQ92" i="38" s="1"/>
  <c r="AQ155" i="38" a="1"/>
  <c r="AQ155" i="38" s="1"/>
  <c r="AQ143" i="38" a="1"/>
  <c r="AQ143" i="38" s="1"/>
  <c r="AQ99" i="38" a="1"/>
  <c r="AQ99" i="38" s="1"/>
  <c r="AQ130" i="38" a="1"/>
  <c r="AQ130" i="38" s="1"/>
  <c r="AQ55" i="38" a="1"/>
  <c r="AQ55" i="38" s="1"/>
  <c r="AQ140" i="38" a="1"/>
  <c r="AQ140" i="38" s="1"/>
  <c r="AQ75" i="38" a="1"/>
  <c r="AQ75" i="38" s="1"/>
  <c r="AQ61" i="38" a="1"/>
  <c r="AQ61" i="38" s="1"/>
  <c r="AQ81" i="38" a="1"/>
  <c r="AQ81" i="38" s="1"/>
  <c r="AQ109" i="38" a="1"/>
  <c r="AQ109" i="38" s="1"/>
  <c r="AQ149" i="38" a="1"/>
  <c r="AQ149" i="38" s="1"/>
  <c r="AQ77" i="38" a="1"/>
  <c r="AQ77" i="38" s="1"/>
  <c r="AQ126" i="38" a="1"/>
  <c r="AQ126" i="38" s="1"/>
  <c r="AQ31" i="38" a="1"/>
  <c r="AQ31" i="38" s="1"/>
  <c r="AQ115" i="38" a="1"/>
  <c r="AQ115" i="38" s="1"/>
  <c r="AQ53" i="38" a="1"/>
  <c r="AQ53" i="38" s="1"/>
  <c r="AQ96" i="38" a="1"/>
  <c r="AQ96" i="38" s="1"/>
  <c r="AQ45" i="38" a="1"/>
  <c r="AQ45" i="38" s="1"/>
  <c r="AQ134" i="38" a="1"/>
  <c r="AQ134" i="38" s="1"/>
  <c r="AQ52" i="38" a="1"/>
  <c r="AQ52" i="38" s="1"/>
  <c r="AQ157" i="38" a="1"/>
  <c r="AQ157" i="38" s="1"/>
  <c r="AQ98" i="38" a="1"/>
  <c r="AQ98" i="38" s="1"/>
  <c r="AQ49" i="38" a="1"/>
  <c r="AQ49" i="38" s="1"/>
  <c r="AQ32" i="38" a="1"/>
  <c r="AQ32" i="38" s="1"/>
  <c r="AQ51" i="38" a="1"/>
  <c r="AQ51" i="38" s="1"/>
  <c r="AQ139" i="38" a="1"/>
  <c r="AQ139" i="38" s="1"/>
  <c r="AQ104" i="38" a="1"/>
  <c r="AQ104" i="38" s="1"/>
  <c r="AQ114" i="38" a="1"/>
  <c r="AQ114" i="38" s="1"/>
  <c r="AQ117" i="38" a="1"/>
  <c r="AQ117" i="38" s="1"/>
  <c r="AQ138" i="38" a="1"/>
  <c r="AQ138" i="38" s="1"/>
  <c r="AQ80" i="38" a="1"/>
  <c r="AQ80" i="38" s="1"/>
  <c r="AQ160" i="38" a="1"/>
  <c r="AQ160" i="38" s="1"/>
  <c r="AR153" i="38" a="1"/>
  <c r="AR153" i="38" s="1"/>
  <c r="AR45" i="38" a="1"/>
  <c r="AR45" i="38" s="1"/>
  <c r="AR126" i="38" a="1"/>
  <c r="AR126" i="38" s="1"/>
  <c r="AR51" i="38" a="1"/>
  <c r="AR51" i="38" s="1"/>
  <c r="AR115" i="38" a="1"/>
  <c r="AR115" i="38" s="1"/>
  <c r="AR138" i="38" a="1"/>
  <c r="AR138" i="38" s="1"/>
  <c r="AR80" i="38" a="1"/>
  <c r="AR80" i="38" s="1"/>
  <c r="AR75" i="38" a="1"/>
  <c r="AR75" i="38" s="1"/>
  <c r="AR33" i="38" a="1"/>
  <c r="AR33" i="38" s="1"/>
  <c r="AR157" i="38" a="1"/>
  <c r="AR157" i="38" s="1"/>
  <c r="AR155" i="38" a="1"/>
  <c r="AR155" i="38" s="1"/>
  <c r="AR151" i="38" a="1"/>
  <c r="AR151" i="38" s="1"/>
  <c r="AR98" i="38" a="1"/>
  <c r="AR98" i="38" s="1"/>
  <c r="AR49" i="38" a="1"/>
  <c r="AR49" i="38" s="1"/>
  <c r="AR158" i="38" a="1"/>
  <c r="AR158" i="38" s="1"/>
  <c r="AR88" i="38" a="1"/>
  <c r="AR88" i="38" s="1"/>
  <c r="AR68" i="38" a="1"/>
  <c r="AR68" i="38" s="1"/>
  <c r="AR122" i="38" a="1"/>
  <c r="AR122" i="38" s="1"/>
  <c r="AR57" i="38" a="1"/>
  <c r="AR57" i="38" s="1"/>
  <c r="AR91" i="38" a="1"/>
  <c r="AR91" i="38" s="1"/>
  <c r="AR40" i="38" a="1"/>
  <c r="AR40" i="38" s="1"/>
  <c r="AR37" i="38" a="1"/>
  <c r="AR37" i="38" s="1"/>
  <c r="AR66" i="38" a="1"/>
  <c r="AR66" i="38" s="1"/>
  <c r="AR110" i="38" a="1"/>
  <c r="AR110" i="38" s="1"/>
  <c r="AR162" i="38" a="1"/>
  <c r="AR162" i="38" s="1"/>
  <c r="AR69" i="38" a="1"/>
  <c r="AR69" i="38" s="1"/>
  <c r="AR79" i="38" a="1"/>
  <c r="AR79" i="38" s="1"/>
  <c r="AR76" i="38" a="1"/>
  <c r="AR76" i="38" s="1"/>
  <c r="AR102" i="38" a="1"/>
  <c r="AR102" i="38" s="1"/>
  <c r="AR94" i="38" a="1"/>
  <c r="AR94" i="38" s="1"/>
  <c r="AR60" i="38" a="1"/>
  <c r="AR60" i="38" s="1"/>
  <c r="AR90" i="38" a="1"/>
  <c r="AR90" i="38" s="1"/>
  <c r="AR81" i="38" a="1"/>
  <c r="AR81" i="38" s="1"/>
  <c r="AR136" i="38" a="1"/>
  <c r="AR136" i="38" s="1"/>
  <c r="AR84" i="38" a="1"/>
  <c r="AR84" i="38" s="1"/>
  <c r="AR121" i="38" a="1"/>
  <c r="AR121" i="38" s="1"/>
  <c r="AR50" i="38" a="1"/>
  <c r="AR50" i="38" s="1"/>
  <c r="AR116" i="38" a="1"/>
  <c r="AR116" i="38" s="1"/>
  <c r="AR109" i="38" a="1"/>
  <c r="AR109" i="38" s="1"/>
  <c r="AR159" i="38" a="1"/>
  <c r="AR159" i="38" s="1"/>
  <c r="AR99" i="38" a="1"/>
  <c r="AR99" i="38" s="1"/>
  <c r="AR149" i="38" a="1"/>
  <c r="AR149" i="38" s="1"/>
  <c r="AR71" i="38" a="1"/>
  <c r="AR71" i="38" s="1"/>
  <c r="AR63" i="38" a="1"/>
  <c r="AR63" i="38" s="1"/>
  <c r="AR165" i="38" a="1"/>
  <c r="AR165" i="38" s="1"/>
  <c r="AR150" i="38" a="1"/>
  <c r="AR150" i="38" s="1"/>
  <c r="AR163" i="38" a="1"/>
  <c r="AR163" i="38" s="1"/>
  <c r="AR87" i="38" a="1"/>
  <c r="AR87" i="38" s="1"/>
  <c r="AR135" i="38" a="1"/>
  <c r="AR135" i="38" s="1"/>
  <c r="AR74" i="38" a="1"/>
  <c r="AR74" i="38" s="1"/>
  <c r="AR129" i="38" a="1"/>
  <c r="AR129" i="38" s="1"/>
  <c r="AR125" i="38" a="1"/>
  <c r="AR125" i="38" s="1"/>
  <c r="AR64" i="38" a="1"/>
  <c r="AR64" i="38" s="1"/>
  <c r="AR46" i="38" a="1"/>
  <c r="AR46" i="38" s="1"/>
  <c r="AR113" i="38" a="1"/>
  <c r="AR113" i="38" s="1"/>
  <c r="AR107" i="38" a="1"/>
  <c r="AR107" i="38" s="1"/>
  <c r="AR145" i="38" a="1"/>
  <c r="AR145" i="38" s="1"/>
  <c r="AR54" i="38" a="1"/>
  <c r="AR54" i="38" s="1"/>
  <c r="AR61" i="38" a="1"/>
  <c r="AR61" i="38" s="1"/>
  <c r="AR83" i="38" a="1"/>
  <c r="AR83" i="38" s="1"/>
  <c r="AR139" i="38" a="1"/>
  <c r="AR139" i="38" s="1"/>
  <c r="AR44" i="38" a="1"/>
  <c r="AR44" i="38" s="1"/>
  <c r="AR78" i="38" a="1"/>
  <c r="AR78" i="38" s="1"/>
  <c r="AR156" i="38" a="1"/>
  <c r="AR156" i="38" s="1"/>
  <c r="AR103" i="38" a="1"/>
  <c r="AR103" i="38" s="1"/>
  <c r="AR152" i="38" a="1"/>
  <c r="AR152" i="38" s="1"/>
  <c r="AR148" i="38" a="1"/>
  <c r="AR148" i="38" s="1"/>
  <c r="AR95" i="38" a="1"/>
  <c r="AR95" i="38" s="1"/>
  <c r="AR42" i="38" a="1"/>
  <c r="AR42" i="38" s="1"/>
  <c r="AR43" i="38" a="1"/>
  <c r="AR43" i="38" s="1"/>
  <c r="AR127" i="38" a="1"/>
  <c r="AR127" i="38" s="1"/>
  <c r="AR72" i="38" a="1"/>
  <c r="AR72" i="38" s="1"/>
  <c r="AR146" i="38" a="1"/>
  <c r="AR146" i="38" s="1"/>
  <c r="AR41" i="38" a="1"/>
  <c r="AR41" i="38" s="1"/>
  <c r="AR39" i="38" a="1"/>
  <c r="AR39" i="38" s="1"/>
  <c r="AR38" i="38" a="1"/>
  <c r="AR38" i="38" s="1"/>
  <c r="AR70" i="38" a="1"/>
  <c r="AR70" i="38" s="1"/>
  <c r="AR124" i="38" a="1"/>
  <c r="AR124" i="38" s="1"/>
  <c r="AR34" i="38" a="1"/>
  <c r="AR34" i="38" s="1"/>
  <c r="AR62" i="38" a="1"/>
  <c r="AR62" i="38" s="1"/>
  <c r="AR111" i="38" a="1"/>
  <c r="AR111" i="38" s="1"/>
  <c r="AR161" i="38" a="1"/>
  <c r="AR161" i="38" s="1"/>
  <c r="AR120" i="38" a="1"/>
  <c r="AR120" i="38" s="1"/>
  <c r="AR131" i="38" a="1"/>
  <c r="AR131" i="38" s="1"/>
  <c r="AR32" i="38" a="1"/>
  <c r="AR32" i="38" s="1"/>
  <c r="AR65" i="38" a="1"/>
  <c r="AR65" i="38" s="1"/>
  <c r="AR89" i="38" a="1"/>
  <c r="AR89" i="38" s="1"/>
  <c r="AR104" i="38" a="1"/>
  <c r="AR104" i="38" s="1"/>
  <c r="AR93" i="38" a="1"/>
  <c r="AR93" i="38" s="1"/>
  <c r="AR73" i="38" a="1"/>
  <c r="AR73" i="38" s="1"/>
  <c r="AR97" i="38" a="1"/>
  <c r="AR97" i="38" s="1"/>
  <c r="AR133" i="38" a="1"/>
  <c r="AR133" i="38" s="1"/>
  <c r="AR160" i="38" a="1"/>
  <c r="AR160" i="38" s="1"/>
  <c r="AR48" i="38" a="1"/>
  <c r="AR48" i="38" s="1"/>
  <c r="AR82" i="38" a="1"/>
  <c r="AR82" i="38" s="1"/>
  <c r="AR85" i="38" a="1"/>
  <c r="AR85" i="38" s="1"/>
  <c r="AR114" i="38" a="1"/>
  <c r="AR114" i="38" s="1"/>
  <c r="AR100" i="38" a="1"/>
  <c r="AR100" i="38" s="1"/>
  <c r="AR59" i="38" a="1"/>
  <c r="AR59" i="38" s="1"/>
  <c r="AR154" i="38" a="1"/>
  <c r="AR154" i="38" s="1"/>
  <c r="AR132" i="38" a="1"/>
  <c r="AR132" i="38" s="1"/>
  <c r="AR35" i="38" a="1"/>
  <c r="AR35" i="38" s="1"/>
  <c r="AR47" i="38" a="1"/>
  <c r="AR47" i="38" s="1"/>
  <c r="AR123" i="38" a="1"/>
  <c r="AR123" i="38" s="1"/>
  <c r="AR119" i="38" a="1"/>
  <c r="AR119" i="38" s="1"/>
  <c r="AR56" i="38" a="1"/>
  <c r="AR56" i="38" s="1"/>
  <c r="AR118" i="38" a="1"/>
  <c r="AR118" i="38" s="1"/>
  <c r="AR137" i="38" a="1"/>
  <c r="AR137" i="38" s="1"/>
  <c r="AR142" i="38" a="1"/>
  <c r="AR142" i="38" s="1"/>
  <c r="AR143" i="38" a="1"/>
  <c r="AR143" i="38" s="1"/>
  <c r="AR147" i="38" a="1"/>
  <c r="AR147" i="38" s="1"/>
  <c r="AR144" i="38" a="1"/>
  <c r="AR144" i="38" s="1"/>
  <c r="AR130" i="38" a="1"/>
  <c r="AR130" i="38" s="1"/>
  <c r="AR55" i="38" a="1"/>
  <c r="AR55" i="38" s="1"/>
  <c r="AR140" i="38" a="1"/>
  <c r="AR140" i="38" s="1"/>
  <c r="AR36" i="38" a="1"/>
  <c r="AR36" i="38" s="1"/>
  <c r="AR67" i="38" a="1"/>
  <c r="AR67" i="38" s="1"/>
  <c r="AR106" i="38" a="1"/>
  <c r="AR106" i="38" s="1"/>
  <c r="AR31" i="38" a="1"/>
  <c r="AR31" i="38" s="1"/>
  <c r="AR108" i="38" a="1"/>
  <c r="AR108" i="38" s="1"/>
  <c r="AR164" i="38" a="1"/>
  <c r="AR164" i="38" s="1"/>
  <c r="AR53" i="38" a="1"/>
  <c r="AR53" i="38" s="1"/>
  <c r="AR96" i="38" a="1"/>
  <c r="AR96" i="38" s="1"/>
  <c r="AR112" i="38" a="1"/>
  <c r="AR112" i="38" s="1"/>
  <c r="AR52" i="38" a="1"/>
  <c r="AR52" i="38" s="1"/>
  <c r="AR128" i="38" a="1"/>
  <c r="AR128" i="38" s="1"/>
  <c r="AR117" i="38" a="1"/>
  <c r="AR117" i="38" s="1"/>
  <c r="AR77" i="38" a="1"/>
  <c r="AR77" i="38" s="1"/>
  <c r="AR101" i="38" a="1"/>
  <c r="AR101" i="38" s="1"/>
  <c r="AR58" i="38" a="1"/>
  <c r="AR58" i="38" s="1"/>
  <c r="AR141" i="38" a="1"/>
  <c r="AR141" i="38" s="1"/>
  <c r="AR86" i="38" a="1"/>
  <c r="AR86" i="38" s="1"/>
  <c r="AR134" i="38" a="1"/>
  <c r="AR134" i="38" s="1"/>
  <c r="AR105" i="38" a="1"/>
  <c r="AR105" i="38" s="1"/>
  <c r="AS127" i="38" a="1"/>
  <c r="AS127" i="38" s="1"/>
  <c r="AS85" i="38" a="1"/>
  <c r="AS85" i="38" s="1"/>
  <c r="AS134" i="38" a="1"/>
  <c r="AS134" i="38" s="1"/>
  <c r="AS73" i="38" a="1"/>
  <c r="AS73" i="38" s="1"/>
  <c r="AS130" i="38" a="1"/>
  <c r="AS130" i="38" s="1"/>
  <c r="AS132" i="38" a="1"/>
  <c r="AS132" i="38" s="1"/>
  <c r="AS65" i="38" a="1"/>
  <c r="AS65" i="38" s="1"/>
  <c r="AS55" i="38" a="1"/>
  <c r="AS55" i="38" s="1"/>
  <c r="AS100" i="38" a="1"/>
  <c r="AS100" i="38" s="1"/>
  <c r="AS47" i="38" a="1"/>
  <c r="AS47" i="38" s="1"/>
  <c r="AS142" i="38" a="1"/>
  <c r="AS142" i="38" s="1"/>
  <c r="AS117" i="38" a="1"/>
  <c r="AS117" i="38" s="1"/>
  <c r="AS140" i="38" a="1"/>
  <c r="AS140" i="38" s="1"/>
  <c r="AS77" i="38" a="1"/>
  <c r="AS77" i="38" s="1"/>
  <c r="AS123" i="38" a="1"/>
  <c r="AS123" i="38" s="1"/>
  <c r="AS143" i="38" a="1"/>
  <c r="AS143" i="38" s="1"/>
  <c r="AS160" i="38" a="1"/>
  <c r="AS160" i="38" s="1"/>
  <c r="AS119" i="38" a="1"/>
  <c r="AS119" i="38" s="1"/>
  <c r="AS53" i="38" a="1"/>
  <c r="AS53" i="38" s="1"/>
  <c r="AS52" i="38" a="1"/>
  <c r="AS52" i="38" s="1"/>
  <c r="AS153" i="38" a="1"/>
  <c r="AS153" i="38" s="1"/>
  <c r="AS96" i="38" a="1"/>
  <c r="AS96" i="38" s="1"/>
  <c r="AS98" i="38" a="1"/>
  <c r="AS98" i="38" s="1"/>
  <c r="AS91" i="38" a="1"/>
  <c r="AS91" i="38" s="1"/>
  <c r="AS45" i="38" a="1"/>
  <c r="AS45" i="38" s="1"/>
  <c r="AS158" i="38" a="1"/>
  <c r="AS158" i="38" s="1"/>
  <c r="AS154" i="38" a="1"/>
  <c r="AS154" i="38" s="1"/>
  <c r="AS51" i="38" a="1"/>
  <c r="AS51" i="38" s="1"/>
  <c r="AS146" i="38" a="1"/>
  <c r="AS146" i="38" s="1"/>
  <c r="AS115" i="38" a="1"/>
  <c r="AS115" i="38" s="1"/>
  <c r="AS138" i="38" a="1"/>
  <c r="AS138" i="38" s="1"/>
  <c r="AS80" i="38" a="1"/>
  <c r="AS80" i="38" s="1"/>
  <c r="AS33" i="38" a="1"/>
  <c r="AS33" i="38" s="1"/>
  <c r="AS92" i="38" a="1"/>
  <c r="AS92" i="38" s="1"/>
  <c r="AS88" i="38" a="1"/>
  <c r="AS88" i="38" s="1"/>
  <c r="AS68" i="38" a="1"/>
  <c r="AS68" i="38" s="1"/>
  <c r="AS122" i="38" a="1"/>
  <c r="AS122" i="38" s="1"/>
  <c r="AS57" i="38" a="1"/>
  <c r="AS57" i="38" s="1"/>
  <c r="AS40" i="38" a="1"/>
  <c r="AS40" i="38" s="1"/>
  <c r="AS37" i="38" a="1"/>
  <c r="AS37" i="38" s="1"/>
  <c r="AS66" i="38" a="1"/>
  <c r="AS66" i="38" s="1"/>
  <c r="AS131" i="38" a="1"/>
  <c r="AS131" i="38" s="1"/>
  <c r="AS118" i="38" a="1"/>
  <c r="AS118" i="38" s="1"/>
  <c r="AS48" i="38" a="1"/>
  <c r="AS48" i="38" s="1"/>
  <c r="AS76" i="38" a="1"/>
  <c r="AS76" i="38" s="1"/>
  <c r="AS114" i="38" a="1"/>
  <c r="AS114" i="38" s="1"/>
  <c r="AS35" i="38" a="1"/>
  <c r="AS35" i="38" s="1"/>
  <c r="AS81" i="38" a="1"/>
  <c r="AS81" i="38" s="1"/>
  <c r="AS84" i="38" a="1"/>
  <c r="AS84" i="38" s="1"/>
  <c r="AS61" i="38" a="1"/>
  <c r="AS61" i="38" s="1"/>
  <c r="AS121" i="38" a="1"/>
  <c r="AS121" i="38" s="1"/>
  <c r="AS42" i="38" a="1"/>
  <c r="AS42" i="38" s="1"/>
  <c r="AS83" i="38" a="1"/>
  <c r="AS83" i="38" s="1"/>
  <c r="AS116" i="38" a="1"/>
  <c r="AS116" i="38" s="1"/>
  <c r="AS109" i="38" a="1"/>
  <c r="AS109" i="38" s="1"/>
  <c r="AS159" i="38" a="1"/>
  <c r="AS159" i="38" s="1"/>
  <c r="AS99" i="38" a="1"/>
  <c r="AS99" i="38" s="1"/>
  <c r="AS149" i="38" a="1"/>
  <c r="AS149" i="38" s="1"/>
  <c r="AS136" i="38" a="1"/>
  <c r="AS136" i="38" s="1"/>
  <c r="AS147" i="38" a="1"/>
  <c r="AS147" i="38" s="1"/>
  <c r="AS71" i="38" a="1"/>
  <c r="AS71" i="38" s="1"/>
  <c r="AS63" i="38" a="1"/>
  <c r="AS63" i="38" s="1"/>
  <c r="AS165" i="38" a="1"/>
  <c r="AS165" i="38" s="1"/>
  <c r="AS150" i="38" a="1"/>
  <c r="AS150" i="38" s="1"/>
  <c r="AS163" i="38" a="1"/>
  <c r="AS163" i="38" s="1"/>
  <c r="AS135" i="38" a="1"/>
  <c r="AS135" i="38" s="1"/>
  <c r="AS74" i="38" a="1"/>
  <c r="AS74" i="38" s="1"/>
  <c r="AS69" i="38" a="1"/>
  <c r="AS69" i="38" s="1"/>
  <c r="AS129" i="38" a="1"/>
  <c r="AS129" i="38" s="1"/>
  <c r="AS125" i="38" a="1"/>
  <c r="AS125" i="38" s="1"/>
  <c r="AS64" i="38" a="1"/>
  <c r="AS64" i="38" s="1"/>
  <c r="AS113" i="38" a="1"/>
  <c r="AS113" i="38" s="1"/>
  <c r="AS139" i="38" a="1"/>
  <c r="AS139" i="38" s="1"/>
  <c r="AS44" i="38" a="1"/>
  <c r="AS44" i="38" s="1"/>
  <c r="AS78" i="38" a="1"/>
  <c r="AS78" i="38" s="1"/>
  <c r="AS46" i="38" a="1"/>
  <c r="AS46" i="38" s="1"/>
  <c r="AS60" i="38" a="1"/>
  <c r="AS60" i="38" s="1"/>
  <c r="AS156" i="38" a="1"/>
  <c r="AS156" i="38" s="1"/>
  <c r="AS103" i="38" a="1"/>
  <c r="AS103" i="38" s="1"/>
  <c r="AS152" i="38" a="1"/>
  <c r="AS152" i="38" s="1"/>
  <c r="AS148" i="38" a="1"/>
  <c r="AS148" i="38" s="1"/>
  <c r="AS95" i="38" a="1"/>
  <c r="AS95" i="38" s="1"/>
  <c r="AS102" i="38" a="1"/>
  <c r="AS102" i="38" s="1"/>
  <c r="AS144" i="38" a="1"/>
  <c r="AS144" i="38" s="1"/>
  <c r="AS43" i="38" a="1"/>
  <c r="AS43" i="38" s="1"/>
  <c r="AS72" i="38" a="1"/>
  <c r="AS72" i="38" s="1"/>
  <c r="AS58" i="38" a="1"/>
  <c r="AS58" i="38" s="1"/>
  <c r="AS162" i="38" a="1"/>
  <c r="AS162" i="38" s="1"/>
  <c r="AS59" i="38" a="1"/>
  <c r="AS59" i="38" s="1"/>
  <c r="AS112" i="38" a="1"/>
  <c r="AS112" i="38" s="1"/>
  <c r="AS106" i="38" a="1"/>
  <c r="AS106" i="38" s="1"/>
  <c r="AS101" i="38" a="1"/>
  <c r="AS101" i="38" s="1"/>
  <c r="AS120" i="38" a="1"/>
  <c r="AS120" i="38" s="1"/>
  <c r="AS86" i="38" a="1"/>
  <c r="AS86" i="38" s="1"/>
  <c r="AS155" i="38" a="1"/>
  <c r="AS155" i="38" s="1"/>
  <c r="AS104" i="38" a="1"/>
  <c r="AS104" i="38" s="1"/>
  <c r="AS126" i="38" a="1"/>
  <c r="AS126" i="38" s="1"/>
  <c r="AS111" i="38" a="1"/>
  <c r="AS111" i="38" s="1"/>
  <c r="AS157" i="38" a="1"/>
  <c r="AS157" i="38" s="1"/>
  <c r="AS49" i="38" a="1"/>
  <c r="AS49" i="38" s="1"/>
  <c r="AS87" i="38" a="1"/>
  <c r="AS87" i="38" s="1"/>
  <c r="AS54" i="38" a="1"/>
  <c r="AS54" i="38" s="1"/>
  <c r="AS97" i="38" a="1"/>
  <c r="AS97" i="38" s="1"/>
  <c r="AS133" i="38" a="1"/>
  <c r="AS133" i="38" s="1"/>
  <c r="AS151" i="38" a="1"/>
  <c r="AS151" i="38" s="1"/>
  <c r="AS93" i="38" a="1"/>
  <c r="AS93" i="38" s="1"/>
  <c r="AS128" i="38" a="1"/>
  <c r="AS128" i="38" s="1"/>
  <c r="AS41" i="38" a="1"/>
  <c r="AS41" i="38" s="1"/>
  <c r="AS56" i="38" a="1"/>
  <c r="AS56" i="38" s="1"/>
  <c r="AS137" i="38" a="1"/>
  <c r="AS137" i="38" s="1"/>
  <c r="AS70" i="38" a="1"/>
  <c r="AS70" i="38" s="1"/>
  <c r="AS31" i="38" a="1"/>
  <c r="AS31" i="38" s="1"/>
  <c r="AS75" i="38" a="1"/>
  <c r="AS75" i="38" s="1"/>
  <c r="AS141" i="38" a="1"/>
  <c r="AS141" i="38" s="1"/>
  <c r="AS82" i="38" a="1"/>
  <c r="AS82" i="38" s="1"/>
  <c r="AS124" i="38" a="1"/>
  <c r="AS124" i="38" s="1"/>
  <c r="AS110" i="38" a="1"/>
  <c r="AS110" i="38" s="1"/>
  <c r="AS50" i="38" a="1"/>
  <c r="AS50" i="38" s="1"/>
  <c r="AS161" i="38" a="1"/>
  <c r="AS161" i="38" s="1"/>
  <c r="AS36" i="38" a="1"/>
  <c r="AS36" i="38" s="1"/>
  <c r="AS67" i="38" a="1"/>
  <c r="AS67" i="38" s="1"/>
  <c r="AS89" i="38" a="1"/>
  <c r="AS89" i="38" s="1"/>
  <c r="AS145" i="38" a="1"/>
  <c r="AS145" i="38" s="1"/>
  <c r="AS164" i="38" a="1"/>
  <c r="AS164" i="38" s="1"/>
  <c r="AS107" i="38" a="1"/>
  <c r="AS107" i="38" s="1"/>
  <c r="AS105" i="38" a="1"/>
  <c r="AS105" i="38" s="1"/>
  <c r="AS39" i="38" a="1"/>
  <c r="AS39" i="38" s="1"/>
  <c r="AS38" i="38" a="1"/>
  <c r="AS38" i="38" s="1"/>
  <c r="AS62" i="38" a="1"/>
  <c r="AS62" i="38" s="1"/>
  <c r="AS108" i="38" a="1"/>
  <c r="AS108" i="38" s="1"/>
  <c r="AS32" i="38" a="1"/>
  <c r="AS32" i="38" s="1"/>
  <c r="AS94" i="38" a="1"/>
  <c r="AS94" i="38" s="1"/>
  <c r="AS34" i="38" a="1"/>
  <c r="AS34" i="38" s="1"/>
  <c r="AS79" i="38" a="1"/>
  <c r="AS79" i="38" s="1"/>
  <c r="AA1" i="38"/>
  <c r="U1" i="38"/>
  <c r="V1" i="38"/>
  <c r="AB1" i="38"/>
  <c r="W1" i="38"/>
  <c r="AC1" i="38"/>
  <c r="X1" i="38"/>
  <c r="AD1" i="38"/>
  <c r="AE1" i="38"/>
  <c r="Y1" i="38"/>
  <c r="J123" i="38" a="1"/>
  <c r="J123" i="38" s="1"/>
  <c r="J130" i="38" a="1"/>
  <c r="J130" i="38" s="1"/>
  <c r="J164" i="38" a="1"/>
  <c r="J164" i="38" s="1"/>
  <c r="J144" i="38" a="1"/>
  <c r="J144" i="38" s="1"/>
  <c r="J121" i="38" a="1"/>
  <c r="J121" i="38" s="1"/>
  <c r="J158" i="38" a="1"/>
  <c r="J158" i="38" s="1"/>
  <c r="J163" i="38" a="1"/>
  <c r="J163" i="38" s="1"/>
  <c r="J161" i="38" a="1"/>
  <c r="J161" i="38" s="1"/>
  <c r="J142" i="38" a="1"/>
  <c r="J142" i="38" s="1"/>
  <c r="J95" i="38" a="1"/>
  <c r="J95" i="38" s="1"/>
  <c r="J99" i="38" a="1"/>
  <c r="J99" i="38" s="1"/>
  <c r="J122" i="38" a="1"/>
  <c r="J122" i="38" s="1"/>
  <c r="J126" i="38" a="1"/>
  <c r="J126" i="38" s="1"/>
  <c r="J149" i="38" a="1"/>
  <c r="J149" i="38" s="1"/>
  <c r="J129" i="38" a="1"/>
  <c r="J129" i="38" s="1"/>
  <c r="J152" i="38" a="1"/>
  <c r="J152" i="38" s="1"/>
  <c r="J132" i="38" a="1"/>
  <c r="J132" i="38" s="1"/>
  <c r="J159" i="38" a="1"/>
  <c r="J159" i="38" s="1"/>
  <c r="J157" i="38" a="1"/>
  <c r="J157" i="38" s="1"/>
  <c r="J165" i="38" a="1"/>
  <c r="J165" i="38" s="1"/>
  <c r="J162" i="38" a="1"/>
  <c r="J162" i="38" s="1"/>
  <c r="J160" i="38" a="1"/>
  <c r="J160" i="38" s="1"/>
  <c r="J94" i="38" a="1"/>
  <c r="J94" i="38" s="1"/>
  <c r="J61" i="38" a="1"/>
  <c r="J61" i="38" s="1"/>
  <c r="J65" i="38" a="1"/>
  <c r="J65" i="38" s="1"/>
  <c r="J145" i="38" a="1"/>
  <c r="J145" i="38" s="1"/>
  <c r="J155" i="38" a="1"/>
  <c r="J155" i="38" s="1"/>
  <c r="J140" i="38" a="1"/>
  <c r="J140" i="38" s="1"/>
  <c r="J143" i="38" a="1"/>
  <c r="J143" i="38" s="1"/>
  <c r="J96" i="38" a="1"/>
  <c r="J96" i="38" s="1"/>
  <c r="J63" i="38" a="1"/>
  <c r="J63" i="38" s="1"/>
  <c r="J98" i="38" a="1"/>
  <c r="J98" i="38" s="1"/>
  <c r="J146" i="38" a="1"/>
  <c r="J146" i="38" s="1"/>
  <c r="J148" i="38" a="1"/>
  <c r="J148" i="38" s="1"/>
  <c r="J125" i="38" a="1"/>
  <c r="J125" i="38" s="1"/>
  <c r="J151" i="38" a="1"/>
  <c r="J151" i="38" s="1"/>
  <c r="J128" i="38" a="1"/>
  <c r="J128" i="38" s="1"/>
  <c r="J154" i="38" a="1"/>
  <c r="J154" i="38" s="1"/>
  <c r="J141" i="38" a="1"/>
  <c r="J141" i="38" s="1"/>
  <c r="J137" i="38" a="1"/>
  <c r="J137" i="38" s="1"/>
  <c r="J62" i="38" a="1"/>
  <c r="J62" i="38" s="1"/>
  <c r="J100" i="38" a="1"/>
  <c r="J100" i="38" s="1"/>
  <c r="J67" i="38" a="1"/>
  <c r="J67" i="38" s="1"/>
  <c r="J124" i="38" a="1"/>
  <c r="J124" i="38" s="1"/>
  <c r="J153" i="38" a="1"/>
  <c r="J153" i="38" s="1"/>
  <c r="J127" i="38" a="1"/>
  <c r="J127" i="38" s="1"/>
  <c r="J156" i="38" a="1"/>
  <c r="J156" i="38" s="1"/>
  <c r="J131" i="38" a="1"/>
  <c r="J131" i="38" s="1"/>
  <c r="J138" i="38" a="1"/>
  <c r="J138" i="38" s="1"/>
  <c r="J136" i="38" a="1"/>
  <c r="J136" i="38" s="1"/>
  <c r="J93" i="38" a="1"/>
  <c r="J93" i="38" s="1"/>
  <c r="J68" i="38" a="1"/>
  <c r="J68" i="38" s="1"/>
  <c r="J97" i="38" a="1"/>
  <c r="J97" i="38" s="1"/>
  <c r="J64" i="38" a="1"/>
  <c r="J64" i="38" s="1"/>
  <c r="J106" i="38" a="1"/>
  <c r="J106" i="38" s="1"/>
  <c r="J79" i="38" a="1"/>
  <c r="J79" i="38" s="1"/>
  <c r="J88" i="38" a="1"/>
  <c r="J88" i="38" s="1"/>
  <c r="J116" i="38" a="1"/>
  <c r="J116" i="38" s="1"/>
  <c r="J83" i="38" a="1"/>
  <c r="J83" i="38" s="1"/>
  <c r="J135" i="38" a="1"/>
  <c r="J135" i="38" s="1"/>
  <c r="J103" i="38" a="1"/>
  <c r="J103" i="38" s="1"/>
  <c r="J105" i="38" a="1"/>
  <c r="J105" i="38" s="1"/>
  <c r="J119" i="38" a="1"/>
  <c r="J119" i="38" s="1"/>
  <c r="J115" i="38" a="1"/>
  <c r="J115" i="38" s="1"/>
  <c r="J102" i="38" a="1"/>
  <c r="J102" i="38" s="1"/>
  <c r="J108" i="38" a="1"/>
  <c r="J108" i="38" s="1"/>
  <c r="J76" i="38" a="1"/>
  <c r="J76" i="38" s="1"/>
  <c r="J75" i="38" a="1"/>
  <c r="J75" i="38" s="1"/>
  <c r="J80" i="38" a="1"/>
  <c r="J80" i="38" s="1"/>
  <c r="J120" i="38" a="1"/>
  <c r="J120" i="38" s="1"/>
  <c r="J85" i="38" a="1"/>
  <c r="J85" i="38" s="1"/>
  <c r="J82" i="38" a="1"/>
  <c r="J82" i="38" s="1"/>
  <c r="J69" i="38" a="1"/>
  <c r="J69" i="38" s="1"/>
  <c r="J139" i="38" a="1"/>
  <c r="J139" i="38" s="1"/>
  <c r="J70" i="38" a="1"/>
  <c r="J70" i="38" s="1"/>
  <c r="J71" i="38" a="1"/>
  <c r="J71" i="38" s="1"/>
  <c r="J101" i="38" a="1"/>
  <c r="J101" i="38" s="1"/>
  <c r="J107" i="38" a="1"/>
  <c r="J107" i="38" s="1"/>
  <c r="J78" i="38" a="1"/>
  <c r="J78" i="38" s="1"/>
  <c r="J118" i="38" a="1"/>
  <c r="J118" i="38" s="1"/>
  <c r="J117" i="38" a="1"/>
  <c r="J117" i="38" s="1"/>
  <c r="J89" i="38" a="1"/>
  <c r="J89" i="38" s="1"/>
  <c r="J66" i="38" a="1"/>
  <c r="J66" i="38" s="1"/>
  <c r="J72" i="38" a="1"/>
  <c r="J72" i="38" s="1"/>
  <c r="J73" i="38" a="1"/>
  <c r="J73" i="38" s="1"/>
  <c r="J87" i="38" a="1"/>
  <c r="J87" i="38" s="1"/>
  <c r="J84" i="38" a="1"/>
  <c r="J84" i="38" s="1"/>
  <c r="J81" i="38" a="1"/>
  <c r="J81" i="38" s="1"/>
  <c r="J133" i="38" a="1"/>
  <c r="J133" i="38" s="1"/>
  <c r="J109" i="38" a="1"/>
  <c r="J109" i="38" s="1"/>
  <c r="J32" i="38" a="1"/>
  <c r="J32" i="38" s="1"/>
  <c r="J53" i="38" a="1"/>
  <c r="J53" i="38" s="1"/>
  <c r="J40" i="38" a="1"/>
  <c r="J40" i="38" s="1"/>
  <c r="J45" i="38" a="1"/>
  <c r="J45" i="38" s="1"/>
  <c r="J150" i="38" a="1"/>
  <c r="J150" i="38" s="1"/>
  <c r="J134" i="38" a="1"/>
  <c r="J134" i="38" s="1"/>
  <c r="J112" i="38" a="1"/>
  <c r="J112" i="38" s="1"/>
  <c r="J86" i="38" a="1"/>
  <c r="J86" i="38" s="1"/>
  <c r="J48" i="38" a="1"/>
  <c r="J48" i="38" s="1"/>
  <c r="J33" i="38" a="1"/>
  <c r="J33" i="38" s="1"/>
  <c r="J54" i="38" a="1"/>
  <c r="J54" i="38" s="1"/>
  <c r="J43" i="38" a="1"/>
  <c r="J43" i="38" s="1"/>
  <c r="J91" i="38" a="1"/>
  <c r="J91" i="38" s="1"/>
  <c r="J31" i="38" a="1"/>
  <c r="J31" i="38" s="1"/>
  <c r="J34" i="38" a="1"/>
  <c r="J34" i="38" s="1"/>
  <c r="J55" i="38" a="1"/>
  <c r="J55" i="38" s="1"/>
  <c r="J44" i="38" a="1"/>
  <c r="J44" i="38" s="1"/>
  <c r="J110" i="38" a="1"/>
  <c r="J110" i="38" s="1"/>
  <c r="J47" i="38" a="1"/>
  <c r="J47" i="38" s="1"/>
  <c r="J35" i="38" a="1"/>
  <c r="J35" i="38" s="1"/>
  <c r="J56" i="38" a="1"/>
  <c r="J56" i="38" s="1"/>
  <c r="J41" i="38" a="1"/>
  <c r="J41" i="38" s="1"/>
  <c r="J147" i="38" a="1"/>
  <c r="J147" i="38" s="1"/>
  <c r="J111" i="38" a="1"/>
  <c r="J111" i="38" s="1"/>
  <c r="J77" i="38" a="1"/>
  <c r="J77" i="38" s="1"/>
  <c r="J114" i="38" a="1"/>
  <c r="J114" i="38" s="1"/>
  <c r="J90" i="38" a="1"/>
  <c r="J90" i="38" s="1"/>
  <c r="J50" i="38" a="1"/>
  <c r="J50" i="38" s="1"/>
  <c r="J37" i="38" a="1"/>
  <c r="J37" i="38" s="1"/>
  <c r="J60" i="38" a="1"/>
  <c r="J60" i="38" s="1"/>
  <c r="J46" i="38" a="1"/>
  <c r="J46" i="38" s="1"/>
  <c r="J104" i="38" a="1"/>
  <c r="J104" i="38" s="1"/>
  <c r="J51" i="38" a="1"/>
  <c r="J51" i="38" s="1"/>
  <c r="J38" i="38" a="1"/>
  <c r="J38" i="38" s="1"/>
  <c r="J57" i="38" a="1"/>
  <c r="J57" i="38" s="1"/>
  <c r="J49" i="38" a="1"/>
  <c r="J49" i="38" s="1"/>
  <c r="J42" i="38" a="1"/>
  <c r="J42" i="38" s="1"/>
  <c r="J39" i="38" a="1"/>
  <c r="J39" i="38" s="1"/>
  <c r="J59" i="38" a="1"/>
  <c r="J59" i="38" s="1"/>
  <c r="J113" i="38" a="1"/>
  <c r="J113" i="38" s="1"/>
  <c r="J92" i="38" a="1"/>
  <c r="J92" i="38" s="1"/>
  <c r="J74" i="38" a="1"/>
  <c r="J74" i="38" s="1"/>
  <c r="J52" i="38" a="1"/>
  <c r="J52" i="38" s="1"/>
  <c r="J36" i="38" a="1"/>
  <c r="J36" i="38" s="1"/>
  <c r="J58" i="38" a="1"/>
  <c r="J58" i="38" s="1"/>
  <c r="L146" i="38" a="1"/>
  <c r="L146" i="38" s="1"/>
  <c r="L154" i="38" a="1"/>
  <c r="L154" i="38" s="1"/>
  <c r="L135" i="38" a="1"/>
  <c r="L135" i="38" s="1"/>
  <c r="L133" i="38" a="1"/>
  <c r="L133" i="38" s="1"/>
  <c r="L134" i="38" a="1"/>
  <c r="L134" i="38" s="1"/>
  <c r="L139" i="38" a="1"/>
  <c r="L139" i="38" s="1"/>
  <c r="L64" i="38" a="1"/>
  <c r="L64" i="38" s="1"/>
  <c r="L62" i="38" a="1"/>
  <c r="L62" i="38" s="1"/>
  <c r="L150" i="38" a="1"/>
  <c r="L150" i="38" s="1"/>
  <c r="L124" i="38" a="1"/>
  <c r="L124" i="38" s="1"/>
  <c r="L153" i="38" a="1"/>
  <c r="L153" i="38" s="1"/>
  <c r="L127" i="38" a="1"/>
  <c r="L127" i="38" s="1"/>
  <c r="L156" i="38" a="1"/>
  <c r="L156" i="38" s="1"/>
  <c r="L131" i="38" a="1"/>
  <c r="L131" i="38" s="1"/>
  <c r="L138" i="38" a="1"/>
  <c r="L138" i="38" s="1"/>
  <c r="L136" i="38" a="1"/>
  <c r="L136" i="38" s="1"/>
  <c r="L93" i="38" a="1"/>
  <c r="L93" i="38" s="1"/>
  <c r="L66" i="38" a="1"/>
  <c r="L66" i="38" s="1"/>
  <c r="L97" i="38" a="1"/>
  <c r="L97" i="38" s="1"/>
  <c r="L123" i="38" a="1"/>
  <c r="L123" i="38" s="1"/>
  <c r="L130" i="38" a="1"/>
  <c r="L130" i="38" s="1"/>
  <c r="L144" i="38" a="1"/>
  <c r="L144" i="38" s="1"/>
  <c r="L68" i="38" a="1"/>
  <c r="L68" i="38" s="1"/>
  <c r="L121" i="38" a="1"/>
  <c r="L121" i="38" s="1"/>
  <c r="L164" i="38" a="1"/>
  <c r="L164" i="38" s="1"/>
  <c r="L95" i="38" a="1"/>
  <c r="L95" i="38" s="1"/>
  <c r="L99" i="38" a="1"/>
  <c r="L99" i="38" s="1"/>
  <c r="L122" i="38" a="1"/>
  <c r="L122" i="38" s="1"/>
  <c r="L126" i="38" a="1"/>
  <c r="L126" i="38" s="1"/>
  <c r="L149" i="38" a="1"/>
  <c r="L149" i="38" s="1"/>
  <c r="L129" i="38" a="1"/>
  <c r="L129" i="38" s="1"/>
  <c r="L152" i="38" a="1"/>
  <c r="L152" i="38" s="1"/>
  <c r="L132" i="38" a="1"/>
  <c r="L132" i="38" s="1"/>
  <c r="L159" i="38" a="1"/>
  <c r="L159" i="38" s="1"/>
  <c r="L158" i="38" a="1"/>
  <c r="L158" i="38" s="1"/>
  <c r="L165" i="38" a="1"/>
  <c r="L165" i="38" s="1"/>
  <c r="L163" i="38" a="1"/>
  <c r="L163" i="38" s="1"/>
  <c r="L162" i="38" a="1"/>
  <c r="L162" i="38" s="1"/>
  <c r="L161" i="38" a="1"/>
  <c r="L161" i="38" s="1"/>
  <c r="L142" i="38" a="1"/>
  <c r="L142" i="38" s="1"/>
  <c r="L94" i="38" a="1"/>
  <c r="L94" i="38" s="1"/>
  <c r="L61" i="38" a="1"/>
  <c r="L61" i="38" s="1"/>
  <c r="L157" i="38" a="1"/>
  <c r="L157" i="38" s="1"/>
  <c r="L160" i="38" a="1"/>
  <c r="L160" i="38" s="1"/>
  <c r="L145" i="38" a="1"/>
  <c r="L145" i="38" s="1"/>
  <c r="L148" i="38" a="1"/>
  <c r="L148" i="38" s="1"/>
  <c r="L125" i="38" a="1"/>
  <c r="L125" i="38" s="1"/>
  <c r="L151" i="38" a="1"/>
  <c r="L151" i="38" s="1"/>
  <c r="L128" i="38" a="1"/>
  <c r="L128" i="38" s="1"/>
  <c r="L141" i="38" a="1"/>
  <c r="L141" i="38" s="1"/>
  <c r="L140" i="38" a="1"/>
  <c r="L140" i="38" s="1"/>
  <c r="L137" i="38" a="1"/>
  <c r="L137" i="38" s="1"/>
  <c r="L100" i="38" a="1"/>
  <c r="L100" i="38" s="1"/>
  <c r="L67" i="38" a="1"/>
  <c r="L67" i="38" s="1"/>
  <c r="L72" i="38" a="1"/>
  <c r="L72" i="38" s="1"/>
  <c r="L70" i="38" a="1"/>
  <c r="L70" i="38" s="1"/>
  <c r="L71" i="38" a="1"/>
  <c r="L71" i="38" s="1"/>
  <c r="L107" i="38" a="1"/>
  <c r="L107" i="38" s="1"/>
  <c r="L78" i="38" a="1"/>
  <c r="L78" i="38" s="1"/>
  <c r="L118" i="38" a="1"/>
  <c r="L118" i="38" s="1"/>
  <c r="L89" i="38" a="1"/>
  <c r="L89" i="38" s="1"/>
  <c r="L73" i="38" a="1"/>
  <c r="L73" i="38" s="1"/>
  <c r="L109" i="38" a="1"/>
  <c r="L109" i="38" s="1"/>
  <c r="L87" i="38" a="1"/>
  <c r="L87" i="38" s="1"/>
  <c r="L84" i="38" a="1"/>
  <c r="L84" i="38" s="1"/>
  <c r="L81" i="38" a="1"/>
  <c r="L81" i="38" s="1"/>
  <c r="L74" i="38" a="1"/>
  <c r="L74" i="38" s="1"/>
  <c r="L110" i="38" a="1"/>
  <c r="L110" i="38" s="1"/>
  <c r="L116" i="38" a="1"/>
  <c r="L116" i="38" s="1"/>
  <c r="L113" i="38" a="1"/>
  <c r="L113" i="38" s="1"/>
  <c r="L103" i="38" a="1"/>
  <c r="L103" i="38" s="1"/>
  <c r="L155" i="38" a="1"/>
  <c r="L155" i="38" s="1"/>
  <c r="L98" i="38" a="1"/>
  <c r="L98" i="38" s="1"/>
  <c r="L76" i="38" a="1"/>
  <c r="L76" i="38" s="1"/>
  <c r="L75" i="38" a="1"/>
  <c r="L75" i="38" s="1"/>
  <c r="L80" i="38" a="1"/>
  <c r="L80" i="38" s="1"/>
  <c r="L85" i="38" a="1"/>
  <c r="L85" i="38" s="1"/>
  <c r="L82" i="38" a="1"/>
  <c r="L82" i="38" s="1"/>
  <c r="L63" i="38" a="1"/>
  <c r="L63" i="38" s="1"/>
  <c r="L104" i="38" a="1"/>
  <c r="L104" i="38" s="1"/>
  <c r="L112" i="38" a="1"/>
  <c r="L112" i="38" s="1"/>
  <c r="L111" i="38" a="1"/>
  <c r="L111" i="38" s="1"/>
  <c r="L86" i="38" a="1"/>
  <c r="L86" i="38" s="1"/>
  <c r="L114" i="38" a="1"/>
  <c r="L114" i="38" s="1"/>
  <c r="L91" i="38" a="1"/>
  <c r="L91" i="38" s="1"/>
  <c r="L108" i="38" a="1"/>
  <c r="L108" i="38" s="1"/>
  <c r="L88" i="38" a="1"/>
  <c r="L88" i="38" s="1"/>
  <c r="L119" i="38" a="1"/>
  <c r="L119" i="38" s="1"/>
  <c r="L50" i="38" a="1"/>
  <c r="L50" i="38" s="1"/>
  <c r="L38" i="38" a="1"/>
  <c r="L38" i="38" s="1"/>
  <c r="L60" i="38" a="1"/>
  <c r="L60" i="38" s="1"/>
  <c r="L147" i="38" a="1"/>
  <c r="L147" i="38" s="1"/>
  <c r="L101" i="38" a="1"/>
  <c r="L101" i="38" s="1"/>
  <c r="L51" i="38" a="1"/>
  <c r="L51" i="38" s="1"/>
  <c r="L39" i="38" a="1"/>
  <c r="L39" i="38" s="1"/>
  <c r="L57" i="38" a="1"/>
  <c r="L57" i="38" s="1"/>
  <c r="L106" i="38" a="1"/>
  <c r="L106" i="38" s="1"/>
  <c r="L117" i="38" a="1"/>
  <c r="L117" i="38" s="1"/>
  <c r="L115" i="38" a="1"/>
  <c r="L115" i="38" s="1"/>
  <c r="L32" i="38" a="1"/>
  <c r="L32" i="38" s="1"/>
  <c r="L52" i="38" a="1"/>
  <c r="L52" i="38" s="1"/>
  <c r="L40" i="38" a="1"/>
  <c r="L40" i="38" s="1"/>
  <c r="L58" i="38" a="1"/>
  <c r="L58" i="38" s="1"/>
  <c r="L65" i="38" a="1"/>
  <c r="L65" i="38" s="1"/>
  <c r="L102" i="38" a="1"/>
  <c r="L102" i="38" s="1"/>
  <c r="L79" i="38" a="1"/>
  <c r="L79" i="38" s="1"/>
  <c r="L120" i="38" a="1"/>
  <c r="L120" i="38" s="1"/>
  <c r="L33" i="38" a="1"/>
  <c r="L33" i="38" s="1"/>
  <c r="L53" i="38" a="1"/>
  <c r="L53" i="38" s="1"/>
  <c r="L43" i="38" a="1"/>
  <c r="L43" i="38" s="1"/>
  <c r="L45" i="38" a="1"/>
  <c r="L45" i="38" s="1"/>
  <c r="L69" i="38" a="1"/>
  <c r="L69" i="38" s="1"/>
  <c r="L31" i="38" a="1"/>
  <c r="L31" i="38" s="1"/>
  <c r="L35" i="38" a="1"/>
  <c r="L35" i="38" s="1"/>
  <c r="L55" i="38" a="1"/>
  <c r="L55" i="38" s="1"/>
  <c r="L41" i="38" a="1"/>
  <c r="L41" i="38" s="1"/>
  <c r="L143" i="38" a="1"/>
  <c r="L143" i="38" s="1"/>
  <c r="L77" i="38" a="1"/>
  <c r="L77" i="38" s="1"/>
  <c r="L90" i="38" a="1"/>
  <c r="L90" i="38" s="1"/>
  <c r="L47" i="38" a="1"/>
  <c r="L47" i="38" s="1"/>
  <c r="L36" i="38" a="1"/>
  <c r="L36" i="38" s="1"/>
  <c r="L56" i="38" a="1"/>
  <c r="L56" i="38" s="1"/>
  <c r="L42" i="38" a="1"/>
  <c r="L42" i="38" s="1"/>
  <c r="L96" i="38" a="1"/>
  <c r="L96" i="38" s="1"/>
  <c r="L54" i="38" a="1"/>
  <c r="L54" i="38" s="1"/>
  <c r="L49" i="38" a="1"/>
  <c r="L49" i="38" s="1"/>
  <c r="L48" i="38" a="1"/>
  <c r="L48" i="38" s="1"/>
  <c r="L34" i="38" a="1"/>
  <c r="L34" i="38" s="1"/>
  <c r="L105" i="38" a="1"/>
  <c r="L105" i="38" s="1"/>
  <c r="L92" i="38" a="1"/>
  <c r="L92" i="38" s="1"/>
  <c r="L46" i="38" a="1"/>
  <c r="L46" i="38" s="1"/>
  <c r="L59" i="38" a="1"/>
  <c r="L59" i="38" s="1"/>
  <c r="L44" i="38" a="1"/>
  <c r="L44" i="38" s="1"/>
  <c r="L83" i="38" a="1"/>
  <c r="L83" i="38" s="1"/>
  <c r="L37" i="38" a="1"/>
  <c r="L37" i="38" s="1"/>
  <c r="N155" i="38" a="1"/>
  <c r="N155" i="38" s="1"/>
  <c r="N96" i="38" a="1"/>
  <c r="N96" i="38" s="1"/>
  <c r="N63" i="38" a="1"/>
  <c r="N63" i="38" s="1"/>
  <c r="N98" i="38" a="1"/>
  <c r="N98" i="38" s="1"/>
  <c r="N145" i="38" a="1"/>
  <c r="N145" i="38" s="1"/>
  <c r="N148" i="38" a="1"/>
  <c r="N148" i="38" s="1"/>
  <c r="N125" i="38" a="1"/>
  <c r="N125" i="38" s="1"/>
  <c r="N151" i="38" a="1"/>
  <c r="N151" i="38" s="1"/>
  <c r="N128" i="38" a="1"/>
  <c r="N128" i="38" s="1"/>
  <c r="N143" i="38" a="1"/>
  <c r="N143" i="38" s="1"/>
  <c r="N100" i="38" a="1"/>
  <c r="N100" i="38" s="1"/>
  <c r="N67" i="38" a="1"/>
  <c r="N67" i="38" s="1"/>
  <c r="N146" i="38" a="1"/>
  <c r="N146" i="38" s="1"/>
  <c r="N154" i="38" a="1"/>
  <c r="N154" i="38" s="1"/>
  <c r="N133" i="38" a="1"/>
  <c r="N133" i="38" s="1"/>
  <c r="N141" i="38" a="1"/>
  <c r="N141" i="38" s="1"/>
  <c r="N139" i="38" a="1"/>
  <c r="N139" i="38" s="1"/>
  <c r="N140" i="38" a="1"/>
  <c r="N140" i="38" s="1"/>
  <c r="N137" i="38" a="1"/>
  <c r="N137" i="38" s="1"/>
  <c r="N64" i="38" a="1"/>
  <c r="N64" i="38" s="1"/>
  <c r="N62" i="38" a="1"/>
  <c r="N62" i="38" s="1"/>
  <c r="N150" i="38" a="1"/>
  <c r="N150" i="38" s="1"/>
  <c r="N153" i="38" a="1"/>
  <c r="N153" i="38" s="1"/>
  <c r="N156" i="38" a="1"/>
  <c r="N156" i="38" s="1"/>
  <c r="N135" i="38" a="1"/>
  <c r="N135" i="38" s="1"/>
  <c r="N134" i="38" a="1"/>
  <c r="N134" i="38" s="1"/>
  <c r="N136" i="38" a="1"/>
  <c r="N136" i="38" s="1"/>
  <c r="N66" i="38" a="1"/>
  <c r="N66" i="38" s="1"/>
  <c r="N124" i="38" a="1"/>
  <c r="N124" i="38" s="1"/>
  <c r="N127" i="38" a="1"/>
  <c r="N127" i="38" s="1"/>
  <c r="N131" i="38" a="1"/>
  <c r="N131" i="38" s="1"/>
  <c r="N138" i="38" a="1"/>
  <c r="N138" i="38" s="1"/>
  <c r="N144" i="38" a="1"/>
  <c r="N144" i="38" s="1"/>
  <c r="N93" i="38" a="1"/>
  <c r="N93" i="38" s="1"/>
  <c r="N68" i="38" a="1"/>
  <c r="N68" i="38" s="1"/>
  <c r="N97" i="38" a="1"/>
  <c r="N97" i="38" s="1"/>
  <c r="N123" i="38" a="1"/>
  <c r="N123" i="38" s="1"/>
  <c r="N130" i="38" a="1"/>
  <c r="N130" i="38" s="1"/>
  <c r="N164" i="38" a="1"/>
  <c r="N164" i="38" s="1"/>
  <c r="N95" i="38" a="1"/>
  <c r="N95" i="38" s="1"/>
  <c r="N122" i="38" a="1"/>
  <c r="N122" i="38" s="1"/>
  <c r="N126" i="38" a="1"/>
  <c r="N126" i="38" s="1"/>
  <c r="N157" i="38" a="1"/>
  <c r="N157" i="38" s="1"/>
  <c r="N162" i="38" a="1"/>
  <c r="N162" i="38" s="1"/>
  <c r="N160" i="38" a="1"/>
  <c r="N160" i="38" s="1"/>
  <c r="N159" i="38" a="1"/>
  <c r="N159" i="38" s="1"/>
  <c r="N161" i="38" a="1"/>
  <c r="N161" i="38" s="1"/>
  <c r="N99" i="38" a="1"/>
  <c r="N99" i="38" s="1"/>
  <c r="N104" i="38" a="1"/>
  <c r="N104" i="38" s="1"/>
  <c r="N108" i="38" a="1"/>
  <c r="N108" i="38" s="1"/>
  <c r="N75" i="38" a="1"/>
  <c r="N75" i="38" s="1"/>
  <c r="N86" i="38" a="1"/>
  <c r="N86" i="38" s="1"/>
  <c r="N85" i="38" a="1"/>
  <c r="N85" i="38" s="1"/>
  <c r="N82" i="38" a="1"/>
  <c r="N82" i="38" s="1"/>
  <c r="N129" i="38" a="1"/>
  <c r="N129" i="38" s="1"/>
  <c r="N132" i="38" a="1"/>
  <c r="N132" i="38" s="1"/>
  <c r="N165" i="38" a="1"/>
  <c r="N165" i="38" s="1"/>
  <c r="N61" i="38" a="1"/>
  <c r="N61" i="38" s="1"/>
  <c r="N112" i="38" a="1"/>
  <c r="N112" i="38" s="1"/>
  <c r="N111" i="38" a="1"/>
  <c r="N111" i="38" s="1"/>
  <c r="N114" i="38" a="1"/>
  <c r="N114" i="38" s="1"/>
  <c r="N91" i="38" a="1"/>
  <c r="N91" i="38" s="1"/>
  <c r="N94" i="38" a="1"/>
  <c r="N94" i="38" s="1"/>
  <c r="N72" i="38" a="1"/>
  <c r="N72" i="38" s="1"/>
  <c r="N70" i="38" a="1"/>
  <c r="N70" i="38" s="1"/>
  <c r="N101" i="38" a="1"/>
  <c r="N101" i="38" s="1"/>
  <c r="N69" i="38" a="1"/>
  <c r="N69" i="38" s="1"/>
  <c r="N78" i="38" a="1"/>
  <c r="N78" i="38" s="1"/>
  <c r="N77" i="38" a="1"/>
  <c r="N77" i="38" s="1"/>
  <c r="N117" i="38" a="1"/>
  <c r="N117" i="38" s="1"/>
  <c r="N90" i="38" a="1"/>
  <c r="N90" i="38" s="1"/>
  <c r="N121" i="38" a="1"/>
  <c r="N121" i="38" s="1"/>
  <c r="N142" i="38" a="1"/>
  <c r="N142" i="38" s="1"/>
  <c r="N71" i="38" a="1"/>
  <c r="N71" i="38" s="1"/>
  <c r="N149" i="38" a="1"/>
  <c r="N149" i="38" s="1"/>
  <c r="N152" i="38" a="1"/>
  <c r="N152" i="38" s="1"/>
  <c r="N65" i="38" a="1"/>
  <c r="N65" i="38" s="1"/>
  <c r="N103" i="38" a="1"/>
  <c r="N103" i="38" s="1"/>
  <c r="N110" i="38" a="1"/>
  <c r="N110" i="38" s="1"/>
  <c r="N88" i="38" a="1"/>
  <c r="N88" i="38" s="1"/>
  <c r="N116" i="38" a="1"/>
  <c r="N116" i="38" s="1"/>
  <c r="N113" i="38" a="1"/>
  <c r="N113" i="38" s="1"/>
  <c r="N158" i="38" a="1"/>
  <c r="N158" i="38" s="1"/>
  <c r="N102" i="38" a="1"/>
  <c r="N102" i="38" s="1"/>
  <c r="N105" i="38" a="1"/>
  <c r="N105" i="38" s="1"/>
  <c r="N79" i="38" a="1"/>
  <c r="N79" i="38" s="1"/>
  <c r="N83" i="38" a="1"/>
  <c r="N83" i="38" s="1"/>
  <c r="N80" i="38" a="1"/>
  <c r="N80" i="38" s="1"/>
  <c r="N31" i="38" a="1"/>
  <c r="N31" i="38" s="1"/>
  <c r="N35" i="38" a="1"/>
  <c r="N35" i="38" s="1"/>
  <c r="N56" i="38" a="1"/>
  <c r="N56" i="38" s="1"/>
  <c r="N41" i="38" a="1"/>
  <c r="N41" i="38" s="1"/>
  <c r="N74" i="38" a="1"/>
  <c r="N74" i="38" s="1"/>
  <c r="N119" i="38" a="1"/>
  <c r="N119" i="38" s="1"/>
  <c r="N89" i="38" a="1"/>
  <c r="N89" i="38" s="1"/>
  <c r="N47" i="38" a="1"/>
  <c r="N47" i="38" s="1"/>
  <c r="N49" i="38" a="1"/>
  <c r="N49" i="38" s="1"/>
  <c r="N36" i="38" a="1"/>
  <c r="N36" i="38" s="1"/>
  <c r="N59" i="38" a="1"/>
  <c r="N59" i="38" s="1"/>
  <c r="N42" i="38" a="1"/>
  <c r="N42" i="38" s="1"/>
  <c r="N163" i="38" a="1"/>
  <c r="N163" i="38" s="1"/>
  <c r="N109" i="38" a="1"/>
  <c r="N109" i="38" s="1"/>
  <c r="N84" i="38" a="1"/>
  <c r="N84" i="38" s="1"/>
  <c r="N92" i="38" a="1"/>
  <c r="N92" i="38" s="1"/>
  <c r="N50" i="38" a="1"/>
  <c r="N50" i="38" s="1"/>
  <c r="N37" i="38" a="1"/>
  <c r="N37" i="38" s="1"/>
  <c r="N60" i="38" a="1"/>
  <c r="N60" i="38" s="1"/>
  <c r="N46" i="38" a="1"/>
  <c r="N46" i="38" s="1"/>
  <c r="N115" i="38" a="1"/>
  <c r="N115" i="38" s="1"/>
  <c r="N51" i="38" a="1"/>
  <c r="N51" i="38" s="1"/>
  <c r="N38" i="38" a="1"/>
  <c r="N38" i="38" s="1"/>
  <c r="N57" i="38" a="1"/>
  <c r="N57" i="38" s="1"/>
  <c r="N106" i="38" a="1"/>
  <c r="N106" i="38" s="1"/>
  <c r="N32" i="38" a="1"/>
  <c r="N32" i="38" s="1"/>
  <c r="N53" i="38" a="1"/>
  <c r="N53" i="38" s="1"/>
  <c r="N40" i="38" a="1"/>
  <c r="N40" i="38" s="1"/>
  <c r="N45" i="38" a="1"/>
  <c r="N45" i="38" s="1"/>
  <c r="N76" i="38" a="1"/>
  <c r="N76" i="38" s="1"/>
  <c r="N107" i="38" a="1"/>
  <c r="N107" i="38" s="1"/>
  <c r="N73" i="38" a="1"/>
  <c r="N73" i="38" s="1"/>
  <c r="N118" i="38" a="1"/>
  <c r="N118" i="38" s="1"/>
  <c r="N87" i="38" a="1"/>
  <c r="N87" i="38" s="1"/>
  <c r="N33" i="38" a="1"/>
  <c r="N33" i="38" s="1"/>
  <c r="N54" i="38" a="1"/>
  <c r="N54" i="38" s="1"/>
  <c r="N43" i="38" a="1"/>
  <c r="N43" i="38" s="1"/>
  <c r="N147" i="38" a="1"/>
  <c r="N147" i="38" s="1"/>
  <c r="N81" i="38" a="1"/>
  <c r="N81" i="38" s="1"/>
  <c r="N39" i="38" a="1"/>
  <c r="N39" i="38" s="1"/>
  <c r="N55" i="38" a="1"/>
  <c r="N55" i="38" s="1"/>
  <c r="N48" i="38" a="1"/>
  <c r="N48" i="38" s="1"/>
  <c r="N34" i="38" a="1"/>
  <c r="N34" i="38" s="1"/>
  <c r="N120" i="38" a="1"/>
  <c r="N120" i="38" s="1"/>
  <c r="N52" i="38" a="1"/>
  <c r="N52" i="38" s="1"/>
  <c r="N58" i="38" a="1"/>
  <c r="N58" i="38" s="1"/>
  <c r="N44" i="38" a="1"/>
  <c r="N44" i="38" s="1"/>
  <c r="P121" i="38" a="1"/>
  <c r="P121" i="38" s="1"/>
  <c r="P129" i="38" a="1"/>
  <c r="P129" i="38" s="1"/>
  <c r="P152" i="38" a="1"/>
  <c r="P152" i="38" s="1"/>
  <c r="P132" i="38" a="1"/>
  <c r="P132" i="38" s="1"/>
  <c r="P165" i="38" a="1"/>
  <c r="P165" i="38" s="1"/>
  <c r="P164" i="38" a="1"/>
  <c r="P164" i="38" s="1"/>
  <c r="P142" i="38" a="1"/>
  <c r="P142" i="38" s="1"/>
  <c r="P94" i="38" a="1"/>
  <c r="P94" i="38" s="1"/>
  <c r="P61" i="38" a="1"/>
  <c r="P61" i="38" s="1"/>
  <c r="P99" i="38" a="1"/>
  <c r="P99" i="38" s="1"/>
  <c r="P122" i="38" a="1"/>
  <c r="P122" i="38" s="1"/>
  <c r="P126" i="38" a="1"/>
  <c r="P126" i="38" s="1"/>
  <c r="P149" i="38" a="1"/>
  <c r="P149" i="38" s="1"/>
  <c r="P159" i="38" a="1"/>
  <c r="P159" i="38" s="1"/>
  <c r="P158" i="38" a="1"/>
  <c r="P158" i="38" s="1"/>
  <c r="P163" i="38" a="1"/>
  <c r="P163" i="38" s="1"/>
  <c r="P162" i="38" a="1"/>
  <c r="P162" i="38" s="1"/>
  <c r="P161" i="38" a="1"/>
  <c r="P161" i="38" s="1"/>
  <c r="P155" i="38" a="1"/>
  <c r="P155" i="38" s="1"/>
  <c r="P157" i="38" a="1"/>
  <c r="P157" i="38" s="1"/>
  <c r="P160" i="38" a="1"/>
  <c r="P160" i="38" s="1"/>
  <c r="P96" i="38" a="1"/>
  <c r="P96" i="38" s="1"/>
  <c r="P63" i="38" a="1"/>
  <c r="P63" i="38" s="1"/>
  <c r="P98" i="38" a="1"/>
  <c r="P98" i="38" s="1"/>
  <c r="P148" i="38" a="1"/>
  <c r="P148" i="38" s="1"/>
  <c r="P125" i="38" a="1"/>
  <c r="P125" i="38" s="1"/>
  <c r="P151" i="38" a="1"/>
  <c r="P151" i="38" s="1"/>
  <c r="P128" i="38" a="1"/>
  <c r="P128" i="38" s="1"/>
  <c r="P143" i="38" a="1"/>
  <c r="P143" i="38" s="1"/>
  <c r="P100" i="38" a="1"/>
  <c r="P100" i="38" s="1"/>
  <c r="P67" i="38" a="1"/>
  <c r="P67" i="38" s="1"/>
  <c r="P145" i="38" a="1"/>
  <c r="P145" i="38" s="1"/>
  <c r="P154" i="38" a="1"/>
  <c r="P154" i="38" s="1"/>
  <c r="P133" i="38" a="1"/>
  <c r="P133" i="38" s="1"/>
  <c r="P141" i="38" a="1"/>
  <c r="P141" i="38" s="1"/>
  <c r="P139" i="38" a="1"/>
  <c r="P139" i="38" s="1"/>
  <c r="P137" i="38" a="1"/>
  <c r="P137" i="38" s="1"/>
  <c r="P146" i="38" a="1"/>
  <c r="P146" i="38" s="1"/>
  <c r="P135" i="38" a="1"/>
  <c r="P135" i="38" s="1"/>
  <c r="P134" i="38" a="1"/>
  <c r="P134" i="38" s="1"/>
  <c r="P140" i="38" a="1"/>
  <c r="P140" i="38" s="1"/>
  <c r="P136" i="38" a="1"/>
  <c r="P136" i="38" s="1"/>
  <c r="P64" i="38" a="1"/>
  <c r="P64" i="38" s="1"/>
  <c r="P62" i="38" a="1"/>
  <c r="P62" i="38" s="1"/>
  <c r="P66" i="38" a="1"/>
  <c r="P66" i="38" s="1"/>
  <c r="P123" i="38" a="1"/>
  <c r="P123" i="38" s="1"/>
  <c r="P130" i="38" a="1"/>
  <c r="P130" i="38" s="1"/>
  <c r="P144" i="38" a="1"/>
  <c r="P144" i="38" s="1"/>
  <c r="P95" i="38" a="1"/>
  <c r="P95" i="38" s="1"/>
  <c r="P68" i="38" a="1"/>
  <c r="P68" i="38" s="1"/>
  <c r="P150" i="38" a="1"/>
  <c r="P150" i="38" s="1"/>
  <c r="P153" i="38" a="1"/>
  <c r="P153" i="38" s="1"/>
  <c r="P156" i="38" a="1"/>
  <c r="P156" i="38" s="1"/>
  <c r="P93" i="38" a="1"/>
  <c r="P93" i="38" s="1"/>
  <c r="P102" i="38" a="1"/>
  <c r="P102" i="38" s="1"/>
  <c r="P105" i="38" a="1"/>
  <c r="P105" i="38" s="1"/>
  <c r="P110" i="38" a="1"/>
  <c r="P110" i="38" s="1"/>
  <c r="P88" i="38" a="1"/>
  <c r="P88" i="38" s="1"/>
  <c r="P116" i="38" a="1"/>
  <c r="P116" i="38" s="1"/>
  <c r="P113" i="38" a="1"/>
  <c r="P113" i="38" s="1"/>
  <c r="P79" i="38" a="1"/>
  <c r="P79" i="38" s="1"/>
  <c r="P119" i="38" a="1"/>
  <c r="P119" i="38" s="1"/>
  <c r="P83" i="38" a="1"/>
  <c r="P83" i="38" s="1"/>
  <c r="P104" i="38" a="1"/>
  <c r="P104" i="38" s="1"/>
  <c r="P76" i="38" a="1"/>
  <c r="P76" i="38" s="1"/>
  <c r="P106" i="38" a="1"/>
  <c r="P106" i="38" s="1"/>
  <c r="P80" i="38" a="1"/>
  <c r="P80" i="38" s="1"/>
  <c r="P120" i="38" a="1"/>
  <c r="P120" i="38" s="1"/>
  <c r="P115" i="38" a="1"/>
  <c r="P115" i="38" s="1"/>
  <c r="P97" i="38" a="1"/>
  <c r="P97" i="38" s="1"/>
  <c r="P108" i="38" a="1"/>
  <c r="P108" i="38" s="1"/>
  <c r="P72" i="38" a="1"/>
  <c r="P72" i="38" s="1"/>
  <c r="P70" i="38" a="1"/>
  <c r="P70" i="38" s="1"/>
  <c r="P69" i="38" a="1"/>
  <c r="P69" i="38" s="1"/>
  <c r="P107" i="38" a="1"/>
  <c r="P107" i="38" s="1"/>
  <c r="P78" i="38" a="1"/>
  <c r="P78" i="38" s="1"/>
  <c r="P77" i="38" a="1"/>
  <c r="P77" i="38" s="1"/>
  <c r="P90" i="38" a="1"/>
  <c r="P90" i="38" s="1"/>
  <c r="P109" i="38" a="1"/>
  <c r="P109" i="38" s="1"/>
  <c r="P118" i="38" a="1"/>
  <c r="P118" i="38" s="1"/>
  <c r="P84" i="38" a="1"/>
  <c r="P84" i="38" s="1"/>
  <c r="P89" i="38" a="1"/>
  <c r="P89" i="38" s="1"/>
  <c r="P111" i="38" a="1"/>
  <c r="P111" i="38" s="1"/>
  <c r="P33" i="38" a="1"/>
  <c r="P33" i="38" s="1"/>
  <c r="P53" i="38" a="1"/>
  <c r="P53" i="38" s="1"/>
  <c r="P43" i="38" a="1"/>
  <c r="P43" i="38" s="1"/>
  <c r="P45" i="38" a="1"/>
  <c r="P45" i="38" s="1"/>
  <c r="P85" i="38" a="1"/>
  <c r="P85" i="38" s="1"/>
  <c r="P114" i="38" a="1"/>
  <c r="P114" i="38" s="1"/>
  <c r="P34" i="38" a="1"/>
  <c r="P34" i="38" s="1"/>
  <c r="P54" i="38" a="1"/>
  <c r="P54" i="38" s="1"/>
  <c r="P44" i="38" a="1"/>
  <c r="P44" i="38" s="1"/>
  <c r="P124" i="38" a="1"/>
  <c r="P124" i="38" s="1"/>
  <c r="P101" i="38" a="1"/>
  <c r="P101" i="38" s="1"/>
  <c r="P74" i="38" a="1"/>
  <c r="P74" i="38" s="1"/>
  <c r="P48" i="38" a="1"/>
  <c r="P48" i="38" s="1"/>
  <c r="P35" i="38" a="1"/>
  <c r="P35" i="38" s="1"/>
  <c r="P55" i="38" a="1"/>
  <c r="P55" i="38" s="1"/>
  <c r="P41" i="38" a="1"/>
  <c r="P41" i="38" s="1"/>
  <c r="P138" i="38" a="1"/>
  <c r="P138" i="38" s="1"/>
  <c r="P103" i="38" a="1"/>
  <c r="P103" i="38" s="1"/>
  <c r="P31" i="38" a="1"/>
  <c r="P31" i="38" s="1"/>
  <c r="P36" i="38" a="1"/>
  <c r="P36" i="38" s="1"/>
  <c r="P56" i="38" a="1"/>
  <c r="P56" i="38" s="1"/>
  <c r="P42" i="38" a="1"/>
  <c r="P42" i="38" s="1"/>
  <c r="P127" i="38" a="1"/>
  <c r="P127" i="38" s="1"/>
  <c r="P65" i="38" a="1"/>
  <c r="P65" i="38" s="1"/>
  <c r="P81" i="38" a="1"/>
  <c r="P81" i="38" s="1"/>
  <c r="P92" i="38" a="1"/>
  <c r="P92" i="38" s="1"/>
  <c r="P50" i="38" a="1"/>
  <c r="P50" i="38" s="1"/>
  <c r="P38" i="38" a="1"/>
  <c r="P38" i="38" s="1"/>
  <c r="P60" i="38" a="1"/>
  <c r="P60" i="38" s="1"/>
  <c r="P82" i="38" a="1"/>
  <c r="P82" i="38" s="1"/>
  <c r="P51" i="38" a="1"/>
  <c r="P51" i="38" s="1"/>
  <c r="P39" i="38" a="1"/>
  <c r="P39" i="38" s="1"/>
  <c r="P57" i="38" a="1"/>
  <c r="P57" i="38" s="1"/>
  <c r="P131" i="38" a="1"/>
  <c r="P131" i="38" s="1"/>
  <c r="P71" i="38" a="1"/>
  <c r="P71" i="38" s="1"/>
  <c r="P86" i="38" a="1"/>
  <c r="P86" i="38" s="1"/>
  <c r="P46" i="38" a="1"/>
  <c r="P46" i="38" s="1"/>
  <c r="P73" i="38" a="1"/>
  <c r="P73" i="38" s="1"/>
  <c r="P40" i="38" a="1"/>
  <c r="P40" i="38" s="1"/>
  <c r="P112" i="38" a="1"/>
  <c r="P112" i="38" s="1"/>
  <c r="P49" i="38" a="1"/>
  <c r="P49" i="38" s="1"/>
  <c r="P147" i="38" a="1"/>
  <c r="P147" i="38" s="1"/>
  <c r="P37" i="38" a="1"/>
  <c r="P37" i="38" s="1"/>
  <c r="P32" i="38" a="1"/>
  <c r="P32" i="38" s="1"/>
  <c r="P87" i="38" a="1"/>
  <c r="P87" i="38" s="1"/>
  <c r="P117" i="38" a="1"/>
  <c r="P117" i="38" s="1"/>
  <c r="P47" i="38" a="1"/>
  <c r="P47" i="38" s="1"/>
  <c r="P59" i="38" a="1"/>
  <c r="P59" i="38" s="1"/>
  <c r="P91" i="38" a="1"/>
  <c r="P91" i="38" s="1"/>
  <c r="P52" i="38" a="1"/>
  <c r="P52" i="38" s="1"/>
  <c r="P58" i="38" a="1"/>
  <c r="P58" i="38" s="1"/>
  <c r="P75" i="38" a="1"/>
  <c r="P75" i="38" s="1"/>
  <c r="R150" i="38" a="1"/>
  <c r="R150" i="38" s="1"/>
  <c r="R124" i="38" a="1"/>
  <c r="R124" i="38" s="1"/>
  <c r="R153" i="38" a="1"/>
  <c r="R153" i="38" s="1"/>
  <c r="R127" i="38" a="1"/>
  <c r="R127" i="38" s="1"/>
  <c r="R156" i="38" a="1"/>
  <c r="R156" i="38" s="1"/>
  <c r="R131" i="38" a="1"/>
  <c r="R131" i="38" s="1"/>
  <c r="R135" i="38" a="1"/>
  <c r="R135" i="38" s="1"/>
  <c r="R134" i="38" a="1"/>
  <c r="R134" i="38" s="1"/>
  <c r="R138" i="38" a="1"/>
  <c r="R138" i="38" s="1"/>
  <c r="R93" i="38" a="1"/>
  <c r="R93" i="38" s="1"/>
  <c r="R97" i="38" a="1"/>
  <c r="R97" i="38" s="1"/>
  <c r="R144" i="38" a="1"/>
  <c r="R144" i="38" s="1"/>
  <c r="R68" i="38" a="1"/>
  <c r="R68" i="38" s="1"/>
  <c r="R123" i="38" a="1"/>
  <c r="R123" i="38" s="1"/>
  <c r="R152" i="38" a="1"/>
  <c r="R152" i="38" s="1"/>
  <c r="R130" i="38" a="1"/>
  <c r="R130" i="38" s="1"/>
  <c r="R165" i="38" a="1"/>
  <c r="R165" i="38" s="1"/>
  <c r="R164" i="38" a="1"/>
  <c r="R164" i="38" s="1"/>
  <c r="R142" i="38" a="1"/>
  <c r="R142" i="38" s="1"/>
  <c r="R95" i="38" a="1"/>
  <c r="R95" i="38" s="1"/>
  <c r="R61" i="38" a="1"/>
  <c r="R61" i="38" s="1"/>
  <c r="R121" i="38" a="1"/>
  <c r="R121" i="38" s="1"/>
  <c r="R126" i="38" a="1"/>
  <c r="R126" i="38" s="1"/>
  <c r="R149" i="38" a="1"/>
  <c r="R149" i="38" s="1"/>
  <c r="R129" i="38" a="1"/>
  <c r="R129" i="38" s="1"/>
  <c r="R132" i="38" a="1"/>
  <c r="R132" i="38" s="1"/>
  <c r="R159" i="38" a="1"/>
  <c r="R159" i="38" s="1"/>
  <c r="R158" i="38" a="1"/>
  <c r="R158" i="38" s="1"/>
  <c r="R163" i="38" a="1"/>
  <c r="R163" i="38" s="1"/>
  <c r="R161" i="38" a="1"/>
  <c r="R161" i="38" s="1"/>
  <c r="R94" i="38" a="1"/>
  <c r="R94" i="38" s="1"/>
  <c r="R99" i="38" a="1"/>
  <c r="R99" i="38" s="1"/>
  <c r="R122" i="38" a="1"/>
  <c r="R122" i="38" s="1"/>
  <c r="R155" i="38" a="1"/>
  <c r="R155" i="38" s="1"/>
  <c r="R157" i="38" a="1"/>
  <c r="R157" i="38" s="1"/>
  <c r="R162" i="38" a="1"/>
  <c r="R162" i="38" s="1"/>
  <c r="R160" i="38" a="1"/>
  <c r="R160" i="38" s="1"/>
  <c r="R96" i="38" a="1"/>
  <c r="R96" i="38" s="1"/>
  <c r="R63" i="38" a="1"/>
  <c r="R63" i="38" s="1"/>
  <c r="R98" i="38" a="1"/>
  <c r="R98" i="38" s="1"/>
  <c r="R148" i="38" a="1"/>
  <c r="R148" i="38" s="1"/>
  <c r="R125" i="38" a="1"/>
  <c r="R125" i="38" s="1"/>
  <c r="R151" i="38" a="1"/>
  <c r="R151" i="38" s="1"/>
  <c r="R128" i="38" a="1"/>
  <c r="R128" i="38" s="1"/>
  <c r="R100" i="38" a="1"/>
  <c r="R100" i="38" s="1"/>
  <c r="R67" i="38" a="1"/>
  <c r="R67" i="38" s="1"/>
  <c r="R146" i="38" a="1"/>
  <c r="R146" i="38" s="1"/>
  <c r="R133" i="38" a="1"/>
  <c r="R133" i="38" s="1"/>
  <c r="R141" i="38" a="1"/>
  <c r="R141" i="38" s="1"/>
  <c r="R140" i="38" a="1"/>
  <c r="R140" i="38" s="1"/>
  <c r="R136" i="38" a="1"/>
  <c r="R136" i="38" s="1"/>
  <c r="R137" i="38" a="1"/>
  <c r="R137" i="38" s="1"/>
  <c r="R64" i="38" a="1"/>
  <c r="R64" i="38" s="1"/>
  <c r="R62" i="38" a="1"/>
  <c r="R62" i="38" s="1"/>
  <c r="R66" i="38" a="1"/>
  <c r="R66" i="38" s="1"/>
  <c r="R101" i="38" a="1"/>
  <c r="R101" i="38" s="1"/>
  <c r="R107" i="38" a="1"/>
  <c r="R107" i="38" s="1"/>
  <c r="R78" i="38" a="1"/>
  <c r="R78" i="38" s="1"/>
  <c r="R84" i="38" a="1"/>
  <c r="R84" i="38" s="1"/>
  <c r="R90" i="38" a="1"/>
  <c r="R90" i="38" s="1"/>
  <c r="R65" i="38" a="1"/>
  <c r="R65" i="38" s="1"/>
  <c r="R73" i="38" a="1"/>
  <c r="R73" i="38" s="1"/>
  <c r="R109" i="38" a="1"/>
  <c r="R109" i="38" s="1"/>
  <c r="R118" i="38" a="1"/>
  <c r="R118" i="38" s="1"/>
  <c r="R89" i="38" a="1"/>
  <c r="R89" i="38" s="1"/>
  <c r="R145" i="38" a="1"/>
  <c r="R145" i="38" s="1"/>
  <c r="R103" i="38" a="1"/>
  <c r="R103" i="38" s="1"/>
  <c r="R71" i="38" a="1"/>
  <c r="R71" i="38" s="1"/>
  <c r="R74" i="38" a="1"/>
  <c r="R74" i="38" s="1"/>
  <c r="R88" i="38" a="1"/>
  <c r="R88" i="38" s="1"/>
  <c r="R87" i="38" a="1"/>
  <c r="R87" i="38" s="1"/>
  <c r="R81" i="38" a="1"/>
  <c r="R81" i="38" s="1"/>
  <c r="R154" i="38" a="1"/>
  <c r="R154" i="38" s="1"/>
  <c r="R102" i="38" a="1"/>
  <c r="R102" i="38" s="1"/>
  <c r="R143" i="38" a="1"/>
  <c r="R143" i="38" s="1"/>
  <c r="R106" i="38" a="1"/>
  <c r="R106" i="38" s="1"/>
  <c r="R120" i="38" a="1"/>
  <c r="R120" i="38" s="1"/>
  <c r="R85" i="38" a="1"/>
  <c r="R85" i="38" s="1"/>
  <c r="R115" i="38" a="1"/>
  <c r="R115" i="38" s="1"/>
  <c r="R139" i="38" a="1"/>
  <c r="R139" i="38" s="1"/>
  <c r="R75" i="38" a="1"/>
  <c r="R75" i="38" s="1"/>
  <c r="R111" i="38" a="1"/>
  <c r="R111" i="38" s="1"/>
  <c r="R86" i="38" a="1"/>
  <c r="R86" i="38" s="1"/>
  <c r="R82" i="38" a="1"/>
  <c r="R82" i="38" s="1"/>
  <c r="R104" i="38" a="1"/>
  <c r="R104" i="38" s="1"/>
  <c r="R76" i="38" a="1"/>
  <c r="R76" i="38" s="1"/>
  <c r="R113" i="38" a="1"/>
  <c r="R113" i="38" s="1"/>
  <c r="R92" i="38" a="1"/>
  <c r="R92" i="38" s="1"/>
  <c r="R51" i="38" a="1"/>
  <c r="R51" i="38" s="1"/>
  <c r="R38" i="38" a="1"/>
  <c r="R38" i="38" s="1"/>
  <c r="R57" i="38" a="1"/>
  <c r="R57" i="38" s="1"/>
  <c r="R70" i="38" a="1"/>
  <c r="R70" i="38" s="1"/>
  <c r="R77" i="38" a="1"/>
  <c r="R77" i="38" s="1"/>
  <c r="R52" i="38" a="1"/>
  <c r="R52" i="38" s="1"/>
  <c r="R39" i="38" a="1"/>
  <c r="R39" i="38" s="1"/>
  <c r="R58" i="38" a="1"/>
  <c r="R58" i="38" s="1"/>
  <c r="R105" i="38" a="1"/>
  <c r="R105" i="38" s="1"/>
  <c r="R80" i="38" a="1"/>
  <c r="R80" i="38" s="1"/>
  <c r="R114" i="38" a="1"/>
  <c r="R114" i="38" s="1"/>
  <c r="R91" i="38" a="1"/>
  <c r="R91" i="38" s="1"/>
  <c r="R32" i="38" a="1"/>
  <c r="R32" i="38" s="1"/>
  <c r="R53" i="38" a="1"/>
  <c r="R53" i="38" s="1"/>
  <c r="R40" i="38" a="1"/>
  <c r="R40" i="38" s="1"/>
  <c r="R45" i="38" a="1"/>
  <c r="R45" i="38" s="1"/>
  <c r="R147" i="38" a="1"/>
  <c r="R147" i="38" s="1"/>
  <c r="R72" i="38" a="1"/>
  <c r="R72" i="38" s="1"/>
  <c r="R108" i="38" a="1"/>
  <c r="R108" i="38" s="1"/>
  <c r="R119" i="38" a="1"/>
  <c r="R119" i="38" s="1"/>
  <c r="R83" i="38" a="1"/>
  <c r="R83" i="38" s="1"/>
  <c r="R33" i="38" a="1"/>
  <c r="R33" i="38" s="1"/>
  <c r="R54" i="38" a="1"/>
  <c r="R54" i="38" s="1"/>
  <c r="R43" i="38" a="1"/>
  <c r="R43" i="38" s="1"/>
  <c r="R112" i="38" a="1"/>
  <c r="R112" i="38" s="1"/>
  <c r="R117" i="38" a="1"/>
  <c r="R117" i="38" s="1"/>
  <c r="R48" i="38" a="1"/>
  <c r="R48" i="38" s="1"/>
  <c r="R35" i="38" a="1"/>
  <c r="R35" i="38" s="1"/>
  <c r="R56" i="38" a="1"/>
  <c r="R56" i="38" s="1"/>
  <c r="R41" i="38" a="1"/>
  <c r="R41" i="38" s="1"/>
  <c r="R31" i="38" a="1"/>
  <c r="R31" i="38" s="1"/>
  <c r="R49" i="38" a="1"/>
  <c r="R49" i="38" s="1"/>
  <c r="R36" i="38" a="1"/>
  <c r="R36" i="38" s="1"/>
  <c r="R59" i="38" a="1"/>
  <c r="R59" i="38" s="1"/>
  <c r="R42" i="38" a="1"/>
  <c r="R42" i="38" s="1"/>
  <c r="R69" i="38" a="1"/>
  <c r="R69" i="38" s="1"/>
  <c r="R55" i="38" a="1"/>
  <c r="R55" i="38" s="1"/>
  <c r="R79" i="38" a="1"/>
  <c r="R79" i="38" s="1"/>
  <c r="R50" i="38" a="1"/>
  <c r="R50" i="38" s="1"/>
  <c r="R46" i="38" a="1"/>
  <c r="R46" i="38" s="1"/>
  <c r="R44" i="38" a="1"/>
  <c r="R44" i="38" s="1"/>
  <c r="R116" i="38" a="1"/>
  <c r="R116" i="38" s="1"/>
  <c r="R60" i="38" a="1"/>
  <c r="R60" i="38" s="1"/>
  <c r="R34" i="38" a="1"/>
  <c r="R34" i="38" s="1"/>
  <c r="R110" i="38" a="1"/>
  <c r="R110" i="38" s="1"/>
  <c r="R47" i="38" a="1"/>
  <c r="R47" i="38" s="1"/>
  <c r="R37" i="38" a="1"/>
  <c r="R37" i="38" s="1"/>
  <c r="L50" i="4"/>
  <c r="M50" i="4"/>
  <c r="K51" i="4" a="1"/>
  <c r="K51" i="4" s="1"/>
  <c r="O49" i="4"/>
  <c r="AV159" i="1"/>
  <c r="E159" i="1" s="1"/>
  <c r="AW58" i="1"/>
  <c r="F58" i="1" s="1"/>
  <c r="AV53" i="1"/>
  <c r="E53" i="1" s="1"/>
  <c r="AW211" i="1"/>
  <c r="F211" i="1" s="1"/>
  <c r="AW177" i="1"/>
  <c r="F177" i="1" s="1"/>
  <c r="AW85" i="1"/>
  <c r="F85" i="1" s="1"/>
  <c r="AV213" i="1"/>
  <c r="E213" i="1" s="1"/>
  <c r="AV141" i="1"/>
  <c r="AV73" i="1"/>
  <c r="E73" i="1" s="1"/>
  <c r="AV66" i="1"/>
  <c r="E66" i="1" s="1"/>
  <c r="AV174" i="1"/>
  <c r="E174" i="1" s="1"/>
  <c r="AV59" i="1"/>
  <c r="E59" i="1" s="1"/>
  <c r="AV197" i="1"/>
  <c r="E197" i="1" s="1"/>
  <c r="AW146" i="1"/>
  <c r="F146" i="1" s="1"/>
  <c r="AW96" i="1"/>
  <c r="F96" i="1" s="1"/>
  <c r="AV220" i="1"/>
  <c r="E220" i="1" s="1"/>
  <c r="AW223" i="1"/>
  <c r="F223" i="1" s="1"/>
  <c r="AV219" i="1"/>
  <c r="E219" i="1" s="1"/>
  <c r="AV221" i="1"/>
  <c r="E221" i="1" s="1"/>
  <c r="AW214" i="1"/>
  <c r="F214" i="1" s="1"/>
  <c r="AW196" i="1"/>
  <c r="F196" i="1" s="1"/>
  <c r="AW161" i="1"/>
  <c r="F161" i="1" s="1"/>
  <c r="AW136" i="1"/>
  <c r="F136" i="1" s="1"/>
  <c r="AW122" i="1"/>
  <c r="F122" i="1" s="1"/>
  <c r="AV120" i="1"/>
  <c r="E120" i="1" s="1"/>
  <c r="AW111" i="1"/>
  <c r="F111" i="1" s="1"/>
  <c r="AW73" i="1"/>
  <c r="F73" i="1" s="1"/>
  <c r="AV90" i="1"/>
  <c r="E90" i="1" s="1"/>
  <c r="AV78" i="1"/>
  <c r="E78" i="1" s="1"/>
  <c r="AV61" i="1"/>
  <c r="E61" i="1" s="1"/>
  <c r="AW173" i="1"/>
  <c r="F173" i="1" s="1"/>
  <c r="AW144" i="1"/>
  <c r="F144" i="1" s="1"/>
  <c r="AW138" i="1"/>
  <c r="F138" i="1" s="1"/>
  <c r="AV137" i="1"/>
  <c r="E137" i="1" s="1"/>
  <c r="AV109" i="1"/>
  <c r="E109" i="1" s="1"/>
  <c r="AV91" i="1"/>
  <c r="E91" i="1" s="1"/>
  <c r="AV101" i="1"/>
  <c r="E101" i="1" s="1"/>
  <c r="AW102" i="1"/>
  <c r="F102" i="1" s="1"/>
  <c r="AV200" i="1"/>
  <c r="E200" i="1" s="1"/>
  <c r="AV224" i="1"/>
  <c r="E224" i="1" s="1"/>
  <c r="AW174" i="1"/>
  <c r="F174" i="1" s="1"/>
  <c r="AW171" i="1"/>
  <c r="F171" i="1" s="1"/>
  <c r="AW167" i="1"/>
  <c r="F167" i="1" s="1"/>
  <c r="AW202" i="1"/>
  <c r="F202" i="1" s="1"/>
  <c r="AV195" i="1"/>
  <c r="E195" i="1" s="1"/>
  <c r="AV181" i="1"/>
  <c r="E181" i="1" s="1"/>
  <c r="AV138" i="1"/>
  <c r="E138" i="1" s="1"/>
  <c r="AW166" i="1"/>
  <c r="F166" i="1" s="1"/>
  <c r="AV152" i="1"/>
  <c r="E152" i="1" s="1"/>
  <c r="AV194" i="1"/>
  <c r="E194" i="1" s="1"/>
  <c r="AV205" i="1"/>
  <c r="E205" i="1" s="1"/>
  <c r="AV169" i="1"/>
  <c r="E169" i="1" s="1"/>
  <c r="AV154" i="1"/>
  <c r="AV146" i="1"/>
  <c r="E146" i="1" s="1"/>
  <c r="AV142" i="1"/>
  <c r="AV119" i="1"/>
  <c r="E119" i="1" s="1"/>
  <c r="AV118" i="1"/>
  <c r="E118" i="1" s="1"/>
  <c r="AW143" i="1"/>
  <c r="F143" i="1" s="1"/>
  <c r="AW88" i="1"/>
  <c r="F88" i="1" s="1"/>
  <c r="AV99" i="1"/>
  <c r="E99" i="1" s="1"/>
  <c r="AV85" i="1"/>
  <c r="E85" i="1" s="1"/>
  <c r="AV96" i="1"/>
  <c r="E96" i="1" s="1"/>
  <c r="AW76" i="1"/>
  <c r="F76" i="1" s="1"/>
  <c r="AW78" i="1"/>
  <c r="F78" i="1" s="1"/>
  <c r="AV86" i="1"/>
  <c r="E86" i="1" s="1"/>
  <c r="AV68" i="1"/>
  <c r="E68" i="1" s="1"/>
  <c r="AW63" i="1"/>
  <c r="F63" i="1" s="1"/>
  <c r="AW55" i="1"/>
  <c r="F55" i="1" s="1"/>
  <c r="AW67" i="1"/>
  <c r="F67" i="1" s="1"/>
  <c r="AV52" i="1"/>
  <c r="E52" i="1" s="1"/>
  <c r="AW224" i="1"/>
  <c r="F224" i="1" s="1"/>
  <c r="AV198" i="1"/>
  <c r="AW220" i="1"/>
  <c r="F220" i="1" s="1"/>
  <c r="AW209" i="1"/>
  <c r="F209" i="1" s="1"/>
  <c r="AW191" i="1"/>
  <c r="F191" i="1" s="1"/>
  <c r="AV215" i="1"/>
  <c r="AV208" i="1"/>
  <c r="AW149" i="1"/>
  <c r="F149" i="1" s="1"/>
  <c r="AW186" i="1"/>
  <c r="F186" i="1" s="1"/>
  <c r="AW159" i="1"/>
  <c r="F159" i="1" s="1"/>
  <c r="AV188" i="1"/>
  <c r="AV183" i="1"/>
  <c r="AV185" i="1"/>
  <c r="AW165" i="1"/>
  <c r="F165" i="1" s="1"/>
  <c r="AW189" i="1"/>
  <c r="F189" i="1" s="1"/>
  <c r="AW154" i="1"/>
  <c r="F154" i="1" s="1"/>
  <c r="AW119" i="1"/>
  <c r="F119" i="1" s="1"/>
  <c r="AW135" i="1"/>
  <c r="F135" i="1" s="1"/>
  <c r="AV125" i="1"/>
  <c r="AW118" i="1"/>
  <c r="F118" i="1" s="1"/>
  <c r="AV127" i="1"/>
  <c r="AV139" i="1"/>
  <c r="AW117" i="1"/>
  <c r="F117" i="1" s="1"/>
  <c r="AV114" i="1"/>
  <c r="AV102" i="1"/>
  <c r="AW150" i="1"/>
  <c r="F150" i="1" s="1"/>
  <c r="AW128" i="1"/>
  <c r="F128" i="1" s="1"/>
  <c r="AV123" i="1"/>
  <c r="AV117" i="1"/>
  <c r="AV87" i="1"/>
  <c r="AV48" i="1"/>
  <c r="AW112" i="1"/>
  <c r="F112" i="1" s="1"/>
  <c r="AV83" i="1"/>
  <c r="AV74" i="1"/>
  <c r="AV92" i="1"/>
  <c r="AV63" i="1"/>
  <c r="AW91" i="1"/>
  <c r="F91" i="1" s="1"/>
  <c r="AW101" i="1"/>
  <c r="F101" i="1" s="1"/>
  <c r="AV56" i="1"/>
  <c r="AV106" i="1"/>
  <c r="AW79" i="1"/>
  <c r="F79" i="1" s="1"/>
  <c r="AV58" i="1"/>
  <c r="AW100" i="1"/>
  <c r="F100" i="1" s="1"/>
  <c r="AV65" i="1"/>
  <c r="AW57" i="1"/>
  <c r="F57" i="1" s="1"/>
  <c r="AW82" i="1"/>
  <c r="F82" i="1" s="1"/>
  <c r="AW66" i="1"/>
  <c r="F66" i="1" s="1"/>
  <c r="AW160" i="1"/>
  <c r="F160" i="1" s="1"/>
  <c r="AW151" i="1"/>
  <c r="F151" i="1" s="1"/>
  <c r="AV136" i="1"/>
  <c r="AW137" i="1"/>
  <c r="F137" i="1" s="1"/>
  <c r="AW132" i="1"/>
  <c r="F132" i="1" s="1"/>
  <c r="AV57" i="1"/>
  <c r="AV64" i="1"/>
  <c r="AW74" i="1"/>
  <c r="F74" i="1" s="1"/>
  <c r="AV222" i="1"/>
  <c r="AW216" i="1"/>
  <c r="F216" i="1" s="1"/>
  <c r="AW175" i="1"/>
  <c r="F175" i="1" s="1"/>
  <c r="AW190" i="1"/>
  <c r="F190" i="1" s="1"/>
  <c r="AW207" i="1"/>
  <c r="F207" i="1" s="1"/>
  <c r="AW194" i="1"/>
  <c r="F194" i="1" s="1"/>
  <c r="AW187" i="1"/>
  <c r="F187" i="1" s="1"/>
  <c r="AV173" i="1"/>
  <c r="AV148" i="1"/>
  <c r="AW185" i="1"/>
  <c r="F185" i="1" s="1"/>
  <c r="AV180" i="1"/>
  <c r="AW158" i="1"/>
  <c r="F158" i="1" s="1"/>
  <c r="AW142" i="1"/>
  <c r="F142" i="1" s="1"/>
  <c r="AV201" i="1"/>
  <c r="AV182" i="1"/>
  <c r="AV156" i="1"/>
  <c r="AW180" i="1"/>
  <c r="F180" i="1" s="1"/>
  <c r="AV164" i="1"/>
  <c r="AW145" i="1"/>
  <c r="F145" i="1" s="1"/>
  <c r="AW199" i="1"/>
  <c r="F199" i="1" s="1"/>
  <c r="AW182" i="1"/>
  <c r="F182" i="1" s="1"/>
  <c r="AV204" i="1"/>
  <c r="AW198" i="1"/>
  <c r="F198" i="1" s="1"/>
  <c r="AV165" i="1"/>
  <c r="AW188" i="1"/>
  <c r="F188" i="1" s="1"/>
  <c r="AV176" i="1"/>
  <c r="AV172" i="1"/>
  <c r="AV168" i="1"/>
  <c r="AV163" i="1"/>
  <c r="AV134" i="1"/>
  <c r="AV116" i="1"/>
  <c r="AW157" i="1"/>
  <c r="F157" i="1" s="1"/>
  <c r="AV153" i="1"/>
  <c r="AV149" i="1"/>
  <c r="AV145" i="1"/>
  <c r="AV129" i="1"/>
  <c r="AV126" i="1"/>
  <c r="AW131" i="1"/>
  <c r="F131" i="1" s="1"/>
  <c r="AW141" i="1"/>
  <c r="F141" i="1" s="1"/>
  <c r="AW127" i="1"/>
  <c r="F127" i="1" s="1"/>
  <c r="AW93" i="1"/>
  <c r="F93" i="1" s="1"/>
  <c r="AV67" i="1"/>
  <c r="AV121" i="1"/>
  <c r="AW105" i="1"/>
  <c r="F105" i="1" s="1"/>
  <c r="AW98" i="1"/>
  <c r="F98" i="1" s="1"/>
  <c r="AV47" i="1"/>
  <c r="AV97" i="1"/>
  <c r="AV94" i="1"/>
  <c r="AV75" i="1"/>
  <c r="AV51" i="1"/>
  <c r="AW62" i="1"/>
  <c r="F62" i="1" s="1"/>
  <c r="AW49" i="1"/>
  <c r="F49" i="1" s="1"/>
  <c r="AW53" i="1"/>
  <c r="F53" i="1" s="1"/>
  <c r="AV46" i="1"/>
  <c r="E46" i="1" s="1"/>
  <c r="AW56" i="1"/>
  <c r="F56" i="1" s="1"/>
  <c r="AW46" i="1"/>
  <c r="F46" i="1" s="1"/>
  <c r="AV62" i="1"/>
  <c r="AV210" i="1"/>
  <c r="AW218" i="1"/>
  <c r="F218" i="1" s="1"/>
  <c r="AV216" i="1"/>
  <c r="AV196" i="1"/>
  <c r="AV161" i="1"/>
  <c r="AW213" i="1"/>
  <c r="F213" i="1" s="1"/>
  <c r="AW208" i="1"/>
  <c r="F208" i="1" s="1"/>
  <c r="AW215" i="1"/>
  <c r="F215" i="1" s="1"/>
  <c r="AW163" i="1"/>
  <c r="F163" i="1" s="1"/>
  <c r="AW219" i="1"/>
  <c r="F219" i="1" s="1"/>
  <c r="AV214" i="1"/>
  <c r="AV177" i="1"/>
  <c r="AV160" i="1"/>
  <c r="AW181" i="1"/>
  <c r="F181" i="1" s="1"/>
  <c r="AV150" i="1"/>
  <c r="AW179" i="1"/>
  <c r="F179" i="1" s="1"/>
  <c r="AV192" i="1"/>
  <c r="AW197" i="1"/>
  <c r="F197" i="1" s="1"/>
  <c r="AW195" i="1"/>
  <c r="F195" i="1" s="1"/>
  <c r="AV144" i="1"/>
  <c r="AV124" i="1"/>
  <c r="AW115" i="1"/>
  <c r="F115" i="1" s="1"/>
  <c r="AV132" i="1"/>
  <c r="AV115" i="1"/>
  <c r="AV107" i="1"/>
  <c r="AV122" i="1"/>
  <c r="AV111" i="1"/>
  <c r="AW156" i="1"/>
  <c r="F156" i="1" s="1"/>
  <c r="AW148" i="1"/>
  <c r="F148" i="1" s="1"/>
  <c r="AW140" i="1"/>
  <c r="F140" i="1" s="1"/>
  <c r="AV135" i="1"/>
  <c r="AW121" i="1"/>
  <c r="F121" i="1" s="1"/>
  <c r="AV81" i="1"/>
  <c r="AV100" i="1"/>
  <c r="AW84" i="1"/>
  <c r="F84" i="1" s="1"/>
  <c r="AV80" i="1"/>
  <c r="AW99" i="1"/>
  <c r="F99" i="1" s="1"/>
  <c r="AW54" i="1"/>
  <c r="F54" i="1" s="1"/>
  <c r="AW50" i="1"/>
  <c r="F50" i="1" s="1"/>
  <c r="AV79" i="1"/>
  <c r="AV72" i="1"/>
  <c r="AW48" i="1"/>
  <c r="F48" i="1" s="1"/>
  <c r="AW72" i="1"/>
  <c r="F72" i="1" s="1"/>
  <c r="AW45" i="1"/>
  <c r="F45" i="1" s="1"/>
  <c r="AW201" i="1"/>
  <c r="F201" i="1" s="1"/>
  <c r="AV212" i="1"/>
  <c r="AW222" i="1"/>
  <c r="F222" i="1" s="1"/>
  <c r="AV187" i="1"/>
  <c r="AW172" i="1"/>
  <c r="F172" i="1" s="1"/>
  <c r="AV207" i="1"/>
  <c r="AV133" i="1"/>
  <c r="AV130" i="1"/>
  <c r="AV105" i="1"/>
  <c r="AV110" i="1"/>
  <c r="AW64" i="1"/>
  <c r="F64" i="1" s="1"/>
  <c r="AW80" i="1"/>
  <c r="F80" i="1" s="1"/>
  <c r="AW70" i="1"/>
  <c r="F70" i="1" s="1"/>
  <c r="AW92" i="1"/>
  <c r="F92" i="1" s="1"/>
  <c r="AV84" i="1"/>
  <c r="AW59" i="1"/>
  <c r="F59" i="1" s="1"/>
  <c r="AV45" i="1"/>
  <c r="E45" i="1" s="1"/>
  <c r="AW47" i="1"/>
  <c r="F47" i="1" s="1"/>
  <c r="AV49" i="1"/>
  <c r="AW206" i="1"/>
  <c r="F206" i="1" s="1"/>
  <c r="AV171" i="1"/>
  <c r="AW205" i="1"/>
  <c r="F205" i="1" s="1"/>
  <c r="AV199" i="1"/>
  <c r="AV89" i="1"/>
  <c r="AW124" i="1"/>
  <c r="F124" i="1" s="1"/>
  <c r="AV113" i="1"/>
  <c r="AW113" i="1"/>
  <c r="F113" i="1" s="1"/>
  <c r="AV95" i="1"/>
  <c r="AW110" i="1"/>
  <c r="F110" i="1" s="1"/>
  <c r="AV88" i="1"/>
  <c r="AW51" i="1"/>
  <c r="F51" i="1" s="1"/>
  <c r="AV112" i="1"/>
  <c r="AV98" i="1"/>
  <c r="AW83" i="1"/>
  <c r="F83" i="1" s="1"/>
  <c r="AV71" i="1"/>
  <c r="AV70" i="1"/>
  <c r="AV50" i="1"/>
  <c r="AW65" i="1"/>
  <c r="F65" i="1" s="1"/>
  <c r="AV218" i="1"/>
  <c r="AW210" i="1"/>
  <c r="F210" i="1" s="1"/>
  <c r="AW217" i="1"/>
  <c r="F217" i="1" s="1"/>
  <c r="AW221" i="1"/>
  <c r="F221" i="1" s="1"/>
  <c r="AW168" i="1"/>
  <c r="F168" i="1" s="1"/>
  <c r="AV184" i="1"/>
  <c r="AV175" i="1"/>
  <c r="AW204" i="1"/>
  <c r="F204" i="1" s="1"/>
  <c r="AV178" i="1"/>
  <c r="AW170" i="1"/>
  <c r="F170" i="1" s="1"/>
  <c r="AV143" i="1"/>
  <c r="AV162" i="1"/>
  <c r="AV206" i="1"/>
  <c r="AV202" i="1"/>
  <c r="AW200" i="1"/>
  <c r="F200" i="1" s="1"/>
  <c r="AV170" i="1"/>
  <c r="AV155" i="1"/>
  <c r="AV151" i="1"/>
  <c r="AV147" i="1"/>
  <c r="AV131" i="1"/>
  <c r="AV140" i="1"/>
  <c r="AW134" i="1"/>
  <c r="F134" i="1" s="1"/>
  <c r="AW86" i="1"/>
  <c r="F86" i="1" s="1"/>
  <c r="AV108" i="1"/>
  <c r="AW139" i="1"/>
  <c r="F139" i="1" s="1"/>
  <c r="AW126" i="1"/>
  <c r="F126" i="1" s="1"/>
  <c r="AW97" i="1"/>
  <c r="F97" i="1" s="1"/>
  <c r="AW107" i="1"/>
  <c r="F107" i="1" s="1"/>
  <c r="AW77" i="1"/>
  <c r="F77" i="1" s="1"/>
  <c r="AW109" i="1"/>
  <c r="F109" i="1" s="1"/>
  <c r="AW94" i="1"/>
  <c r="F94" i="1" s="1"/>
  <c r="AW75" i="1"/>
  <c r="F75" i="1" s="1"/>
  <c r="AW104" i="1"/>
  <c r="F104" i="1" s="1"/>
  <c r="AW90" i="1"/>
  <c r="F90" i="1" s="1"/>
  <c r="AW61" i="1"/>
  <c r="F61" i="1" s="1"/>
  <c r="AV103" i="1"/>
  <c r="AW81" i="1"/>
  <c r="F81" i="1" s="1"/>
  <c r="AV55" i="1"/>
  <c r="AV60" i="1"/>
  <c r="AV82" i="1"/>
  <c r="AW69" i="1"/>
  <c r="F69" i="1" s="1"/>
  <c r="AW176" i="1"/>
  <c r="F176" i="1" s="1"/>
  <c r="AW192" i="1"/>
  <c r="F192" i="1" s="1"/>
  <c r="AW164" i="1"/>
  <c r="F164" i="1" s="1"/>
  <c r="AW178" i="1"/>
  <c r="F178" i="1" s="1"/>
  <c r="AV203" i="1"/>
  <c r="AW147" i="1"/>
  <c r="F147" i="1" s="1"/>
  <c r="AW129" i="1"/>
  <c r="F129" i="1" s="1"/>
  <c r="AW155" i="1"/>
  <c r="F155" i="1" s="1"/>
  <c r="AW125" i="1"/>
  <c r="F125" i="1" s="1"/>
  <c r="AW103" i="1"/>
  <c r="F103" i="1" s="1"/>
  <c r="AV217" i="1"/>
  <c r="AW183" i="1"/>
  <c r="F183" i="1" s="1"/>
  <c r="AV166" i="1"/>
  <c r="AV191" i="1"/>
  <c r="AW193" i="1"/>
  <c r="F193" i="1" s="1"/>
  <c r="AV158" i="1"/>
  <c r="AW114" i="1"/>
  <c r="F114" i="1" s="1"/>
  <c r="AV223" i="1"/>
  <c r="AW212" i="1"/>
  <c r="F212" i="1" s="1"/>
  <c r="AW184" i="1"/>
  <c r="F184" i="1" s="1"/>
  <c r="AV209" i="1"/>
  <c r="AV211" i="1"/>
  <c r="AW203" i="1"/>
  <c r="F203" i="1" s="1"/>
  <c r="AW162" i="1"/>
  <c r="F162" i="1" s="1"/>
  <c r="AW169" i="1"/>
  <c r="F169" i="1" s="1"/>
  <c r="AV193" i="1"/>
  <c r="AV189" i="1"/>
  <c r="AW153" i="1"/>
  <c r="F153" i="1" s="1"/>
  <c r="AV190" i="1"/>
  <c r="AV186" i="1"/>
  <c r="AV179" i="1"/>
  <c r="AV167" i="1"/>
  <c r="AV157" i="1"/>
  <c r="AW133" i="1"/>
  <c r="F133" i="1" s="1"/>
  <c r="AV128" i="1"/>
  <c r="AW123" i="1"/>
  <c r="F123" i="1" s="1"/>
  <c r="AW120" i="1"/>
  <c r="F120" i="1" s="1"/>
  <c r="AW152" i="1"/>
  <c r="F152" i="1" s="1"/>
  <c r="AW130" i="1"/>
  <c r="F130" i="1" s="1"/>
  <c r="AW116" i="1"/>
  <c r="F116" i="1" s="1"/>
  <c r="AV104" i="1"/>
  <c r="AW71" i="1"/>
  <c r="F71" i="1" s="1"/>
  <c r="AW106" i="1"/>
  <c r="F106" i="1" s="1"/>
  <c r="AV76" i="1"/>
  <c r="AW108" i="1"/>
  <c r="F108" i="1" s="1"/>
  <c r="AW89" i="1"/>
  <c r="F89" i="1" s="1"/>
  <c r="AV93" i="1"/>
  <c r="AW95" i="1"/>
  <c r="F95" i="1" s="1"/>
  <c r="AW87" i="1"/>
  <c r="F87" i="1" s="1"/>
  <c r="AV77" i="1"/>
  <c r="AW60" i="1"/>
  <c r="F60" i="1" s="1"/>
  <c r="AV69" i="1"/>
  <c r="AW52" i="1"/>
  <c r="F52" i="1" s="1"/>
  <c r="AW68" i="1"/>
  <c r="F68" i="1" s="1"/>
  <c r="AV54" i="1"/>
  <c r="J363" i="22" l="1"/>
  <c r="K363" i="22"/>
  <c r="M363" i="22" s="1"/>
  <c r="J365" i="22"/>
  <c r="K365" i="22" s="1"/>
  <c r="K364" i="22"/>
  <c r="M364" i="22" s="1"/>
  <c r="J364" i="22"/>
  <c r="D364" i="22" s="1"/>
  <c r="E364" i="22" s="1"/>
  <c r="J366" i="22"/>
  <c r="K366" i="22" s="1"/>
  <c r="M366" i="22" s="1"/>
  <c r="D366" i="22"/>
  <c r="E366" i="22" s="1"/>
  <c r="D362" i="22"/>
  <c r="BL99" i="38"/>
  <c r="BS99" i="38" s="1"/>
  <c r="F364" i="22"/>
  <c r="D361" i="22"/>
  <c r="E361" i="22" s="1"/>
  <c r="BL62" i="38"/>
  <c r="BS62" i="38" s="1"/>
  <c r="L23" i="1"/>
  <c r="N23" i="1" s="1" a="1"/>
  <c r="BL111" i="38"/>
  <c r="BS111" i="38" s="1"/>
  <c r="BL157" i="38"/>
  <c r="BS157" i="38" s="1"/>
  <c r="BL119" i="38"/>
  <c r="BS119" i="38" s="1"/>
  <c r="BL133" i="38"/>
  <c r="BS133" i="38" s="1"/>
  <c r="BL107" i="38"/>
  <c r="BS107" i="38" s="1"/>
  <c r="BL143" i="38"/>
  <c r="BS143" i="38" s="1"/>
  <c r="BL67" i="38"/>
  <c r="BS67" i="38" s="1"/>
  <c r="BL124" i="38"/>
  <c r="BS124" i="38" s="1"/>
  <c r="BL91" i="38"/>
  <c r="BS91" i="38" s="1"/>
  <c r="BL87" i="38"/>
  <c r="BS87" i="38" s="1"/>
  <c r="BL163" i="38"/>
  <c r="BS163" i="38" s="1"/>
  <c r="BL95" i="38"/>
  <c r="BS95" i="38" s="1"/>
  <c r="BL154" i="38"/>
  <c r="BS154" i="38" s="1"/>
  <c r="BL63" i="38"/>
  <c r="BS63" i="38" s="1"/>
  <c r="BL136" i="38"/>
  <c r="BS136" i="38" s="1"/>
  <c r="BL115" i="38"/>
  <c r="BS115" i="38" s="1"/>
  <c r="BL121" i="38"/>
  <c r="BS121" i="38" s="1"/>
  <c r="BL151" i="38"/>
  <c r="BS151" i="38" s="1"/>
  <c r="BL103" i="38"/>
  <c r="BS103" i="38" s="1"/>
  <c r="BL130" i="38"/>
  <c r="BS130" i="38" s="1"/>
  <c r="BL71" i="38"/>
  <c r="BS71" i="38" s="1"/>
  <c r="BL160" i="38"/>
  <c r="BS160" i="38" s="1"/>
  <c r="BL127" i="38"/>
  <c r="BS127" i="38" s="1"/>
  <c r="D363" i="22"/>
  <c r="C360" i="22"/>
  <c r="I360" i="22" s="1"/>
  <c r="K28" i="38"/>
  <c r="BR137" i="38"/>
  <c r="BI137" i="38"/>
  <c r="BR146" i="38"/>
  <c r="BI146" i="38"/>
  <c r="BR162" i="38"/>
  <c r="BI162" i="38"/>
  <c r="BH68" i="38"/>
  <c r="BH57" i="38"/>
  <c r="BS57" i="38"/>
  <c r="BH80" i="38"/>
  <c r="BH88" i="38"/>
  <c r="BH132" i="38"/>
  <c r="BH142" i="38"/>
  <c r="BH45" i="38"/>
  <c r="BS45" i="38"/>
  <c r="BR62" i="38"/>
  <c r="BI62" i="38"/>
  <c r="BR56" i="38"/>
  <c r="BI56" i="38"/>
  <c r="BR82" i="38"/>
  <c r="BI82" i="38"/>
  <c r="BR88" i="38"/>
  <c r="BI88" i="38"/>
  <c r="BR71" i="38"/>
  <c r="BI71" i="38"/>
  <c r="BR114" i="38"/>
  <c r="BI114" i="38"/>
  <c r="BR105" i="38"/>
  <c r="BI105" i="38"/>
  <c r="BR154" i="38"/>
  <c r="BI154" i="38"/>
  <c r="BR54" i="38"/>
  <c r="BI54" i="38"/>
  <c r="BR95" i="38"/>
  <c r="BI95" i="38"/>
  <c r="BR145" i="38"/>
  <c r="BI145" i="38"/>
  <c r="BR140" i="38"/>
  <c r="BI140" i="38"/>
  <c r="BR42" i="38"/>
  <c r="BI42" i="38"/>
  <c r="BR107" i="38"/>
  <c r="BI107" i="38"/>
  <c r="BR127" i="38"/>
  <c r="BI127" i="38"/>
  <c r="BR106" i="38"/>
  <c r="BI106" i="38"/>
  <c r="O28" i="38"/>
  <c r="BH54" i="38"/>
  <c r="BS54" i="38"/>
  <c r="BH84" i="38"/>
  <c r="BR108" i="38"/>
  <c r="BI108" i="38"/>
  <c r="BR152" i="38"/>
  <c r="BI152" i="38"/>
  <c r="BH129" i="38"/>
  <c r="BS32" i="38"/>
  <c r="BH32" i="38"/>
  <c r="BS60" i="38"/>
  <c r="BH60" i="38"/>
  <c r="BS38" i="38"/>
  <c r="BH38" i="38"/>
  <c r="BS31" i="38"/>
  <c r="BH31" i="38"/>
  <c r="BH64" i="38"/>
  <c r="BR163" i="38"/>
  <c r="BI163" i="38"/>
  <c r="BR112" i="38"/>
  <c r="BI112" i="38"/>
  <c r="BR117" i="38"/>
  <c r="BI117" i="38"/>
  <c r="BR37" i="38"/>
  <c r="BI37" i="38"/>
  <c r="BR41" i="38"/>
  <c r="BI41" i="38"/>
  <c r="BR76" i="38"/>
  <c r="BI76" i="38"/>
  <c r="BR132" i="38"/>
  <c r="BI132" i="38"/>
  <c r="BR31" i="38"/>
  <c r="BI31" i="38"/>
  <c r="BR94" i="38"/>
  <c r="BI94" i="38"/>
  <c r="BR55" i="38"/>
  <c r="BI55" i="38"/>
  <c r="BR66" i="38"/>
  <c r="BI66" i="38"/>
  <c r="BR150" i="38"/>
  <c r="BI150" i="38"/>
  <c r="BR99" i="38"/>
  <c r="BI99" i="38"/>
  <c r="BR72" i="38"/>
  <c r="BI72" i="38"/>
  <c r="BR101" i="38"/>
  <c r="BI101" i="38"/>
  <c r="BR84" i="38"/>
  <c r="BI84" i="38"/>
  <c r="BR67" i="38"/>
  <c r="BI67" i="38"/>
  <c r="S28" i="38"/>
  <c r="BH50" i="38"/>
  <c r="BS50" i="38"/>
  <c r="BR80" i="38"/>
  <c r="BI80" i="38"/>
  <c r="BR77" i="38"/>
  <c r="BI77" i="38"/>
  <c r="BR160" i="38"/>
  <c r="BI160" i="38"/>
  <c r="BH162" i="38"/>
  <c r="BS37" i="38"/>
  <c r="BH37" i="38"/>
  <c r="BH112" i="38"/>
  <c r="BH56" i="38"/>
  <c r="BS56" i="38"/>
  <c r="BH58" i="38"/>
  <c r="BS58" i="38"/>
  <c r="BH147" i="38"/>
  <c r="BH153" i="38"/>
  <c r="BH33" i="38"/>
  <c r="BS33" i="38"/>
  <c r="BR103" i="38"/>
  <c r="BI103" i="38"/>
  <c r="BR115" i="38"/>
  <c r="BI115" i="38"/>
  <c r="BR58" i="38"/>
  <c r="BI58" i="38"/>
  <c r="BR128" i="38"/>
  <c r="BI128" i="38"/>
  <c r="BR98" i="38"/>
  <c r="BI98" i="38"/>
  <c r="BR153" i="38"/>
  <c r="BI153" i="38"/>
  <c r="BR83" i="38"/>
  <c r="BI83" i="38"/>
  <c r="BR130" i="38"/>
  <c r="BI130" i="38"/>
  <c r="BR158" i="38"/>
  <c r="BI158" i="38"/>
  <c r="BR63" i="38"/>
  <c r="BI63" i="38"/>
  <c r="BR81" i="38"/>
  <c r="BI81" i="38"/>
  <c r="BR111" i="38"/>
  <c r="BI111" i="38"/>
  <c r="BR64" i="38"/>
  <c r="BI64" i="38"/>
  <c r="BR50" i="38"/>
  <c r="BI50" i="38"/>
  <c r="BR121" i="38"/>
  <c r="BI121" i="38"/>
  <c r="BR97" i="38"/>
  <c r="BI97" i="38"/>
  <c r="BR57" i="38"/>
  <c r="BI57" i="38"/>
  <c r="BR47" i="38"/>
  <c r="BI47" i="38"/>
  <c r="BR86" i="38"/>
  <c r="BI86" i="38"/>
  <c r="BH126" i="38"/>
  <c r="BH116" i="38"/>
  <c r="BH42" i="38"/>
  <c r="BS42" i="38"/>
  <c r="BH141" i="38"/>
  <c r="BR156" i="38"/>
  <c r="BI156" i="38"/>
  <c r="BR93" i="38"/>
  <c r="BI93" i="38"/>
  <c r="BR109" i="38"/>
  <c r="BI109" i="38"/>
  <c r="BR69" i="38"/>
  <c r="BI69" i="38"/>
  <c r="BR36" i="38"/>
  <c r="BI36" i="38"/>
  <c r="BR164" i="38"/>
  <c r="BI164" i="38"/>
  <c r="BR147" i="38"/>
  <c r="BI147" i="38"/>
  <c r="BR104" i="38"/>
  <c r="BI104" i="38"/>
  <c r="BR52" i="38"/>
  <c r="BI52" i="38"/>
  <c r="BR78" i="38"/>
  <c r="BI78" i="38"/>
  <c r="BR39" i="38"/>
  <c r="BI39" i="38"/>
  <c r="BR100" i="38"/>
  <c r="BI100" i="38"/>
  <c r="BR126" i="38"/>
  <c r="BI126" i="38"/>
  <c r="BR70" i="38"/>
  <c r="BI70" i="38"/>
  <c r="BR165" i="38"/>
  <c r="BI165" i="38"/>
  <c r="BR159" i="38"/>
  <c r="BI159" i="38"/>
  <c r="BR60" i="38"/>
  <c r="BI60" i="38"/>
  <c r="BS39" i="38"/>
  <c r="BH39" i="38"/>
  <c r="BH150" i="38"/>
  <c r="BH135" i="38"/>
  <c r="BS36" i="38"/>
  <c r="BH36" i="38"/>
  <c r="BS40" i="38"/>
  <c r="BH40" i="38"/>
  <c r="BH47" i="38"/>
  <c r="BS47" i="38"/>
  <c r="BH100" i="38"/>
  <c r="BR136" i="38"/>
  <c r="BI136" i="38"/>
  <c r="BR102" i="38"/>
  <c r="BI102" i="38"/>
  <c r="BR35" i="38"/>
  <c r="BI35" i="38"/>
  <c r="BR139" i="38"/>
  <c r="BI139" i="38"/>
  <c r="BR32" i="38"/>
  <c r="BI32" i="38"/>
  <c r="BR119" i="38"/>
  <c r="BI119" i="38"/>
  <c r="BR118" i="38"/>
  <c r="BI118" i="38"/>
  <c r="BR43" i="38"/>
  <c r="BI43" i="38"/>
  <c r="BR151" i="38"/>
  <c r="BI151" i="38"/>
  <c r="BR122" i="38"/>
  <c r="BI122" i="38"/>
  <c r="BR79" i="38"/>
  <c r="BI79" i="38"/>
  <c r="BR148" i="38"/>
  <c r="BI148" i="38"/>
  <c r="BR141" i="38"/>
  <c r="BI141" i="38"/>
  <c r="BR51" i="38"/>
  <c r="BI51" i="38"/>
  <c r="BR65" i="38"/>
  <c r="BI65" i="38"/>
  <c r="BH55" i="38"/>
  <c r="BS55" i="38"/>
  <c r="BR124" i="38"/>
  <c r="BI124" i="38"/>
  <c r="BR87" i="38"/>
  <c r="BI87" i="38"/>
  <c r="BR33" i="38"/>
  <c r="BI33" i="38"/>
  <c r="BH123" i="38"/>
  <c r="BS48" i="38"/>
  <c r="BH48" i="38"/>
  <c r="BH41" i="38"/>
  <c r="BS41" i="38"/>
  <c r="BH76" i="38"/>
  <c r="BH138" i="38"/>
  <c r="BH96" i="38"/>
  <c r="BS53" i="38"/>
  <c r="BH53" i="38"/>
  <c r="BS51" i="38"/>
  <c r="BH51" i="38"/>
  <c r="BH104" i="38"/>
  <c r="BS34" i="38"/>
  <c r="BH34" i="38"/>
  <c r="BH159" i="38"/>
  <c r="BR149" i="38"/>
  <c r="BI149" i="38"/>
  <c r="BR85" i="38"/>
  <c r="BI85" i="38"/>
  <c r="BR123" i="38"/>
  <c r="BI123" i="38"/>
  <c r="BR75" i="38"/>
  <c r="BI75" i="38"/>
  <c r="BR135" i="38"/>
  <c r="BI135" i="38"/>
  <c r="BR133" i="38"/>
  <c r="BI133" i="38"/>
  <c r="BR61" i="38"/>
  <c r="BI61" i="38"/>
  <c r="BR96" i="38"/>
  <c r="BI96" i="38"/>
  <c r="BR116" i="38"/>
  <c r="BI116" i="38"/>
  <c r="BR73" i="38"/>
  <c r="BI73" i="38"/>
  <c r="BR120" i="38"/>
  <c r="BI120" i="38"/>
  <c r="BR68" i="38"/>
  <c r="BI68" i="38"/>
  <c r="BR38" i="38"/>
  <c r="BI38" i="38"/>
  <c r="BH52" i="38"/>
  <c r="BS52" i="38"/>
  <c r="BH108" i="38"/>
  <c r="BR74" i="38"/>
  <c r="BI74" i="38"/>
  <c r="BR138" i="38"/>
  <c r="BI138" i="38"/>
  <c r="BR129" i="38"/>
  <c r="BI129" i="38"/>
  <c r="Q28" i="38"/>
  <c r="BS35" i="38"/>
  <c r="BH35" i="38"/>
  <c r="BH72" i="38"/>
  <c r="BH43" i="38"/>
  <c r="BS43" i="38"/>
  <c r="BH120" i="38"/>
  <c r="BH46" i="38"/>
  <c r="BS46" i="38"/>
  <c r="BH89" i="38"/>
  <c r="BH156" i="38"/>
  <c r="BS49" i="38"/>
  <c r="BH49" i="38"/>
  <c r="BH165" i="38"/>
  <c r="BH59" i="38"/>
  <c r="BS59" i="38"/>
  <c r="BS44" i="38"/>
  <c r="BH44" i="38"/>
  <c r="BR161" i="38"/>
  <c r="BI161" i="38"/>
  <c r="BR157" i="38"/>
  <c r="BI157" i="38"/>
  <c r="BR49" i="38"/>
  <c r="BI49" i="38"/>
  <c r="BR131" i="38"/>
  <c r="BI131" i="38"/>
  <c r="BR34" i="38"/>
  <c r="BI34" i="38"/>
  <c r="BR110" i="38"/>
  <c r="BI110" i="38"/>
  <c r="BR40" i="38"/>
  <c r="BI40" i="38"/>
  <c r="BR113" i="38"/>
  <c r="BI113" i="38"/>
  <c r="BR125" i="38"/>
  <c r="BI125" i="38"/>
  <c r="BR155" i="38"/>
  <c r="BI155" i="38"/>
  <c r="BR53" i="38"/>
  <c r="BI53" i="38"/>
  <c r="BR59" i="38"/>
  <c r="BI59" i="38"/>
  <c r="BR134" i="38"/>
  <c r="BI134" i="38"/>
  <c r="BR44" i="38"/>
  <c r="BI44" i="38"/>
  <c r="BR48" i="38"/>
  <c r="BI48" i="38"/>
  <c r="AD36" i="38" a="1"/>
  <c r="AD36" i="38" s="1"/>
  <c r="AD157" i="38" a="1"/>
  <c r="AD157" i="38" s="1"/>
  <c r="AD119" i="38" a="1"/>
  <c r="AD119" i="38" s="1"/>
  <c r="AD53" i="38" a="1"/>
  <c r="AD53" i="38" s="1"/>
  <c r="AD79" i="38" a="1"/>
  <c r="AD79" i="38" s="1"/>
  <c r="AD124" i="38" a="1"/>
  <c r="AD124" i="38" s="1"/>
  <c r="AD62" i="38" a="1"/>
  <c r="AD62" i="38" s="1"/>
  <c r="AD34" i="38" a="1"/>
  <c r="AD34" i="38" s="1"/>
  <c r="AD164" i="38" a="1"/>
  <c r="AD164" i="38" s="1"/>
  <c r="AD93" i="38" a="1"/>
  <c r="AD93" i="38" s="1"/>
  <c r="AD90" i="38" a="1"/>
  <c r="AD90" i="38" s="1"/>
  <c r="AD56" i="38" a="1"/>
  <c r="AD56" i="38" s="1"/>
  <c r="AD130" i="38" a="1"/>
  <c r="AD130" i="38" s="1"/>
  <c r="AD71" i="38" a="1"/>
  <c r="AD71" i="38" s="1"/>
  <c r="AD68" i="38" a="1"/>
  <c r="AD68" i="38" s="1"/>
  <c r="AD43" i="38" a="1"/>
  <c r="AD43" i="38" s="1"/>
  <c r="AD160" i="38" a="1"/>
  <c r="AD160" i="38" s="1"/>
  <c r="AD41" i="38" a="1"/>
  <c r="AD41" i="38" s="1"/>
  <c r="AD37" i="38" a="1"/>
  <c r="AD37" i="38" s="1"/>
  <c r="AD89" i="38" a="1"/>
  <c r="AD89" i="38" s="1"/>
  <c r="AD58" i="38" a="1"/>
  <c r="AD58" i="38" s="1"/>
  <c r="AD91" i="38" a="1"/>
  <c r="AD91" i="38" s="1"/>
  <c r="AD141" i="38" a="1"/>
  <c r="AD141" i="38" s="1"/>
  <c r="AD38" i="38" a="1"/>
  <c r="AD38" i="38" s="1"/>
  <c r="AD128" i="38" a="1"/>
  <c r="AD128" i="38" s="1"/>
  <c r="AD107" i="38" a="1"/>
  <c r="AD107" i="38" s="1"/>
  <c r="AD35" i="38" a="1"/>
  <c r="AD35" i="38" s="1"/>
  <c r="AD137" i="38" a="1"/>
  <c r="AD137" i="38" s="1"/>
  <c r="AD126" i="38" a="1"/>
  <c r="AD126" i="38" s="1"/>
  <c r="AD113" i="38" a="1"/>
  <c r="AD113" i="38" s="1"/>
  <c r="AD159" i="38" a="1"/>
  <c r="AD159" i="38" s="1"/>
  <c r="AD117" i="38" a="1"/>
  <c r="AD117" i="38" s="1"/>
  <c r="AD112" i="38" a="1"/>
  <c r="AD112" i="38" s="1"/>
  <c r="AD162" i="38" a="1"/>
  <c r="AD162" i="38" s="1"/>
  <c r="AD155" i="38" a="1"/>
  <c r="AD155" i="38" s="1"/>
  <c r="AD99" i="38" a="1"/>
  <c r="AD99" i="38" s="1"/>
  <c r="AD122" i="38" a="1"/>
  <c r="AD122" i="38" s="1"/>
  <c r="AD31" i="38" a="1"/>
  <c r="AD31" i="38" s="1"/>
  <c r="AD109" i="38" a="1"/>
  <c r="AD109" i="38" s="1"/>
  <c r="AD153" i="38" a="1"/>
  <c r="AD153" i="38" s="1"/>
  <c r="AD149" i="38" a="1"/>
  <c r="AD149" i="38" s="1"/>
  <c r="AD52" i="38" a="1"/>
  <c r="AD52" i="38" s="1"/>
  <c r="AD45" i="38" a="1"/>
  <c r="AD45" i="38" s="1"/>
  <c r="AD98" i="38" a="1"/>
  <c r="AD98" i="38" s="1"/>
  <c r="AD46" i="38" a="1"/>
  <c r="AD46" i="38" s="1"/>
  <c r="AD142" i="38" a="1"/>
  <c r="AD142" i="38" s="1"/>
  <c r="AD55" i="38" a="1"/>
  <c r="AD55" i="38" s="1"/>
  <c r="AD150" i="38" a="1"/>
  <c r="AD150" i="38" s="1"/>
  <c r="AD94" i="38" a="1"/>
  <c r="AD94" i="38" s="1"/>
  <c r="AD114" i="38" a="1"/>
  <c r="AD114" i="38" s="1"/>
  <c r="AD59" i="38" a="1"/>
  <c r="AD59" i="38" s="1"/>
  <c r="AD110" i="38" a="1"/>
  <c r="AD110" i="38" s="1"/>
  <c r="AD111" i="38" a="1"/>
  <c r="AD111" i="38" s="1"/>
  <c r="AD152" i="38" a="1"/>
  <c r="AD152" i="38" s="1"/>
  <c r="AD116" i="38" a="1"/>
  <c r="AD116" i="38" s="1"/>
  <c r="AD134" i="38" a="1"/>
  <c r="AD134" i="38" s="1"/>
  <c r="AD70" i="38" a="1"/>
  <c r="AD70" i="38" s="1"/>
  <c r="AD101" i="38" a="1"/>
  <c r="AD101" i="38" s="1"/>
  <c r="AD96" i="38" a="1"/>
  <c r="AD96" i="38" s="1"/>
  <c r="AD115" i="38" a="1"/>
  <c r="AD115" i="38" s="1"/>
  <c r="AD161" i="38" a="1"/>
  <c r="AD161" i="38" s="1"/>
  <c r="AD50" i="38" a="1"/>
  <c r="AD50" i="38" s="1"/>
  <c r="AD42" i="38" a="1"/>
  <c r="AD42" i="38" s="1"/>
  <c r="AD165" i="38" a="1"/>
  <c r="AD165" i="38" s="1"/>
  <c r="AD63" i="38" a="1"/>
  <c r="AD63" i="38" s="1"/>
  <c r="AD163" i="38" a="1"/>
  <c r="AD163" i="38" s="1"/>
  <c r="AD156" i="38" a="1"/>
  <c r="AD156" i="38" s="1"/>
  <c r="AD100" i="38" a="1"/>
  <c r="AD100" i="38" s="1"/>
  <c r="AD146" i="38" a="1"/>
  <c r="AD146" i="38" s="1"/>
  <c r="AD118" i="38" a="1"/>
  <c r="AD118" i="38" s="1"/>
  <c r="AD78" i="38" a="1"/>
  <c r="AD78" i="38" s="1"/>
  <c r="AD120" i="38" a="1"/>
  <c r="AD120" i="38" s="1"/>
  <c r="AD39" i="38" a="1"/>
  <c r="AD39" i="38" s="1"/>
  <c r="AD106" i="38" a="1"/>
  <c r="AD106" i="38" s="1"/>
  <c r="AD132" i="38" a="1"/>
  <c r="AD132" i="38" s="1"/>
  <c r="AD60" i="38" a="1"/>
  <c r="AD60" i="38" s="1"/>
  <c r="AD144" i="38" a="1"/>
  <c r="AD144" i="38" s="1"/>
  <c r="AD74" i="38" a="1"/>
  <c r="AD74" i="38" s="1"/>
  <c r="AD131" i="38" a="1"/>
  <c r="AD131" i="38" s="1"/>
  <c r="AD66" i="38" a="1"/>
  <c r="AD66" i="38" s="1"/>
  <c r="AD125" i="38" a="1"/>
  <c r="AD125" i="38" s="1"/>
  <c r="AD88" i="38" a="1"/>
  <c r="AD88" i="38" s="1"/>
  <c r="AD108" i="38" a="1"/>
  <c r="AD108" i="38" s="1"/>
  <c r="AD148" i="38" a="1"/>
  <c r="AD148" i="38" s="1"/>
  <c r="AD151" i="38" a="1"/>
  <c r="AD151" i="38" s="1"/>
  <c r="AD84" i="38" a="1"/>
  <c r="AD84" i="38" s="1"/>
  <c r="AD83" i="38" a="1"/>
  <c r="AD83" i="38" s="1"/>
  <c r="AD44" i="38" a="1"/>
  <c r="AD44" i="38" s="1"/>
  <c r="AD143" i="38" a="1"/>
  <c r="AD143" i="38" s="1"/>
  <c r="AD127" i="38" a="1"/>
  <c r="AD127" i="38" s="1"/>
  <c r="AD72" i="38" a="1"/>
  <c r="AD72" i="38" s="1"/>
  <c r="AD33" i="38" a="1"/>
  <c r="AD33" i="38" s="1"/>
  <c r="AD154" i="38" a="1"/>
  <c r="AD154" i="38" s="1"/>
  <c r="AD97" i="38" a="1"/>
  <c r="AD97" i="38" s="1"/>
  <c r="AD47" i="38" a="1"/>
  <c r="AD47" i="38" s="1"/>
  <c r="AD136" i="38" a="1"/>
  <c r="AD136" i="38" s="1"/>
  <c r="AD133" i="38" a="1"/>
  <c r="AD133" i="38" s="1"/>
  <c r="AD40" i="38" a="1"/>
  <c r="AD40" i="38" s="1"/>
  <c r="AD121" i="38" a="1"/>
  <c r="AD121" i="38" s="1"/>
  <c r="AD32" i="38" a="1"/>
  <c r="AD32" i="38" s="1"/>
  <c r="AD105" i="38" a="1"/>
  <c r="AD105" i="38" s="1"/>
  <c r="AD104" i="38" a="1"/>
  <c r="AD104" i="38" s="1"/>
  <c r="AD139" i="38" a="1"/>
  <c r="AD139" i="38" s="1"/>
  <c r="AD102" i="38" a="1"/>
  <c r="AD102" i="38" s="1"/>
  <c r="AD135" i="38" a="1"/>
  <c r="AD135" i="38" s="1"/>
  <c r="AD129" i="38" a="1"/>
  <c r="AD129" i="38" s="1"/>
  <c r="AD82" i="38" a="1"/>
  <c r="AD82" i="38" s="1"/>
  <c r="AD76" i="38" a="1"/>
  <c r="AD76" i="38" s="1"/>
  <c r="AD48" i="38" a="1"/>
  <c r="AD48" i="38" s="1"/>
  <c r="AD158" i="38" a="1"/>
  <c r="AD158" i="38" s="1"/>
  <c r="AD95" i="38" a="1"/>
  <c r="AD95" i="38" s="1"/>
  <c r="AD57" i="38" a="1"/>
  <c r="AD57" i="38" s="1"/>
  <c r="AD49" i="38" a="1"/>
  <c r="AD49" i="38" s="1"/>
  <c r="AD147" i="38" a="1"/>
  <c r="AD147" i="38" s="1"/>
  <c r="AD87" i="38" a="1"/>
  <c r="AD87" i="38" s="1"/>
  <c r="AD140" i="38" a="1"/>
  <c r="AD140" i="38" s="1"/>
  <c r="AD80" i="38" a="1"/>
  <c r="AD80" i="38" s="1"/>
  <c r="AD75" i="38" a="1"/>
  <c r="AD75" i="38" s="1"/>
  <c r="AD67" i="38" a="1"/>
  <c r="AD67" i="38" s="1"/>
  <c r="AD64" i="38" a="1"/>
  <c r="AD64" i="38" s="1"/>
  <c r="AD54" i="38" a="1"/>
  <c r="AD54" i="38" s="1"/>
  <c r="AD103" i="38" a="1"/>
  <c r="AD103" i="38" s="1"/>
  <c r="AD51" i="38" a="1"/>
  <c r="AD51" i="38" s="1"/>
  <c r="AD145" i="38" a="1"/>
  <c r="AD145" i="38" s="1"/>
  <c r="AD138" i="38" a="1"/>
  <c r="AD138" i="38" s="1"/>
  <c r="AD86" i="38" a="1"/>
  <c r="AD86" i="38" s="1"/>
  <c r="AD123" i="38" a="1"/>
  <c r="AD123" i="38" s="1"/>
  <c r="X83" i="38" a="1"/>
  <c r="X83" i="38" s="1"/>
  <c r="X44" i="38" a="1"/>
  <c r="X44" i="38" s="1"/>
  <c r="X31" i="38" a="1"/>
  <c r="X31" i="38" s="1"/>
  <c r="X138" i="38" a="1"/>
  <c r="X138" i="38" s="1"/>
  <c r="X103" i="38" a="1"/>
  <c r="X103" i="38" s="1"/>
  <c r="X130" i="38" a="1"/>
  <c r="X130" i="38" s="1"/>
  <c r="X132" i="38" a="1"/>
  <c r="X132" i="38" s="1"/>
  <c r="X124" i="38" a="1"/>
  <c r="X124" i="38" s="1"/>
  <c r="X90" i="38" a="1"/>
  <c r="X90" i="38" s="1"/>
  <c r="X53" i="38" a="1"/>
  <c r="X53" i="38" s="1"/>
  <c r="X99" i="38" a="1"/>
  <c r="X99" i="38" s="1"/>
  <c r="X137" i="38" a="1"/>
  <c r="X137" i="38" s="1"/>
  <c r="X139" i="38" a="1"/>
  <c r="X139" i="38" s="1"/>
  <c r="X39" i="38" a="1"/>
  <c r="X39" i="38" s="1"/>
  <c r="X48" i="38" a="1"/>
  <c r="X48" i="38" s="1"/>
  <c r="X42" i="38" a="1"/>
  <c r="X42" i="38" s="1"/>
  <c r="X76" i="38" a="1"/>
  <c r="X76" i="38" s="1"/>
  <c r="X52" i="38" a="1"/>
  <c r="X52" i="38" s="1"/>
  <c r="X93" i="38" a="1"/>
  <c r="X93" i="38" s="1"/>
  <c r="X41" i="38" a="1"/>
  <c r="X41" i="38" s="1"/>
  <c r="X56" i="38" a="1"/>
  <c r="X56" i="38" s="1"/>
  <c r="X59" i="38" a="1"/>
  <c r="X59" i="38" s="1"/>
  <c r="X89" i="38" a="1"/>
  <c r="X89" i="38" s="1"/>
  <c r="X162" i="38" a="1"/>
  <c r="X162" i="38" s="1"/>
  <c r="X157" i="38" a="1"/>
  <c r="X157" i="38" s="1"/>
  <c r="X58" i="38" a="1"/>
  <c r="X58" i="38" s="1"/>
  <c r="X88" i="38" a="1"/>
  <c r="X88" i="38" s="1"/>
  <c r="X38" i="38" a="1"/>
  <c r="X38" i="38" s="1"/>
  <c r="X122" i="38" a="1"/>
  <c r="X122" i="38" s="1"/>
  <c r="X160" i="38" a="1"/>
  <c r="X160" i="38" s="1"/>
  <c r="X118" i="38" a="1"/>
  <c r="X118" i="38" s="1"/>
  <c r="X70" i="38" a="1"/>
  <c r="X70" i="38" s="1"/>
  <c r="X71" i="38" a="1"/>
  <c r="X71" i="38" s="1"/>
  <c r="X126" i="38" a="1"/>
  <c r="X126" i="38" s="1"/>
  <c r="X113" i="38" a="1"/>
  <c r="X113" i="38" s="1"/>
  <c r="X101" i="38" a="1"/>
  <c r="X101" i="38" s="1"/>
  <c r="X155" i="38" a="1"/>
  <c r="X155" i="38" s="1"/>
  <c r="X46" i="38" a="1"/>
  <c r="X46" i="38" s="1"/>
  <c r="X109" i="38" a="1"/>
  <c r="X109" i="38" s="1"/>
  <c r="X82" i="38" a="1"/>
  <c r="X82" i="38" s="1"/>
  <c r="X141" i="38" a="1"/>
  <c r="X141" i="38" s="1"/>
  <c r="X33" i="38" a="1"/>
  <c r="X33" i="38" s="1"/>
  <c r="X35" i="38" a="1"/>
  <c r="X35" i="38" s="1"/>
  <c r="X164" i="38" a="1"/>
  <c r="X164" i="38" s="1"/>
  <c r="X149" i="38" a="1"/>
  <c r="X149" i="38" s="1"/>
  <c r="X120" i="38" a="1"/>
  <c r="X120" i="38" s="1"/>
  <c r="X110" i="38" a="1"/>
  <c r="X110" i="38" s="1"/>
  <c r="X158" i="38" a="1"/>
  <c r="X158" i="38" s="1"/>
  <c r="X153" i="38" a="1"/>
  <c r="X153" i="38" s="1"/>
  <c r="X57" i="38" a="1"/>
  <c r="X57" i="38" s="1"/>
  <c r="X117" i="38" a="1"/>
  <c r="X117" i="38" s="1"/>
  <c r="X156" i="38" a="1"/>
  <c r="X156" i="38" s="1"/>
  <c r="X146" i="38" a="1"/>
  <c r="X146" i="38" s="1"/>
  <c r="X151" i="38" a="1"/>
  <c r="X151" i="38" s="1"/>
  <c r="X144" i="38" a="1"/>
  <c r="X144" i="38" s="1"/>
  <c r="X78" i="38" a="1"/>
  <c r="X78" i="38" s="1"/>
  <c r="X128" i="38" a="1"/>
  <c r="X128" i="38" s="1"/>
  <c r="X79" i="38" a="1"/>
  <c r="X79" i="38" s="1"/>
  <c r="X142" i="38" a="1"/>
  <c r="X142" i="38" s="1"/>
  <c r="X152" i="38" a="1"/>
  <c r="X152" i="38" s="1"/>
  <c r="X49" i="38" a="1"/>
  <c r="X49" i="38" s="1"/>
  <c r="X136" i="38" a="1"/>
  <c r="X136" i="38" s="1"/>
  <c r="X96" i="38" a="1"/>
  <c r="X96" i="38" s="1"/>
  <c r="X115" i="38" a="1"/>
  <c r="X115" i="38" s="1"/>
  <c r="X161" i="38" a="1"/>
  <c r="X161" i="38" s="1"/>
  <c r="X165" i="38" a="1"/>
  <c r="X165" i="38" s="1"/>
  <c r="X50" i="38" a="1"/>
  <c r="X50" i="38" s="1"/>
  <c r="X91" i="38" a="1"/>
  <c r="X91" i="38" s="1"/>
  <c r="X45" i="38" a="1"/>
  <c r="X45" i="38" s="1"/>
  <c r="X106" i="38" a="1"/>
  <c r="X106" i="38" s="1"/>
  <c r="X98" i="38" a="1"/>
  <c r="X98" i="38" s="1"/>
  <c r="X68" i="38" a="1"/>
  <c r="X68" i="38" s="1"/>
  <c r="X63" i="38" a="1"/>
  <c r="X63" i="38" s="1"/>
  <c r="X163" i="38" a="1"/>
  <c r="X163" i="38" s="1"/>
  <c r="X111" i="38" a="1"/>
  <c r="X111" i="38" s="1"/>
  <c r="X154" i="38" a="1"/>
  <c r="X154" i="38" s="1"/>
  <c r="X102" i="38" a="1"/>
  <c r="X102" i="38" s="1"/>
  <c r="X148" i="38" a="1"/>
  <c r="X148" i="38" s="1"/>
  <c r="X100" i="38" a="1"/>
  <c r="X100" i="38" s="1"/>
  <c r="X94" i="38" a="1"/>
  <c r="X94" i="38" s="1"/>
  <c r="X143" i="38" a="1"/>
  <c r="X143" i="38" s="1"/>
  <c r="X134" i="38" a="1"/>
  <c r="X134" i="38" s="1"/>
  <c r="X159" i="38" a="1"/>
  <c r="X159" i="38" s="1"/>
  <c r="X51" i="38" a="1"/>
  <c r="X51" i="38" s="1"/>
  <c r="X84" i="38" a="1"/>
  <c r="X84" i="38" s="1"/>
  <c r="X72" i="38" a="1"/>
  <c r="X72" i="38" s="1"/>
  <c r="X55" i="38" a="1"/>
  <c r="X55" i="38" s="1"/>
  <c r="X86" i="38" a="1"/>
  <c r="X86" i="38" s="1"/>
  <c r="X135" i="38" a="1"/>
  <c r="X135" i="38" s="1"/>
  <c r="X75" i="38" a="1"/>
  <c r="X75" i="38" s="1"/>
  <c r="X37" i="38" a="1"/>
  <c r="X37" i="38" s="1"/>
  <c r="X125" i="38" a="1"/>
  <c r="X125" i="38" s="1"/>
  <c r="X121" i="38" a="1"/>
  <c r="X121" i="38" s="1"/>
  <c r="X32" i="38" a="1"/>
  <c r="X32" i="38" s="1"/>
  <c r="X107" i="38" a="1"/>
  <c r="X107" i="38" s="1"/>
  <c r="X95" i="38" a="1"/>
  <c r="X95" i="38" s="1"/>
  <c r="X140" i="38" a="1"/>
  <c r="X140" i="38" s="1"/>
  <c r="X74" i="38" a="1"/>
  <c r="X74" i="38" s="1"/>
  <c r="X105" i="38" a="1"/>
  <c r="X105" i="38" s="1"/>
  <c r="X108" i="38" a="1"/>
  <c r="X108" i="38" s="1"/>
  <c r="X147" i="38" a="1"/>
  <c r="X147" i="38" s="1"/>
  <c r="X62" i="38" a="1"/>
  <c r="X62" i="38" s="1"/>
  <c r="X119" i="38" a="1"/>
  <c r="X119" i="38" s="1"/>
  <c r="X104" i="38" a="1"/>
  <c r="X104" i="38" s="1"/>
  <c r="X145" i="38" a="1"/>
  <c r="X145" i="38" s="1"/>
  <c r="X133" i="38" a="1"/>
  <c r="X133" i="38" s="1"/>
  <c r="X131" i="38" a="1"/>
  <c r="X131" i="38" s="1"/>
  <c r="X127" i="38" a="1"/>
  <c r="X127" i="38" s="1"/>
  <c r="X112" i="38" a="1"/>
  <c r="X112" i="38" s="1"/>
  <c r="X36" i="38" a="1"/>
  <c r="X36" i="38" s="1"/>
  <c r="X97" i="38" a="1"/>
  <c r="X97" i="38" s="1"/>
  <c r="X114" i="38" a="1"/>
  <c r="X114" i="38" s="1"/>
  <c r="X40" i="38" a="1"/>
  <c r="X40" i="38" s="1"/>
  <c r="X64" i="38" a="1"/>
  <c r="X64" i="38" s="1"/>
  <c r="X34" i="38" a="1"/>
  <c r="X34" i="38" s="1"/>
  <c r="X150" i="38" a="1"/>
  <c r="X150" i="38" s="1"/>
  <c r="X47" i="38" a="1"/>
  <c r="X47" i="38" s="1"/>
  <c r="X80" i="38" a="1"/>
  <c r="X80" i="38" s="1"/>
  <c r="X123" i="38" a="1"/>
  <c r="X123" i="38" s="1"/>
  <c r="X54" i="38" a="1"/>
  <c r="X54" i="38" s="1"/>
  <c r="X129" i="38" a="1"/>
  <c r="X129" i="38" s="1"/>
  <c r="X116" i="38" a="1"/>
  <c r="X116" i="38" s="1"/>
  <c r="X60" i="38" a="1"/>
  <c r="X60" i="38" s="1"/>
  <c r="X87" i="38" a="1"/>
  <c r="X87" i="38" s="1"/>
  <c r="X66" i="38" a="1"/>
  <c r="X66" i="38" s="1"/>
  <c r="X67" i="38" a="1"/>
  <c r="X67" i="38" s="1"/>
  <c r="X43" i="38" a="1"/>
  <c r="X43" i="38" s="1"/>
  <c r="AC41" i="38" a="1"/>
  <c r="AC41" i="38" s="1"/>
  <c r="AC45" i="38" a="1"/>
  <c r="AC45" i="38" s="1"/>
  <c r="AC90" i="38" a="1"/>
  <c r="AC90" i="38" s="1"/>
  <c r="AC155" i="38" a="1"/>
  <c r="AC155" i="38" s="1"/>
  <c r="AC59" i="38" a="1"/>
  <c r="AC59" i="38" s="1"/>
  <c r="AC47" i="38" a="1"/>
  <c r="AC47" i="38" s="1"/>
  <c r="AC99" i="38" a="1"/>
  <c r="AC99" i="38" s="1"/>
  <c r="AC73" i="38" a="1"/>
  <c r="AC73" i="38" s="1"/>
  <c r="AC63" i="38" a="1"/>
  <c r="AC63" i="38" s="1"/>
  <c r="AC46" i="38" a="1"/>
  <c r="AC46" i="38" s="1"/>
  <c r="AC82" i="38" a="1"/>
  <c r="AC82" i="38" s="1"/>
  <c r="AC91" i="38" a="1"/>
  <c r="AC91" i="38" s="1"/>
  <c r="AC139" i="38" a="1"/>
  <c r="AC139" i="38" s="1"/>
  <c r="AC38" i="38" a="1"/>
  <c r="AC38" i="38" s="1"/>
  <c r="AC128" i="38" a="1"/>
  <c r="AC128" i="38" s="1"/>
  <c r="AC160" i="38" a="1"/>
  <c r="AC160" i="38" s="1"/>
  <c r="AC101" i="38" a="1"/>
  <c r="AC101" i="38" s="1"/>
  <c r="AC43" i="38" a="1"/>
  <c r="AC43" i="38" s="1"/>
  <c r="AC112" i="38" a="1"/>
  <c r="AC112" i="38" s="1"/>
  <c r="AC162" i="38" a="1"/>
  <c r="AC162" i="38" s="1"/>
  <c r="AC88" i="38" a="1"/>
  <c r="AC88" i="38" s="1"/>
  <c r="AC79" i="38" a="1"/>
  <c r="AC79" i="38" s="1"/>
  <c r="AC134" i="38" a="1"/>
  <c r="AC134" i="38" s="1"/>
  <c r="AC122" i="38" a="1"/>
  <c r="AC122" i="38" s="1"/>
  <c r="AC31" i="38" a="1"/>
  <c r="AC31" i="38" s="1"/>
  <c r="AC153" i="38" a="1"/>
  <c r="AC153" i="38" s="1"/>
  <c r="AC118" i="38" a="1"/>
  <c r="AC118" i="38" s="1"/>
  <c r="AC109" i="38" a="1"/>
  <c r="AC109" i="38" s="1"/>
  <c r="AC83" i="38" a="1"/>
  <c r="AC83" i="38" s="1"/>
  <c r="AC124" i="38" a="1"/>
  <c r="AC124" i="38" s="1"/>
  <c r="AC68" i="38" a="1"/>
  <c r="AC68" i="38" s="1"/>
  <c r="AC52" i="38" a="1"/>
  <c r="AC52" i="38" s="1"/>
  <c r="AC85" i="38" a="1"/>
  <c r="AC85" i="38" s="1"/>
  <c r="AC98" i="38" a="1"/>
  <c r="AC98" i="38" s="1"/>
  <c r="AC78" i="38" a="1"/>
  <c r="AC78" i="38" s="1"/>
  <c r="AC35" i="38" a="1"/>
  <c r="AC35" i="38" s="1"/>
  <c r="AC164" i="38" a="1"/>
  <c r="AC164" i="38" s="1"/>
  <c r="AC80" i="38" a="1"/>
  <c r="AC80" i="38" s="1"/>
  <c r="AC89" i="38" a="1"/>
  <c r="AC89" i="38" s="1"/>
  <c r="AC48" i="38" a="1"/>
  <c r="AC48" i="38" s="1"/>
  <c r="AC130" i="38" a="1"/>
  <c r="AC130" i="38" s="1"/>
  <c r="AC65" i="38" a="1"/>
  <c r="AC65" i="38" s="1"/>
  <c r="AC58" i="38" a="1"/>
  <c r="AC58" i="38" s="1"/>
  <c r="AC96" i="38" a="1"/>
  <c r="AC96" i="38" s="1"/>
  <c r="AC161" i="38" a="1"/>
  <c r="AC161" i="38" s="1"/>
  <c r="AC156" i="38" a="1"/>
  <c r="AC156" i="38" s="1"/>
  <c r="AC152" i="38" a="1"/>
  <c r="AC152" i="38" s="1"/>
  <c r="AC100" i="38" a="1"/>
  <c r="AC100" i="38" s="1"/>
  <c r="AC116" i="38" a="1"/>
  <c r="AC116" i="38" s="1"/>
  <c r="AC56" i="38" a="1"/>
  <c r="AC56" i="38" s="1"/>
  <c r="AC62" i="38" a="1"/>
  <c r="AC62" i="38" s="1"/>
  <c r="AC115" i="38" a="1"/>
  <c r="AC115" i="38" s="1"/>
  <c r="AC163" i="38" a="1"/>
  <c r="AC163" i="38" s="1"/>
  <c r="AC154" i="38" a="1"/>
  <c r="AC154" i="38" s="1"/>
  <c r="AC146" i="38" a="1"/>
  <c r="AC146" i="38" s="1"/>
  <c r="AC136" i="38" a="1"/>
  <c r="AC136" i="38" s="1"/>
  <c r="AC137" i="38" a="1"/>
  <c r="AC137" i="38" s="1"/>
  <c r="AC44" i="38" a="1"/>
  <c r="AC44" i="38" s="1"/>
  <c r="AC120" i="38" a="1"/>
  <c r="AC120" i="38" s="1"/>
  <c r="AC148" i="38" a="1"/>
  <c r="AC148" i="38" s="1"/>
  <c r="AC119" i="38" a="1"/>
  <c r="AC119" i="38" s="1"/>
  <c r="AC106" i="38" a="1"/>
  <c r="AC106" i="38" s="1"/>
  <c r="AC93" i="38" a="1"/>
  <c r="AC93" i="38" s="1"/>
  <c r="AC157" i="38" a="1"/>
  <c r="AC157" i="38" s="1"/>
  <c r="AC114" i="38" a="1"/>
  <c r="AC114" i="38" s="1"/>
  <c r="AC111" i="38" a="1"/>
  <c r="AC111" i="38" s="1"/>
  <c r="AC54" i="38" a="1"/>
  <c r="AC54" i="38" s="1"/>
  <c r="AC103" i="38" a="1"/>
  <c r="AC103" i="38" s="1"/>
  <c r="AC107" i="38" a="1"/>
  <c r="AC107" i="38" s="1"/>
  <c r="AC143" i="38" a="1"/>
  <c r="AC143" i="38" s="1"/>
  <c r="AC102" i="38" a="1"/>
  <c r="AC102" i="38" s="1"/>
  <c r="AC53" i="38" a="1"/>
  <c r="AC53" i="38" s="1"/>
  <c r="AC76" i="38" a="1"/>
  <c r="AC76" i="38" s="1"/>
  <c r="AC70" i="38" a="1"/>
  <c r="AC70" i="38" s="1"/>
  <c r="AC113" i="38" a="1"/>
  <c r="AC113" i="38" s="1"/>
  <c r="AC149" i="38" a="1"/>
  <c r="AC149" i="38" s="1"/>
  <c r="AC60" i="38" a="1"/>
  <c r="AC60" i="38" s="1"/>
  <c r="AC105" i="38" a="1"/>
  <c r="AC105" i="38" s="1"/>
  <c r="AC108" i="38" a="1"/>
  <c r="AC108" i="38" s="1"/>
  <c r="AC51" i="38" a="1"/>
  <c r="AC51" i="38" s="1"/>
  <c r="AC97" i="38" a="1"/>
  <c r="AC97" i="38" s="1"/>
  <c r="AC42" i="38" a="1"/>
  <c r="AC42" i="38" s="1"/>
  <c r="AC104" i="38" a="1"/>
  <c r="AC104" i="38" s="1"/>
  <c r="AC117" i="38" a="1"/>
  <c r="AC117" i="38" s="1"/>
  <c r="AC55" i="38" a="1"/>
  <c r="AC55" i="38" s="1"/>
  <c r="AC151" i="38" a="1"/>
  <c r="AC151" i="38" s="1"/>
  <c r="AC81" i="38" a="1"/>
  <c r="AC81" i="38" s="1"/>
  <c r="AC75" i="38" a="1"/>
  <c r="AC75" i="38" s="1"/>
  <c r="AC127" i="38" a="1"/>
  <c r="AC127" i="38" s="1"/>
  <c r="AC72" i="38" a="1"/>
  <c r="AC72" i="38" s="1"/>
  <c r="AC33" i="38" a="1"/>
  <c r="AC33" i="38" s="1"/>
  <c r="AC61" i="38" a="1"/>
  <c r="AC61" i="38" s="1"/>
  <c r="AC147" i="38" a="1"/>
  <c r="AC147" i="38" s="1"/>
  <c r="AC57" i="38" a="1"/>
  <c r="AC57" i="38" s="1"/>
  <c r="AC140" i="38" a="1"/>
  <c r="AC140" i="38" s="1"/>
  <c r="AC77" i="38" a="1"/>
  <c r="AC77" i="38" s="1"/>
  <c r="AC40" i="38" a="1"/>
  <c r="AC40" i="38" s="1"/>
  <c r="AC87" i="38" a="1"/>
  <c r="AC87" i="38" s="1"/>
  <c r="AC133" i="38" a="1"/>
  <c r="AC133" i="38" s="1"/>
  <c r="AC32" i="38" a="1"/>
  <c r="AC32" i="38" s="1"/>
  <c r="AC64" i="38" a="1"/>
  <c r="AC64" i="38" s="1"/>
  <c r="AC39" i="38" a="1"/>
  <c r="AC39" i="38" s="1"/>
  <c r="AC144" i="38" a="1"/>
  <c r="AC144" i="38" s="1"/>
  <c r="AC66" i="38" a="1"/>
  <c r="AC66" i="38" s="1"/>
  <c r="AC125" i="38" a="1"/>
  <c r="AC125" i="38" s="1"/>
  <c r="AC121" i="38" a="1"/>
  <c r="AC121" i="38" s="1"/>
  <c r="AC71" i="38" a="1"/>
  <c r="AC71" i="38" s="1"/>
  <c r="AC34" i="38" a="1"/>
  <c r="AC34" i="38" s="1"/>
  <c r="AC158" i="38" a="1"/>
  <c r="AC158" i="38" s="1"/>
  <c r="AC150" i="38" a="1"/>
  <c r="AC150" i="38" s="1"/>
  <c r="AC49" i="38" a="1"/>
  <c r="AC49" i="38" s="1"/>
  <c r="AC159" i="38" a="1"/>
  <c r="AC159" i="38" s="1"/>
  <c r="AC145" i="38" a="1"/>
  <c r="AC145" i="38" s="1"/>
  <c r="AC69" i="38" a="1"/>
  <c r="AC69" i="38" s="1"/>
  <c r="AC67" i="38" a="1"/>
  <c r="AC67" i="38" s="1"/>
  <c r="AC110" i="38" a="1"/>
  <c r="AC110" i="38" s="1"/>
  <c r="AC37" i="38" a="1"/>
  <c r="AC37" i="38" s="1"/>
  <c r="AC36" i="38" a="1"/>
  <c r="AC36" i="38" s="1"/>
  <c r="AC165" i="38" a="1"/>
  <c r="AC165" i="38" s="1"/>
  <c r="AC86" i="38" a="1"/>
  <c r="AC86" i="38" s="1"/>
  <c r="AC131" i="38" a="1"/>
  <c r="AC131" i="38" s="1"/>
  <c r="AC92" i="38" a="1"/>
  <c r="AC92" i="38" s="1"/>
  <c r="AC94" i="38" a="1"/>
  <c r="AC94" i="38" s="1"/>
  <c r="AC95" i="38" a="1"/>
  <c r="AC95" i="38" s="1"/>
  <c r="AC84" i="38" a="1"/>
  <c r="AC84" i="38" s="1"/>
  <c r="AC74" i="38" a="1"/>
  <c r="AC74" i="38" s="1"/>
  <c r="AC50" i="38" a="1"/>
  <c r="AC50" i="38" s="1"/>
  <c r="W37" i="38" a="1"/>
  <c r="W37" i="38" s="1"/>
  <c r="W31" i="38" a="1"/>
  <c r="W31" i="38" s="1"/>
  <c r="W152" i="38" a="1"/>
  <c r="W152" i="38" s="1"/>
  <c r="W121" i="38" a="1"/>
  <c r="W121" i="38" s="1"/>
  <c r="W52" i="38" a="1"/>
  <c r="W52" i="38" s="1"/>
  <c r="W93" i="38" a="1"/>
  <c r="W93" i="38" s="1"/>
  <c r="W45" i="38" a="1"/>
  <c r="W45" i="38" s="1"/>
  <c r="W92" i="38" a="1"/>
  <c r="W92" i="38" s="1"/>
  <c r="W139" i="38" a="1"/>
  <c r="W139" i="38" s="1"/>
  <c r="W71" i="38" a="1"/>
  <c r="W71" i="38" s="1"/>
  <c r="W68" i="38" a="1"/>
  <c r="W68" i="38" s="1"/>
  <c r="W157" i="38" a="1"/>
  <c r="W157" i="38" s="1"/>
  <c r="W76" i="38" a="1"/>
  <c r="W76" i="38" s="1"/>
  <c r="W62" i="38" a="1"/>
  <c r="W62" i="38" s="1"/>
  <c r="W122" i="38" a="1"/>
  <c r="W122" i="38" s="1"/>
  <c r="W46" i="38" a="1"/>
  <c r="W46" i="38" s="1"/>
  <c r="W107" i="38" a="1"/>
  <c r="W107" i="38" s="1"/>
  <c r="W56" i="38" a="1"/>
  <c r="W56" i="38" s="1"/>
  <c r="W83" i="38" a="1"/>
  <c r="W83" i="38" s="1"/>
  <c r="W36" i="38" a="1"/>
  <c r="W36" i="38" s="1"/>
  <c r="W118" i="38" a="1"/>
  <c r="W118" i="38" s="1"/>
  <c r="W90" i="38" a="1"/>
  <c r="W90" i="38" s="1"/>
  <c r="W44" i="38" a="1"/>
  <c r="W44" i="38" s="1"/>
  <c r="W73" i="38" a="1"/>
  <c r="W73" i="38" s="1"/>
  <c r="W70" i="38" a="1"/>
  <c r="W70" i="38" s="1"/>
  <c r="W124" i="38" a="1"/>
  <c r="W124" i="38" s="1"/>
  <c r="W113" i="38" a="1"/>
  <c r="W113" i="38" s="1"/>
  <c r="W41" i="38" a="1"/>
  <c r="W41" i="38" s="1"/>
  <c r="W99" i="38" a="1"/>
  <c r="W99" i="38" s="1"/>
  <c r="W91" i="38" a="1"/>
  <c r="W91" i="38" s="1"/>
  <c r="W134" i="38" a="1"/>
  <c r="W134" i="38" s="1"/>
  <c r="W128" i="38" a="1"/>
  <c r="W128" i="38" s="1"/>
  <c r="W65" i="38" a="1"/>
  <c r="W65" i="38" s="1"/>
  <c r="W63" i="38" a="1"/>
  <c r="W63" i="38" s="1"/>
  <c r="W58" i="38" a="1"/>
  <c r="W58" i="38" s="1"/>
  <c r="W101" i="38" a="1"/>
  <c r="W101" i="38" s="1"/>
  <c r="W109" i="38" a="1"/>
  <c r="W109" i="38" s="1"/>
  <c r="W137" i="38" a="1"/>
  <c r="W137" i="38" s="1"/>
  <c r="W85" i="38" a="1"/>
  <c r="W85" i="38" s="1"/>
  <c r="W88" i="38" a="1"/>
  <c r="W88" i="38" s="1"/>
  <c r="W35" i="38" a="1"/>
  <c r="W35" i="38" s="1"/>
  <c r="W159" i="38" a="1"/>
  <c r="W159" i="38" s="1"/>
  <c r="W39" i="38" a="1"/>
  <c r="W39" i="38" s="1"/>
  <c r="W43" i="38" a="1"/>
  <c r="W43" i="38" s="1"/>
  <c r="W32" i="38" a="1"/>
  <c r="W32" i="38" s="1"/>
  <c r="W112" i="38" a="1"/>
  <c r="W112" i="38" s="1"/>
  <c r="W53" i="38" a="1"/>
  <c r="W53" i="38" s="1"/>
  <c r="W79" i="38" a="1"/>
  <c r="W79" i="38" s="1"/>
  <c r="W115" i="38" a="1"/>
  <c r="W115" i="38" s="1"/>
  <c r="W155" i="38" a="1"/>
  <c r="W155" i="38" s="1"/>
  <c r="W161" i="38" a="1"/>
  <c r="W161" i="38" s="1"/>
  <c r="W158" i="38" a="1"/>
  <c r="W158" i="38" s="1"/>
  <c r="W103" i="38" a="1"/>
  <c r="W103" i="38" s="1"/>
  <c r="W148" i="38" a="1"/>
  <c r="W148" i="38" s="1"/>
  <c r="W50" i="38" a="1"/>
  <c r="W50" i="38" s="1"/>
  <c r="W150" i="38" a="1"/>
  <c r="W150" i="38" s="1"/>
  <c r="W94" i="38" a="1"/>
  <c r="W94" i="38" s="1"/>
  <c r="W105" i="38" a="1"/>
  <c r="W105" i="38" s="1"/>
  <c r="W147" i="38" a="1"/>
  <c r="W147" i="38" s="1"/>
  <c r="W81" i="38" a="1"/>
  <c r="W81" i="38" s="1"/>
  <c r="W38" i="38" a="1"/>
  <c r="W38" i="38" s="1"/>
  <c r="W164" i="38" a="1"/>
  <c r="W164" i="38" s="1"/>
  <c r="W163" i="38" a="1"/>
  <c r="W163" i="38" s="1"/>
  <c r="W111" i="38" a="1"/>
  <c r="W111" i="38" s="1"/>
  <c r="W154" i="38" a="1"/>
  <c r="W154" i="38" s="1"/>
  <c r="W100" i="38" a="1"/>
  <c r="W100" i="38" s="1"/>
  <c r="W146" i="38" a="1"/>
  <c r="W146" i="38" s="1"/>
  <c r="W151" i="38" a="1"/>
  <c r="W151" i="38" s="1"/>
  <c r="W117" i="38" a="1"/>
  <c r="W117" i="38" s="1"/>
  <c r="W106" i="38" a="1"/>
  <c r="W106" i="38" s="1"/>
  <c r="W145" i="38" a="1"/>
  <c r="W145" i="38" s="1"/>
  <c r="W98" i="38" a="1"/>
  <c r="W98" i="38" s="1"/>
  <c r="W55" i="38" a="1"/>
  <c r="W55" i="38" s="1"/>
  <c r="W120" i="38" a="1"/>
  <c r="W120" i="38" s="1"/>
  <c r="W108" i="38" a="1"/>
  <c r="W108" i="38" s="1"/>
  <c r="W42" i="38" a="1"/>
  <c r="W42" i="38" s="1"/>
  <c r="W59" i="38" a="1"/>
  <c r="W59" i="38" s="1"/>
  <c r="W119" i="38" a="1"/>
  <c r="W119" i="38" s="1"/>
  <c r="W84" i="38" a="1"/>
  <c r="W84" i="38" s="1"/>
  <c r="W89" i="38" a="1"/>
  <c r="W89" i="38" s="1"/>
  <c r="W82" i="38" a="1"/>
  <c r="W82" i="38" s="1"/>
  <c r="W54" i="38" a="1"/>
  <c r="W54" i="38" s="1"/>
  <c r="W95" i="38" a="1"/>
  <c r="W95" i="38" s="1"/>
  <c r="W47" i="38" a="1"/>
  <c r="W47" i="38" s="1"/>
  <c r="W156" i="38" a="1"/>
  <c r="W156" i="38" s="1"/>
  <c r="W116" i="38" a="1"/>
  <c r="W116" i="38" s="1"/>
  <c r="W143" i="38" a="1"/>
  <c r="W143" i="38" s="1"/>
  <c r="W140" i="38" a="1"/>
  <c r="W140" i="38" s="1"/>
  <c r="W33" i="38" a="1"/>
  <c r="W33" i="38" s="1"/>
  <c r="W160" i="38" a="1"/>
  <c r="W160" i="38" s="1"/>
  <c r="W74" i="38" a="1"/>
  <c r="W74" i="38" s="1"/>
  <c r="W131" i="38" a="1"/>
  <c r="W131" i="38" s="1"/>
  <c r="W69" i="38" a="1"/>
  <c r="W69" i="38" s="1"/>
  <c r="W127" i="38" a="1"/>
  <c r="W127" i="38" s="1"/>
  <c r="W67" i="38" a="1"/>
  <c r="W67" i="38" s="1"/>
  <c r="W78" i="38" a="1"/>
  <c r="W78" i="38" s="1"/>
  <c r="W97" i="38" a="1"/>
  <c r="W97" i="38" s="1"/>
  <c r="W34" i="38" a="1"/>
  <c r="W34" i="38" s="1"/>
  <c r="W57" i="38" a="1"/>
  <c r="W57" i="38" s="1"/>
  <c r="W114" i="38" a="1"/>
  <c r="W114" i="38" s="1"/>
  <c r="W77" i="38" a="1"/>
  <c r="W77" i="38" s="1"/>
  <c r="W40" i="38" a="1"/>
  <c r="W40" i="38" s="1"/>
  <c r="W153" i="38" a="1"/>
  <c r="W153" i="38" s="1"/>
  <c r="W96" i="38" a="1"/>
  <c r="W96" i="38" s="1"/>
  <c r="W110" i="38" a="1"/>
  <c r="W110" i="38" s="1"/>
  <c r="W75" i="38" a="1"/>
  <c r="W75" i="38" s="1"/>
  <c r="W130" i="38" a="1"/>
  <c r="W130" i="38" s="1"/>
  <c r="W149" i="38" a="1"/>
  <c r="W149" i="38" s="1"/>
  <c r="W102" i="38" a="1"/>
  <c r="W102" i="38" s="1"/>
  <c r="W86" i="38" a="1"/>
  <c r="W86" i="38" s="1"/>
  <c r="W80" i="38" a="1"/>
  <c r="W80" i="38" s="1"/>
  <c r="W66" i="38" a="1"/>
  <c r="W66" i="38" s="1"/>
  <c r="W61" i="38" a="1"/>
  <c r="W61" i="38" s="1"/>
  <c r="W64" i="38" a="1"/>
  <c r="W64" i="38" s="1"/>
  <c r="W104" i="38" a="1"/>
  <c r="W104" i="38" s="1"/>
  <c r="W162" i="38" a="1"/>
  <c r="W162" i="38" s="1"/>
  <c r="W48" i="38" a="1"/>
  <c r="W48" i="38" s="1"/>
  <c r="W49" i="38" a="1"/>
  <c r="W49" i="38" s="1"/>
  <c r="W144" i="38" a="1"/>
  <c r="W144" i="38" s="1"/>
  <c r="W87" i="38" a="1"/>
  <c r="W87" i="38" s="1"/>
  <c r="W133" i="38" a="1"/>
  <c r="W133" i="38" s="1"/>
  <c r="W60" i="38" a="1"/>
  <c r="W60" i="38" s="1"/>
  <c r="W51" i="38" a="1"/>
  <c r="W51" i="38" s="1"/>
  <c r="W136" i="38" a="1"/>
  <c r="W136" i="38" s="1"/>
  <c r="W165" i="38" a="1"/>
  <c r="W165" i="38" s="1"/>
  <c r="W72" i="38" a="1"/>
  <c r="W72" i="38" s="1"/>
  <c r="W125" i="38" a="1"/>
  <c r="W125" i="38" s="1"/>
  <c r="AB142" i="38" a="1"/>
  <c r="AB142" i="38" s="1"/>
  <c r="AB39" i="38" a="1"/>
  <c r="AB39" i="38" s="1"/>
  <c r="AB120" i="38" a="1"/>
  <c r="AB120" i="38" s="1"/>
  <c r="AB85" i="38" a="1"/>
  <c r="AB85" i="38" s="1"/>
  <c r="AB45" i="38" a="1"/>
  <c r="AB45" i="38" s="1"/>
  <c r="AB91" i="38" a="1"/>
  <c r="AB91" i="38" s="1"/>
  <c r="AB132" i="38" a="1"/>
  <c r="AB132" i="38" s="1"/>
  <c r="AB65" i="38" a="1"/>
  <c r="AB65" i="38" s="1"/>
  <c r="AB126" i="38" a="1"/>
  <c r="AB126" i="38" s="1"/>
  <c r="AB107" i="38" a="1"/>
  <c r="AB107" i="38" s="1"/>
  <c r="AB106" i="38" a="1"/>
  <c r="AB106" i="38" s="1"/>
  <c r="AB88" i="38" a="1"/>
  <c r="AB88" i="38" s="1"/>
  <c r="AB124" i="38" a="1"/>
  <c r="AB124" i="38" s="1"/>
  <c r="AB31" i="38" a="1"/>
  <c r="AB31" i="38" s="1"/>
  <c r="AB47" i="38" a="1"/>
  <c r="AB47" i="38" s="1"/>
  <c r="AB118" i="38" a="1"/>
  <c r="AB118" i="38" s="1"/>
  <c r="AB162" i="38" a="1"/>
  <c r="AB162" i="38" s="1"/>
  <c r="AB155" i="38" a="1"/>
  <c r="AB155" i="38" s="1"/>
  <c r="AB98" i="38" a="1"/>
  <c r="AB98" i="38" s="1"/>
  <c r="AB113" i="38" a="1"/>
  <c r="AB113" i="38" s="1"/>
  <c r="AB109" i="38" a="1"/>
  <c r="AB109" i="38" s="1"/>
  <c r="AB83" i="38" a="1"/>
  <c r="AB83" i="38" s="1"/>
  <c r="AB71" i="38" a="1"/>
  <c r="AB71" i="38" s="1"/>
  <c r="AB35" i="38" a="1"/>
  <c r="AB35" i="38" s="1"/>
  <c r="AB159" i="38" a="1"/>
  <c r="AB159" i="38" s="1"/>
  <c r="AB101" i="38" a="1"/>
  <c r="AB101" i="38" s="1"/>
  <c r="AB100" i="38" a="1"/>
  <c r="AB100" i="38" s="1"/>
  <c r="AB112" i="38" a="1"/>
  <c r="AB112" i="38" s="1"/>
  <c r="AB147" i="38" a="1"/>
  <c r="AB147" i="38" s="1"/>
  <c r="AB84" i="38" a="1"/>
  <c r="AB84" i="38" s="1"/>
  <c r="AB157" i="38" a="1"/>
  <c r="AB157" i="38" s="1"/>
  <c r="AB53" i="38" a="1"/>
  <c r="AB53" i="38" s="1"/>
  <c r="AB160" i="38" a="1"/>
  <c r="AB160" i="38" s="1"/>
  <c r="AB50" i="38" a="1"/>
  <c r="AB50" i="38" s="1"/>
  <c r="AB134" i="38" a="1"/>
  <c r="AB134" i="38" s="1"/>
  <c r="AB73" i="38" a="1"/>
  <c r="AB73" i="38" s="1"/>
  <c r="AB76" i="38" a="1"/>
  <c r="AB76" i="38" s="1"/>
  <c r="AB34" i="38" a="1"/>
  <c r="AB34" i="38" s="1"/>
  <c r="AB68" i="38" a="1"/>
  <c r="AB68" i="38" s="1"/>
  <c r="AB41" i="38" a="1"/>
  <c r="AB41" i="38" s="1"/>
  <c r="AB149" i="38" a="1"/>
  <c r="AB149" i="38" s="1"/>
  <c r="AB93" i="38" a="1"/>
  <c r="AB93" i="38" s="1"/>
  <c r="AB130" i="38" a="1"/>
  <c r="AB130" i="38" s="1"/>
  <c r="AB48" i="38" a="1"/>
  <c r="AB48" i="38" s="1"/>
  <c r="AB141" i="38" a="1"/>
  <c r="AB141" i="38" s="1"/>
  <c r="AB163" i="38" a="1"/>
  <c r="AB163" i="38" s="1"/>
  <c r="AB146" i="38" a="1"/>
  <c r="AB146" i="38" s="1"/>
  <c r="AB49" i="38" a="1"/>
  <c r="AB49" i="38" s="1"/>
  <c r="AB137" i="38" a="1"/>
  <c r="AB137" i="38" s="1"/>
  <c r="AB139" i="38" a="1"/>
  <c r="AB139" i="38" s="1"/>
  <c r="AB164" i="38" a="1"/>
  <c r="AB164" i="38" s="1"/>
  <c r="AB114" i="38" a="1"/>
  <c r="AB114" i="38" s="1"/>
  <c r="AB111" i="38" a="1"/>
  <c r="AB111" i="38" s="1"/>
  <c r="AB54" i="38" a="1"/>
  <c r="AB54" i="38" s="1"/>
  <c r="AB108" i="38" a="1"/>
  <c r="AB108" i="38" s="1"/>
  <c r="AB143" i="38" a="1"/>
  <c r="AB143" i="38" s="1"/>
  <c r="AB122" i="38" a="1"/>
  <c r="AB122" i="38" s="1"/>
  <c r="AB60" i="38" a="1"/>
  <c r="AB60" i="38" s="1"/>
  <c r="AB156" i="38" a="1"/>
  <c r="AB156" i="38" s="1"/>
  <c r="AB103" i="38" a="1"/>
  <c r="AB103" i="38" s="1"/>
  <c r="AB51" i="38" a="1"/>
  <c r="AB51" i="38" s="1"/>
  <c r="AB158" i="38" a="1"/>
  <c r="AB158" i="38" s="1"/>
  <c r="AB102" i="38" a="1"/>
  <c r="AB102" i="38" s="1"/>
  <c r="AB95" i="38" a="1"/>
  <c r="AB95" i="38" s="1"/>
  <c r="AB38" i="38" a="1"/>
  <c r="AB38" i="38" s="1"/>
  <c r="AB151" i="38" a="1"/>
  <c r="AB151" i="38" s="1"/>
  <c r="AB104" i="38" a="1"/>
  <c r="AB104" i="38" s="1"/>
  <c r="AB145" i="38" a="1"/>
  <c r="AB145" i="38" s="1"/>
  <c r="AB153" i="38" a="1"/>
  <c r="AB153" i="38" s="1"/>
  <c r="AB165" i="38" a="1"/>
  <c r="AB165" i="38" s="1"/>
  <c r="AB105" i="38" a="1"/>
  <c r="AB105" i="38" s="1"/>
  <c r="AB97" i="38" a="1"/>
  <c r="AB97" i="38" s="1"/>
  <c r="AB150" i="38" a="1"/>
  <c r="AB150" i="38" s="1"/>
  <c r="AB94" i="38" a="1"/>
  <c r="AB94" i="38" s="1"/>
  <c r="AB58" i="38" a="1"/>
  <c r="AB58" i="38" s="1"/>
  <c r="AB144" i="38" a="1"/>
  <c r="AB144" i="38" s="1"/>
  <c r="AB89" i="38" a="1"/>
  <c r="AB89" i="38" s="1"/>
  <c r="AB52" i="38" a="1"/>
  <c r="AB52" i="38" s="1"/>
  <c r="AB138" i="38" a="1"/>
  <c r="AB138" i="38" s="1"/>
  <c r="AB77" i="38" a="1"/>
  <c r="AB77" i="38" s="1"/>
  <c r="AB133" i="38" a="1"/>
  <c r="AB133" i="38" s="1"/>
  <c r="AB40" i="38" a="1"/>
  <c r="AB40" i="38" s="1"/>
  <c r="AB67" i="38" a="1"/>
  <c r="AB67" i="38" s="1"/>
  <c r="AB121" i="38" a="1"/>
  <c r="AB121" i="38" s="1"/>
  <c r="AB32" i="38" a="1"/>
  <c r="AB32" i="38" s="1"/>
  <c r="AB119" i="38" a="1"/>
  <c r="AB119" i="38" s="1"/>
  <c r="AB96" i="38" a="1"/>
  <c r="AB96" i="38" s="1"/>
  <c r="AB154" i="38" a="1"/>
  <c r="AB154" i="38" s="1"/>
  <c r="AB43" i="38" a="1"/>
  <c r="AB43" i="38" s="1"/>
  <c r="AB64" i="38" a="1"/>
  <c r="AB64" i="38" s="1"/>
  <c r="AB42" i="38" a="1"/>
  <c r="AB42" i="38" s="1"/>
  <c r="AB110" i="38" a="1"/>
  <c r="AB110" i="38" s="1"/>
  <c r="AB136" i="38" a="1"/>
  <c r="AB136" i="38" s="1"/>
  <c r="AB80" i="38" a="1"/>
  <c r="AB80" i="38" s="1"/>
  <c r="AB63" i="38" a="1"/>
  <c r="AB63" i="38" s="1"/>
  <c r="AB59" i="38" a="1"/>
  <c r="AB59" i="38" s="1"/>
  <c r="AB148" i="38" a="1"/>
  <c r="AB148" i="38" s="1"/>
  <c r="AB55" i="38" a="1"/>
  <c r="AB55" i="38" s="1"/>
  <c r="AB36" i="38" a="1"/>
  <c r="AB36" i="38" s="1"/>
  <c r="AB129" i="38" a="1"/>
  <c r="AB129" i="38" s="1"/>
  <c r="AB123" i="38" a="1"/>
  <c r="AB123" i="38" s="1"/>
  <c r="AB152" i="38" a="1"/>
  <c r="AB152" i="38" s="1"/>
  <c r="AB46" i="38" a="1"/>
  <c r="AB46" i="38" s="1"/>
  <c r="AB56" i="38" a="1"/>
  <c r="AB56" i="38" s="1"/>
  <c r="AB87" i="38" a="1"/>
  <c r="AB87" i="38" s="1"/>
  <c r="AB135" i="38" a="1"/>
  <c r="AB135" i="38" s="1"/>
  <c r="AB37" i="38" a="1"/>
  <c r="AB37" i="38" s="1"/>
  <c r="AB57" i="38" a="1"/>
  <c r="AB57" i="38" s="1"/>
  <c r="AB128" i="38" a="1"/>
  <c r="AB128" i="38" s="1"/>
  <c r="AB161" i="38" a="1"/>
  <c r="AB161" i="38" s="1"/>
  <c r="AB75" i="38" a="1"/>
  <c r="AB75" i="38" s="1"/>
  <c r="AB99" i="38" a="1"/>
  <c r="AB99" i="38" s="1"/>
  <c r="AB79" i="38" a="1"/>
  <c r="AB79" i="38" s="1"/>
  <c r="AB92" i="38" a="1"/>
  <c r="AB92" i="38" s="1"/>
  <c r="AB81" i="38" a="1"/>
  <c r="AB81" i="38" s="1"/>
  <c r="AB127" i="38" a="1"/>
  <c r="AB127" i="38" s="1"/>
  <c r="AB125" i="38" a="1"/>
  <c r="AB125" i="38" s="1"/>
  <c r="AB33" i="38" a="1"/>
  <c r="AB33" i="38" s="1"/>
  <c r="AB131" i="38" a="1"/>
  <c r="AB131" i="38" s="1"/>
  <c r="AB115" i="38" a="1"/>
  <c r="AB115" i="38" s="1"/>
  <c r="AB117" i="38" a="1"/>
  <c r="AB117" i="38" s="1"/>
  <c r="AB44" i="38" a="1"/>
  <c r="AB44" i="38" s="1"/>
  <c r="AB116" i="38" a="1"/>
  <c r="AB116" i="38" s="1"/>
  <c r="AB140" i="38" a="1"/>
  <c r="AB140" i="38" s="1"/>
  <c r="AB69" i="38" a="1"/>
  <c r="AB69" i="38" s="1"/>
  <c r="AB72" i="38" a="1"/>
  <c r="AB72" i="38" s="1"/>
  <c r="AB61" i="38" a="1"/>
  <c r="AB61" i="38" s="1"/>
  <c r="V92" i="38" a="1"/>
  <c r="V92" i="38" s="1"/>
  <c r="V41" i="38" a="1"/>
  <c r="V41" i="38" s="1"/>
  <c r="V103" i="38" a="1"/>
  <c r="V103" i="38" s="1"/>
  <c r="V45" i="38" a="1"/>
  <c r="V45" i="38" s="1"/>
  <c r="V43" i="38" a="1"/>
  <c r="V43" i="38" s="1"/>
  <c r="V109" i="38" a="1"/>
  <c r="V109" i="38" s="1"/>
  <c r="V134" i="38" a="1"/>
  <c r="V134" i="38" s="1"/>
  <c r="V130" i="38" a="1"/>
  <c r="V130" i="38" s="1"/>
  <c r="V76" i="38" a="1"/>
  <c r="V76" i="38" s="1"/>
  <c r="V44" i="38" a="1"/>
  <c r="V44" i="38" s="1"/>
  <c r="V38" i="38" a="1"/>
  <c r="V38" i="38" s="1"/>
  <c r="V162" i="38" a="1"/>
  <c r="V162" i="38" s="1"/>
  <c r="V113" i="38" a="1"/>
  <c r="V113" i="38" s="1"/>
  <c r="V164" i="38" a="1"/>
  <c r="V164" i="38" s="1"/>
  <c r="V48" i="38" a="1"/>
  <c r="V48" i="38" s="1"/>
  <c r="V55" i="38" a="1"/>
  <c r="V55" i="38" s="1"/>
  <c r="V118" i="38" a="1"/>
  <c r="V118" i="38" s="1"/>
  <c r="V112" i="38" a="1"/>
  <c r="V112" i="38" s="1"/>
  <c r="V137" i="38" a="1"/>
  <c r="V137" i="38" s="1"/>
  <c r="V132" i="38" a="1"/>
  <c r="V132" i="38" s="1"/>
  <c r="V65" i="38" a="1"/>
  <c r="V65" i="38" s="1"/>
  <c r="V68" i="38" a="1"/>
  <c r="V68" i="38" s="1"/>
  <c r="V126" i="38" a="1"/>
  <c r="V126" i="38" s="1"/>
  <c r="V63" i="38" a="1"/>
  <c r="V63" i="38" s="1"/>
  <c r="V58" i="38" a="1"/>
  <c r="V58" i="38" s="1"/>
  <c r="V89" i="38" a="1"/>
  <c r="V89" i="38" s="1"/>
  <c r="V101" i="38" a="1"/>
  <c r="V101" i="38" s="1"/>
  <c r="V155" i="38" a="1"/>
  <c r="V155" i="38" s="1"/>
  <c r="V98" i="38" a="1"/>
  <c r="V98" i="38" s="1"/>
  <c r="V37" i="38" a="1"/>
  <c r="V37" i="38" s="1"/>
  <c r="V85" i="38" a="1"/>
  <c r="V85" i="38" s="1"/>
  <c r="V71" i="38" a="1"/>
  <c r="V71" i="38" s="1"/>
  <c r="V31" i="38" a="1"/>
  <c r="V31" i="38" s="1"/>
  <c r="V39" i="38" a="1"/>
  <c r="V39" i="38" s="1"/>
  <c r="V153" i="38" a="1"/>
  <c r="V153" i="38" s="1"/>
  <c r="V149" i="38" a="1"/>
  <c r="V149" i="38" s="1"/>
  <c r="V93" i="38" a="1"/>
  <c r="V93" i="38" s="1"/>
  <c r="V84" i="38" a="1"/>
  <c r="V84" i="38" s="1"/>
  <c r="V53" i="38" a="1"/>
  <c r="V53" i="38" s="1"/>
  <c r="V83" i="38" a="1"/>
  <c r="V83" i="38" s="1"/>
  <c r="V141" i="38" a="1"/>
  <c r="V141" i="38" s="1"/>
  <c r="V147" i="38" a="1"/>
  <c r="V147" i="38" s="1"/>
  <c r="V157" i="38" a="1"/>
  <c r="V157" i="38" s="1"/>
  <c r="V99" i="38" a="1"/>
  <c r="V99" i="38" s="1"/>
  <c r="V139" i="38" a="1"/>
  <c r="V139" i="38" s="1"/>
  <c r="V73" i="38" a="1"/>
  <c r="V73" i="38" s="1"/>
  <c r="V52" i="38" a="1"/>
  <c r="V52" i="38" s="1"/>
  <c r="V128" i="38" a="1"/>
  <c r="V128" i="38" s="1"/>
  <c r="V111" i="38" a="1"/>
  <c r="V111" i="38" s="1"/>
  <c r="V50" i="38" a="1"/>
  <c r="V50" i="38" s="1"/>
  <c r="V95" i="38" a="1"/>
  <c r="V95" i="38" s="1"/>
  <c r="V79" i="38" a="1"/>
  <c r="V79" i="38" s="1"/>
  <c r="V122" i="38" a="1"/>
  <c r="V122" i="38" s="1"/>
  <c r="V96" i="38" a="1"/>
  <c r="V96" i="38" s="1"/>
  <c r="V120" i="38" a="1"/>
  <c r="V120" i="38" s="1"/>
  <c r="V102" i="38" a="1"/>
  <c r="V102" i="38" s="1"/>
  <c r="V100" i="38" a="1"/>
  <c r="V100" i="38" s="1"/>
  <c r="V151" i="38" a="1"/>
  <c r="V151" i="38" s="1"/>
  <c r="V106" i="38" a="1"/>
  <c r="V106" i="38" s="1"/>
  <c r="V77" i="38" a="1"/>
  <c r="V77" i="38" s="1"/>
  <c r="V124" i="38" a="1"/>
  <c r="V124" i="38" s="1"/>
  <c r="V110" i="38" a="1"/>
  <c r="V110" i="38" s="1"/>
  <c r="V54" i="38" a="1"/>
  <c r="V54" i="38" s="1"/>
  <c r="V152" i="38" a="1"/>
  <c r="V152" i="38" s="1"/>
  <c r="V47" i="38" a="1"/>
  <c r="V47" i="38" s="1"/>
  <c r="V143" i="38" a="1"/>
  <c r="V143" i="38" s="1"/>
  <c r="V91" i="38" a="1"/>
  <c r="V91" i="38" s="1"/>
  <c r="V60" i="38" a="1"/>
  <c r="V60" i="38" s="1"/>
  <c r="V105" i="38" a="1"/>
  <c r="V105" i="38" s="1"/>
  <c r="V51" i="38" a="1"/>
  <c r="V51" i="38" s="1"/>
  <c r="V97" i="38" a="1"/>
  <c r="V97" i="38" s="1"/>
  <c r="V148" i="38" a="1"/>
  <c r="V148" i="38" s="1"/>
  <c r="V104" i="38" a="1"/>
  <c r="V104" i="38" s="1"/>
  <c r="V136" i="38" a="1"/>
  <c r="V136" i="38" s="1"/>
  <c r="V160" i="38" a="1"/>
  <c r="V160" i="38" s="1"/>
  <c r="V114" i="38" a="1"/>
  <c r="V114" i="38" s="1"/>
  <c r="V145" i="38" a="1"/>
  <c r="V145" i="38" s="1"/>
  <c r="V142" i="38" a="1"/>
  <c r="V142" i="38" s="1"/>
  <c r="V94" i="38" a="1"/>
  <c r="V94" i="38" s="1"/>
  <c r="V87" i="38" a="1"/>
  <c r="V87" i="38" s="1"/>
  <c r="V135" i="38" a="1"/>
  <c r="V135" i="38" s="1"/>
  <c r="V59" i="38" a="1"/>
  <c r="V59" i="38" s="1"/>
  <c r="V88" i="38" a="1"/>
  <c r="V88" i="38" s="1"/>
  <c r="V107" i="38" a="1"/>
  <c r="V107" i="38" s="1"/>
  <c r="V163" i="38" a="1"/>
  <c r="V163" i="38" s="1"/>
  <c r="V35" i="38" a="1"/>
  <c r="V35" i="38" s="1"/>
  <c r="V144" i="38" a="1"/>
  <c r="V144" i="38" s="1"/>
  <c r="V33" i="38" a="1"/>
  <c r="V33" i="38" s="1"/>
  <c r="V32" i="38" a="1"/>
  <c r="V32" i="38" s="1"/>
  <c r="V46" i="38" a="1"/>
  <c r="V46" i="38" s="1"/>
  <c r="V161" i="38" a="1"/>
  <c r="V161" i="38" s="1"/>
  <c r="V108" i="38" a="1"/>
  <c r="V108" i="38" s="1"/>
  <c r="V146" i="38" a="1"/>
  <c r="V146" i="38" s="1"/>
  <c r="V42" i="38" a="1"/>
  <c r="V42" i="38" s="1"/>
  <c r="V34" i="38" a="1"/>
  <c r="V34" i="38" s="1"/>
  <c r="V150" i="38" a="1"/>
  <c r="V150" i="38" s="1"/>
  <c r="V49" i="38" a="1"/>
  <c r="V49" i="38" s="1"/>
  <c r="V138" i="38" a="1"/>
  <c r="V138" i="38" s="1"/>
  <c r="V80" i="38" a="1"/>
  <c r="V80" i="38" s="1"/>
  <c r="V69" i="38" a="1"/>
  <c r="V69" i="38" s="1"/>
  <c r="V61" i="38" a="1"/>
  <c r="V61" i="38" s="1"/>
  <c r="V64" i="38" a="1"/>
  <c r="V64" i="38" s="1"/>
  <c r="V154" i="38" a="1"/>
  <c r="V154" i="38" s="1"/>
  <c r="V36" i="38" a="1"/>
  <c r="V36" i="38" s="1"/>
  <c r="V121" i="38" a="1"/>
  <c r="V121" i="38" s="1"/>
  <c r="V123" i="38" a="1"/>
  <c r="V123" i="38" s="1"/>
  <c r="V165" i="38" a="1"/>
  <c r="V165" i="38" s="1"/>
  <c r="V158" i="38" a="1"/>
  <c r="V158" i="38" s="1"/>
  <c r="V56" i="38" a="1"/>
  <c r="V56" i="38" s="1"/>
  <c r="V67" i="38" a="1"/>
  <c r="V67" i="38" s="1"/>
  <c r="V125" i="38" a="1"/>
  <c r="V125" i="38" s="1"/>
  <c r="V57" i="38" a="1"/>
  <c r="V57" i="38" s="1"/>
  <c r="V115" i="38" a="1"/>
  <c r="V115" i="38" s="1"/>
  <c r="V116" i="38" a="1"/>
  <c r="V116" i="38" s="1"/>
  <c r="V119" i="38" a="1"/>
  <c r="V119" i="38" s="1"/>
  <c r="V140" i="38" a="1"/>
  <c r="V140" i="38" s="1"/>
  <c r="V72" i="38" a="1"/>
  <c r="V72" i="38" s="1"/>
  <c r="V159" i="38" a="1"/>
  <c r="V159" i="38" s="1"/>
  <c r="V156" i="38" a="1"/>
  <c r="V156" i="38" s="1"/>
  <c r="V81" i="38" a="1"/>
  <c r="V81" i="38" s="1"/>
  <c r="V133" i="38" a="1"/>
  <c r="V133" i="38" s="1"/>
  <c r="V40" i="38" a="1"/>
  <c r="V40" i="38" s="1"/>
  <c r="V75" i="38" a="1"/>
  <c r="V75" i="38" s="1"/>
  <c r="V131" i="38" a="1"/>
  <c r="V131" i="38" s="1"/>
  <c r="V127" i="38" a="1"/>
  <c r="V127" i="38" s="1"/>
  <c r="V129" i="38" a="1"/>
  <c r="V129" i="38" s="1"/>
  <c r="V117" i="38" a="1"/>
  <c r="V117" i="38" s="1"/>
  <c r="Y97" i="38" a="1"/>
  <c r="Y97" i="38" s="1"/>
  <c r="Y60" i="38" a="1"/>
  <c r="Y60" i="38" s="1"/>
  <c r="Y69" i="38" a="1"/>
  <c r="Y69" i="38" s="1"/>
  <c r="Y141" i="38" a="1"/>
  <c r="Y141" i="38" s="1"/>
  <c r="Y68" i="38" a="1"/>
  <c r="Y68" i="38" s="1"/>
  <c r="Y164" i="38" a="1"/>
  <c r="Y164" i="38" s="1"/>
  <c r="Y119" i="38" a="1"/>
  <c r="Y119" i="38" s="1"/>
  <c r="Y32" i="38" a="1"/>
  <c r="Y32" i="38" s="1"/>
  <c r="Y143" i="38" a="1"/>
  <c r="Y143" i="38" s="1"/>
  <c r="Y162" i="38" a="1"/>
  <c r="Y162" i="38" s="1"/>
  <c r="Y98" i="38" a="1"/>
  <c r="Y98" i="38" s="1"/>
  <c r="Y109" i="38" a="1"/>
  <c r="Y109" i="38" s="1"/>
  <c r="Y79" i="38" a="1"/>
  <c r="Y79" i="38" s="1"/>
  <c r="Y35" i="38" a="1"/>
  <c r="Y35" i="38" s="1"/>
  <c r="Y34" i="38" a="1"/>
  <c r="Y34" i="38" s="1"/>
  <c r="Y63" i="38" a="1"/>
  <c r="Y63" i="38" s="1"/>
  <c r="Y153" i="38" a="1"/>
  <c r="Y153" i="38" s="1"/>
  <c r="Y149" i="38" a="1"/>
  <c r="Y149" i="38" s="1"/>
  <c r="Y114" i="38" a="1"/>
  <c r="Y114" i="38" s="1"/>
  <c r="Y112" i="38" a="1"/>
  <c r="Y112" i="38" s="1"/>
  <c r="Y52" i="38" a="1"/>
  <c r="Y52" i="38" s="1"/>
  <c r="Y93" i="38" a="1"/>
  <c r="Y93" i="38" s="1"/>
  <c r="Y83" i="38" a="1"/>
  <c r="Y83" i="38" s="1"/>
  <c r="Y157" i="38" a="1"/>
  <c r="Y157" i="38" s="1"/>
  <c r="Y53" i="38" a="1"/>
  <c r="Y53" i="38" s="1"/>
  <c r="Y99" i="38" a="1"/>
  <c r="Y99" i="38" s="1"/>
  <c r="Y139" i="38" a="1"/>
  <c r="Y139" i="38" s="1"/>
  <c r="Y39" i="38" a="1"/>
  <c r="Y39" i="38" s="1"/>
  <c r="Y130" i="38" a="1"/>
  <c r="Y130" i="38" s="1"/>
  <c r="Y42" i="38" a="1"/>
  <c r="Y42" i="38" s="1"/>
  <c r="Y56" i="38" a="1"/>
  <c r="Y56" i="38" s="1"/>
  <c r="Y48" i="38" a="1"/>
  <c r="Y48" i="38" s="1"/>
  <c r="Y44" i="38" a="1"/>
  <c r="Y44" i="38" s="1"/>
  <c r="Y76" i="38" a="1"/>
  <c r="Y76" i="38" s="1"/>
  <c r="Y122" i="38" a="1"/>
  <c r="Y122" i="38" s="1"/>
  <c r="Y107" i="38" a="1"/>
  <c r="Y107" i="38" s="1"/>
  <c r="Y36" i="38" a="1"/>
  <c r="Y36" i="38" s="1"/>
  <c r="Y73" i="38" a="1"/>
  <c r="Y73" i="38" s="1"/>
  <c r="Y132" i="38" a="1"/>
  <c r="Y132" i="38" s="1"/>
  <c r="Y160" i="38" a="1"/>
  <c r="Y160" i="38" s="1"/>
  <c r="Y59" i="38" a="1"/>
  <c r="Y59" i="38" s="1"/>
  <c r="Y118" i="38" a="1"/>
  <c r="Y118" i="38" s="1"/>
  <c r="Y155" i="38" a="1"/>
  <c r="Y155" i="38" s="1"/>
  <c r="Y137" i="38" a="1"/>
  <c r="Y137" i="38" s="1"/>
  <c r="Y88" i="38" a="1"/>
  <c r="Y88" i="38" s="1"/>
  <c r="Y134" i="38" a="1"/>
  <c r="Y134" i="38" s="1"/>
  <c r="Y91" i="38" a="1"/>
  <c r="Y91" i="38" s="1"/>
  <c r="Y161" i="38" a="1"/>
  <c r="Y161" i="38" s="1"/>
  <c r="Y165" i="38" a="1"/>
  <c r="Y165" i="38" s="1"/>
  <c r="Y108" i="38" a="1"/>
  <c r="Y108" i="38" s="1"/>
  <c r="Y95" i="38" a="1"/>
  <c r="Y95" i="38" s="1"/>
  <c r="Y47" i="38" a="1"/>
  <c r="Y47" i="38" s="1"/>
  <c r="Y33" i="38" a="1"/>
  <c r="Y33" i="38" s="1"/>
  <c r="Y58" i="38" a="1"/>
  <c r="Y58" i="38" s="1"/>
  <c r="Y128" i="38" a="1"/>
  <c r="Y128" i="38" s="1"/>
  <c r="Y51" i="38" a="1"/>
  <c r="Y51" i="38" s="1"/>
  <c r="Y45" i="38" a="1"/>
  <c r="Y45" i="38" s="1"/>
  <c r="Y116" i="38" a="1"/>
  <c r="Y116" i="38" s="1"/>
  <c r="Y92" i="38" a="1"/>
  <c r="Y92" i="38" s="1"/>
  <c r="Y117" i="38" a="1"/>
  <c r="Y117" i="38" s="1"/>
  <c r="Y150" i="38" a="1"/>
  <c r="Y150" i="38" s="1"/>
  <c r="Y146" i="38" a="1"/>
  <c r="Y146" i="38" s="1"/>
  <c r="Y40" i="38" a="1"/>
  <c r="Y40" i="38" s="1"/>
  <c r="Y151" i="38" a="1"/>
  <c r="Y151" i="38" s="1"/>
  <c r="Y144" i="38" a="1"/>
  <c r="Y144" i="38" s="1"/>
  <c r="Y138" i="38" a="1"/>
  <c r="Y138" i="38" s="1"/>
  <c r="Y38" i="38" a="1"/>
  <c r="Y38" i="38" s="1"/>
  <c r="Y124" i="38" a="1"/>
  <c r="Y124" i="38" s="1"/>
  <c r="Y101" i="38" a="1"/>
  <c r="Y101" i="38" s="1"/>
  <c r="Y142" i="38" a="1"/>
  <c r="Y142" i="38" s="1"/>
  <c r="Y110" i="38" a="1"/>
  <c r="Y110" i="38" s="1"/>
  <c r="Y156" i="38" a="1"/>
  <c r="Y156" i="38" s="1"/>
  <c r="Y152" i="38" a="1"/>
  <c r="Y152" i="38" s="1"/>
  <c r="Y94" i="38" a="1"/>
  <c r="Y94" i="38" s="1"/>
  <c r="Y49" i="38" a="1"/>
  <c r="Y49" i="38" s="1"/>
  <c r="Y85" i="38" a="1"/>
  <c r="Y85" i="38" s="1"/>
  <c r="Y65" i="38" a="1"/>
  <c r="Y65" i="38" s="1"/>
  <c r="Y31" i="38" a="1"/>
  <c r="Y31" i="38" s="1"/>
  <c r="Y57" i="38" a="1"/>
  <c r="Y57" i="38" s="1"/>
  <c r="Y96" i="38" a="1"/>
  <c r="Y96" i="38" s="1"/>
  <c r="Y158" i="38" a="1"/>
  <c r="Y158" i="38" s="1"/>
  <c r="Y103" i="38" a="1"/>
  <c r="Y103" i="38" s="1"/>
  <c r="Y145" i="38" a="1"/>
  <c r="Y145" i="38" s="1"/>
  <c r="Y46" i="38" a="1"/>
  <c r="Y46" i="38" s="1"/>
  <c r="Y115" i="38" a="1"/>
  <c r="Y115" i="38" s="1"/>
  <c r="Y54" i="38" a="1"/>
  <c r="Y54" i="38" s="1"/>
  <c r="Y129" i="38" a="1"/>
  <c r="Y129" i="38" s="1"/>
  <c r="Y147" i="38" a="1"/>
  <c r="Y147" i="38" s="1"/>
  <c r="Y159" i="38" a="1"/>
  <c r="Y159" i="38" s="1"/>
  <c r="Y111" i="38" a="1"/>
  <c r="Y111" i="38" s="1"/>
  <c r="Y102" i="38" a="1"/>
  <c r="Y102" i="38" s="1"/>
  <c r="Y100" i="38" a="1"/>
  <c r="Y100" i="38" s="1"/>
  <c r="Y72" i="38" a="1"/>
  <c r="Y72" i="38" s="1"/>
  <c r="Y120" i="38" a="1"/>
  <c r="Y120" i="38" s="1"/>
  <c r="Y55" i="38" a="1"/>
  <c r="Y55" i="38" s="1"/>
  <c r="Y154" i="38" a="1"/>
  <c r="Y154" i="38" s="1"/>
  <c r="Y135" i="38" a="1"/>
  <c r="Y135" i="38" s="1"/>
  <c r="Y37" i="38" a="1"/>
  <c r="Y37" i="38" s="1"/>
  <c r="Y67" i="38" a="1"/>
  <c r="Y67" i="38" s="1"/>
  <c r="Y125" i="38" a="1"/>
  <c r="Y125" i="38" s="1"/>
  <c r="Y89" i="38" a="1"/>
  <c r="Y89" i="38" s="1"/>
  <c r="Y71" i="38" a="1"/>
  <c r="Y71" i="38" s="1"/>
  <c r="Y84" i="38" a="1"/>
  <c r="Y84" i="38" s="1"/>
  <c r="Y87" i="38" a="1"/>
  <c r="Y87" i="38" s="1"/>
  <c r="Y81" i="38" a="1"/>
  <c r="Y81" i="38" s="1"/>
  <c r="Y163" i="38" a="1"/>
  <c r="Y163" i="38" s="1"/>
  <c r="Y50" i="38" a="1"/>
  <c r="Y50" i="38" s="1"/>
  <c r="Y136" i="38" a="1"/>
  <c r="Y136" i="38" s="1"/>
  <c r="Y140" i="38" a="1"/>
  <c r="Y140" i="38" s="1"/>
  <c r="Y77" i="38" a="1"/>
  <c r="Y77" i="38" s="1"/>
  <c r="Y133" i="38" a="1"/>
  <c r="Y133" i="38" s="1"/>
  <c r="Y75" i="38" a="1"/>
  <c r="Y75" i="38" s="1"/>
  <c r="Y131" i="38" a="1"/>
  <c r="Y131" i="38" s="1"/>
  <c r="Y121" i="38" a="1"/>
  <c r="Y121" i="38" s="1"/>
  <c r="Y105" i="38" a="1"/>
  <c r="Y105" i="38" s="1"/>
  <c r="Y41" i="38" a="1"/>
  <c r="Y41" i="38" s="1"/>
  <c r="Y104" i="38" a="1"/>
  <c r="Y104" i="38" s="1"/>
  <c r="Y127" i="38" a="1"/>
  <c r="Y127" i="38" s="1"/>
  <c r="Y61" i="38" a="1"/>
  <c r="Y61" i="38" s="1"/>
  <c r="Y113" i="38" a="1"/>
  <c r="Y113" i="38" s="1"/>
  <c r="Y148" i="38" a="1"/>
  <c r="Y148" i="38" s="1"/>
  <c r="Y64" i="38" a="1"/>
  <c r="Y64" i="38" s="1"/>
  <c r="Y126" i="38" a="1"/>
  <c r="Y126" i="38" s="1"/>
  <c r="Y106" i="38" a="1"/>
  <c r="Y106" i="38" s="1"/>
  <c r="Y43" i="38" a="1"/>
  <c r="Y43" i="38" s="1"/>
  <c r="Y80" i="38" a="1"/>
  <c r="Y80" i="38" s="1"/>
  <c r="Y123" i="38" a="1"/>
  <c r="Y123" i="38" s="1"/>
  <c r="U38" i="38" a="1"/>
  <c r="U38" i="38" s="1"/>
  <c r="U51" i="38" a="1"/>
  <c r="U51" i="38" s="1"/>
  <c r="U59" i="38" a="1"/>
  <c r="U59" i="38" s="1"/>
  <c r="U162" i="38" a="1"/>
  <c r="U162" i="38" s="1"/>
  <c r="U137" i="38" a="1"/>
  <c r="U137" i="38" s="1"/>
  <c r="U128" i="38" a="1"/>
  <c r="U128" i="38" s="1"/>
  <c r="U124" i="38" a="1"/>
  <c r="U124" i="38" s="1"/>
  <c r="U122" i="38" a="1"/>
  <c r="U122" i="38" s="1"/>
  <c r="U118" i="38" a="1"/>
  <c r="U118" i="38" s="1"/>
  <c r="U45" i="38" a="1"/>
  <c r="U45" i="38" s="1"/>
  <c r="U92" i="38" a="1"/>
  <c r="U92" i="38" s="1"/>
  <c r="U132" i="38" a="1"/>
  <c r="U132" i="38" s="1"/>
  <c r="U65" i="38" a="1"/>
  <c r="U65" i="38" s="1"/>
  <c r="U126" i="38" a="1"/>
  <c r="U126" i="38" s="1"/>
  <c r="U159" i="38" a="1"/>
  <c r="U159" i="38" s="1"/>
  <c r="U101" i="38" a="1"/>
  <c r="U101" i="38" s="1"/>
  <c r="U50" i="38" a="1"/>
  <c r="U50" i="38" s="1"/>
  <c r="U40" i="38" a="1"/>
  <c r="U40" i="38" s="1"/>
  <c r="U53" i="38" a="1"/>
  <c r="U53" i="38" s="1"/>
  <c r="U84" i="38" a="1"/>
  <c r="U84" i="38" s="1"/>
  <c r="U164" i="38" a="1"/>
  <c r="U164" i="38" s="1"/>
  <c r="U52" i="38" a="1"/>
  <c r="U52" i="38" s="1"/>
  <c r="U141" i="38" a="1"/>
  <c r="U141" i="38" s="1"/>
  <c r="U35" i="38" a="1"/>
  <c r="U35" i="38" s="1"/>
  <c r="U34" i="38" a="1"/>
  <c r="U34" i="38" s="1"/>
  <c r="U153" i="38" a="1"/>
  <c r="U153" i="38" s="1"/>
  <c r="U39" i="38" a="1"/>
  <c r="U39" i="38" s="1"/>
  <c r="U49" i="38" a="1"/>
  <c r="U49" i="38" s="1"/>
  <c r="U147" i="38" a="1"/>
  <c r="U147" i="38" s="1"/>
  <c r="U57" i="38" a="1"/>
  <c r="U57" i="38" s="1"/>
  <c r="U157" i="38" a="1"/>
  <c r="U157" i="38" s="1"/>
  <c r="U41" i="38" a="1"/>
  <c r="U41" i="38" s="1"/>
  <c r="U99" i="38" a="1"/>
  <c r="U99" i="38" s="1"/>
  <c r="U139" i="38" a="1"/>
  <c r="U139" i="38" s="1"/>
  <c r="U130" i="38" a="1"/>
  <c r="U130" i="38" s="1"/>
  <c r="U37" i="38" a="1"/>
  <c r="U37" i="38" s="1"/>
  <c r="U60" i="38" a="1"/>
  <c r="U60" i="38" s="1"/>
  <c r="U155" i="38" a="1"/>
  <c r="U155" i="38" s="1"/>
  <c r="U154" i="38" a="1"/>
  <c r="U154" i="38" s="1"/>
  <c r="U148" i="38" a="1"/>
  <c r="U148" i="38" s="1"/>
  <c r="U46" i="38" a="1"/>
  <c r="U46" i="38" s="1"/>
  <c r="U109" i="38" a="1"/>
  <c r="U109" i="38" s="1"/>
  <c r="U134" i="38" a="1"/>
  <c r="U134" i="38" s="1"/>
  <c r="U48" i="38" a="1"/>
  <c r="U48" i="38" s="1"/>
  <c r="U119" i="38" a="1"/>
  <c r="U119" i="38" s="1"/>
  <c r="U104" i="38" a="1"/>
  <c r="U104" i="38" s="1"/>
  <c r="U144" i="38" a="1"/>
  <c r="U144" i="38" s="1"/>
  <c r="U93" i="38" a="1"/>
  <c r="U93" i="38" s="1"/>
  <c r="U98" i="38" a="1"/>
  <c r="U98" i="38" s="1"/>
  <c r="U112" i="38" a="1"/>
  <c r="U112" i="38" s="1"/>
  <c r="U149" i="38" a="1"/>
  <c r="U149" i="38" s="1"/>
  <c r="U114" i="38" a="1"/>
  <c r="U114" i="38" s="1"/>
  <c r="U165" i="38" a="1"/>
  <c r="U165" i="38" s="1"/>
  <c r="U55" i="38" a="1"/>
  <c r="U55" i="38" s="1"/>
  <c r="U105" i="38" a="1"/>
  <c r="U105" i="38" s="1"/>
  <c r="U108" i="38" a="1"/>
  <c r="U108" i="38" s="1"/>
  <c r="U150" i="38" a="1"/>
  <c r="U150" i="38" s="1"/>
  <c r="U95" i="38" a="1"/>
  <c r="U95" i="38" s="1"/>
  <c r="U136" i="38" a="1"/>
  <c r="U136" i="38" s="1"/>
  <c r="U163" i="38" a="1"/>
  <c r="U163" i="38" s="1"/>
  <c r="U117" i="38" a="1"/>
  <c r="U117" i="38" s="1"/>
  <c r="U85" i="38" a="1"/>
  <c r="U85" i="38" s="1"/>
  <c r="U68" i="38" a="1"/>
  <c r="U68" i="38" s="1"/>
  <c r="U76" i="38" a="1"/>
  <c r="U76" i="38" s="1"/>
  <c r="U44" i="38" a="1"/>
  <c r="U44" i="38" s="1"/>
  <c r="U97" i="38" a="1"/>
  <c r="U97" i="38" s="1"/>
  <c r="U88" i="38" a="1"/>
  <c r="U88" i="38" s="1"/>
  <c r="U107" i="38" a="1"/>
  <c r="U107" i="38" s="1"/>
  <c r="U110" i="38" a="1"/>
  <c r="U110" i="38" s="1"/>
  <c r="U158" i="38" a="1"/>
  <c r="U158" i="38" s="1"/>
  <c r="U156" i="38" a="1"/>
  <c r="U156" i="38" s="1"/>
  <c r="U89" i="38" a="1"/>
  <c r="U89" i="38" s="1"/>
  <c r="U116" i="38" a="1"/>
  <c r="U116" i="38" s="1"/>
  <c r="U56" i="38" a="1"/>
  <c r="U56" i="38" s="1"/>
  <c r="U47" i="38" a="1"/>
  <c r="U47" i="38" s="1"/>
  <c r="U96" i="38" a="1"/>
  <c r="U96" i="38" s="1"/>
  <c r="U103" i="38" a="1"/>
  <c r="U103" i="38" s="1"/>
  <c r="U146" i="38" a="1"/>
  <c r="U146" i="38" s="1"/>
  <c r="U58" i="38" a="1"/>
  <c r="U58" i="38" s="1"/>
  <c r="U113" i="38" a="1"/>
  <c r="U113" i="38" s="1"/>
  <c r="U64" i="38" a="1"/>
  <c r="U64" i="38" s="1"/>
  <c r="U42" i="38" a="1"/>
  <c r="U42" i="38" s="1"/>
  <c r="U161" i="38" a="1"/>
  <c r="U161" i="38" s="1"/>
  <c r="U115" i="38" a="1"/>
  <c r="U115" i="38" s="1"/>
  <c r="U145" i="38" a="1"/>
  <c r="U145" i="38" s="1"/>
  <c r="U80" i="38" a="1"/>
  <c r="U80" i="38" s="1"/>
  <c r="U61" i="38" a="1"/>
  <c r="U61" i="38" s="1"/>
  <c r="U123" i="38" a="1"/>
  <c r="U123" i="38" s="1"/>
  <c r="U73" i="38" a="1"/>
  <c r="U73" i="38" s="1"/>
  <c r="U111" i="38" a="1"/>
  <c r="U111" i="38" s="1"/>
  <c r="U106" i="38" a="1"/>
  <c r="U106" i="38" s="1"/>
  <c r="U138" i="38" a="1"/>
  <c r="U138" i="38" s="1"/>
  <c r="U43" i="38" a="1"/>
  <c r="U43" i="38" s="1"/>
  <c r="U36" i="38" a="1"/>
  <c r="U36" i="38" s="1"/>
  <c r="U160" i="38" a="1"/>
  <c r="U160" i="38" s="1"/>
  <c r="U142" i="38" a="1"/>
  <c r="U142" i="38" s="1"/>
  <c r="U102" i="38" a="1"/>
  <c r="U102" i="38" s="1"/>
  <c r="U152" i="38" a="1"/>
  <c r="U152" i="38" s="1"/>
  <c r="U72" i="38" a="1"/>
  <c r="U72" i="38" s="1"/>
  <c r="U125" i="38" a="1"/>
  <c r="U125" i="38" s="1"/>
  <c r="U120" i="38" a="1"/>
  <c r="U120" i="38" s="1"/>
  <c r="U133" i="38" a="1"/>
  <c r="U133" i="38" s="1"/>
  <c r="U129" i="38" a="1"/>
  <c r="U129" i="38" s="1"/>
  <c r="U54" i="38" a="1"/>
  <c r="U54" i="38" s="1"/>
  <c r="U81" i="38" a="1"/>
  <c r="U81" i="38" s="1"/>
  <c r="U140" i="38" a="1"/>
  <c r="U140" i="38" s="1"/>
  <c r="U127" i="38" a="1"/>
  <c r="U127" i="38" s="1"/>
  <c r="U31" i="38" a="1"/>
  <c r="U31" i="38" s="1"/>
  <c r="U100" i="38" a="1"/>
  <c r="U100" i="38" s="1"/>
  <c r="U94" i="38" a="1"/>
  <c r="U94" i="38" s="1"/>
  <c r="U143" i="38" a="1"/>
  <c r="U143" i="38" s="1"/>
  <c r="U135" i="38" a="1"/>
  <c r="U135" i="38" s="1"/>
  <c r="U69" i="38" a="1"/>
  <c r="U69" i="38" s="1"/>
  <c r="U151" i="38" a="1"/>
  <c r="U151" i="38" s="1"/>
  <c r="U77" i="38" a="1"/>
  <c r="U77" i="38" s="1"/>
  <c r="U131" i="38" a="1"/>
  <c r="U131" i="38" s="1"/>
  <c r="U33" i="38" a="1"/>
  <c r="U33" i="38" s="1"/>
  <c r="U121" i="38" a="1"/>
  <c r="U121" i="38" s="1"/>
  <c r="U32" i="38" a="1"/>
  <c r="U32" i="38" s="1"/>
  <c r="AE44" i="38" a="1"/>
  <c r="AE44" i="38" s="1"/>
  <c r="AE40" i="38" a="1"/>
  <c r="AE40" i="38" s="1"/>
  <c r="AE35" i="38" a="1"/>
  <c r="AE35" i="38" s="1"/>
  <c r="AE46" i="38" a="1"/>
  <c r="AE46" i="38" s="1"/>
  <c r="AE45" i="38" a="1"/>
  <c r="AE45" i="38" s="1"/>
  <c r="AE120" i="38" a="1"/>
  <c r="AE120" i="38" s="1"/>
  <c r="AE118" i="38" a="1"/>
  <c r="AE118" i="38" s="1"/>
  <c r="AE98" i="38" a="1"/>
  <c r="AE98" i="38" s="1"/>
  <c r="AE52" i="38" a="1"/>
  <c r="AE52" i="38" s="1"/>
  <c r="AE155" i="38" a="1"/>
  <c r="AE155" i="38" s="1"/>
  <c r="AE73" i="38" a="1"/>
  <c r="AE73" i="38" s="1"/>
  <c r="AE43" i="38" a="1"/>
  <c r="AE43" i="38" s="1"/>
  <c r="AE164" i="38" a="1"/>
  <c r="AE164" i="38" s="1"/>
  <c r="AE81" i="38" a="1"/>
  <c r="AE81" i="38" s="1"/>
  <c r="AE54" i="38" a="1"/>
  <c r="AE54" i="38" s="1"/>
  <c r="AE85" i="38" a="1"/>
  <c r="AE85" i="38" s="1"/>
  <c r="AE76" i="38" a="1"/>
  <c r="AE76" i="38" s="1"/>
  <c r="AE122" i="38" a="1"/>
  <c r="AE122" i="38" s="1"/>
  <c r="AE107" i="38" a="1"/>
  <c r="AE107" i="38" s="1"/>
  <c r="AE160" i="38" a="1"/>
  <c r="AE160" i="38" s="1"/>
  <c r="AE93" i="38" a="1"/>
  <c r="AE93" i="38" s="1"/>
  <c r="AE114" i="38" a="1"/>
  <c r="AE114" i="38" s="1"/>
  <c r="AE139" i="38" a="1"/>
  <c r="AE139" i="38" s="1"/>
  <c r="AE79" i="38" a="1"/>
  <c r="AE79" i="38" s="1"/>
  <c r="AE132" i="38" a="1"/>
  <c r="AE132" i="38" s="1"/>
  <c r="AE117" i="38" a="1"/>
  <c r="AE117" i="38" s="1"/>
  <c r="AE59" i="38" a="1"/>
  <c r="AE59" i="38" s="1"/>
  <c r="AE89" i="38" a="1"/>
  <c r="AE89" i="38" s="1"/>
  <c r="AE91" i="38" a="1"/>
  <c r="AE91" i="38" s="1"/>
  <c r="AE38" i="38" a="1"/>
  <c r="AE38" i="38" s="1"/>
  <c r="AE128" i="38" a="1"/>
  <c r="AE128" i="38" s="1"/>
  <c r="AE124" i="38" a="1"/>
  <c r="AE124" i="38" s="1"/>
  <c r="AE63" i="38" a="1"/>
  <c r="AE63" i="38" s="1"/>
  <c r="AE57" i="38" a="1"/>
  <c r="AE57" i="38" s="1"/>
  <c r="AE116" i="38" a="1"/>
  <c r="AE116" i="38" s="1"/>
  <c r="AE61" i="38" a="1"/>
  <c r="AE61" i="38" s="1"/>
  <c r="AE112" i="38" a="1"/>
  <c r="AE112" i="38" s="1"/>
  <c r="AE137" i="38" a="1"/>
  <c r="AE137" i="38" s="1"/>
  <c r="AE141" i="38" a="1"/>
  <c r="AE141" i="38" s="1"/>
  <c r="AE134" i="38" a="1"/>
  <c r="AE134" i="38" s="1"/>
  <c r="AE162" i="38" a="1"/>
  <c r="AE162" i="38" s="1"/>
  <c r="AE99" i="38" a="1"/>
  <c r="AE99" i="38" s="1"/>
  <c r="AE130" i="38" a="1"/>
  <c r="AE130" i="38" s="1"/>
  <c r="AE153" i="38" a="1"/>
  <c r="AE153" i="38" s="1"/>
  <c r="AE159" i="38" a="1"/>
  <c r="AE159" i="38" s="1"/>
  <c r="AE105" i="38" a="1"/>
  <c r="AE105" i="38" s="1"/>
  <c r="AE102" i="38" a="1"/>
  <c r="AE102" i="38" s="1"/>
  <c r="AE51" i="38" a="1"/>
  <c r="AE51" i="38" s="1"/>
  <c r="AE97" i="38" a="1"/>
  <c r="AE97" i="38" s="1"/>
  <c r="AE60" i="38" a="1"/>
  <c r="AE60" i="38" s="1"/>
  <c r="AE151" i="38" a="1"/>
  <c r="AE151" i="38" s="1"/>
  <c r="AE58" i="38" a="1"/>
  <c r="AE58" i="38" s="1"/>
  <c r="AE142" i="38" a="1"/>
  <c r="AE142" i="38" s="1"/>
  <c r="AE165" i="38" a="1"/>
  <c r="AE165" i="38" s="1"/>
  <c r="AE55" i="38" a="1"/>
  <c r="AE55" i="38" s="1"/>
  <c r="AE152" i="38" a="1"/>
  <c r="AE152" i="38" s="1"/>
  <c r="AE49" i="38" a="1"/>
  <c r="AE49" i="38" s="1"/>
  <c r="AE34" i="38" a="1"/>
  <c r="AE34" i="38" s="1"/>
  <c r="AE109" i="38" a="1"/>
  <c r="AE109" i="38" s="1"/>
  <c r="AE88" i="38" a="1"/>
  <c r="AE88" i="38" s="1"/>
  <c r="AE68" i="38" a="1"/>
  <c r="AE68" i="38" s="1"/>
  <c r="AE108" i="38" a="1"/>
  <c r="AE108" i="38" s="1"/>
  <c r="AE94" i="38" a="1"/>
  <c r="AE94" i="38" s="1"/>
  <c r="AE104" i="38" a="1"/>
  <c r="AE104" i="38" s="1"/>
  <c r="AE39" i="38" a="1"/>
  <c r="AE39" i="38" s="1"/>
  <c r="AE42" i="38" a="1"/>
  <c r="AE42" i="38" s="1"/>
  <c r="AE158" i="38" a="1"/>
  <c r="AE158" i="38" s="1"/>
  <c r="AE154" i="38" a="1"/>
  <c r="AE154" i="38" s="1"/>
  <c r="AE150" i="38" a="1"/>
  <c r="AE150" i="38" s="1"/>
  <c r="AE31" i="38" a="1"/>
  <c r="AE31" i="38" s="1"/>
  <c r="AE157" i="38" a="1"/>
  <c r="AE157" i="38" s="1"/>
  <c r="AE115" i="38" a="1"/>
  <c r="AE115" i="38" s="1"/>
  <c r="AE161" i="38" a="1"/>
  <c r="AE161" i="38" s="1"/>
  <c r="AE156" i="38" a="1"/>
  <c r="AE156" i="38" s="1"/>
  <c r="AE50" i="38" a="1"/>
  <c r="AE50" i="38" s="1"/>
  <c r="AE146" i="38" a="1"/>
  <c r="AE146" i="38" s="1"/>
  <c r="AE71" i="38" a="1"/>
  <c r="AE71" i="38" s="1"/>
  <c r="AE119" i="38" a="1"/>
  <c r="AE119" i="38" s="1"/>
  <c r="AE111" i="38" a="1"/>
  <c r="AE111" i="38" s="1"/>
  <c r="AE106" i="38" a="1"/>
  <c r="AE106" i="38" s="1"/>
  <c r="AE145" i="38" a="1"/>
  <c r="AE145" i="38" s="1"/>
  <c r="AE69" i="38" a="1"/>
  <c r="AE69" i="38" s="1"/>
  <c r="AE123" i="38" a="1"/>
  <c r="AE123" i="38" s="1"/>
  <c r="AE138" i="38" a="1"/>
  <c r="AE138" i="38" s="1"/>
  <c r="AE129" i="38" a="1"/>
  <c r="AE129" i="38" s="1"/>
  <c r="AE67" i="38" a="1"/>
  <c r="AE67" i="38" s="1"/>
  <c r="AE56" i="38" a="1"/>
  <c r="AE56" i="38" s="1"/>
  <c r="AE148" i="38" a="1"/>
  <c r="AE148" i="38" s="1"/>
  <c r="AE147" i="38" a="1"/>
  <c r="AE147" i="38" s="1"/>
  <c r="AE84" i="38" a="1"/>
  <c r="AE84" i="38" s="1"/>
  <c r="AE75" i="38" a="1"/>
  <c r="AE75" i="38" s="1"/>
  <c r="AE131" i="38" a="1"/>
  <c r="AE131" i="38" s="1"/>
  <c r="AE92" i="38" a="1"/>
  <c r="AE92" i="38" s="1"/>
  <c r="AE101" i="38" a="1"/>
  <c r="AE101" i="38" s="1"/>
  <c r="AE163" i="38" a="1"/>
  <c r="AE163" i="38" s="1"/>
  <c r="AE95" i="38" a="1"/>
  <c r="AE95" i="38" s="1"/>
  <c r="AE87" i="38" a="1"/>
  <c r="AE87" i="38" s="1"/>
  <c r="AE140" i="38" a="1"/>
  <c r="AE140" i="38" s="1"/>
  <c r="AE77" i="38" a="1"/>
  <c r="AE77" i="38" s="1"/>
  <c r="AE41" i="38" a="1"/>
  <c r="AE41" i="38" s="1"/>
  <c r="AE53" i="38" a="1"/>
  <c r="AE53" i="38" s="1"/>
  <c r="AE96" i="38" a="1"/>
  <c r="AE96" i="38" s="1"/>
  <c r="AE47" i="38" a="1"/>
  <c r="AE47" i="38" s="1"/>
  <c r="AE125" i="38" a="1"/>
  <c r="AE125" i="38" s="1"/>
  <c r="AE37" i="38" a="1"/>
  <c r="AE37" i="38" s="1"/>
  <c r="AE83" i="38" a="1"/>
  <c r="AE83" i="38" s="1"/>
  <c r="AE113" i="38" a="1"/>
  <c r="AE113" i="38" s="1"/>
  <c r="AE149" i="38" a="1"/>
  <c r="AE149" i="38" s="1"/>
  <c r="AE136" i="38" a="1"/>
  <c r="AE136" i="38" s="1"/>
  <c r="AE133" i="38" a="1"/>
  <c r="AE133" i="38" s="1"/>
  <c r="AE80" i="38" a="1"/>
  <c r="AE80" i="38" s="1"/>
  <c r="AE72" i="38" a="1"/>
  <c r="AE72" i="38" s="1"/>
  <c r="AE64" i="38" a="1"/>
  <c r="AE64" i="38" s="1"/>
  <c r="AE36" i="38" a="1"/>
  <c r="AE36" i="38" s="1"/>
  <c r="AE126" i="38" a="1"/>
  <c r="AE126" i="38" s="1"/>
  <c r="AE33" i="38" a="1"/>
  <c r="AE33" i="38" s="1"/>
  <c r="AE110" i="38" a="1"/>
  <c r="AE110" i="38" s="1"/>
  <c r="AE103" i="38" a="1"/>
  <c r="AE103" i="38" s="1"/>
  <c r="AE144" i="38" a="1"/>
  <c r="AE144" i="38" s="1"/>
  <c r="AE127" i="38" a="1"/>
  <c r="AE127" i="38" s="1"/>
  <c r="AE121" i="38" a="1"/>
  <c r="AE121" i="38" s="1"/>
  <c r="AE65" i="38" a="1"/>
  <c r="AE65" i="38" s="1"/>
  <c r="AE48" i="38" a="1"/>
  <c r="AE48" i="38" s="1"/>
  <c r="AE32" i="38" a="1"/>
  <c r="AE32" i="38" s="1"/>
  <c r="AE100" i="38" a="1"/>
  <c r="AE100" i="38" s="1"/>
  <c r="AE143" i="38" a="1"/>
  <c r="AE143" i="38" s="1"/>
  <c r="AE135" i="38" a="1"/>
  <c r="AE135" i="38" s="1"/>
  <c r="AA57" i="38" a="1"/>
  <c r="AA57" i="38" s="1"/>
  <c r="AA80" i="38" a="1"/>
  <c r="AA80" i="38" s="1"/>
  <c r="AA50" i="38" a="1"/>
  <c r="AA50" i="38" s="1"/>
  <c r="AA84" i="38" a="1"/>
  <c r="AA84" i="38" s="1"/>
  <c r="AA89" i="38" a="1"/>
  <c r="AA89" i="38" s="1"/>
  <c r="AA128" i="38" a="1"/>
  <c r="AA128" i="38" s="1"/>
  <c r="AA31" i="38" a="1"/>
  <c r="AA31" i="38" s="1"/>
  <c r="AA51" i="38" a="1"/>
  <c r="AA51" i="38" s="1"/>
  <c r="AA112" i="38" a="1"/>
  <c r="AA112" i="38" s="1"/>
  <c r="AA42" i="38" a="1"/>
  <c r="AA42" i="38" s="1"/>
  <c r="AA155" i="38" a="1"/>
  <c r="AA155" i="38" s="1"/>
  <c r="AA40" i="38" a="1"/>
  <c r="AA40" i="38" s="1"/>
  <c r="AA137" i="38" a="1"/>
  <c r="AA137" i="38" s="1"/>
  <c r="AA134" i="38" a="1"/>
  <c r="AA134" i="38" s="1"/>
  <c r="AA98" i="38" a="1"/>
  <c r="AA98" i="38" s="1"/>
  <c r="AA34" i="38" a="1"/>
  <c r="AA34" i="38" s="1"/>
  <c r="AA126" i="38" a="1"/>
  <c r="AA126" i="38" s="1"/>
  <c r="AA99" i="38" a="1"/>
  <c r="AA99" i="38" s="1"/>
  <c r="AA85" i="38" a="1"/>
  <c r="AA85" i="38" s="1"/>
  <c r="AA115" i="38" a="1"/>
  <c r="AA115" i="38" s="1"/>
  <c r="AA113" i="38" a="1"/>
  <c r="AA113" i="38" s="1"/>
  <c r="AA39" i="38" a="1"/>
  <c r="AA39" i="38" s="1"/>
  <c r="AA130" i="38" a="1"/>
  <c r="AA130" i="38" s="1"/>
  <c r="AA164" i="38" a="1"/>
  <c r="AA164" i="38" s="1"/>
  <c r="AA41" i="38" a="1"/>
  <c r="AA41" i="38" s="1"/>
  <c r="AA93" i="38" a="1"/>
  <c r="AA93" i="38" s="1"/>
  <c r="AA147" i="38" a="1"/>
  <c r="AA147" i="38" s="1"/>
  <c r="AA88" i="38" a="1"/>
  <c r="AA88" i="38" s="1"/>
  <c r="AA54" i="38" a="1"/>
  <c r="AA54" i="38" s="1"/>
  <c r="AA48" i="38" a="1"/>
  <c r="AA48" i="38" s="1"/>
  <c r="AA47" i="38" a="1"/>
  <c r="AA47" i="38" s="1"/>
  <c r="AA76" i="38" a="1"/>
  <c r="AA76" i="38" s="1"/>
  <c r="AA55" i="38" a="1"/>
  <c r="AA55" i="38" s="1"/>
  <c r="AA122" i="38" a="1"/>
  <c r="AA122" i="38" s="1"/>
  <c r="AA114" i="38" a="1"/>
  <c r="AA114" i="38" s="1"/>
  <c r="AA163" i="38" a="1"/>
  <c r="AA163" i="38" s="1"/>
  <c r="AA103" i="38" a="1"/>
  <c r="AA103" i="38" s="1"/>
  <c r="AA100" i="38" a="1"/>
  <c r="AA100" i="38" s="1"/>
  <c r="AA132" i="38" a="1"/>
  <c r="AA132" i="38" s="1"/>
  <c r="AA124" i="38" a="1"/>
  <c r="AA124" i="38" s="1"/>
  <c r="AA68" i="38" a="1"/>
  <c r="AA68" i="38" s="1"/>
  <c r="AA101" i="38" a="1"/>
  <c r="AA101" i="38" s="1"/>
  <c r="AA149" i="38" a="1"/>
  <c r="AA149" i="38" s="1"/>
  <c r="AA120" i="38" a="1"/>
  <c r="AA120" i="38" s="1"/>
  <c r="AA108" i="38" a="1"/>
  <c r="AA108" i="38" s="1"/>
  <c r="AA59" i="38" a="1"/>
  <c r="AA59" i="38" s="1"/>
  <c r="AA44" i="38" a="1"/>
  <c r="AA44" i="38" s="1"/>
  <c r="AA52" i="38" a="1"/>
  <c r="AA52" i="38" s="1"/>
  <c r="AA106" i="38" a="1"/>
  <c r="AA106" i="38" s="1"/>
  <c r="AA145" i="38" a="1"/>
  <c r="AA145" i="38" s="1"/>
  <c r="AA136" i="38" a="1"/>
  <c r="AA136" i="38" s="1"/>
  <c r="AA162" i="38" a="1"/>
  <c r="AA162" i="38" s="1"/>
  <c r="AA153" i="38" a="1"/>
  <c r="AA153" i="38" s="1"/>
  <c r="AA158" i="38" a="1"/>
  <c r="AA158" i="38" s="1"/>
  <c r="AA102" i="38" a="1"/>
  <c r="AA102" i="38" s="1"/>
  <c r="AA97" i="38" a="1"/>
  <c r="AA97" i="38" s="1"/>
  <c r="AA46" i="38" a="1"/>
  <c r="AA46" i="38" s="1"/>
  <c r="AA60" i="38" a="1"/>
  <c r="AA60" i="38" s="1"/>
  <c r="AA109" i="38" a="1"/>
  <c r="AA109" i="38" s="1"/>
  <c r="AA35" i="38" a="1"/>
  <c r="AA35" i="38" s="1"/>
  <c r="AA69" i="38" a="1"/>
  <c r="AA69" i="38" s="1"/>
  <c r="AA165" i="38" a="1"/>
  <c r="AA165" i="38" s="1"/>
  <c r="AA105" i="38" a="1"/>
  <c r="AA105" i="38" s="1"/>
  <c r="AA150" i="38" a="1"/>
  <c r="AA150" i="38" s="1"/>
  <c r="AA146" i="38" a="1"/>
  <c r="AA146" i="38" s="1"/>
  <c r="AA116" i="38" a="1"/>
  <c r="AA116" i="38" s="1"/>
  <c r="AA81" i="38" a="1"/>
  <c r="AA81" i="38" s="1"/>
  <c r="AA73" i="38" a="1"/>
  <c r="AA73" i="38" s="1"/>
  <c r="AA159" i="38" a="1"/>
  <c r="AA159" i="38" s="1"/>
  <c r="AA92" i="38" a="1"/>
  <c r="AA92" i="38" s="1"/>
  <c r="AA117" i="38" a="1"/>
  <c r="AA117" i="38" s="1"/>
  <c r="AA53" i="38" a="1"/>
  <c r="AA53" i="38" s="1"/>
  <c r="AA151" i="38" a="1"/>
  <c r="AA151" i="38" s="1"/>
  <c r="AA157" i="38" a="1"/>
  <c r="AA157" i="38" s="1"/>
  <c r="AA154" i="38" a="1"/>
  <c r="AA154" i="38" s="1"/>
  <c r="AA148" i="38" a="1"/>
  <c r="AA148" i="38" s="1"/>
  <c r="AA43" i="38" a="1"/>
  <c r="AA43" i="38" s="1"/>
  <c r="AA110" i="38" a="1"/>
  <c r="AA110" i="38" s="1"/>
  <c r="AA133" i="38" a="1"/>
  <c r="AA133" i="38" s="1"/>
  <c r="AA36" i="38" a="1"/>
  <c r="AA36" i="38" s="1"/>
  <c r="AA160" i="38" a="1"/>
  <c r="AA160" i="38" s="1"/>
  <c r="AA142" i="38" a="1"/>
  <c r="AA142" i="38" s="1"/>
  <c r="AA144" i="38" a="1"/>
  <c r="AA144" i="38" s="1"/>
  <c r="AA129" i="38" a="1"/>
  <c r="AA129" i="38" s="1"/>
  <c r="AA61" i="38" a="1"/>
  <c r="AA61" i="38" s="1"/>
  <c r="AA121" i="38" a="1"/>
  <c r="AA121" i="38" s="1"/>
  <c r="AA107" i="38" a="1"/>
  <c r="AA107" i="38" s="1"/>
  <c r="AA49" i="38" a="1"/>
  <c r="AA49" i="38" s="1"/>
  <c r="AA141" i="38" a="1"/>
  <c r="AA141" i="38" s="1"/>
  <c r="AA45" i="38" a="1"/>
  <c r="AA45" i="38" s="1"/>
  <c r="AA56" i="38" a="1"/>
  <c r="AA56" i="38" s="1"/>
  <c r="AA135" i="38" a="1"/>
  <c r="AA135" i="38" s="1"/>
  <c r="AA37" i="38" a="1"/>
  <c r="AA37" i="38" s="1"/>
  <c r="AA161" i="38" a="1"/>
  <c r="AA161" i="38" s="1"/>
  <c r="AA38" i="38" a="1"/>
  <c r="AA38" i="38" s="1"/>
  <c r="AA140" i="38" a="1"/>
  <c r="AA140" i="38" s="1"/>
  <c r="AA125" i="38" a="1"/>
  <c r="AA125" i="38" s="1"/>
  <c r="AA152" i="38" a="1"/>
  <c r="AA152" i="38" s="1"/>
  <c r="AA95" i="38" a="1"/>
  <c r="AA95" i="38" s="1"/>
  <c r="AA118" i="38" a="1"/>
  <c r="AA118" i="38" s="1"/>
  <c r="AA143" i="38" a="1"/>
  <c r="AA143" i="38" s="1"/>
  <c r="AA119" i="38" a="1"/>
  <c r="AA119" i="38" s="1"/>
  <c r="AA131" i="38" a="1"/>
  <c r="AA131" i="38" s="1"/>
  <c r="AA33" i="38" a="1"/>
  <c r="AA33" i="38" s="1"/>
  <c r="AA64" i="38" a="1"/>
  <c r="AA64" i="38" s="1"/>
  <c r="AA94" i="38" a="1"/>
  <c r="AA94" i="38" s="1"/>
  <c r="AA139" i="38" a="1"/>
  <c r="AA139" i="38" s="1"/>
  <c r="AA65" i="38" a="1"/>
  <c r="AA65" i="38" s="1"/>
  <c r="AA156" i="38" a="1"/>
  <c r="AA156" i="38" s="1"/>
  <c r="AA104" i="38" a="1"/>
  <c r="AA104" i="38" s="1"/>
  <c r="AA138" i="38" a="1"/>
  <c r="AA138" i="38" s="1"/>
  <c r="AA77" i="38" a="1"/>
  <c r="AA77" i="38" s="1"/>
  <c r="AA72" i="38" a="1"/>
  <c r="AA72" i="38" s="1"/>
  <c r="AA32" i="38" a="1"/>
  <c r="AA32" i="38" s="1"/>
  <c r="AA123" i="38" a="1"/>
  <c r="AA123" i="38" s="1"/>
  <c r="AA96" i="38" a="1"/>
  <c r="AA96" i="38" s="1"/>
  <c r="AA111" i="38" a="1"/>
  <c r="AA111" i="38" s="1"/>
  <c r="AA58" i="38" a="1"/>
  <c r="AA58" i="38" s="1"/>
  <c r="AA127" i="38" a="1"/>
  <c r="AA127" i="38" s="1"/>
  <c r="S13" i="38"/>
  <c r="Q16" i="38"/>
  <c r="Q12" i="38"/>
  <c r="P16" i="38"/>
  <c r="O14" i="38"/>
  <c r="O10" i="38"/>
  <c r="S15" i="38"/>
  <c r="S11" i="38"/>
  <c r="R14" i="38"/>
  <c r="P14" i="38"/>
  <c r="R11" i="38"/>
  <c r="Q10" i="38"/>
  <c r="S12" i="38"/>
  <c r="S14" i="38"/>
  <c r="Q13" i="38"/>
  <c r="P11" i="38"/>
  <c r="O13" i="38"/>
  <c r="O11" i="38"/>
  <c r="R28" i="38"/>
  <c r="S9" i="38"/>
  <c r="R16" i="38"/>
  <c r="Q9" i="38"/>
  <c r="Q15" i="38"/>
  <c r="Q14" i="38"/>
  <c r="P10" i="38"/>
  <c r="O12" i="38"/>
  <c r="R15" i="38"/>
  <c r="P9" i="38"/>
  <c r="P12" i="38"/>
  <c r="R9" i="38"/>
  <c r="R10" i="38"/>
  <c r="R12" i="38"/>
  <c r="Q11" i="38"/>
  <c r="P13" i="38"/>
  <c r="O15" i="38"/>
  <c r="S16" i="38"/>
  <c r="S10" i="38"/>
  <c r="R13" i="38"/>
  <c r="P15" i="38"/>
  <c r="O9" i="38"/>
  <c r="O16" i="38"/>
  <c r="P28" i="38"/>
  <c r="J28" i="38"/>
  <c r="M28" i="38"/>
  <c r="L28" i="38"/>
  <c r="N28" i="38"/>
  <c r="L51" i="4"/>
  <c r="C64" i="4" s="1"/>
  <c r="M51" i="4"/>
  <c r="O50" i="4"/>
  <c r="Y141" i="1"/>
  <c r="Y146" i="1"/>
  <c r="Y85" i="1"/>
  <c r="Y159" i="1"/>
  <c r="Y174" i="1"/>
  <c r="Y138" i="1"/>
  <c r="E141" i="1"/>
  <c r="Y220" i="1"/>
  <c r="Y154" i="1"/>
  <c r="Y78" i="1"/>
  <c r="E154" i="1"/>
  <c r="Y66" i="1"/>
  <c r="Y96" i="1"/>
  <c r="Y195" i="1"/>
  <c r="Y119" i="1"/>
  <c r="Y68" i="1"/>
  <c r="Y142" i="1"/>
  <c r="Y73" i="1"/>
  <c r="Y219" i="1"/>
  <c r="Y224" i="1"/>
  <c r="E142" i="1"/>
  <c r="Y152" i="1"/>
  <c r="Y200" i="1"/>
  <c r="Y120" i="1"/>
  <c r="Y101" i="1"/>
  <c r="Y52" i="1"/>
  <c r="E77" i="1"/>
  <c r="Y77" i="1"/>
  <c r="E223" i="1"/>
  <c r="Y223" i="1"/>
  <c r="Y45" i="1"/>
  <c r="E190" i="1"/>
  <c r="Y190" i="1"/>
  <c r="E209" i="1"/>
  <c r="Y209" i="1"/>
  <c r="E166" i="1"/>
  <c r="Y166" i="1"/>
  <c r="Y194" i="1"/>
  <c r="Y55" i="1"/>
  <c r="E55" i="1"/>
  <c r="E202" i="1"/>
  <c r="Y202" i="1"/>
  <c r="E184" i="1"/>
  <c r="Y184" i="1"/>
  <c r="E70" i="1"/>
  <c r="Y70" i="1"/>
  <c r="E95" i="1"/>
  <c r="Y95" i="1"/>
  <c r="E89" i="1"/>
  <c r="Y89" i="1"/>
  <c r="E130" i="1"/>
  <c r="Y130" i="1"/>
  <c r="E212" i="1"/>
  <c r="Y212" i="1"/>
  <c r="E80" i="1"/>
  <c r="Y80" i="1"/>
  <c r="E62" i="1"/>
  <c r="Y62" i="1"/>
  <c r="E75" i="1"/>
  <c r="Y75" i="1"/>
  <c r="Y153" i="1"/>
  <c r="E153" i="1"/>
  <c r="E148" i="1"/>
  <c r="Y148" i="1"/>
  <c r="E222" i="1"/>
  <c r="Y222" i="1"/>
  <c r="Y99" i="1"/>
  <c r="E106" i="1"/>
  <c r="Y106" i="1"/>
  <c r="E114" i="1"/>
  <c r="Y114" i="1"/>
  <c r="E193" i="1"/>
  <c r="Y193" i="1"/>
  <c r="E147" i="1"/>
  <c r="Y147" i="1"/>
  <c r="Y143" i="1"/>
  <c r="E143" i="1"/>
  <c r="E98" i="1"/>
  <c r="Y98" i="1"/>
  <c r="E72" i="1"/>
  <c r="Y72" i="1"/>
  <c r="E81" i="1"/>
  <c r="Y81" i="1"/>
  <c r="E107" i="1"/>
  <c r="Y107" i="1"/>
  <c r="E214" i="1"/>
  <c r="Y214" i="1"/>
  <c r="Y216" i="1"/>
  <c r="E216" i="1"/>
  <c r="Y46" i="1"/>
  <c r="Y47" i="1"/>
  <c r="E47" i="1"/>
  <c r="E134" i="1"/>
  <c r="Y134" i="1"/>
  <c r="E204" i="1"/>
  <c r="Y204" i="1"/>
  <c r="Y201" i="1"/>
  <c r="E201" i="1"/>
  <c r="E117" i="1"/>
  <c r="Y117" i="1"/>
  <c r="Y127" i="1"/>
  <c r="E127" i="1"/>
  <c r="Y185" i="1"/>
  <c r="E185" i="1"/>
  <c r="Y91" i="1"/>
  <c r="E126" i="1"/>
  <c r="Y126" i="1"/>
  <c r="Y136" i="1"/>
  <c r="E136" i="1"/>
  <c r="Y63" i="1"/>
  <c r="E63" i="1"/>
  <c r="Y183" i="1"/>
  <c r="E183" i="1"/>
  <c r="E69" i="1"/>
  <c r="Y69" i="1"/>
  <c r="E76" i="1"/>
  <c r="Y76" i="1"/>
  <c r="E140" i="1"/>
  <c r="Y140" i="1"/>
  <c r="Y206" i="1"/>
  <c r="E206" i="1"/>
  <c r="E71" i="1"/>
  <c r="Y71" i="1"/>
  <c r="Y109" i="1"/>
  <c r="E49" i="1"/>
  <c r="Y49" i="1"/>
  <c r="E133" i="1"/>
  <c r="Y133" i="1"/>
  <c r="Y221" i="1"/>
  <c r="E111" i="1"/>
  <c r="Y111" i="1"/>
  <c r="E124" i="1"/>
  <c r="Y124" i="1"/>
  <c r="Y160" i="1"/>
  <c r="E160" i="1"/>
  <c r="E161" i="1"/>
  <c r="Y161" i="1"/>
  <c r="Y94" i="1"/>
  <c r="E94" i="1"/>
  <c r="Y165" i="1"/>
  <c r="E165" i="1"/>
  <c r="E156" i="1"/>
  <c r="Y156" i="1"/>
  <c r="Y173" i="1"/>
  <c r="E173" i="1"/>
  <c r="Y86" i="1"/>
  <c r="Y169" i="1"/>
  <c r="E56" i="1"/>
  <c r="Y56" i="1"/>
  <c r="Y48" i="1"/>
  <c r="E48" i="1"/>
  <c r="E208" i="1"/>
  <c r="Y208" i="1"/>
  <c r="Y104" i="1"/>
  <c r="E104" i="1"/>
  <c r="E157" i="1"/>
  <c r="Y157" i="1"/>
  <c r="E151" i="1"/>
  <c r="Y151" i="1"/>
  <c r="E112" i="1"/>
  <c r="Y112" i="1"/>
  <c r="Y137" i="1"/>
  <c r="E187" i="1"/>
  <c r="Y187" i="1"/>
  <c r="Y79" i="1"/>
  <c r="E79" i="1"/>
  <c r="E115" i="1"/>
  <c r="Y115" i="1"/>
  <c r="E163" i="1"/>
  <c r="Y163" i="1"/>
  <c r="E65" i="1"/>
  <c r="Y65" i="1"/>
  <c r="Y123" i="1"/>
  <c r="E123" i="1"/>
  <c r="E128" i="1"/>
  <c r="Y128" i="1"/>
  <c r="Y189" i="1"/>
  <c r="E189" i="1"/>
  <c r="E217" i="1"/>
  <c r="Y217" i="1"/>
  <c r="E203" i="1"/>
  <c r="Y203" i="1"/>
  <c r="E103" i="1"/>
  <c r="Y103" i="1"/>
  <c r="E131" i="1"/>
  <c r="Y131" i="1"/>
  <c r="Y162" i="1"/>
  <c r="E162" i="1"/>
  <c r="E207" i="1"/>
  <c r="Y207" i="1"/>
  <c r="E100" i="1"/>
  <c r="Y100" i="1"/>
  <c r="E122" i="1"/>
  <c r="Y122" i="1"/>
  <c r="E144" i="1"/>
  <c r="Y144" i="1"/>
  <c r="E177" i="1"/>
  <c r="Y177" i="1"/>
  <c r="E196" i="1"/>
  <c r="Y196" i="1"/>
  <c r="E97" i="1"/>
  <c r="Y97" i="1"/>
  <c r="E116" i="1"/>
  <c r="Y116" i="1"/>
  <c r="E182" i="1"/>
  <c r="Y182" i="1"/>
  <c r="Y197" i="1"/>
  <c r="Y64" i="1"/>
  <c r="E64" i="1"/>
  <c r="Y87" i="1"/>
  <c r="E87" i="1"/>
  <c r="E139" i="1"/>
  <c r="Y139" i="1"/>
  <c r="E215" i="1"/>
  <c r="Y215" i="1"/>
  <c r="Y158" i="1"/>
  <c r="E158" i="1"/>
  <c r="E178" i="1"/>
  <c r="Y178" i="1"/>
  <c r="E54" i="1"/>
  <c r="Y54" i="1"/>
  <c r="E93" i="1"/>
  <c r="Y93" i="1"/>
  <c r="E179" i="1"/>
  <c r="Y179" i="1"/>
  <c r="E82" i="1"/>
  <c r="Y82" i="1"/>
  <c r="E108" i="1"/>
  <c r="Y108" i="1"/>
  <c r="E170" i="1"/>
  <c r="Y170" i="1"/>
  <c r="E88" i="1"/>
  <c r="Y88" i="1"/>
  <c r="E113" i="1"/>
  <c r="Y113" i="1"/>
  <c r="E110" i="1"/>
  <c r="Y110" i="1"/>
  <c r="Y59" i="1"/>
  <c r="E121" i="1"/>
  <c r="Y121" i="1"/>
  <c r="E145" i="1"/>
  <c r="Y145" i="1"/>
  <c r="E172" i="1"/>
  <c r="Y172" i="1"/>
  <c r="E180" i="1"/>
  <c r="Y180" i="1"/>
  <c r="Y118" i="1"/>
  <c r="E58" i="1"/>
  <c r="Y58" i="1"/>
  <c r="E74" i="1"/>
  <c r="Y74" i="1"/>
  <c r="E198" i="1"/>
  <c r="Y198" i="1"/>
  <c r="Y167" i="1"/>
  <c r="E167" i="1"/>
  <c r="E155" i="1"/>
  <c r="Y155" i="1"/>
  <c r="Y218" i="1"/>
  <c r="E218" i="1"/>
  <c r="E199" i="1"/>
  <c r="Y199" i="1"/>
  <c r="E84" i="1"/>
  <c r="Y84" i="1"/>
  <c r="E135" i="1"/>
  <c r="Y135" i="1"/>
  <c r="E132" i="1"/>
  <c r="Y132" i="1"/>
  <c r="E192" i="1"/>
  <c r="Y192" i="1"/>
  <c r="Y210" i="1"/>
  <c r="E210" i="1"/>
  <c r="E129" i="1"/>
  <c r="Y129" i="1"/>
  <c r="E168" i="1"/>
  <c r="Y168" i="1"/>
  <c r="E57" i="1"/>
  <c r="Y57" i="1"/>
  <c r="Y92" i="1"/>
  <c r="E92" i="1"/>
  <c r="Y125" i="1"/>
  <c r="E125" i="1"/>
  <c r="E188" i="1"/>
  <c r="Y188" i="1"/>
  <c r="E186" i="1"/>
  <c r="Y186" i="1"/>
  <c r="E211" i="1"/>
  <c r="Y211" i="1"/>
  <c r="Y191" i="1"/>
  <c r="E191" i="1"/>
  <c r="Y53" i="1"/>
  <c r="Y60" i="1"/>
  <c r="E60" i="1"/>
  <c r="E175" i="1"/>
  <c r="Y175" i="1"/>
  <c r="Y50" i="1"/>
  <c r="E50" i="1"/>
  <c r="E171" i="1"/>
  <c r="Y171" i="1"/>
  <c r="Y61" i="1"/>
  <c r="Y90" i="1"/>
  <c r="Y105" i="1"/>
  <c r="E105" i="1"/>
  <c r="Y213" i="1"/>
  <c r="Y205" i="1"/>
  <c r="E150" i="1"/>
  <c r="Y150" i="1"/>
  <c r="E51" i="1"/>
  <c r="Y51" i="1"/>
  <c r="Y67" i="1"/>
  <c r="E67" i="1"/>
  <c r="E149" i="1"/>
  <c r="Y149" i="1"/>
  <c r="E176" i="1"/>
  <c r="Y176" i="1"/>
  <c r="E164" i="1"/>
  <c r="Y164" i="1"/>
  <c r="Y181" i="1"/>
  <c r="Y83" i="1"/>
  <c r="E83" i="1"/>
  <c r="Y102" i="1"/>
  <c r="E102" i="1"/>
  <c r="L65" i="4"/>
  <c r="N65" i="4" s="1"/>
  <c r="M65" i="4"/>
  <c r="O65" i="4" s="1"/>
  <c r="L19" i="17"/>
  <c r="C33" i="13"/>
  <c r="B33" i="13" s="1"/>
  <c r="M365" i="22" l="1"/>
  <c r="BL153" i="38"/>
  <c r="BS153" i="38" s="1"/>
  <c r="BL126" i="38"/>
  <c r="BS126" i="38" s="1"/>
  <c r="BL150" i="38"/>
  <c r="BS150" i="38" s="1"/>
  <c r="BL145" i="38"/>
  <c r="BS145" i="38" s="1"/>
  <c r="BL139" i="38"/>
  <c r="BS139" i="38" s="1"/>
  <c r="D365" i="22"/>
  <c r="E365" i="22" s="1"/>
  <c r="BL148" i="38"/>
  <c r="BS148" i="38" s="1"/>
  <c r="J360" i="22"/>
  <c r="K360" i="22" s="1"/>
  <c r="M360" i="22" s="1"/>
  <c r="BL70" i="38"/>
  <c r="BS70" i="38" s="1"/>
  <c r="BL79" i="38"/>
  <c r="BS79" i="38" s="1"/>
  <c r="BL83" i="38"/>
  <c r="BS83" i="38" s="1"/>
  <c r="BL110" i="38"/>
  <c r="BS110" i="38" s="1"/>
  <c r="E363" i="22"/>
  <c r="F363" i="22"/>
  <c r="F365" i="22"/>
  <c r="F366" i="22" s="1"/>
  <c r="BL118" i="38"/>
  <c r="BS118" i="38" s="1"/>
  <c r="BL132" i="38"/>
  <c r="BS132" i="38" s="1"/>
  <c r="BL123" i="38"/>
  <c r="BS123" i="38" s="1"/>
  <c r="BL165" i="38"/>
  <c r="BS165" i="38" s="1"/>
  <c r="BL66" i="38"/>
  <c r="BS66" i="38" s="1"/>
  <c r="BL90" i="38"/>
  <c r="BS90" i="38" s="1"/>
  <c r="BL78" i="38"/>
  <c r="BS78" i="38" s="1"/>
  <c r="BL147" i="38"/>
  <c r="BS147" i="38" s="1"/>
  <c r="BL102" i="38"/>
  <c r="BS102" i="38" s="1"/>
  <c r="BL156" i="38"/>
  <c r="BS156" i="38" s="1"/>
  <c r="BL94" i="38"/>
  <c r="BS94" i="38" s="1"/>
  <c r="BL98" i="38"/>
  <c r="BS98" i="38" s="1"/>
  <c r="BL138" i="38"/>
  <c r="BS138" i="38" s="1"/>
  <c r="BL129" i="38"/>
  <c r="BS129" i="38" s="1"/>
  <c r="BL75" i="38"/>
  <c r="BS75" i="38" s="1"/>
  <c r="BL135" i="38"/>
  <c r="BS135" i="38" s="1"/>
  <c r="E362" i="22"/>
  <c r="F362" i="22"/>
  <c r="BL82" i="38"/>
  <c r="BS82" i="38" s="1"/>
  <c r="BL162" i="38"/>
  <c r="BS162" i="38" s="1"/>
  <c r="BL141" i="38"/>
  <c r="BS141" i="38" s="1"/>
  <c r="N23" i="1"/>
  <c r="O23" i="1" a="1"/>
  <c r="O23" i="1" s="1"/>
  <c r="BL86" i="38"/>
  <c r="BS86" i="38" s="1"/>
  <c r="BL114" i="38"/>
  <c r="BS114" i="38" s="1"/>
  <c r="BL142" i="38"/>
  <c r="BS142" i="38" s="1"/>
  <c r="BL74" i="38"/>
  <c r="BS74" i="38" s="1"/>
  <c r="BL106" i="38"/>
  <c r="BS106" i="38" s="1"/>
  <c r="BL159" i="38"/>
  <c r="BS159" i="38" s="1"/>
  <c r="AU72" i="38"/>
  <c r="AW72" i="38" s="1"/>
  <c r="AU106" i="38"/>
  <c r="AW106" i="38" s="1"/>
  <c r="AU161" i="38"/>
  <c r="AW161" i="38" s="1"/>
  <c r="AU96" i="38"/>
  <c r="AW96" i="38" s="1"/>
  <c r="AU107" i="38"/>
  <c r="AW107" i="38" s="1"/>
  <c r="AU163" i="38"/>
  <c r="AW163" i="38" s="1"/>
  <c r="AU114" i="38"/>
  <c r="AW114" i="38" s="1"/>
  <c r="AU119" i="38"/>
  <c r="AW119" i="38" s="1"/>
  <c r="AU147" i="38"/>
  <c r="AW147" i="38" s="1"/>
  <c r="AU52" i="38"/>
  <c r="AW52" i="38" s="1"/>
  <c r="AU159" i="38"/>
  <c r="AW159" i="38" s="1"/>
  <c r="AU40" i="38"/>
  <c r="AW40" i="38" s="1"/>
  <c r="AU140" i="38"/>
  <c r="AW140" i="38" s="1"/>
  <c r="AU152" i="38"/>
  <c r="AW152" i="38" s="1"/>
  <c r="AU111" i="38"/>
  <c r="AW111" i="38" s="1"/>
  <c r="AU42" i="38"/>
  <c r="AW42" i="38" s="1"/>
  <c r="AU47" i="38"/>
  <c r="AW47" i="38" s="1"/>
  <c r="AU88" i="38"/>
  <c r="AW88" i="38" s="1"/>
  <c r="AU136" i="38"/>
  <c r="AW136" i="38" s="1"/>
  <c r="AU149" i="38"/>
  <c r="AW149" i="38" s="1"/>
  <c r="AU48" i="38"/>
  <c r="AW48" i="38" s="1"/>
  <c r="AU37" i="38"/>
  <c r="AW37" i="38" s="1"/>
  <c r="AU164" i="38"/>
  <c r="AW164" i="38" s="1"/>
  <c r="AU124" i="38"/>
  <c r="AW124" i="38" s="1"/>
  <c r="AU32" i="38"/>
  <c r="AW32" i="38" s="1"/>
  <c r="AU64" i="38"/>
  <c r="AW64" i="38" s="1"/>
  <c r="AU97" i="38"/>
  <c r="AW97" i="38" s="1"/>
  <c r="AU95" i="38"/>
  <c r="AW95" i="38" s="1"/>
  <c r="AU112" i="38"/>
  <c r="AW112" i="38" s="1"/>
  <c r="AU134" i="38"/>
  <c r="AW134" i="38" s="1"/>
  <c r="AU130" i="38"/>
  <c r="AW130" i="38" s="1"/>
  <c r="AU39" i="38"/>
  <c r="AW39" i="38" s="1"/>
  <c r="AU84" i="38"/>
  <c r="AW84" i="38" s="1"/>
  <c r="AU128" i="38"/>
  <c r="AW128" i="38" s="1"/>
  <c r="AU121" i="38"/>
  <c r="AW121" i="38" s="1"/>
  <c r="AU54" i="38"/>
  <c r="AW54" i="38" s="1"/>
  <c r="AU116" i="38"/>
  <c r="AW116" i="38" s="1"/>
  <c r="AU150" i="38"/>
  <c r="AW150" i="38" s="1"/>
  <c r="AU109" i="38"/>
  <c r="AW109" i="38" s="1"/>
  <c r="AU139" i="38"/>
  <c r="AW139" i="38" s="1"/>
  <c r="AU153" i="38"/>
  <c r="AW153" i="38" s="1"/>
  <c r="AU53" i="38"/>
  <c r="AW53" i="38" s="1"/>
  <c r="AU137" i="38"/>
  <c r="AW137" i="38" s="1"/>
  <c r="AU33" i="38"/>
  <c r="AW33" i="38" s="1"/>
  <c r="AU94" i="38"/>
  <c r="AW94" i="38" s="1"/>
  <c r="AU160" i="38"/>
  <c r="AW160" i="38" s="1"/>
  <c r="AU113" i="38"/>
  <c r="AW113" i="38" s="1"/>
  <c r="AU89" i="38"/>
  <c r="AU76" i="38"/>
  <c r="AW76" i="38" s="1"/>
  <c r="AU108" i="38"/>
  <c r="AW108" i="38" s="1"/>
  <c r="AU98" i="38"/>
  <c r="AW98" i="38" s="1"/>
  <c r="AU46" i="38"/>
  <c r="AU99" i="38"/>
  <c r="AW99" i="38" s="1"/>
  <c r="AU34" i="38"/>
  <c r="AW34" i="38" s="1"/>
  <c r="AU162" i="38"/>
  <c r="AW162" i="38" s="1"/>
  <c r="AU60" i="38"/>
  <c r="AW60" i="38" s="1"/>
  <c r="AU131" i="38"/>
  <c r="AW131" i="38" s="1"/>
  <c r="AU100" i="38"/>
  <c r="AW100" i="38" s="1"/>
  <c r="AU133" i="38"/>
  <c r="AW133" i="38" s="1"/>
  <c r="AU36" i="38"/>
  <c r="AW36" i="38" s="1"/>
  <c r="AU80" i="38"/>
  <c r="AW80" i="38" s="1"/>
  <c r="AU58" i="38"/>
  <c r="AW58" i="38" s="1"/>
  <c r="AU68" i="38"/>
  <c r="AW68" i="38" s="1"/>
  <c r="AU93" i="38"/>
  <c r="AW93" i="38" s="1"/>
  <c r="AU41" i="38"/>
  <c r="AW41" i="38" s="1"/>
  <c r="AU35" i="38"/>
  <c r="AW35" i="38" s="1"/>
  <c r="AU50" i="38"/>
  <c r="AW50" i="38" s="1"/>
  <c r="AU156" i="38"/>
  <c r="AW156" i="38" s="1"/>
  <c r="AU31" i="38"/>
  <c r="AW31" i="38" s="1"/>
  <c r="AU120" i="38"/>
  <c r="AW120" i="38" s="1"/>
  <c r="AU43" i="38"/>
  <c r="AW43" i="38" s="1"/>
  <c r="AU145" i="38"/>
  <c r="AW145" i="38" s="1"/>
  <c r="AU146" i="38"/>
  <c r="AW146" i="38" s="1"/>
  <c r="AU158" i="38"/>
  <c r="AW158" i="38" s="1"/>
  <c r="AU55" i="38"/>
  <c r="AW55" i="38" s="1"/>
  <c r="AU144" i="38"/>
  <c r="AU154" i="38"/>
  <c r="AW154" i="38" s="1"/>
  <c r="AU157" i="38"/>
  <c r="AW157" i="38" s="1"/>
  <c r="AU45" i="38"/>
  <c r="AU51" i="38"/>
  <c r="AW51" i="38" s="1"/>
  <c r="AU49" i="38"/>
  <c r="AW49" i="38" s="1"/>
  <c r="AU59" i="38"/>
  <c r="AW59" i="38" s="1"/>
  <c r="AU143" i="38"/>
  <c r="AU44" i="38"/>
  <c r="AW44" i="38" s="1"/>
  <c r="AU105" i="38"/>
  <c r="AW105" i="38" s="1"/>
  <c r="AU38" i="38"/>
  <c r="AW38" i="38" s="1"/>
  <c r="AU102" i="38"/>
  <c r="AW102" i="38" s="1"/>
  <c r="AU56" i="38"/>
  <c r="AW56" i="38" s="1"/>
  <c r="AU148" i="38"/>
  <c r="AW148" i="38" s="1"/>
  <c r="AU122" i="38"/>
  <c r="AW122" i="38" s="1"/>
  <c r="AU151" i="38"/>
  <c r="AW151" i="38" s="1"/>
  <c r="AU127" i="38"/>
  <c r="AW127" i="38" s="1"/>
  <c r="AU125" i="38"/>
  <c r="AW125" i="38" s="1"/>
  <c r="AU115" i="38"/>
  <c r="AW115" i="38" s="1"/>
  <c r="AU103" i="38"/>
  <c r="AW103" i="38" s="1"/>
  <c r="AU110" i="38"/>
  <c r="AW110" i="38" s="1"/>
  <c r="AU117" i="38"/>
  <c r="AW117" i="38" s="1"/>
  <c r="AU165" i="38"/>
  <c r="AW165" i="38" s="1"/>
  <c r="AU104" i="38"/>
  <c r="AW104" i="38" s="1"/>
  <c r="AU155" i="38"/>
  <c r="AW155" i="38" s="1"/>
  <c r="AU57" i="38"/>
  <c r="AW57" i="38" s="1"/>
  <c r="AU101" i="38"/>
  <c r="AW101" i="38" s="1"/>
  <c r="AU118" i="38"/>
  <c r="AW118" i="38" s="1"/>
  <c r="O8" i="38"/>
  <c r="R8" i="38"/>
  <c r="Q8" i="38"/>
  <c r="P8" i="38"/>
  <c r="S8" i="38"/>
  <c r="O7" i="38"/>
  <c r="R7" i="38"/>
  <c r="Q7" i="38"/>
  <c r="N16" i="38"/>
  <c r="P7" i="38"/>
  <c r="S7" i="38"/>
  <c r="N14" i="38"/>
  <c r="N10" i="38"/>
  <c r="N15" i="38"/>
  <c r="N12" i="38"/>
  <c r="N9" i="38"/>
  <c r="N11" i="38"/>
  <c r="N13" i="38"/>
  <c r="O51" i="4"/>
  <c r="D24" i="13"/>
  <c r="B281" i="22"/>
  <c r="F281" i="22"/>
  <c r="D288" i="22"/>
  <c r="D45" i="13"/>
  <c r="I284" i="22"/>
  <c r="B284" i="22"/>
  <c r="I288" i="22"/>
  <c r="I287" i="22"/>
  <c r="A38" i="13"/>
  <c r="D43" i="13" s="1"/>
  <c r="A37" i="13"/>
  <c r="D44" i="13" s="1"/>
  <c r="A36" i="13"/>
  <c r="D42" i="13" s="1"/>
  <c r="B286" i="22"/>
  <c r="B287" i="22"/>
  <c r="B288" i="22"/>
  <c r="B285" i="22"/>
  <c r="A283" i="22"/>
  <c r="A266" i="22"/>
  <c r="I278" i="22"/>
  <c r="F269" i="22"/>
  <c r="F271" i="22"/>
  <c r="F277" i="22"/>
  <c r="F280" i="22"/>
  <c r="I275" i="22"/>
  <c r="I274" i="22"/>
  <c r="D23" i="13"/>
  <c r="D22" i="13"/>
  <c r="D21" i="13"/>
  <c r="D20" i="13"/>
  <c r="D19" i="13"/>
  <c r="D18" i="13"/>
  <c r="D280" i="22"/>
  <c r="I279" i="22" s="1"/>
  <c r="B280" i="22"/>
  <c r="B279" i="22"/>
  <c r="B278" i="22"/>
  <c r="B277" i="22"/>
  <c r="B276" i="22"/>
  <c r="B275" i="22"/>
  <c r="B273" i="22"/>
  <c r="D271" i="22"/>
  <c r="I270" i="22" s="1"/>
  <c r="B271" i="22"/>
  <c r="B270" i="22"/>
  <c r="D269" i="22"/>
  <c r="I268" i="22" s="1"/>
  <c r="B269" i="22"/>
  <c r="B268" i="22"/>
  <c r="A26" i="17"/>
  <c r="A24" i="17"/>
  <c r="A25" i="17"/>
  <c r="A23" i="17"/>
  <c r="BL131" i="38" l="1"/>
  <c r="BS131" i="38" s="1"/>
  <c r="BL128" i="38"/>
  <c r="BS128" i="38" s="1"/>
  <c r="BL155" i="38"/>
  <c r="BS155" i="38" s="1"/>
  <c r="BL158" i="38"/>
  <c r="BS158" i="38" s="1"/>
  <c r="BL146" i="38"/>
  <c r="BS146" i="38" s="1"/>
  <c r="BL152" i="38"/>
  <c r="BS152" i="38" s="1"/>
  <c r="BL144" i="38"/>
  <c r="BS144" i="38" s="1"/>
  <c r="BL125" i="38"/>
  <c r="BS125" i="38" s="1"/>
  <c r="BL137" i="38"/>
  <c r="BS137" i="38" s="1"/>
  <c r="BL122" i="38"/>
  <c r="BS122" i="38" s="1"/>
  <c r="BL140" i="38"/>
  <c r="BS140" i="38" s="1"/>
  <c r="BL164" i="38"/>
  <c r="BS164" i="38" s="1"/>
  <c r="BL149" i="38"/>
  <c r="BS149" i="38" s="1"/>
  <c r="BL134" i="38"/>
  <c r="BS134" i="38" s="1"/>
  <c r="BL161" i="38"/>
  <c r="BS161" i="38" s="1"/>
  <c r="BL116" i="38"/>
  <c r="BS116" i="38" s="1"/>
  <c r="BL96" i="38"/>
  <c r="BS96" i="38" s="1"/>
  <c r="BL108" i="38"/>
  <c r="BS108" i="38" s="1"/>
  <c r="BL112" i="38"/>
  <c r="BS112" i="38" s="1"/>
  <c r="BL76" i="38"/>
  <c r="BS76" i="38" s="1"/>
  <c r="BL84" i="38"/>
  <c r="BS84" i="38" s="1"/>
  <c r="BL104" i="38"/>
  <c r="BS104" i="38" s="1"/>
  <c r="BL100" i="38"/>
  <c r="BS100" i="38" s="1"/>
  <c r="BL68" i="38"/>
  <c r="BS68" i="38" s="1"/>
  <c r="BL89" i="38"/>
  <c r="BS89" i="38" s="1"/>
  <c r="BL88" i="38"/>
  <c r="BS88" i="38" s="1"/>
  <c r="BL64" i="38"/>
  <c r="BS64" i="38" s="1"/>
  <c r="BL80" i="38"/>
  <c r="BS80" i="38" s="1"/>
  <c r="BL120" i="38"/>
  <c r="BS120" i="38" s="1"/>
  <c r="BL72" i="38"/>
  <c r="BS72" i="38" s="1"/>
  <c r="D360" i="22"/>
  <c r="AV122" i="38"/>
  <c r="AV64" i="38"/>
  <c r="AV110" i="38"/>
  <c r="AV56" i="38"/>
  <c r="AV51" i="38"/>
  <c r="AV145" i="38"/>
  <c r="AV93" i="38"/>
  <c r="AV60" i="38"/>
  <c r="AV89" i="38"/>
  <c r="AV139" i="38"/>
  <c r="AV39" i="38"/>
  <c r="AV124" i="38"/>
  <c r="AV42" i="38"/>
  <c r="AV119" i="38"/>
  <c r="AV118" i="38"/>
  <c r="AV103" i="38"/>
  <c r="AV102" i="38"/>
  <c r="AV45" i="38"/>
  <c r="AV43" i="38"/>
  <c r="AV68" i="38"/>
  <c r="AV162" i="38"/>
  <c r="AV113" i="38"/>
  <c r="AV109" i="38"/>
  <c r="AV130" i="38"/>
  <c r="AV164" i="38"/>
  <c r="AV111" i="38"/>
  <c r="AV114" i="38"/>
  <c r="AV100" i="38"/>
  <c r="AV134" i="38"/>
  <c r="AV165" i="38"/>
  <c r="AV128" i="38"/>
  <c r="AV38" i="38"/>
  <c r="AV58" i="38"/>
  <c r="AV150" i="38"/>
  <c r="AV152" i="38"/>
  <c r="AV105" i="38"/>
  <c r="AV80" i="38"/>
  <c r="AV94" i="38"/>
  <c r="AV48" i="38"/>
  <c r="AV140" i="38"/>
  <c r="AV107" i="38"/>
  <c r="AV59" i="38"/>
  <c r="AV53" i="38"/>
  <c r="AV101" i="38"/>
  <c r="AV157" i="38"/>
  <c r="AV34" i="38"/>
  <c r="AV37" i="38"/>
  <c r="AV125" i="38"/>
  <c r="AV31" i="38"/>
  <c r="AV116" i="38"/>
  <c r="AV155" i="38"/>
  <c r="AV127" i="38"/>
  <c r="AV44" i="38"/>
  <c r="AV144" i="38"/>
  <c r="AV156" i="38"/>
  <c r="AV36" i="38"/>
  <c r="AV46" i="38"/>
  <c r="AV33" i="38"/>
  <c r="AV54" i="38"/>
  <c r="AV95" i="38"/>
  <c r="AV149" i="38"/>
  <c r="AV40" i="38"/>
  <c r="AV96" i="38"/>
  <c r="AV158" i="38"/>
  <c r="AV108" i="38"/>
  <c r="AV115" i="38"/>
  <c r="AV120" i="38"/>
  <c r="AV160" i="38"/>
  <c r="AV163" i="38"/>
  <c r="AV57" i="38"/>
  <c r="AV154" i="38"/>
  <c r="AV99" i="38"/>
  <c r="AV112" i="38"/>
  <c r="AV104" i="38"/>
  <c r="AV151" i="38"/>
  <c r="AV143" i="38"/>
  <c r="AV55" i="38"/>
  <c r="AV50" i="38"/>
  <c r="AV133" i="38"/>
  <c r="AV98" i="38"/>
  <c r="AV137" i="38"/>
  <c r="AV121" i="38"/>
  <c r="AV97" i="38"/>
  <c r="AV136" i="38"/>
  <c r="AV159" i="38"/>
  <c r="AV161" i="38"/>
  <c r="AV35" i="38"/>
  <c r="AV88" i="38"/>
  <c r="AV52" i="38"/>
  <c r="AV106" i="38"/>
  <c r="AV117" i="38"/>
  <c r="AV148" i="38"/>
  <c r="AV49" i="38"/>
  <c r="AV146" i="38"/>
  <c r="AV41" i="38"/>
  <c r="AV131" i="38"/>
  <c r="AV76" i="38"/>
  <c r="AV153" i="38"/>
  <c r="AV84" i="38"/>
  <c r="AV32" i="38"/>
  <c r="AV47" i="38"/>
  <c r="AV147" i="38"/>
  <c r="AV72" i="38"/>
  <c r="AA17" i="38"/>
  <c r="AA14" i="38"/>
  <c r="AA22" i="38"/>
  <c r="AA11" i="38"/>
  <c r="AA19" i="38"/>
  <c r="AA16" i="38"/>
  <c r="AA24" i="38"/>
  <c r="AA13" i="38"/>
  <c r="AA21" i="38"/>
  <c r="AA10" i="38"/>
  <c r="AA18" i="38"/>
  <c r="AA12" i="38"/>
  <c r="AA20" i="38"/>
  <c r="AA15" i="38"/>
  <c r="AA23" i="38"/>
  <c r="AD18" i="38"/>
  <c r="AD15" i="38"/>
  <c r="AD77" i="38" s="1" a="1"/>
  <c r="AD77" i="38" s="1"/>
  <c r="AD23" i="38"/>
  <c r="AD12" i="38"/>
  <c r="AD85" i="38" s="1" a="1"/>
  <c r="AD85" i="38" s="1"/>
  <c r="AD20" i="38"/>
  <c r="AD17" i="38"/>
  <c r="AD14" i="38"/>
  <c r="AD65" i="38" s="1" a="1"/>
  <c r="AD65" i="38" s="1"/>
  <c r="AD22" i="38"/>
  <c r="AD13" i="38"/>
  <c r="AD69" i="38" s="1" a="1"/>
  <c r="AD69" i="38" s="1"/>
  <c r="AD11" i="38"/>
  <c r="AD81" i="38" s="1" a="1"/>
  <c r="AD81" i="38" s="1"/>
  <c r="AD19" i="38"/>
  <c r="AD16" i="38"/>
  <c r="AD92" i="38" s="1" a="1"/>
  <c r="AD92" i="38" s="1"/>
  <c r="AD24" i="38"/>
  <c r="AD21" i="38"/>
  <c r="N8" i="38"/>
  <c r="AE13" i="38"/>
  <c r="AE70" i="38" s="1" a="1"/>
  <c r="AE70" i="38" s="1"/>
  <c r="AE21" i="38"/>
  <c r="AE18" i="38"/>
  <c r="AE15" i="38"/>
  <c r="AE78" i="38" s="1" a="1"/>
  <c r="AE78" i="38" s="1"/>
  <c r="AE23" i="38"/>
  <c r="AE12" i="38"/>
  <c r="AE86" i="38" s="1" a="1"/>
  <c r="AE86" i="38" s="1"/>
  <c r="AE20" i="38"/>
  <c r="AE17" i="38"/>
  <c r="AE14" i="38"/>
  <c r="AE66" i="38" s="1" a="1"/>
  <c r="AE66" i="38" s="1"/>
  <c r="AE22" i="38"/>
  <c r="AE16" i="38"/>
  <c r="AE90" i="38" s="1" a="1"/>
  <c r="AE90" i="38" s="1"/>
  <c r="AE11" i="38"/>
  <c r="AE82" i="38" s="1" a="1"/>
  <c r="AE82" i="38" s="1"/>
  <c r="AE19" i="38"/>
  <c r="AE24" i="38"/>
  <c r="AB12" i="38"/>
  <c r="AB86" i="38" s="1" a="1"/>
  <c r="AB86" i="38" s="1"/>
  <c r="AB20" i="38"/>
  <c r="AB17" i="38"/>
  <c r="AB14" i="38"/>
  <c r="AB66" i="38" s="1" a="1"/>
  <c r="AB66" i="38" s="1"/>
  <c r="AB22" i="38"/>
  <c r="AB19" i="38"/>
  <c r="AB16" i="38"/>
  <c r="AB90" i="38" s="1" a="1"/>
  <c r="AB90" i="38" s="1"/>
  <c r="AB24" i="38"/>
  <c r="AB13" i="38"/>
  <c r="AB70" i="38" s="1" a="1"/>
  <c r="AB70" i="38" s="1"/>
  <c r="AB21" i="38"/>
  <c r="AB23" i="38"/>
  <c r="AB10" i="38"/>
  <c r="AB74" i="38" s="1" a="1"/>
  <c r="AB74" i="38" s="1"/>
  <c r="AB18" i="38"/>
  <c r="AB15" i="38"/>
  <c r="AB78" i="38" s="1" a="1"/>
  <c r="AB78" i="38" s="1"/>
  <c r="AC15" i="38"/>
  <c r="AC135" i="38" s="1" a="1"/>
  <c r="AC135" i="38" s="1"/>
  <c r="AC23" i="38"/>
  <c r="AC12" i="38"/>
  <c r="AC141" i="38" s="1" a="1"/>
  <c r="AC141" i="38" s="1"/>
  <c r="AC20" i="38"/>
  <c r="AC17" i="38"/>
  <c r="AC14" i="38"/>
  <c r="AC126" i="38" s="1" a="1"/>
  <c r="AC126" i="38" s="1"/>
  <c r="AC22" i="38"/>
  <c r="AC19" i="38"/>
  <c r="AC16" i="38"/>
  <c r="AC142" i="38" s="1" a="1"/>
  <c r="AC142" i="38" s="1"/>
  <c r="AC24" i="38"/>
  <c r="AC13" i="38"/>
  <c r="AC129" i="38" s="1" a="1"/>
  <c r="AC129" i="38" s="1"/>
  <c r="AC21" i="38"/>
  <c r="AC10" i="38"/>
  <c r="AC132" i="38" s="1" a="1"/>
  <c r="AC132" i="38" s="1"/>
  <c r="AC18" i="38"/>
  <c r="N7" i="38"/>
  <c r="G257" i="22"/>
  <c r="F257" i="22"/>
  <c r="D257" i="22"/>
  <c r="E360" i="22" l="1"/>
  <c r="B72" i="34"/>
  <c r="F360" i="22"/>
  <c r="BL77" i="38"/>
  <c r="BS77" i="38" s="1"/>
  <c r="BL101" i="38"/>
  <c r="BS101" i="38" s="1"/>
  <c r="BL113" i="38"/>
  <c r="BS113" i="38" s="1"/>
  <c r="BL97" i="38"/>
  <c r="BS97" i="38" s="1"/>
  <c r="BL93" i="38"/>
  <c r="BS93" i="38" s="1"/>
  <c r="BL85" i="38"/>
  <c r="BS85" i="38" s="1"/>
  <c r="BL69" i="38"/>
  <c r="BS69" i="38" s="1"/>
  <c r="BL81" i="38"/>
  <c r="BS81" i="38" s="1"/>
  <c r="BL73" i="38"/>
  <c r="BS73" i="38" s="1"/>
  <c r="BL105" i="38"/>
  <c r="BS105" i="38" s="1"/>
  <c r="BL65" i="38"/>
  <c r="BS65" i="38" s="1"/>
  <c r="BL61" i="38"/>
  <c r="BS61" i="38" s="1"/>
  <c r="BL92" i="38"/>
  <c r="BS92" i="38" s="1"/>
  <c r="BL109" i="38"/>
  <c r="BS109" i="38" s="1"/>
  <c r="BL117" i="38"/>
  <c r="BS117" i="38" s="1"/>
  <c r="AA75" i="38" a="1"/>
  <c r="AA75" i="38" s="1"/>
  <c r="AA74" i="38" a="1"/>
  <c r="AA74" i="38" s="1"/>
  <c r="AA71" i="38" a="1"/>
  <c r="AA71" i="38" s="1"/>
  <c r="AA70" i="38" a="1"/>
  <c r="AA70" i="38" s="1"/>
  <c r="AA91" i="38" a="1"/>
  <c r="AA91" i="38" s="1"/>
  <c r="AA90" i="38" a="1"/>
  <c r="AA90" i="38" s="1"/>
  <c r="AA83" i="38" a="1"/>
  <c r="AA83" i="38" s="1"/>
  <c r="AA82" i="38" a="1"/>
  <c r="AA82" i="38" s="1"/>
  <c r="AA67" i="38" a="1"/>
  <c r="AA67" i="38" s="1"/>
  <c r="AA66" i="38" a="1"/>
  <c r="AA66" i="38" s="1"/>
  <c r="AA79" i="38" a="1"/>
  <c r="AA79" i="38" s="1"/>
  <c r="AA78" i="38" a="1"/>
  <c r="AA78" i="38" s="1"/>
  <c r="AA87" i="38" a="1"/>
  <c r="AA87" i="38" s="1"/>
  <c r="AA86" i="38" a="1"/>
  <c r="AA86" i="38" s="1"/>
  <c r="Z10" i="38"/>
  <c r="Z18" i="38"/>
  <c r="Z19" i="38"/>
  <c r="Z12" i="38"/>
  <c r="Z20" i="38"/>
  <c r="Z13" i="38"/>
  <c r="Z21" i="38"/>
  <c r="Z14" i="38"/>
  <c r="Z22" i="38"/>
  <c r="Z15" i="38"/>
  <c r="Z23" i="38"/>
  <c r="Z17" i="38"/>
  <c r="Z16" i="38"/>
  <c r="Z24" i="38"/>
  <c r="C34" i="1"/>
  <c r="BB44" i="1"/>
  <c r="F361" i="22" l="1"/>
  <c r="C81" i="34" s="1"/>
  <c r="D53" i="22"/>
  <c r="C60" i="34" s="1"/>
  <c r="D54" i="22"/>
  <c r="C61" i="34" s="1"/>
  <c r="D56" i="22"/>
  <c r="C63" i="34" s="1"/>
  <c r="B28" i="24"/>
  <c r="B76" i="34" l="1"/>
  <c r="B74" i="34"/>
  <c r="B81" i="34"/>
  <c r="B78" i="34"/>
  <c r="B79" i="34"/>
  <c r="C80" i="34"/>
  <c r="C76" i="34"/>
  <c r="C78" i="34"/>
  <c r="B77" i="34"/>
  <c r="B75" i="34"/>
  <c r="C77" i="34"/>
  <c r="C79" i="34"/>
  <c r="B80" i="34"/>
  <c r="C75" i="34"/>
  <c r="C74" i="34"/>
  <c r="E25" i="13"/>
  <c r="G25" i="13" s="1"/>
  <c r="F25" i="13"/>
  <c r="H25" i="13" s="1"/>
  <c r="E26" i="13"/>
  <c r="G26" i="13" s="1"/>
  <c r="F26" i="13"/>
  <c r="H26" i="13" s="1"/>
  <c r="E27" i="13"/>
  <c r="G27" i="13" s="1"/>
  <c r="F27" i="13"/>
  <c r="H27" i="13" s="1"/>
  <c r="E28" i="13"/>
  <c r="G28" i="13" s="1"/>
  <c r="F28" i="13"/>
  <c r="H28" i="13" s="1"/>
  <c r="I91" i="38" l="1"/>
  <c r="BR91" i="38" s="1"/>
  <c r="I45" i="38"/>
  <c r="I90" i="38"/>
  <c r="I143" i="38"/>
  <c r="I46" i="38"/>
  <c r="I144" i="38"/>
  <c r="I89" i="38"/>
  <c r="I92" i="38"/>
  <c r="I142" i="38"/>
  <c r="AN49" i="1"/>
  <c r="AB49" i="1" s="1"/>
  <c r="AN57" i="1"/>
  <c r="AB57" i="1" s="1"/>
  <c r="AN65" i="1"/>
  <c r="AB65" i="1" s="1"/>
  <c r="AN73" i="1"/>
  <c r="AB73" i="1" s="1"/>
  <c r="AN81" i="1"/>
  <c r="AB81" i="1" s="1"/>
  <c r="AN89" i="1"/>
  <c r="AB89" i="1" s="1"/>
  <c r="AN97" i="1"/>
  <c r="AB97" i="1" s="1"/>
  <c r="AN105" i="1"/>
  <c r="AB105" i="1" s="1"/>
  <c r="AN113" i="1"/>
  <c r="AB113" i="1" s="1"/>
  <c r="AN121" i="1"/>
  <c r="AB121" i="1" s="1"/>
  <c r="AN129" i="1"/>
  <c r="AB129" i="1" s="1"/>
  <c r="AN137" i="1"/>
  <c r="AB137" i="1" s="1"/>
  <c r="AN145" i="1"/>
  <c r="AB145" i="1" s="1"/>
  <c r="AN153" i="1"/>
  <c r="AB153" i="1" s="1"/>
  <c r="AN161" i="1"/>
  <c r="AB161" i="1" s="1"/>
  <c r="AN169" i="1"/>
  <c r="AB169" i="1" s="1"/>
  <c r="AN177" i="1"/>
  <c r="AB177" i="1" s="1"/>
  <c r="AN185" i="1"/>
  <c r="AB185" i="1" s="1"/>
  <c r="AN193" i="1"/>
  <c r="AB193" i="1" s="1"/>
  <c r="AN201" i="1"/>
  <c r="AB201" i="1" s="1"/>
  <c r="AN209" i="1"/>
  <c r="AB209" i="1" s="1"/>
  <c r="AN217" i="1"/>
  <c r="AB217" i="1" s="1"/>
  <c r="AN223" i="1"/>
  <c r="AB223" i="1" s="1"/>
  <c r="AN224" i="1"/>
  <c r="AB224" i="1" s="1"/>
  <c r="AN52" i="1"/>
  <c r="AB52" i="1" s="1"/>
  <c r="AN60" i="1"/>
  <c r="AB60" i="1" s="1"/>
  <c r="AN68" i="1"/>
  <c r="AB68" i="1" s="1"/>
  <c r="AN76" i="1"/>
  <c r="AB76" i="1" s="1"/>
  <c r="AN84" i="1"/>
  <c r="AB84" i="1" s="1"/>
  <c r="AN92" i="1"/>
  <c r="AB92" i="1" s="1"/>
  <c r="AN100" i="1"/>
  <c r="AB100" i="1" s="1"/>
  <c r="AN108" i="1"/>
  <c r="AB108" i="1" s="1"/>
  <c r="AN116" i="1"/>
  <c r="AB116" i="1" s="1"/>
  <c r="AN124" i="1"/>
  <c r="AB124" i="1" s="1"/>
  <c r="AN132" i="1"/>
  <c r="AB132" i="1" s="1"/>
  <c r="AN140" i="1"/>
  <c r="AB140" i="1" s="1"/>
  <c r="AN148" i="1"/>
  <c r="AB148" i="1" s="1"/>
  <c r="AN156" i="1"/>
  <c r="AB156" i="1" s="1"/>
  <c r="AN164" i="1"/>
  <c r="AB164" i="1" s="1"/>
  <c r="AN172" i="1"/>
  <c r="AB172" i="1" s="1"/>
  <c r="AN180" i="1"/>
  <c r="AB180" i="1" s="1"/>
  <c r="AN188" i="1"/>
  <c r="AB188" i="1" s="1"/>
  <c r="AN196" i="1"/>
  <c r="AB196" i="1" s="1"/>
  <c r="AN204" i="1"/>
  <c r="AB204" i="1" s="1"/>
  <c r="AN212" i="1"/>
  <c r="AB212" i="1" s="1"/>
  <c r="AN220" i="1"/>
  <c r="AB220" i="1" s="1"/>
  <c r="AN47" i="1"/>
  <c r="AB47" i="1" s="1"/>
  <c r="AN55" i="1"/>
  <c r="AB55" i="1" s="1"/>
  <c r="AN63" i="1"/>
  <c r="AB63" i="1" s="1"/>
  <c r="AN71" i="1"/>
  <c r="AB71" i="1" s="1"/>
  <c r="AN79" i="1"/>
  <c r="AB79" i="1" s="1"/>
  <c r="AN87" i="1"/>
  <c r="AB87" i="1" s="1"/>
  <c r="AN95" i="1"/>
  <c r="AB95" i="1" s="1"/>
  <c r="AN103" i="1"/>
  <c r="AB103" i="1" s="1"/>
  <c r="AN111" i="1"/>
  <c r="AB111" i="1" s="1"/>
  <c r="AN119" i="1"/>
  <c r="AB119" i="1" s="1"/>
  <c r="AN127" i="1"/>
  <c r="AB127" i="1" s="1"/>
  <c r="AN135" i="1"/>
  <c r="AB135" i="1" s="1"/>
  <c r="AN143" i="1"/>
  <c r="AB143" i="1" s="1"/>
  <c r="AN151" i="1"/>
  <c r="AB151" i="1" s="1"/>
  <c r="AN159" i="1"/>
  <c r="AB159" i="1" s="1"/>
  <c r="AN167" i="1"/>
  <c r="AB167" i="1" s="1"/>
  <c r="AN175" i="1"/>
  <c r="AB175" i="1" s="1"/>
  <c r="AN183" i="1"/>
  <c r="AB183" i="1" s="1"/>
  <c r="AN191" i="1"/>
  <c r="AB191" i="1" s="1"/>
  <c r="AN199" i="1"/>
  <c r="AB199" i="1" s="1"/>
  <c r="AN207" i="1"/>
  <c r="AB207" i="1" s="1"/>
  <c r="AN215" i="1"/>
  <c r="AB215" i="1" s="1"/>
  <c r="AN50" i="1"/>
  <c r="AB50" i="1" s="1"/>
  <c r="AN58" i="1"/>
  <c r="AB58" i="1" s="1"/>
  <c r="AN66" i="1"/>
  <c r="AB66" i="1" s="1"/>
  <c r="AN74" i="1"/>
  <c r="AB74" i="1" s="1"/>
  <c r="AN82" i="1"/>
  <c r="AB82" i="1" s="1"/>
  <c r="AN90" i="1"/>
  <c r="AB90" i="1" s="1"/>
  <c r="AN98" i="1"/>
  <c r="AB98" i="1" s="1"/>
  <c r="AN106" i="1"/>
  <c r="AB106" i="1" s="1"/>
  <c r="AN114" i="1"/>
  <c r="AB114" i="1" s="1"/>
  <c r="AN122" i="1"/>
  <c r="AB122" i="1" s="1"/>
  <c r="AN130" i="1"/>
  <c r="AB130" i="1" s="1"/>
  <c r="AN138" i="1"/>
  <c r="AB138" i="1" s="1"/>
  <c r="AN146" i="1"/>
  <c r="AB146" i="1" s="1"/>
  <c r="AN154" i="1"/>
  <c r="AB154" i="1" s="1"/>
  <c r="AN162" i="1"/>
  <c r="AB162" i="1" s="1"/>
  <c r="AN170" i="1"/>
  <c r="AB170" i="1" s="1"/>
  <c r="AN178" i="1"/>
  <c r="AB178" i="1" s="1"/>
  <c r="AN186" i="1"/>
  <c r="AB186" i="1" s="1"/>
  <c r="AN194" i="1"/>
  <c r="AB194" i="1" s="1"/>
  <c r="AN202" i="1"/>
  <c r="AB202" i="1" s="1"/>
  <c r="AN210" i="1"/>
  <c r="AB210" i="1" s="1"/>
  <c r="AN218" i="1"/>
  <c r="AB218" i="1" s="1"/>
  <c r="AN45" i="1"/>
  <c r="AB45" i="1" s="1"/>
  <c r="AN53" i="1"/>
  <c r="AB53" i="1" s="1"/>
  <c r="AN61" i="1"/>
  <c r="AB61" i="1" s="1"/>
  <c r="AN69" i="1"/>
  <c r="AB69" i="1" s="1"/>
  <c r="AN77" i="1"/>
  <c r="AB77" i="1" s="1"/>
  <c r="AN85" i="1"/>
  <c r="AB85" i="1" s="1"/>
  <c r="AN93" i="1"/>
  <c r="AB93" i="1" s="1"/>
  <c r="AN101" i="1"/>
  <c r="AB101" i="1" s="1"/>
  <c r="AN109" i="1"/>
  <c r="AB109" i="1" s="1"/>
  <c r="AN117" i="1"/>
  <c r="AB117" i="1" s="1"/>
  <c r="AN125" i="1"/>
  <c r="AB125" i="1" s="1"/>
  <c r="AN133" i="1"/>
  <c r="AB133" i="1" s="1"/>
  <c r="AN141" i="1"/>
  <c r="AB141" i="1" s="1"/>
  <c r="AN149" i="1"/>
  <c r="AB149" i="1" s="1"/>
  <c r="AN157" i="1"/>
  <c r="AB157" i="1" s="1"/>
  <c r="AN165" i="1"/>
  <c r="AB165" i="1" s="1"/>
  <c r="AN173" i="1"/>
  <c r="AB173" i="1" s="1"/>
  <c r="AN181" i="1"/>
  <c r="AB181" i="1" s="1"/>
  <c r="AN189" i="1"/>
  <c r="AB189" i="1" s="1"/>
  <c r="AN197" i="1"/>
  <c r="AB197" i="1" s="1"/>
  <c r="AN205" i="1"/>
  <c r="AB205" i="1" s="1"/>
  <c r="AN213" i="1"/>
  <c r="AB213" i="1" s="1"/>
  <c r="AN221" i="1"/>
  <c r="AB221" i="1" s="1"/>
  <c r="AN48" i="1"/>
  <c r="AB48" i="1" s="1"/>
  <c r="AN56" i="1"/>
  <c r="AB56" i="1" s="1"/>
  <c r="AN64" i="1"/>
  <c r="AB64" i="1" s="1"/>
  <c r="AN72" i="1"/>
  <c r="AB72" i="1" s="1"/>
  <c r="AN80" i="1"/>
  <c r="AB80" i="1" s="1"/>
  <c r="AN88" i="1"/>
  <c r="AB88" i="1" s="1"/>
  <c r="AN96" i="1"/>
  <c r="AB96" i="1" s="1"/>
  <c r="AN104" i="1"/>
  <c r="AB104" i="1" s="1"/>
  <c r="AN112" i="1"/>
  <c r="AB112" i="1" s="1"/>
  <c r="AN120" i="1"/>
  <c r="AB120" i="1" s="1"/>
  <c r="AN128" i="1"/>
  <c r="AB128" i="1" s="1"/>
  <c r="AN136" i="1"/>
  <c r="AB136" i="1" s="1"/>
  <c r="AN144" i="1"/>
  <c r="AB144" i="1" s="1"/>
  <c r="AN152" i="1"/>
  <c r="AB152" i="1" s="1"/>
  <c r="AN160" i="1"/>
  <c r="AB160" i="1" s="1"/>
  <c r="AN168" i="1"/>
  <c r="AB168" i="1" s="1"/>
  <c r="AN176" i="1"/>
  <c r="AB176" i="1" s="1"/>
  <c r="AN184" i="1"/>
  <c r="AB184" i="1" s="1"/>
  <c r="AN192" i="1"/>
  <c r="AB192" i="1" s="1"/>
  <c r="AN200" i="1"/>
  <c r="AB200" i="1" s="1"/>
  <c r="AN208" i="1"/>
  <c r="AB208" i="1" s="1"/>
  <c r="AN216" i="1"/>
  <c r="AB216" i="1" s="1"/>
  <c r="AN51" i="1"/>
  <c r="AB51" i="1" s="1"/>
  <c r="AN59" i="1"/>
  <c r="AB59" i="1" s="1"/>
  <c r="AN67" i="1"/>
  <c r="AB67" i="1" s="1"/>
  <c r="AN75" i="1"/>
  <c r="AB75" i="1" s="1"/>
  <c r="AN83" i="1"/>
  <c r="AB83" i="1" s="1"/>
  <c r="AN91" i="1"/>
  <c r="AB91" i="1" s="1"/>
  <c r="AN99" i="1"/>
  <c r="AB99" i="1" s="1"/>
  <c r="AN107" i="1"/>
  <c r="AB107" i="1" s="1"/>
  <c r="AN115" i="1"/>
  <c r="AB115" i="1" s="1"/>
  <c r="AN123" i="1"/>
  <c r="AB123" i="1" s="1"/>
  <c r="AN131" i="1"/>
  <c r="AB131" i="1" s="1"/>
  <c r="AN139" i="1"/>
  <c r="AB139" i="1" s="1"/>
  <c r="AN147" i="1"/>
  <c r="AB147" i="1" s="1"/>
  <c r="AN155" i="1"/>
  <c r="AB155" i="1" s="1"/>
  <c r="AN163" i="1"/>
  <c r="AB163" i="1" s="1"/>
  <c r="AN171" i="1"/>
  <c r="AB171" i="1" s="1"/>
  <c r="AN179" i="1"/>
  <c r="AB179" i="1" s="1"/>
  <c r="AN187" i="1"/>
  <c r="AB187" i="1" s="1"/>
  <c r="AN195" i="1"/>
  <c r="AB195" i="1" s="1"/>
  <c r="AN203" i="1"/>
  <c r="AB203" i="1" s="1"/>
  <c r="AN211" i="1"/>
  <c r="AB211" i="1" s="1"/>
  <c r="AN219" i="1"/>
  <c r="AB219" i="1" s="1"/>
  <c r="AN46" i="1"/>
  <c r="AB46" i="1" s="1"/>
  <c r="AN54" i="1"/>
  <c r="AB54" i="1" s="1"/>
  <c r="AN62" i="1"/>
  <c r="AB62" i="1" s="1"/>
  <c r="AN70" i="1"/>
  <c r="AB70" i="1" s="1"/>
  <c r="AN78" i="1"/>
  <c r="AB78" i="1" s="1"/>
  <c r="AN86" i="1"/>
  <c r="AB86" i="1" s="1"/>
  <c r="AN94" i="1"/>
  <c r="AB94" i="1" s="1"/>
  <c r="AN102" i="1"/>
  <c r="AB102" i="1" s="1"/>
  <c r="AN110" i="1"/>
  <c r="AB110" i="1" s="1"/>
  <c r="AN118" i="1"/>
  <c r="AB118" i="1" s="1"/>
  <c r="AN126" i="1"/>
  <c r="AB126" i="1" s="1"/>
  <c r="AN134" i="1"/>
  <c r="AB134" i="1" s="1"/>
  <c r="AN142" i="1"/>
  <c r="AB142" i="1" s="1"/>
  <c r="AN150" i="1"/>
  <c r="AB150" i="1" s="1"/>
  <c r="AN158" i="1"/>
  <c r="AB158" i="1" s="1"/>
  <c r="AN166" i="1"/>
  <c r="AB166" i="1" s="1"/>
  <c r="AN174" i="1"/>
  <c r="AB174" i="1" s="1"/>
  <c r="AN182" i="1"/>
  <c r="AB182" i="1" s="1"/>
  <c r="AN190" i="1"/>
  <c r="AB190" i="1" s="1"/>
  <c r="AN198" i="1"/>
  <c r="AB198" i="1" s="1"/>
  <c r="AN206" i="1"/>
  <c r="AB206" i="1" s="1"/>
  <c r="AN214" i="1"/>
  <c r="AB214" i="1" s="1"/>
  <c r="AN222" i="1"/>
  <c r="AB222" i="1" s="1"/>
  <c r="AN44" i="1"/>
  <c r="AB44" i="1" s="1"/>
  <c r="AP51" i="1"/>
  <c r="AD51" i="1" s="1"/>
  <c r="AP59" i="1"/>
  <c r="AD59" i="1" s="1"/>
  <c r="AP67" i="1"/>
  <c r="AD67" i="1" s="1"/>
  <c r="AP75" i="1"/>
  <c r="AD75" i="1" s="1"/>
  <c r="AP83" i="1"/>
  <c r="AD83" i="1" s="1"/>
  <c r="AP91" i="1"/>
  <c r="AD91" i="1" s="1"/>
  <c r="AP99" i="1"/>
  <c r="AD99" i="1" s="1"/>
  <c r="AP107" i="1"/>
  <c r="AD107" i="1" s="1"/>
  <c r="AP115" i="1"/>
  <c r="AD115" i="1" s="1"/>
  <c r="AP123" i="1"/>
  <c r="AD123" i="1" s="1"/>
  <c r="AP131" i="1"/>
  <c r="AD131" i="1" s="1"/>
  <c r="AP139" i="1"/>
  <c r="AD139" i="1" s="1"/>
  <c r="AP147" i="1"/>
  <c r="AD147" i="1" s="1"/>
  <c r="AP155" i="1"/>
  <c r="AD155" i="1" s="1"/>
  <c r="AP163" i="1"/>
  <c r="AD163" i="1" s="1"/>
  <c r="AP171" i="1"/>
  <c r="AD171" i="1" s="1"/>
  <c r="AP179" i="1"/>
  <c r="AD179" i="1" s="1"/>
  <c r="AP187" i="1"/>
  <c r="AD187" i="1" s="1"/>
  <c r="AP195" i="1"/>
  <c r="AD195" i="1" s="1"/>
  <c r="AP203" i="1"/>
  <c r="AD203" i="1" s="1"/>
  <c r="AP211" i="1"/>
  <c r="AD211" i="1" s="1"/>
  <c r="AP219" i="1"/>
  <c r="AD219" i="1" s="1"/>
  <c r="AP46" i="1"/>
  <c r="AD46" i="1" s="1"/>
  <c r="AP54" i="1"/>
  <c r="AD54" i="1" s="1"/>
  <c r="AP62" i="1"/>
  <c r="AD62" i="1" s="1"/>
  <c r="AP70" i="1"/>
  <c r="AD70" i="1" s="1"/>
  <c r="AP78" i="1"/>
  <c r="AD78" i="1" s="1"/>
  <c r="AP86" i="1"/>
  <c r="AD86" i="1" s="1"/>
  <c r="AP94" i="1"/>
  <c r="AD94" i="1" s="1"/>
  <c r="AP102" i="1"/>
  <c r="AD102" i="1" s="1"/>
  <c r="AP110" i="1"/>
  <c r="AD110" i="1" s="1"/>
  <c r="AP118" i="1"/>
  <c r="AD118" i="1" s="1"/>
  <c r="AP126" i="1"/>
  <c r="AD126" i="1" s="1"/>
  <c r="AP134" i="1"/>
  <c r="AD134" i="1" s="1"/>
  <c r="AP142" i="1"/>
  <c r="AD142" i="1" s="1"/>
  <c r="AP150" i="1"/>
  <c r="AD150" i="1" s="1"/>
  <c r="AP158" i="1"/>
  <c r="AD158" i="1" s="1"/>
  <c r="AP166" i="1"/>
  <c r="AD166" i="1" s="1"/>
  <c r="AP174" i="1"/>
  <c r="AD174" i="1" s="1"/>
  <c r="AP182" i="1"/>
  <c r="AD182" i="1" s="1"/>
  <c r="AP190" i="1"/>
  <c r="AD190" i="1" s="1"/>
  <c r="AP198" i="1"/>
  <c r="AD198" i="1" s="1"/>
  <c r="AP206" i="1"/>
  <c r="AD206" i="1" s="1"/>
  <c r="AP214" i="1"/>
  <c r="AD214" i="1" s="1"/>
  <c r="AP222" i="1"/>
  <c r="AD222" i="1" s="1"/>
  <c r="AP49" i="1"/>
  <c r="AD49" i="1" s="1"/>
  <c r="AP57" i="1"/>
  <c r="AD57" i="1" s="1"/>
  <c r="AP65" i="1"/>
  <c r="AD65" i="1" s="1"/>
  <c r="AP73" i="1"/>
  <c r="AD73" i="1" s="1"/>
  <c r="AP81" i="1"/>
  <c r="AD81" i="1" s="1"/>
  <c r="AP89" i="1"/>
  <c r="AD89" i="1" s="1"/>
  <c r="AP97" i="1"/>
  <c r="AD97" i="1" s="1"/>
  <c r="AP105" i="1"/>
  <c r="AD105" i="1" s="1"/>
  <c r="AP113" i="1"/>
  <c r="AD113" i="1" s="1"/>
  <c r="AP121" i="1"/>
  <c r="AD121" i="1" s="1"/>
  <c r="AP129" i="1"/>
  <c r="AD129" i="1" s="1"/>
  <c r="AP137" i="1"/>
  <c r="AD137" i="1" s="1"/>
  <c r="AP145" i="1"/>
  <c r="AD145" i="1" s="1"/>
  <c r="AP153" i="1"/>
  <c r="AD153" i="1" s="1"/>
  <c r="AP161" i="1"/>
  <c r="AD161" i="1" s="1"/>
  <c r="AP169" i="1"/>
  <c r="AD169" i="1" s="1"/>
  <c r="AP177" i="1"/>
  <c r="AD177" i="1" s="1"/>
  <c r="AP185" i="1"/>
  <c r="AD185" i="1" s="1"/>
  <c r="AP193" i="1"/>
  <c r="AD193" i="1" s="1"/>
  <c r="AP201" i="1"/>
  <c r="AD201" i="1" s="1"/>
  <c r="AP209" i="1"/>
  <c r="AD209" i="1" s="1"/>
  <c r="AP217" i="1"/>
  <c r="AD217" i="1" s="1"/>
  <c r="AP52" i="1"/>
  <c r="AD52" i="1" s="1"/>
  <c r="AP60" i="1"/>
  <c r="AD60" i="1" s="1"/>
  <c r="AP68" i="1"/>
  <c r="AD68" i="1" s="1"/>
  <c r="AP76" i="1"/>
  <c r="AD76" i="1" s="1"/>
  <c r="AP84" i="1"/>
  <c r="AD84" i="1" s="1"/>
  <c r="AP92" i="1"/>
  <c r="AD92" i="1" s="1"/>
  <c r="AP100" i="1"/>
  <c r="AD100" i="1" s="1"/>
  <c r="AP108" i="1"/>
  <c r="AD108" i="1" s="1"/>
  <c r="AP116" i="1"/>
  <c r="AD116" i="1" s="1"/>
  <c r="AP124" i="1"/>
  <c r="AD124" i="1" s="1"/>
  <c r="AP132" i="1"/>
  <c r="AD132" i="1" s="1"/>
  <c r="AP140" i="1"/>
  <c r="AD140" i="1" s="1"/>
  <c r="AP148" i="1"/>
  <c r="AD148" i="1" s="1"/>
  <c r="AP156" i="1"/>
  <c r="AD156" i="1" s="1"/>
  <c r="AP164" i="1"/>
  <c r="AD164" i="1" s="1"/>
  <c r="AP172" i="1"/>
  <c r="AD172" i="1" s="1"/>
  <c r="AP180" i="1"/>
  <c r="AD180" i="1" s="1"/>
  <c r="AP188" i="1"/>
  <c r="AD188" i="1" s="1"/>
  <c r="AP196" i="1"/>
  <c r="AD196" i="1" s="1"/>
  <c r="AP204" i="1"/>
  <c r="AD204" i="1" s="1"/>
  <c r="AP212" i="1"/>
  <c r="AD212" i="1" s="1"/>
  <c r="AP220" i="1"/>
  <c r="AD220" i="1" s="1"/>
  <c r="AP47" i="1"/>
  <c r="AD47" i="1" s="1"/>
  <c r="AP55" i="1"/>
  <c r="AD55" i="1" s="1"/>
  <c r="AP63" i="1"/>
  <c r="AD63" i="1" s="1"/>
  <c r="AP71" i="1"/>
  <c r="AD71" i="1" s="1"/>
  <c r="AP79" i="1"/>
  <c r="AD79" i="1" s="1"/>
  <c r="AP87" i="1"/>
  <c r="AD87" i="1" s="1"/>
  <c r="AP95" i="1"/>
  <c r="AD95" i="1" s="1"/>
  <c r="AP103" i="1"/>
  <c r="AD103" i="1" s="1"/>
  <c r="AP111" i="1"/>
  <c r="AD111" i="1" s="1"/>
  <c r="AP119" i="1"/>
  <c r="AD119" i="1" s="1"/>
  <c r="AP127" i="1"/>
  <c r="AD127" i="1" s="1"/>
  <c r="AP135" i="1"/>
  <c r="AD135" i="1" s="1"/>
  <c r="AP143" i="1"/>
  <c r="AD143" i="1" s="1"/>
  <c r="AP151" i="1"/>
  <c r="AD151" i="1" s="1"/>
  <c r="AP159" i="1"/>
  <c r="AD159" i="1" s="1"/>
  <c r="AP167" i="1"/>
  <c r="AD167" i="1" s="1"/>
  <c r="AP175" i="1"/>
  <c r="AD175" i="1" s="1"/>
  <c r="AP183" i="1"/>
  <c r="AD183" i="1" s="1"/>
  <c r="AP191" i="1"/>
  <c r="AD191" i="1" s="1"/>
  <c r="AP199" i="1"/>
  <c r="AD199" i="1" s="1"/>
  <c r="AP207" i="1"/>
  <c r="AD207" i="1" s="1"/>
  <c r="AP215" i="1"/>
  <c r="AD215" i="1" s="1"/>
  <c r="AP223" i="1"/>
  <c r="AD223" i="1" s="1"/>
  <c r="AP50" i="1"/>
  <c r="AD50" i="1" s="1"/>
  <c r="AP58" i="1"/>
  <c r="AD58" i="1" s="1"/>
  <c r="AP66" i="1"/>
  <c r="AD66" i="1" s="1"/>
  <c r="AP74" i="1"/>
  <c r="AD74" i="1" s="1"/>
  <c r="AP82" i="1"/>
  <c r="AD82" i="1" s="1"/>
  <c r="AP90" i="1"/>
  <c r="AD90" i="1" s="1"/>
  <c r="AP98" i="1"/>
  <c r="AD98" i="1" s="1"/>
  <c r="AP106" i="1"/>
  <c r="AD106" i="1" s="1"/>
  <c r="AP114" i="1"/>
  <c r="AD114" i="1" s="1"/>
  <c r="AP122" i="1"/>
  <c r="AD122" i="1" s="1"/>
  <c r="AP130" i="1"/>
  <c r="AD130" i="1" s="1"/>
  <c r="AP138" i="1"/>
  <c r="AD138" i="1" s="1"/>
  <c r="AP146" i="1"/>
  <c r="AD146" i="1" s="1"/>
  <c r="AP154" i="1"/>
  <c r="AD154" i="1" s="1"/>
  <c r="AP162" i="1"/>
  <c r="AD162" i="1" s="1"/>
  <c r="AP170" i="1"/>
  <c r="AD170" i="1" s="1"/>
  <c r="AP178" i="1"/>
  <c r="AD178" i="1" s="1"/>
  <c r="AP186" i="1"/>
  <c r="AD186" i="1" s="1"/>
  <c r="AP194" i="1"/>
  <c r="AD194" i="1" s="1"/>
  <c r="AP202" i="1"/>
  <c r="AD202" i="1" s="1"/>
  <c r="AP210" i="1"/>
  <c r="AD210" i="1" s="1"/>
  <c r="AP218" i="1"/>
  <c r="AD218" i="1" s="1"/>
  <c r="AP45" i="1"/>
  <c r="AD45" i="1" s="1"/>
  <c r="AP53" i="1"/>
  <c r="AD53" i="1" s="1"/>
  <c r="AP61" i="1"/>
  <c r="AD61" i="1" s="1"/>
  <c r="AP69" i="1"/>
  <c r="AD69" i="1" s="1"/>
  <c r="AP77" i="1"/>
  <c r="AD77" i="1" s="1"/>
  <c r="AP85" i="1"/>
  <c r="AD85" i="1" s="1"/>
  <c r="AP93" i="1"/>
  <c r="AD93" i="1" s="1"/>
  <c r="AP101" i="1"/>
  <c r="AD101" i="1" s="1"/>
  <c r="AP109" i="1"/>
  <c r="AD109" i="1" s="1"/>
  <c r="AP117" i="1"/>
  <c r="AD117" i="1" s="1"/>
  <c r="AP125" i="1"/>
  <c r="AD125" i="1" s="1"/>
  <c r="AP133" i="1"/>
  <c r="AD133" i="1" s="1"/>
  <c r="AP141" i="1"/>
  <c r="AD141" i="1" s="1"/>
  <c r="AP149" i="1"/>
  <c r="AD149" i="1" s="1"/>
  <c r="AP157" i="1"/>
  <c r="AD157" i="1" s="1"/>
  <c r="AP165" i="1"/>
  <c r="AD165" i="1" s="1"/>
  <c r="AP173" i="1"/>
  <c r="AD173" i="1" s="1"/>
  <c r="AP181" i="1"/>
  <c r="AD181" i="1" s="1"/>
  <c r="AP189" i="1"/>
  <c r="AD189" i="1" s="1"/>
  <c r="AP197" i="1"/>
  <c r="AD197" i="1" s="1"/>
  <c r="AP205" i="1"/>
  <c r="AD205" i="1" s="1"/>
  <c r="AP213" i="1"/>
  <c r="AD213" i="1" s="1"/>
  <c r="AP221" i="1"/>
  <c r="AD221" i="1" s="1"/>
  <c r="AP48" i="1"/>
  <c r="AD48" i="1" s="1"/>
  <c r="AP56" i="1"/>
  <c r="AD56" i="1" s="1"/>
  <c r="AP64" i="1"/>
  <c r="AD64" i="1" s="1"/>
  <c r="AP72" i="1"/>
  <c r="AD72" i="1" s="1"/>
  <c r="AP80" i="1"/>
  <c r="AD80" i="1" s="1"/>
  <c r="AP88" i="1"/>
  <c r="AD88" i="1" s="1"/>
  <c r="AP96" i="1"/>
  <c r="AD96" i="1" s="1"/>
  <c r="AP104" i="1"/>
  <c r="AD104" i="1" s="1"/>
  <c r="AP112" i="1"/>
  <c r="AD112" i="1" s="1"/>
  <c r="AP120" i="1"/>
  <c r="AD120" i="1" s="1"/>
  <c r="AP128" i="1"/>
  <c r="AD128" i="1" s="1"/>
  <c r="AP136" i="1"/>
  <c r="AD136" i="1" s="1"/>
  <c r="AP144" i="1"/>
  <c r="AD144" i="1" s="1"/>
  <c r="AP152" i="1"/>
  <c r="AD152" i="1" s="1"/>
  <c r="AP160" i="1"/>
  <c r="AD160" i="1" s="1"/>
  <c r="AP168" i="1"/>
  <c r="AD168" i="1" s="1"/>
  <c r="AP176" i="1"/>
  <c r="AD176" i="1" s="1"/>
  <c r="AP184" i="1"/>
  <c r="AD184" i="1" s="1"/>
  <c r="AP192" i="1"/>
  <c r="AD192" i="1" s="1"/>
  <c r="AP200" i="1"/>
  <c r="AD200" i="1" s="1"/>
  <c r="AP208" i="1"/>
  <c r="AD208" i="1" s="1"/>
  <c r="AP216" i="1"/>
  <c r="AD216" i="1" s="1"/>
  <c r="AP224" i="1"/>
  <c r="AD224" i="1" s="1"/>
  <c r="AP44" i="1"/>
  <c r="AD44" i="1" s="1"/>
  <c r="AO46" i="1"/>
  <c r="AC46" i="1" s="1"/>
  <c r="AO54" i="1"/>
  <c r="AC54" i="1" s="1"/>
  <c r="AO62" i="1"/>
  <c r="AC62" i="1" s="1"/>
  <c r="AO70" i="1"/>
  <c r="AC70" i="1" s="1"/>
  <c r="AO78" i="1"/>
  <c r="AC78" i="1" s="1"/>
  <c r="AO86" i="1"/>
  <c r="AC86" i="1" s="1"/>
  <c r="AO94" i="1"/>
  <c r="AC94" i="1" s="1"/>
  <c r="AO102" i="1"/>
  <c r="AC102" i="1" s="1"/>
  <c r="AO110" i="1"/>
  <c r="AC110" i="1" s="1"/>
  <c r="AO118" i="1"/>
  <c r="AC118" i="1" s="1"/>
  <c r="AO126" i="1"/>
  <c r="AC126" i="1" s="1"/>
  <c r="AO134" i="1"/>
  <c r="AC134" i="1" s="1"/>
  <c r="AO142" i="1"/>
  <c r="AC142" i="1" s="1"/>
  <c r="AO150" i="1"/>
  <c r="AC150" i="1" s="1"/>
  <c r="AO158" i="1"/>
  <c r="AC158" i="1" s="1"/>
  <c r="AO166" i="1"/>
  <c r="AC166" i="1" s="1"/>
  <c r="AO174" i="1"/>
  <c r="AC174" i="1" s="1"/>
  <c r="AO182" i="1"/>
  <c r="AC182" i="1" s="1"/>
  <c r="AO190" i="1"/>
  <c r="AC190" i="1" s="1"/>
  <c r="AO198" i="1"/>
  <c r="AC198" i="1" s="1"/>
  <c r="AO206" i="1"/>
  <c r="AC206" i="1" s="1"/>
  <c r="AO214" i="1"/>
  <c r="AC214" i="1" s="1"/>
  <c r="AO49" i="1"/>
  <c r="AC49" i="1" s="1"/>
  <c r="AO57" i="1"/>
  <c r="AC57" i="1" s="1"/>
  <c r="AO65" i="1"/>
  <c r="AC65" i="1" s="1"/>
  <c r="AO73" i="1"/>
  <c r="AC73" i="1" s="1"/>
  <c r="AO81" i="1"/>
  <c r="AC81" i="1" s="1"/>
  <c r="AO89" i="1"/>
  <c r="AC89" i="1" s="1"/>
  <c r="AO97" i="1"/>
  <c r="AC97" i="1" s="1"/>
  <c r="AO105" i="1"/>
  <c r="AC105" i="1" s="1"/>
  <c r="AO113" i="1"/>
  <c r="AC113" i="1" s="1"/>
  <c r="AO121" i="1"/>
  <c r="AC121" i="1" s="1"/>
  <c r="AO129" i="1"/>
  <c r="AC129" i="1" s="1"/>
  <c r="AO137" i="1"/>
  <c r="AC137" i="1" s="1"/>
  <c r="AO145" i="1"/>
  <c r="AC145" i="1" s="1"/>
  <c r="AO153" i="1"/>
  <c r="AC153" i="1" s="1"/>
  <c r="AO161" i="1"/>
  <c r="AC161" i="1" s="1"/>
  <c r="AO169" i="1"/>
  <c r="AC169" i="1" s="1"/>
  <c r="AO177" i="1"/>
  <c r="AC177" i="1" s="1"/>
  <c r="AO185" i="1"/>
  <c r="AC185" i="1" s="1"/>
  <c r="AO193" i="1"/>
  <c r="AC193" i="1" s="1"/>
  <c r="AO201" i="1"/>
  <c r="AC201" i="1" s="1"/>
  <c r="AO209" i="1"/>
  <c r="AC209" i="1" s="1"/>
  <c r="AO217" i="1"/>
  <c r="AC217" i="1" s="1"/>
  <c r="AO52" i="1"/>
  <c r="AC52" i="1" s="1"/>
  <c r="AO60" i="1"/>
  <c r="AC60" i="1" s="1"/>
  <c r="AO68" i="1"/>
  <c r="AC68" i="1" s="1"/>
  <c r="AO76" i="1"/>
  <c r="AC76" i="1" s="1"/>
  <c r="AO84" i="1"/>
  <c r="AC84" i="1" s="1"/>
  <c r="AO92" i="1"/>
  <c r="AC92" i="1" s="1"/>
  <c r="AO100" i="1"/>
  <c r="AC100" i="1" s="1"/>
  <c r="AO108" i="1"/>
  <c r="AC108" i="1" s="1"/>
  <c r="AO116" i="1"/>
  <c r="AC116" i="1" s="1"/>
  <c r="AO124" i="1"/>
  <c r="AC124" i="1" s="1"/>
  <c r="AO132" i="1"/>
  <c r="AC132" i="1" s="1"/>
  <c r="AO140" i="1"/>
  <c r="AC140" i="1" s="1"/>
  <c r="AO148" i="1"/>
  <c r="AC148" i="1" s="1"/>
  <c r="AO156" i="1"/>
  <c r="AC156" i="1" s="1"/>
  <c r="AO164" i="1"/>
  <c r="AC164" i="1" s="1"/>
  <c r="AO172" i="1"/>
  <c r="AC172" i="1" s="1"/>
  <c r="AO180" i="1"/>
  <c r="AC180" i="1" s="1"/>
  <c r="AO188" i="1"/>
  <c r="AC188" i="1" s="1"/>
  <c r="AO196" i="1"/>
  <c r="AC196" i="1" s="1"/>
  <c r="AO204" i="1"/>
  <c r="AC204" i="1" s="1"/>
  <c r="AO212" i="1"/>
  <c r="AC212" i="1" s="1"/>
  <c r="AO220" i="1"/>
  <c r="AC220" i="1" s="1"/>
  <c r="AO47" i="1"/>
  <c r="AC47" i="1" s="1"/>
  <c r="AO55" i="1"/>
  <c r="AC55" i="1" s="1"/>
  <c r="AO63" i="1"/>
  <c r="AC63" i="1" s="1"/>
  <c r="AO71" i="1"/>
  <c r="AC71" i="1" s="1"/>
  <c r="AO79" i="1"/>
  <c r="AC79" i="1" s="1"/>
  <c r="AO87" i="1"/>
  <c r="AC87" i="1" s="1"/>
  <c r="AO95" i="1"/>
  <c r="AC95" i="1" s="1"/>
  <c r="AO103" i="1"/>
  <c r="AC103" i="1" s="1"/>
  <c r="AO111" i="1"/>
  <c r="AC111" i="1" s="1"/>
  <c r="AO119" i="1"/>
  <c r="AC119" i="1" s="1"/>
  <c r="AO127" i="1"/>
  <c r="AC127" i="1" s="1"/>
  <c r="AO135" i="1"/>
  <c r="AC135" i="1" s="1"/>
  <c r="AO143" i="1"/>
  <c r="AC143" i="1" s="1"/>
  <c r="AO151" i="1"/>
  <c r="AC151" i="1" s="1"/>
  <c r="AO159" i="1"/>
  <c r="AC159" i="1" s="1"/>
  <c r="AO167" i="1"/>
  <c r="AC167" i="1" s="1"/>
  <c r="AO175" i="1"/>
  <c r="AC175" i="1" s="1"/>
  <c r="AO183" i="1"/>
  <c r="AC183" i="1" s="1"/>
  <c r="AO191" i="1"/>
  <c r="AC191" i="1" s="1"/>
  <c r="AO199" i="1"/>
  <c r="AC199" i="1" s="1"/>
  <c r="AO207" i="1"/>
  <c r="AC207" i="1" s="1"/>
  <c r="AO215" i="1"/>
  <c r="AC215" i="1" s="1"/>
  <c r="AO223" i="1"/>
  <c r="AC223" i="1" s="1"/>
  <c r="AO50" i="1"/>
  <c r="AC50" i="1" s="1"/>
  <c r="AO58" i="1"/>
  <c r="AC58" i="1" s="1"/>
  <c r="AO66" i="1"/>
  <c r="AC66" i="1" s="1"/>
  <c r="AO74" i="1"/>
  <c r="AC74" i="1" s="1"/>
  <c r="AO82" i="1"/>
  <c r="AC82" i="1" s="1"/>
  <c r="AO90" i="1"/>
  <c r="AC90" i="1" s="1"/>
  <c r="AO98" i="1"/>
  <c r="AC98" i="1" s="1"/>
  <c r="AO106" i="1"/>
  <c r="AC106" i="1" s="1"/>
  <c r="AO114" i="1"/>
  <c r="AC114" i="1" s="1"/>
  <c r="AO122" i="1"/>
  <c r="AC122" i="1" s="1"/>
  <c r="AO130" i="1"/>
  <c r="AC130" i="1" s="1"/>
  <c r="AO138" i="1"/>
  <c r="AC138" i="1" s="1"/>
  <c r="AO146" i="1"/>
  <c r="AC146" i="1" s="1"/>
  <c r="AO154" i="1"/>
  <c r="AC154" i="1" s="1"/>
  <c r="AO162" i="1"/>
  <c r="AC162" i="1" s="1"/>
  <c r="AO170" i="1"/>
  <c r="AC170" i="1" s="1"/>
  <c r="AO178" i="1"/>
  <c r="AC178" i="1" s="1"/>
  <c r="AO186" i="1"/>
  <c r="AC186" i="1" s="1"/>
  <c r="AO194" i="1"/>
  <c r="AC194" i="1" s="1"/>
  <c r="AO202" i="1"/>
  <c r="AC202" i="1" s="1"/>
  <c r="AO210" i="1"/>
  <c r="AC210" i="1" s="1"/>
  <c r="AO218" i="1"/>
  <c r="AC218" i="1" s="1"/>
  <c r="AO221" i="1"/>
  <c r="AC221" i="1" s="1"/>
  <c r="AO45" i="1"/>
  <c r="AC45" i="1" s="1"/>
  <c r="AO53" i="1"/>
  <c r="AC53" i="1" s="1"/>
  <c r="AO61" i="1"/>
  <c r="AC61" i="1" s="1"/>
  <c r="AO69" i="1"/>
  <c r="AC69" i="1" s="1"/>
  <c r="AO77" i="1"/>
  <c r="AC77" i="1" s="1"/>
  <c r="AO85" i="1"/>
  <c r="AC85" i="1" s="1"/>
  <c r="AO93" i="1"/>
  <c r="AC93" i="1" s="1"/>
  <c r="AO101" i="1"/>
  <c r="AC101" i="1" s="1"/>
  <c r="AO109" i="1"/>
  <c r="AC109" i="1" s="1"/>
  <c r="AO117" i="1"/>
  <c r="AC117" i="1" s="1"/>
  <c r="AO125" i="1"/>
  <c r="AC125" i="1" s="1"/>
  <c r="AO133" i="1"/>
  <c r="AC133" i="1" s="1"/>
  <c r="AO141" i="1"/>
  <c r="AC141" i="1" s="1"/>
  <c r="AO149" i="1"/>
  <c r="AC149" i="1" s="1"/>
  <c r="AO157" i="1"/>
  <c r="AC157" i="1" s="1"/>
  <c r="AO165" i="1"/>
  <c r="AC165" i="1" s="1"/>
  <c r="AO173" i="1"/>
  <c r="AC173" i="1" s="1"/>
  <c r="AO181" i="1"/>
  <c r="AC181" i="1" s="1"/>
  <c r="AO189" i="1"/>
  <c r="AC189" i="1" s="1"/>
  <c r="AO197" i="1"/>
  <c r="AC197" i="1" s="1"/>
  <c r="AO205" i="1"/>
  <c r="AC205" i="1" s="1"/>
  <c r="AO213" i="1"/>
  <c r="AC213" i="1" s="1"/>
  <c r="AO48" i="1"/>
  <c r="AC48" i="1" s="1"/>
  <c r="AO56" i="1"/>
  <c r="AC56" i="1" s="1"/>
  <c r="AO64" i="1"/>
  <c r="AC64" i="1" s="1"/>
  <c r="AO72" i="1"/>
  <c r="AC72" i="1" s="1"/>
  <c r="AO80" i="1"/>
  <c r="AC80" i="1" s="1"/>
  <c r="AO88" i="1"/>
  <c r="AC88" i="1" s="1"/>
  <c r="AO96" i="1"/>
  <c r="AC96" i="1" s="1"/>
  <c r="AO104" i="1"/>
  <c r="AC104" i="1" s="1"/>
  <c r="AO112" i="1"/>
  <c r="AC112" i="1" s="1"/>
  <c r="AO120" i="1"/>
  <c r="AC120" i="1" s="1"/>
  <c r="AO128" i="1"/>
  <c r="AC128" i="1" s="1"/>
  <c r="AO136" i="1"/>
  <c r="AC136" i="1" s="1"/>
  <c r="AO144" i="1"/>
  <c r="AC144" i="1" s="1"/>
  <c r="AO152" i="1"/>
  <c r="AC152" i="1" s="1"/>
  <c r="AO160" i="1"/>
  <c r="AC160" i="1" s="1"/>
  <c r="AO168" i="1"/>
  <c r="AC168" i="1" s="1"/>
  <c r="AO176" i="1"/>
  <c r="AC176" i="1" s="1"/>
  <c r="AO184" i="1"/>
  <c r="AC184" i="1" s="1"/>
  <c r="AO192" i="1"/>
  <c r="AC192" i="1" s="1"/>
  <c r="AO200" i="1"/>
  <c r="AC200" i="1" s="1"/>
  <c r="AO208" i="1"/>
  <c r="AC208" i="1" s="1"/>
  <c r="AO216" i="1"/>
  <c r="AC216" i="1" s="1"/>
  <c r="AO224" i="1"/>
  <c r="AC224" i="1" s="1"/>
  <c r="AO222" i="1"/>
  <c r="AC222" i="1" s="1"/>
  <c r="AO51" i="1"/>
  <c r="AC51" i="1" s="1"/>
  <c r="AO59" i="1"/>
  <c r="AC59" i="1" s="1"/>
  <c r="AO67" i="1"/>
  <c r="AC67" i="1" s="1"/>
  <c r="AO75" i="1"/>
  <c r="AC75" i="1" s="1"/>
  <c r="AO83" i="1"/>
  <c r="AC83" i="1" s="1"/>
  <c r="AO91" i="1"/>
  <c r="AC91" i="1" s="1"/>
  <c r="AO99" i="1"/>
  <c r="AC99" i="1" s="1"/>
  <c r="AO107" i="1"/>
  <c r="AC107" i="1" s="1"/>
  <c r="AO115" i="1"/>
  <c r="AC115" i="1" s="1"/>
  <c r="AO123" i="1"/>
  <c r="AC123" i="1" s="1"/>
  <c r="AO131" i="1"/>
  <c r="AC131" i="1" s="1"/>
  <c r="AO139" i="1"/>
  <c r="AC139" i="1" s="1"/>
  <c r="AO147" i="1"/>
  <c r="AC147" i="1" s="1"/>
  <c r="AO155" i="1"/>
  <c r="AC155" i="1" s="1"/>
  <c r="AO163" i="1"/>
  <c r="AC163" i="1" s="1"/>
  <c r="AO171" i="1"/>
  <c r="AC171" i="1" s="1"/>
  <c r="AO179" i="1"/>
  <c r="AC179" i="1" s="1"/>
  <c r="AO187" i="1"/>
  <c r="AC187" i="1" s="1"/>
  <c r="AO195" i="1"/>
  <c r="AC195" i="1" s="1"/>
  <c r="AO203" i="1"/>
  <c r="AC203" i="1" s="1"/>
  <c r="AO211" i="1"/>
  <c r="AC211" i="1" s="1"/>
  <c r="AO219" i="1"/>
  <c r="AC219" i="1" s="1"/>
  <c r="AO44" i="1"/>
  <c r="AC44" i="1" s="1"/>
  <c r="AL46" i="1"/>
  <c r="Z46" i="1" s="1"/>
  <c r="AL48" i="1"/>
  <c r="Z48" i="1" s="1"/>
  <c r="AL50" i="1"/>
  <c r="Z50" i="1" s="1"/>
  <c r="AL52" i="1"/>
  <c r="Z52" i="1" s="1"/>
  <c r="AL54" i="1"/>
  <c r="Z54" i="1" s="1"/>
  <c r="AL56" i="1"/>
  <c r="Z56" i="1" s="1"/>
  <c r="AL58" i="1"/>
  <c r="Z58" i="1" s="1"/>
  <c r="AL60" i="1"/>
  <c r="Z60" i="1" s="1"/>
  <c r="AL62" i="1"/>
  <c r="Z62" i="1" s="1"/>
  <c r="AL64" i="1"/>
  <c r="Z64" i="1" s="1"/>
  <c r="AL66" i="1"/>
  <c r="Z66" i="1" s="1"/>
  <c r="AL68" i="1"/>
  <c r="Z68" i="1" s="1"/>
  <c r="AL70" i="1"/>
  <c r="Z70" i="1" s="1"/>
  <c r="AL72" i="1"/>
  <c r="Z72" i="1" s="1"/>
  <c r="AL74" i="1"/>
  <c r="Z74" i="1" s="1"/>
  <c r="AL76" i="1"/>
  <c r="Z76" i="1" s="1"/>
  <c r="AL78" i="1"/>
  <c r="Z78" i="1" s="1"/>
  <c r="AL80" i="1"/>
  <c r="Z80" i="1" s="1"/>
  <c r="AL82" i="1"/>
  <c r="Z82" i="1" s="1"/>
  <c r="AL84" i="1"/>
  <c r="Z84" i="1" s="1"/>
  <c r="AL86" i="1"/>
  <c r="Z86" i="1" s="1"/>
  <c r="AL88" i="1"/>
  <c r="Z88" i="1" s="1"/>
  <c r="AL90" i="1"/>
  <c r="Z90" i="1" s="1"/>
  <c r="AL92" i="1"/>
  <c r="Z92" i="1" s="1"/>
  <c r="AL94" i="1"/>
  <c r="Z94" i="1" s="1"/>
  <c r="AL96" i="1"/>
  <c r="Z96" i="1" s="1"/>
  <c r="AL98" i="1"/>
  <c r="Z98" i="1" s="1"/>
  <c r="AL100" i="1"/>
  <c r="Z100" i="1" s="1"/>
  <c r="AL102" i="1"/>
  <c r="Z102" i="1" s="1"/>
  <c r="AL104" i="1"/>
  <c r="Z104" i="1" s="1"/>
  <c r="AL106" i="1"/>
  <c r="Z106" i="1" s="1"/>
  <c r="AL108" i="1"/>
  <c r="Z108" i="1" s="1"/>
  <c r="AL110" i="1"/>
  <c r="Z110" i="1" s="1"/>
  <c r="AL112" i="1"/>
  <c r="Z112" i="1" s="1"/>
  <c r="AL114" i="1"/>
  <c r="Z114" i="1" s="1"/>
  <c r="AL116" i="1"/>
  <c r="Z116" i="1" s="1"/>
  <c r="AL118" i="1"/>
  <c r="Z118" i="1" s="1"/>
  <c r="AL120" i="1"/>
  <c r="Z120" i="1" s="1"/>
  <c r="AL122" i="1"/>
  <c r="Z122" i="1" s="1"/>
  <c r="AL124" i="1"/>
  <c r="Z124" i="1" s="1"/>
  <c r="AL126" i="1"/>
  <c r="Z126" i="1" s="1"/>
  <c r="AL128" i="1"/>
  <c r="Z128" i="1" s="1"/>
  <c r="AL130" i="1"/>
  <c r="Z130" i="1" s="1"/>
  <c r="AL132" i="1"/>
  <c r="Z132" i="1" s="1"/>
  <c r="AL134" i="1"/>
  <c r="Z134" i="1" s="1"/>
  <c r="AL136" i="1"/>
  <c r="Z136" i="1" s="1"/>
  <c r="AL138" i="1"/>
  <c r="Z138" i="1" s="1"/>
  <c r="AL140" i="1"/>
  <c r="Z140" i="1" s="1"/>
  <c r="AL142" i="1"/>
  <c r="Z142" i="1" s="1"/>
  <c r="AL144" i="1"/>
  <c r="Z144" i="1" s="1"/>
  <c r="AL146" i="1"/>
  <c r="Z146" i="1" s="1"/>
  <c r="AL148" i="1"/>
  <c r="Z148" i="1" s="1"/>
  <c r="AL150" i="1"/>
  <c r="Z150" i="1" s="1"/>
  <c r="AL152" i="1"/>
  <c r="Z152" i="1" s="1"/>
  <c r="AL154" i="1"/>
  <c r="Z154" i="1" s="1"/>
  <c r="AL156" i="1"/>
  <c r="Z156" i="1" s="1"/>
  <c r="AL158" i="1"/>
  <c r="Z158" i="1" s="1"/>
  <c r="AL160" i="1"/>
  <c r="Z160" i="1" s="1"/>
  <c r="AL162" i="1"/>
  <c r="Z162" i="1" s="1"/>
  <c r="AL164" i="1"/>
  <c r="Z164" i="1" s="1"/>
  <c r="AL166" i="1"/>
  <c r="Z166" i="1" s="1"/>
  <c r="AL168" i="1"/>
  <c r="Z168" i="1" s="1"/>
  <c r="AL170" i="1"/>
  <c r="Z170" i="1" s="1"/>
  <c r="AL172" i="1"/>
  <c r="Z172" i="1" s="1"/>
  <c r="AL174" i="1"/>
  <c r="Z174" i="1" s="1"/>
  <c r="AL176" i="1"/>
  <c r="Z176" i="1" s="1"/>
  <c r="AL178" i="1"/>
  <c r="Z178" i="1" s="1"/>
  <c r="AL180" i="1"/>
  <c r="Z180" i="1" s="1"/>
  <c r="AL182" i="1"/>
  <c r="Z182" i="1" s="1"/>
  <c r="AL184" i="1"/>
  <c r="Z184" i="1" s="1"/>
  <c r="AL186" i="1"/>
  <c r="Z186" i="1" s="1"/>
  <c r="AL188" i="1"/>
  <c r="Z188" i="1" s="1"/>
  <c r="AL190" i="1"/>
  <c r="Z190" i="1" s="1"/>
  <c r="AL192" i="1"/>
  <c r="Z192" i="1" s="1"/>
  <c r="AL194" i="1"/>
  <c r="Z194" i="1" s="1"/>
  <c r="AL196" i="1"/>
  <c r="Z196" i="1" s="1"/>
  <c r="AL198" i="1"/>
  <c r="Z198" i="1" s="1"/>
  <c r="AL200" i="1"/>
  <c r="Z200" i="1" s="1"/>
  <c r="AL202" i="1"/>
  <c r="Z202" i="1" s="1"/>
  <c r="AL204" i="1"/>
  <c r="Z204" i="1" s="1"/>
  <c r="AL206" i="1"/>
  <c r="Z206" i="1" s="1"/>
  <c r="AL208" i="1"/>
  <c r="Z208" i="1" s="1"/>
  <c r="AL210" i="1"/>
  <c r="Z210" i="1" s="1"/>
  <c r="AL212" i="1"/>
  <c r="Z212" i="1" s="1"/>
  <c r="AL45" i="1"/>
  <c r="Z45" i="1" s="1"/>
  <c r="AL47" i="1"/>
  <c r="Z47" i="1" s="1"/>
  <c r="AL49" i="1"/>
  <c r="Z49" i="1" s="1"/>
  <c r="AL51" i="1"/>
  <c r="Z51" i="1" s="1"/>
  <c r="AL53" i="1"/>
  <c r="Z53" i="1" s="1"/>
  <c r="AL55" i="1"/>
  <c r="Z55" i="1" s="1"/>
  <c r="AL57" i="1"/>
  <c r="Z57" i="1" s="1"/>
  <c r="AL59" i="1"/>
  <c r="Z59" i="1" s="1"/>
  <c r="AL61" i="1"/>
  <c r="Z61" i="1" s="1"/>
  <c r="AL63" i="1"/>
  <c r="Z63" i="1" s="1"/>
  <c r="AL65" i="1"/>
  <c r="Z65" i="1" s="1"/>
  <c r="AL67" i="1"/>
  <c r="Z67" i="1" s="1"/>
  <c r="AL69" i="1"/>
  <c r="Z69" i="1" s="1"/>
  <c r="AL71" i="1"/>
  <c r="Z71" i="1" s="1"/>
  <c r="AL73" i="1"/>
  <c r="Z73" i="1" s="1"/>
  <c r="AL75" i="1"/>
  <c r="Z75" i="1" s="1"/>
  <c r="AL77" i="1"/>
  <c r="Z77" i="1" s="1"/>
  <c r="AL79" i="1"/>
  <c r="Z79" i="1" s="1"/>
  <c r="AL81" i="1"/>
  <c r="Z81" i="1" s="1"/>
  <c r="AL83" i="1"/>
  <c r="Z83" i="1" s="1"/>
  <c r="AL85" i="1"/>
  <c r="Z85" i="1" s="1"/>
  <c r="AL87" i="1"/>
  <c r="Z87" i="1" s="1"/>
  <c r="AL89" i="1"/>
  <c r="Z89" i="1" s="1"/>
  <c r="AL91" i="1"/>
  <c r="Z91" i="1" s="1"/>
  <c r="AL93" i="1"/>
  <c r="Z93" i="1" s="1"/>
  <c r="AL95" i="1"/>
  <c r="Z95" i="1" s="1"/>
  <c r="AL97" i="1"/>
  <c r="Z97" i="1" s="1"/>
  <c r="AL99" i="1"/>
  <c r="Z99" i="1" s="1"/>
  <c r="AL101" i="1"/>
  <c r="Z101" i="1" s="1"/>
  <c r="AL103" i="1"/>
  <c r="Z103" i="1" s="1"/>
  <c r="AL105" i="1"/>
  <c r="Z105" i="1" s="1"/>
  <c r="AL107" i="1"/>
  <c r="Z107" i="1" s="1"/>
  <c r="AL109" i="1"/>
  <c r="Z109" i="1" s="1"/>
  <c r="AL111" i="1"/>
  <c r="Z111" i="1" s="1"/>
  <c r="AL113" i="1"/>
  <c r="Z113" i="1" s="1"/>
  <c r="AL115" i="1"/>
  <c r="Z115" i="1" s="1"/>
  <c r="AL117" i="1"/>
  <c r="Z117" i="1" s="1"/>
  <c r="AL119" i="1"/>
  <c r="Z119" i="1" s="1"/>
  <c r="AL121" i="1"/>
  <c r="Z121" i="1" s="1"/>
  <c r="AL123" i="1"/>
  <c r="Z123" i="1" s="1"/>
  <c r="AL125" i="1"/>
  <c r="Z125" i="1" s="1"/>
  <c r="AL127" i="1"/>
  <c r="Z127" i="1" s="1"/>
  <c r="AL129" i="1"/>
  <c r="Z129" i="1" s="1"/>
  <c r="AL131" i="1"/>
  <c r="Z131" i="1" s="1"/>
  <c r="AL133" i="1"/>
  <c r="Z133" i="1" s="1"/>
  <c r="AL135" i="1"/>
  <c r="Z135" i="1" s="1"/>
  <c r="AL137" i="1"/>
  <c r="Z137" i="1" s="1"/>
  <c r="AL139" i="1"/>
  <c r="Z139" i="1" s="1"/>
  <c r="AL141" i="1"/>
  <c r="Z141" i="1" s="1"/>
  <c r="AL143" i="1"/>
  <c r="Z143" i="1" s="1"/>
  <c r="AL145" i="1"/>
  <c r="Z145" i="1" s="1"/>
  <c r="AL147" i="1"/>
  <c r="Z147" i="1" s="1"/>
  <c r="AL149" i="1"/>
  <c r="Z149" i="1" s="1"/>
  <c r="AL151" i="1"/>
  <c r="Z151" i="1" s="1"/>
  <c r="AL153" i="1"/>
  <c r="Z153" i="1" s="1"/>
  <c r="AL155" i="1"/>
  <c r="Z155" i="1" s="1"/>
  <c r="AL157" i="1"/>
  <c r="Z157" i="1" s="1"/>
  <c r="AL159" i="1"/>
  <c r="Z159" i="1" s="1"/>
  <c r="AL161" i="1"/>
  <c r="Z161" i="1" s="1"/>
  <c r="AL163" i="1"/>
  <c r="Z163" i="1" s="1"/>
  <c r="AL165" i="1"/>
  <c r="Z165" i="1" s="1"/>
  <c r="AL167" i="1"/>
  <c r="Z167" i="1" s="1"/>
  <c r="AL169" i="1"/>
  <c r="Z169" i="1" s="1"/>
  <c r="AL171" i="1"/>
  <c r="Z171" i="1" s="1"/>
  <c r="AL173" i="1"/>
  <c r="Z173" i="1" s="1"/>
  <c r="AL175" i="1"/>
  <c r="Z175" i="1" s="1"/>
  <c r="AL177" i="1"/>
  <c r="Z177" i="1" s="1"/>
  <c r="AL179" i="1"/>
  <c r="Z179" i="1" s="1"/>
  <c r="AL181" i="1"/>
  <c r="Z181" i="1" s="1"/>
  <c r="AL183" i="1"/>
  <c r="Z183" i="1" s="1"/>
  <c r="AL185" i="1"/>
  <c r="Z185" i="1" s="1"/>
  <c r="AL187" i="1"/>
  <c r="Z187" i="1" s="1"/>
  <c r="AL189" i="1"/>
  <c r="Z189" i="1" s="1"/>
  <c r="AL191" i="1"/>
  <c r="Z191" i="1" s="1"/>
  <c r="AL193" i="1"/>
  <c r="Z193" i="1" s="1"/>
  <c r="AL195" i="1"/>
  <c r="Z195" i="1" s="1"/>
  <c r="AL197" i="1"/>
  <c r="Z197" i="1" s="1"/>
  <c r="AL199" i="1"/>
  <c r="Z199" i="1" s="1"/>
  <c r="AL201" i="1"/>
  <c r="Z201" i="1" s="1"/>
  <c r="AL203" i="1"/>
  <c r="Z203" i="1" s="1"/>
  <c r="AL205" i="1"/>
  <c r="Z205" i="1" s="1"/>
  <c r="AL207" i="1"/>
  <c r="Z207" i="1" s="1"/>
  <c r="AL209" i="1"/>
  <c r="Z209" i="1" s="1"/>
  <c r="AL211" i="1"/>
  <c r="Z211" i="1" s="1"/>
  <c r="AL213" i="1"/>
  <c r="Z213" i="1" s="1"/>
  <c r="AL215" i="1"/>
  <c r="Z215" i="1" s="1"/>
  <c r="AL217" i="1"/>
  <c r="Z217" i="1" s="1"/>
  <c r="AL219" i="1"/>
  <c r="Z219" i="1" s="1"/>
  <c r="AL221" i="1"/>
  <c r="Z221" i="1" s="1"/>
  <c r="AL223" i="1"/>
  <c r="Z223" i="1" s="1"/>
  <c r="AL214" i="1"/>
  <c r="Z214" i="1" s="1"/>
  <c r="AL224" i="1"/>
  <c r="Z224" i="1" s="1"/>
  <c r="AL218" i="1"/>
  <c r="Z218" i="1" s="1"/>
  <c r="AL220" i="1"/>
  <c r="Z220" i="1" s="1"/>
  <c r="AL216" i="1"/>
  <c r="Z216" i="1" s="1"/>
  <c r="AL222" i="1"/>
  <c r="Z222" i="1" s="1"/>
  <c r="AL44" i="1"/>
  <c r="Z44" i="1" s="1"/>
  <c r="E257" i="22"/>
  <c r="BR89" i="38" l="1"/>
  <c r="BI89" i="38"/>
  <c r="AW89" i="38"/>
  <c r="BR144" i="38"/>
  <c r="BI144" i="38"/>
  <c r="AW144" i="38"/>
  <c r="BR46" i="38"/>
  <c r="BI46" i="38"/>
  <c r="AW46" i="38"/>
  <c r="BR143" i="38"/>
  <c r="BI143" i="38"/>
  <c r="AW143" i="38"/>
  <c r="BR90" i="38"/>
  <c r="BI90" i="38"/>
  <c r="BR45" i="38"/>
  <c r="BI45" i="38"/>
  <c r="AW45" i="38"/>
  <c r="BR142" i="38"/>
  <c r="BI142" i="38"/>
  <c r="BR92" i="38"/>
  <c r="BI92" i="38"/>
  <c r="AE161" i="1"/>
  <c r="AE97" i="1"/>
  <c r="AE168" i="1"/>
  <c r="AE206" i="1"/>
  <c r="AE142" i="1"/>
  <c r="AE78" i="1"/>
  <c r="AE188" i="1"/>
  <c r="AE124" i="1"/>
  <c r="AE60" i="1"/>
  <c r="AE180" i="1"/>
  <c r="AE116" i="1"/>
  <c r="AE52" i="1"/>
  <c r="AE210" i="1"/>
  <c r="AE146" i="1"/>
  <c r="AE82" i="1"/>
  <c r="AE165" i="1"/>
  <c r="AE101" i="1"/>
  <c r="AE213" i="1"/>
  <c r="AE149" i="1"/>
  <c r="AE85" i="1"/>
  <c r="AE190" i="1"/>
  <c r="AE126" i="1"/>
  <c r="AE62" i="1"/>
  <c r="AE224" i="1"/>
  <c r="AE179" i="1"/>
  <c r="AE163" i="1"/>
  <c r="AE115" i="1"/>
  <c r="AE99" i="1"/>
  <c r="AE51" i="1"/>
  <c r="AE202" i="1"/>
  <c r="AE138" i="1"/>
  <c r="AE74" i="1"/>
  <c r="AE169" i="1"/>
  <c r="AE105" i="1"/>
  <c r="AE218" i="1"/>
  <c r="AE181" i="1"/>
  <c r="AE117" i="1"/>
  <c r="AE53" i="1"/>
  <c r="AE158" i="1"/>
  <c r="AE94" i="1"/>
  <c r="AE177" i="1"/>
  <c r="AE113" i="1"/>
  <c r="AE49" i="1"/>
  <c r="AE154" i="1"/>
  <c r="AE90" i="1"/>
  <c r="AE171" i="1"/>
  <c r="AE107" i="1"/>
  <c r="AE174" i="1"/>
  <c r="AE110" i="1"/>
  <c r="AE46" i="1"/>
  <c r="AE211" i="1"/>
  <c r="AE147" i="1"/>
  <c r="AE83" i="1"/>
  <c r="AE92" i="1"/>
  <c r="AE223" i="1"/>
  <c r="AE207" i="1"/>
  <c r="AE191" i="1"/>
  <c r="AE175" i="1"/>
  <c r="AE159" i="1"/>
  <c r="AE143" i="1"/>
  <c r="AE127" i="1"/>
  <c r="AE111" i="1"/>
  <c r="AE95" i="1"/>
  <c r="AE79" i="1"/>
  <c r="AE63" i="1"/>
  <c r="AE47" i="1"/>
  <c r="AE200" i="1"/>
  <c r="AE184" i="1"/>
  <c r="AE136" i="1"/>
  <c r="AE72" i="1"/>
  <c r="AE156" i="1"/>
  <c r="AE214" i="1"/>
  <c r="AE209" i="1"/>
  <c r="AE193" i="1"/>
  <c r="AE145" i="1"/>
  <c r="AE129" i="1"/>
  <c r="AE81" i="1"/>
  <c r="AE65" i="1"/>
  <c r="AE186" i="1"/>
  <c r="AE170" i="1"/>
  <c r="AE122" i="1"/>
  <c r="AE106" i="1"/>
  <c r="AE58" i="1"/>
  <c r="AE221" i="1"/>
  <c r="AE205" i="1"/>
  <c r="AE189" i="1"/>
  <c r="AE173" i="1"/>
  <c r="AE157" i="1"/>
  <c r="AE141" i="1"/>
  <c r="AE125" i="1"/>
  <c r="AE109" i="1"/>
  <c r="AE93" i="1"/>
  <c r="AE77" i="1"/>
  <c r="AE61" i="1"/>
  <c r="AE45" i="1"/>
  <c r="AE182" i="1"/>
  <c r="AE166" i="1"/>
  <c r="AE150" i="1"/>
  <c r="AE118" i="1"/>
  <c r="AE102" i="1"/>
  <c r="AE86" i="1"/>
  <c r="AE54" i="1"/>
  <c r="AE131" i="1"/>
  <c r="AE67" i="1"/>
  <c r="AE140" i="1"/>
  <c r="AE216" i="1"/>
  <c r="AE217" i="1"/>
  <c r="AE201" i="1"/>
  <c r="AE185" i="1"/>
  <c r="AE153" i="1"/>
  <c r="AE137" i="1"/>
  <c r="AE121" i="1"/>
  <c r="AE89" i="1"/>
  <c r="AE73" i="1"/>
  <c r="AE57" i="1"/>
  <c r="AE194" i="1"/>
  <c r="AE178" i="1"/>
  <c r="AE162" i="1"/>
  <c r="AE130" i="1"/>
  <c r="AE114" i="1"/>
  <c r="AE98" i="1"/>
  <c r="AE66" i="1"/>
  <c r="AE50" i="1"/>
  <c r="AE195" i="1"/>
  <c r="AE204" i="1"/>
  <c r="AE76" i="1"/>
  <c r="AE222" i="1"/>
  <c r="AE203" i="1"/>
  <c r="AE187" i="1"/>
  <c r="AE139" i="1"/>
  <c r="AE123" i="1"/>
  <c r="AE75" i="1"/>
  <c r="AE59" i="1"/>
  <c r="AE212" i="1"/>
  <c r="AE196" i="1"/>
  <c r="AE164" i="1"/>
  <c r="AE148" i="1"/>
  <c r="AE132" i="1"/>
  <c r="AE100" i="1"/>
  <c r="AE84" i="1"/>
  <c r="AE68" i="1"/>
  <c r="AE220" i="1"/>
  <c r="AE215" i="1"/>
  <c r="AE199" i="1"/>
  <c r="AE167" i="1"/>
  <c r="AE151" i="1"/>
  <c r="AE135" i="1"/>
  <c r="AE103" i="1"/>
  <c r="AE87" i="1"/>
  <c r="AE71" i="1"/>
  <c r="AE208" i="1"/>
  <c r="AE192" i="1"/>
  <c r="AE176" i="1"/>
  <c r="AE160" i="1"/>
  <c r="AE144" i="1"/>
  <c r="AE128" i="1"/>
  <c r="AE112" i="1"/>
  <c r="AE96" i="1"/>
  <c r="AE80" i="1"/>
  <c r="AE64" i="1"/>
  <c r="AE48" i="1"/>
  <c r="AE197" i="1"/>
  <c r="AE133" i="1"/>
  <c r="AE69" i="1"/>
  <c r="AE172" i="1"/>
  <c r="AE108" i="1"/>
  <c r="AE152" i="1"/>
  <c r="AE120" i="1"/>
  <c r="AE104" i="1"/>
  <c r="AE88" i="1"/>
  <c r="AE56" i="1"/>
  <c r="AE198" i="1"/>
  <c r="AE134" i="1"/>
  <c r="AE70" i="1"/>
  <c r="AE219" i="1"/>
  <c r="AE155" i="1"/>
  <c r="AE91" i="1"/>
  <c r="AE183" i="1"/>
  <c r="AE119" i="1"/>
  <c r="AE55" i="1"/>
  <c r="C178" i="22"/>
  <c r="L15" i="4" l="1"/>
  <c r="L14" i="4"/>
  <c r="K15" i="4"/>
  <c r="K14" i="4"/>
  <c r="L13" i="4"/>
  <c r="K13" i="4"/>
  <c r="L12" i="4"/>
  <c r="K12" i="4"/>
  <c r="K11" i="4"/>
  <c r="K10" i="4"/>
  <c r="L10" i="4"/>
  <c r="N92" i="13"/>
  <c r="N93" i="13"/>
  <c r="N94" i="13"/>
  <c r="N95" i="13"/>
  <c r="M92" i="13"/>
  <c r="M93" i="13"/>
  <c r="M94" i="13"/>
  <c r="M95" i="13"/>
  <c r="E46" i="13"/>
  <c r="G46" i="13" s="1"/>
  <c r="F46" i="13"/>
  <c r="H46" i="13" s="1"/>
  <c r="E47" i="13"/>
  <c r="G47" i="13" s="1"/>
  <c r="F47" i="13"/>
  <c r="H47" i="13" s="1"/>
  <c r="E48" i="13"/>
  <c r="G48" i="13" s="1"/>
  <c r="F48" i="13"/>
  <c r="H48" i="13" s="1"/>
  <c r="E49" i="13"/>
  <c r="G49" i="13" s="1"/>
  <c r="F49" i="13"/>
  <c r="H49" i="13" s="1"/>
  <c r="A23" i="4" l="1"/>
  <c r="D29" i="4"/>
  <c r="A34" i="4"/>
  <c r="B34" i="4" s="1"/>
  <c r="A35" i="4"/>
  <c r="B35" i="4" s="1"/>
  <c r="A36" i="4"/>
  <c r="B36" i="4" s="1"/>
  <c r="A37" i="4"/>
  <c r="B37" i="4" s="1"/>
  <c r="A33" i="4"/>
  <c r="B33" i="4" s="1"/>
  <c r="I19" i="17"/>
  <c r="K19" i="17"/>
  <c r="J19" i="17"/>
  <c r="G19" i="17"/>
  <c r="C34" i="13" s="1"/>
  <c r="B34" i="13" s="1"/>
  <c r="D14" i="4"/>
  <c r="D13" i="4"/>
  <c r="D12" i="4"/>
  <c r="D11" i="4"/>
  <c r="B18" i="36" l="1"/>
  <c r="F29" i="26"/>
  <c r="E29" i="4"/>
  <c r="F29" i="4" s="1"/>
  <c r="C37" i="13"/>
  <c r="B37" i="13" s="1"/>
  <c r="C44" i="13" s="1"/>
  <c r="B95" i="26" s="1"/>
  <c r="C38" i="13"/>
  <c r="B38" i="13" s="1"/>
  <c r="B334" i="22"/>
  <c r="C36" i="13"/>
  <c r="B36" i="13" s="1"/>
  <c r="C42" i="13" s="1"/>
  <c r="B93" i="26" s="1"/>
  <c r="C35" i="13"/>
  <c r="B35" i="13" s="1"/>
  <c r="C45" i="13" s="1"/>
  <c r="B96" i="26" s="1"/>
  <c r="E285" i="22"/>
  <c r="E284" i="22"/>
  <c r="BL44" i="1"/>
  <c r="BJ44" i="1"/>
  <c r="BI44" i="1"/>
  <c r="BH44" i="1"/>
  <c r="BK44" i="1"/>
  <c r="D16" i="4"/>
  <c r="A8" i="4"/>
  <c r="C25" i="2" l="1"/>
  <c r="C68" i="34"/>
  <c r="F284" i="22"/>
  <c r="F285" i="22"/>
  <c r="E288" i="22"/>
  <c r="F288" i="22" s="1"/>
  <c r="G288" i="22"/>
  <c r="F38" i="4"/>
  <c r="C76" i="4" s="1"/>
  <c r="E38" i="4"/>
  <c r="G287" i="22"/>
  <c r="E287" i="22"/>
  <c r="F287" i="22" s="1"/>
  <c r="G284" i="22"/>
  <c r="G285" i="22"/>
  <c r="BF44" i="1"/>
  <c r="BG44" i="1"/>
  <c r="BE44" i="1"/>
  <c r="BC44" i="1"/>
  <c r="BD44" i="1"/>
  <c r="B19" i="37" l="1"/>
  <c r="AS22" i="38"/>
  <c r="AO22" i="38"/>
  <c r="AQ22" i="38"/>
  <c r="AR22" i="38"/>
  <c r="AP22" i="38"/>
  <c r="AP90" i="38" a="1"/>
  <c r="AP90" i="38" s="1"/>
  <c r="AP28" i="38" s="1"/>
  <c r="AQ142" i="38" a="1"/>
  <c r="AQ142" i="38" s="1"/>
  <c r="AQ28" i="38" s="1"/>
  <c r="AR92" i="38" a="1"/>
  <c r="AR92" i="38" s="1"/>
  <c r="AR28" i="38" s="1"/>
  <c r="AS90" i="38" a="1"/>
  <c r="AS90" i="38" s="1"/>
  <c r="AS28" i="38" s="1"/>
  <c r="C28" i="2"/>
  <c r="AG7" i="38"/>
  <c r="F59" i="4"/>
  <c r="E59" i="4"/>
  <c r="B35" i="1"/>
  <c r="B34" i="1"/>
  <c r="B37" i="1"/>
  <c r="B36" i="1"/>
  <c r="AW44" i="1"/>
  <c r="F44" i="1" s="1"/>
  <c r="C129" i="22" s="1"/>
  <c r="AV44" i="1"/>
  <c r="E44" i="1" s="1"/>
  <c r="AN18" i="38" l="1"/>
  <c r="AO23" i="38" s="1"/>
  <c r="AG16" i="38"/>
  <c r="AG17" i="38"/>
  <c r="AG14" i="38"/>
  <c r="AG99" i="38" s="1" a="1"/>
  <c r="AG99" i="38" s="1"/>
  <c r="AG19" i="38"/>
  <c r="AG9" i="38"/>
  <c r="AG11" i="38"/>
  <c r="AG115" i="38" s="1" a="1"/>
  <c r="AG115" i="38" s="1"/>
  <c r="AG23" i="38"/>
  <c r="AG10" i="38"/>
  <c r="AG107" i="38" s="1" a="1"/>
  <c r="AG107" i="38" s="1"/>
  <c r="AG24" i="38"/>
  <c r="AG21" i="38"/>
  <c r="AG15" i="38"/>
  <c r="AG111" i="38" s="1" a="1"/>
  <c r="AG111" i="38" s="1"/>
  <c r="AG20" i="38"/>
  <c r="AG18" i="38"/>
  <c r="AG12" i="38"/>
  <c r="AG119" i="38" s="1" a="1"/>
  <c r="AG119" i="38" s="1"/>
  <c r="AG22" i="38"/>
  <c r="AG13" i="38"/>
  <c r="AG103" i="38" s="1" a="1"/>
  <c r="AG103" i="38" s="1"/>
  <c r="L60" i="4"/>
  <c r="N60" i="4" s="1"/>
  <c r="M60" i="4"/>
  <c r="O60" i="4" s="1"/>
  <c r="AO18" i="38" l="1"/>
  <c r="AP23" i="38" s="1"/>
  <c r="AO24" i="38"/>
  <c r="C125" i="22"/>
  <c r="AK7" i="38"/>
  <c r="AG8" i="38"/>
  <c r="AG27" i="38"/>
  <c r="AG95" i="38" a="1"/>
  <c r="AG95" i="38" s="1"/>
  <c r="B7" i="13"/>
  <c r="B8" i="13"/>
  <c r="F276" i="22" s="1"/>
  <c r="AO27" i="38" l="1"/>
  <c r="AO90" i="38" a="1"/>
  <c r="AO90" i="38" s="1"/>
  <c r="AP18" i="38"/>
  <c r="AQ23" i="38" s="1"/>
  <c r="AP24" i="38"/>
  <c r="AP27" i="38" s="1"/>
  <c r="AO91" i="38" a="1"/>
  <c r="AO91" i="38" s="1"/>
  <c r="AK11" i="38"/>
  <c r="AK115" i="38" s="1" a="1"/>
  <c r="AK115" i="38" s="1"/>
  <c r="AK15" i="38"/>
  <c r="AK111" i="38" s="1" a="1"/>
  <c r="AK111" i="38" s="1"/>
  <c r="AK19" i="38"/>
  <c r="AK23" i="38"/>
  <c r="AK22" i="38"/>
  <c r="AK21" i="38"/>
  <c r="AK16" i="38"/>
  <c r="AK12" i="38"/>
  <c r="AK119" i="38" s="1" a="1"/>
  <c r="AK119" i="38" s="1"/>
  <c r="AK20" i="38"/>
  <c r="AK10" i="38"/>
  <c r="AK107" i="38" s="1" a="1"/>
  <c r="AK107" i="38" s="1"/>
  <c r="AK14" i="38"/>
  <c r="AK99" i="38" s="1" a="1"/>
  <c r="AK99" i="38" s="1"/>
  <c r="AK13" i="38"/>
  <c r="AK103" i="38" s="1" a="1"/>
  <c r="AK103" i="38" s="1"/>
  <c r="AK17" i="38"/>
  <c r="AK24" i="38"/>
  <c r="AK18" i="38"/>
  <c r="AK9" i="38"/>
  <c r="AK95" i="38" s="1" a="1"/>
  <c r="AK95" i="38" s="1"/>
  <c r="AG28" i="38"/>
  <c r="F275" i="22"/>
  <c r="C21" i="13"/>
  <c r="G275" i="22" s="1"/>
  <c r="AO28" i="38" l="1"/>
  <c r="AQ18" i="38"/>
  <c r="AR23" i="38" s="1"/>
  <c r="AQ24" i="38"/>
  <c r="AQ27" i="38" s="1"/>
  <c r="AK28" i="38"/>
  <c r="AK27" i="38"/>
  <c r="AR18" i="38" l="1"/>
  <c r="AS23" i="38" s="1"/>
  <c r="AR24" i="38"/>
  <c r="AR27" i="38" s="1"/>
  <c r="L11" i="4"/>
  <c r="BM44" i="1"/>
  <c r="AS18" i="38" l="1"/>
  <c r="AT23" i="38" s="1"/>
  <c r="AT24" i="38" s="1"/>
  <c r="AS24" i="38"/>
  <c r="AS27" i="38" s="1"/>
  <c r="D37" i="1"/>
  <c r="Y7" i="38" s="1"/>
  <c r="D36" i="1"/>
  <c r="X7" i="38" s="1"/>
  <c r="D35" i="1"/>
  <c r="W7" i="38" s="1"/>
  <c r="D34" i="1"/>
  <c r="V7" i="38" s="1"/>
  <c r="AY44" i="1"/>
  <c r="G44" i="1" s="1"/>
  <c r="B33" i="1"/>
  <c r="D33" i="1" s="1"/>
  <c r="U7" i="38" s="1"/>
  <c r="AE44" i="1"/>
  <c r="U11" i="38" l="1"/>
  <c r="U20" i="38"/>
  <c r="U24" i="38"/>
  <c r="U15" i="38"/>
  <c r="U78" i="38" s="1" a="1"/>
  <c r="U78" i="38" s="1"/>
  <c r="U17" i="38"/>
  <c r="U14" i="38"/>
  <c r="U18" i="38"/>
  <c r="U10" i="38"/>
  <c r="U21" i="38"/>
  <c r="U12" i="38"/>
  <c r="U19" i="38"/>
  <c r="U16" i="38"/>
  <c r="U13" i="38"/>
  <c r="U9" i="38"/>
  <c r="U62" i="38" s="1" a="1"/>
  <c r="U62" i="38" s="1"/>
  <c r="U23" i="38"/>
  <c r="U22" i="38"/>
  <c r="V21" i="38"/>
  <c r="V17" i="38"/>
  <c r="V9" i="38"/>
  <c r="V24" i="38"/>
  <c r="V13" i="38"/>
  <c r="V19" i="38"/>
  <c r="V16" i="38"/>
  <c r="V15" i="38"/>
  <c r="V14" i="38"/>
  <c r="V12" i="38"/>
  <c r="V22" i="38"/>
  <c r="V23" i="38"/>
  <c r="V18" i="38"/>
  <c r="V11" i="38"/>
  <c r="V20" i="38"/>
  <c r="V10" i="38"/>
  <c r="W11" i="38"/>
  <c r="W12" i="38"/>
  <c r="W22" i="38"/>
  <c r="W16" i="38"/>
  <c r="W17" i="38"/>
  <c r="W10" i="38"/>
  <c r="W24" i="38"/>
  <c r="W18" i="38"/>
  <c r="W14" i="38"/>
  <c r="W20" i="38"/>
  <c r="W9" i="38"/>
  <c r="W23" i="38"/>
  <c r="W15" i="38"/>
  <c r="W19" i="38"/>
  <c r="W13" i="38"/>
  <c r="W21" i="38"/>
  <c r="X16" i="38"/>
  <c r="X20" i="38"/>
  <c r="X13" i="38"/>
  <c r="X18" i="38"/>
  <c r="X11" i="38"/>
  <c r="X9" i="38"/>
  <c r="X22" i="38"/>
  <c r="X10" i="38"/>
  <c r="X21" i="38"/>
  <c r="X17" i="38"/>
  <c r="X14" i="38"/>
  <c r="X24" i="38"/>
  <c r="X12" i="38"/>
  <c r="X15" i="38"/>
  <c r="X23" i="38"/>
  <c r="X19" i="38"/>
  <c r="Y20" i="38"/>
  <c r="Y11" i="38"/>
  <c r="Y23" i="38"/>
  <c r="Y13" i="38"/>
  <c r="Y10" i="38"/>
  <c r="Y24" i="38"/>
  <c r="Y22" i="38"/>
  <c r="Y12" i="38"/>
  <c r="Y17" i="38"/>
  <c r="Y15" i="38"/>
  <c r="Y19" i="38"/>
  <c r="Y14" i="38"/>
  <c r="Y21" i="38"/>
  <c r="Y9" i="38"/>
  <c r="Y18" i="38"/>
  <c r="Y16" i="38"/>
  <c r="Y78" i="38" a="1"/>
  <c r="Y78" i="38" s="1"/>
  <c r="Y82" i="38" a="1"/>
  <c r="Y82" i="38" s="1"/>
  <c r="Y66" i="38" a="1"/>
  <c r="Y66" i="38" s="1"/>
  <c r="Y74" i="38" a="1"/>
  <c r="Y74" i="38" s="1"/>
  <c r="Y86" i="38" a="1"/>
  <c r="Y86" i="38" s="1"/>
  <c r="Y70" i="38" a="1"/>
  <c r="Y70" i="38" s="1"/>
  <c r="Y90" i="38" a="1"/>
  <c r="Y90" i="38" s="1"/>
  <c r="U79" i="38" a="1"/>
  <c r="U79" i="38" s="1"/>
  <c r="AU79" i="38" s="1"/>
  <c r="AW79" i="38" s="1"/>
  <c r="V66" i="38" a="1"/>
  <c r="V66" i="38" s="1"/>
  <c r="V82" i="38" a="1"/>
  <c r="V82" i="38" s="1"/>
  <c r="V78" i="38" a="1"/>
  <c r="V78" i="38" s="1"/>
  <c r="V70" i="38" a="1"/>
  <c r="V70" i="38" s="1"/>
  <c r="V90" i="38" a="1"/>
  <c r="V90" i="38" s="1"/>
  <c r="V74" i="38" a="1"/>
  <c r="V74" i="38" s="1"/>
  <c r="V86" i="38" a="1"/>
  <c r="V86" i="38" s="1"/>
  <c r="W138" i="38" a="1"/>
  <c r="W138" i="38" s="1"/>
  <c r="W135" i="38" a="1"/>
  <c r="W135" i="38" s="1"/>
  <c r="AU135" i="38" s="1"/>
  <c r="AW135" i="38" s="1"/>
  <c r="W126" i="38" a="1"/>
  <c r="W126" i="38" s="1"/>
  <c r="AU126" i="38" s="1"/>
  <c r="AW126" i="38" s="1"/>
  <c r="W142" i="38" a="1"/>
  <c r="W142" i="38" s="1"/>
  <c r="W132" i="38" a="1"/>
  <c r="W132" i="38" s="1"/>
  <c r="W141" i="38" a="1"/>
  <c r="W141" i="38" s="1"/>
  <c r="AU141" i="38" s="1"/>
  <c r="AW141" i="38" s="1"/>
  <c r="W129" i="38" a="1"/>
  <c r="W129" i="38" s="1"/>
  <c r="X65" i="38" a="1"/>
  <c r="X65" i="38" s="1"/>
  <c r="AU65" i="38" s="1"/>
  <c r="AW65" i="38" s="1"/>
  <c r="X77" i="38" a="1"/>
  <c r="X77" i="38" s="1"/>
  <c r="AU77" i="38" s="1"/>
  <c r="AW77" i="38" s="1"/>
  <c r="X73" i="38" a="1"/>
  <c r="X73" i="38" s="1"/>
  <c r="X85" i="38" a="1"/>
  <c r="X85" i="38" s="1"/>
  <c r="AU85" i="38" s="1"/>
  <c r="AW85" i="38" s="1"/>
  <c r="X81" i="38" a="1"/>
  <c r="X81" i="38" s="1"/>
  <c r="X92" i="38" a="1"/>
  <c r="X92" i="38" s="1"/>
  <c r="X69" i="38" a="1"/>
  <c r="X69" i="38" s="1"/>
  <c r="AU69" i="38" s="1"/>
  <c r="AW69" i="38" s="1"/>
  <c r="C186" i="22"/>
  <c r="B11" i="2"/>
  <c r="D11" i="2" s="1"/>
  <c r="D51" i="22"/>
  <c r="C58" i="34" s="1"/>
  <c r="C183" i="22"/>
  <c r="D55" i="22"/>
  <c r="C62" i="34" s="1"/>
  <c r="C184" i="22"/>
  <c r="D52" i="22"/>
  <c r="C59" i="34" s="1"/>
  <c r="C182" i="22"/>
  <c r="D50" i="22"/>
  <c r="C57" i="34" s="1"/>
  <c r="C185" i="22"/>
  <c r="E27" i="26"/>
  <c r="B26" i="26"/>
  <c r="B57" i="13"/>
  <c r="B58" i="13"/>
  <c r="Y44" i="1"/>
  <c r="B11" i="13"/>
  <c r="E34" i="1"/>
  <c r="F34" i="1"/>
  <c r="F36" i="1"/>
  <c r="E36" i="1"/>
  <c r="E35" i="1"/>
  <c r="F35" i="1"/>
  <c r="F37" i="1"/>
  <c r="E37" i="1"/>
  <c r="F33" i="1"/>
  <c r="E33" i="1"/>
  <c r="C11" i="4"/>
  <c r="C12" i="4"/>
  <c r="H12" i="4" s="1"/>
  <c r="C15" i="4"/>
  <c r="H15" i="4" s="1"/>
  <c r="C14" i="4"/>
  <c r="H14" i="4" s="1"/>
  <c r="C13" i="4"/>
  <c r="H13" i="4" s="1"/>
  <c r="AX44" i="1"/>
  <c r="B27" i="24" s="1"/>
  <c r="U91" i="38" l="1" a="1"/>
  <c r="U91" i="38" s="1"/>
  <c r="AU91" i="38" s="1"/>
  <c r="AW91" i="38" s="1"/>
  <c r="U90" i="38" a="1"/>
  <c r="U90" i="38" s="1"/>
  <c r="AU90" i="38" s="1"/>
  <c r="AW90" i="38" s="1"/>
  <c r="U75" i="38" a="1"/>
  <c r="U75" i="38" s="1"/>
  <c r="AU75" i="38" s="1"/>
  <c r="AW75" i="38" s="1"/>
  <c r="U74" i="38" a="1"/>
  <c r="U74" i="38" s="1"/>
  <c r="U67" i="38" a="1"/>
  <c r="U67" i="38" s="1"/>
  <c r="AU67" i="38" s="1"/>
  <c r="AW67" i="38" s="1"/>
  <c r="U66" i="38" a="1"/>
  <c r="U66" i="38" s="1"/>
  <c r="AU66" i="38" s="1"/>
  <c r="AW66" i="38" s="1"/>
  <c r="U87" i="38" a="1"/>
  <c r="U87" i="38" s="1"/>
  <c r="AU87" i="38" s="1"/>
  <c r="AW87" i="38" s="1"/>
  <c r="U86" i="38" a="1"/>
  <c r="U86" i="38" s="1"/>
  <c r="AU86" i="38" s="1"/>
  <c r="AW86" i="38" s="1"/>
  <c r="U71" i="38" a="1"/>
  <c r="U71" i="38" s="1"/>
  <c r="AU71" i="38" s="1"/>
  <c r="AW71" i="38" s="1"/>
  <c r="U70" i="38" a="1"/>
  <c r="U70" i="38" s="1"/>
  <c r="AU70" i="38" s="1"/>
  <c r="AW70" i="38" s="1"/>
  <c r="U83" i="38" a="1"/>
  <c r="U83" i="38" s="1"/>
  <c r="AU83" i="38" s="1"/>
  <c r="AW83" i="38" s="1"/>
  <c r="U82" i="38" a="1"/>
  <c r="U82" i="38" s="1"/>
  <c r="AV135" i="38"/>
  <c r="AV126" i="38"/>
  <c r="AV141" i="38"/>
  <c r="AV69" i="38"/>
  <c r="AV79" i="38"/>
  <c r="AV65" i="38"/>
  <c r="AV77" i="38"/>
  <c r="AV85" i="38"/>
  <c r="AU78" i="38"/>
  <c r="AW78" i="38" s="1"/>
  <c r="AU92" i="38"/>
  <c r="AW92" i="38" s="1"/>
  <c r="AU81" i="38"/>
  <c r="AW81" i="38" s="1"/>
  <c r="AU129" i="38"/>
  <c r="AW129" i="38" s="1"/>
  <c r="AU132" i="38"/>
  <c r="AW132" i="38" s="1"/>
  <c r="AU142" i="38"/>
  <c r="AW142" i="38" s="1"/>
  <c r="U63" i="38" a="1"/>
  <c r="U63" i="38" s="1"/>
  <c r="U27" i="38"/>
  <c r="X61" i="38" a="1"/>
  <c r="X61" i="38" s="1"/>
  <c r="X27" i="38"/>
  <c r="W123" i="38" a="1"/>
  <c r="W123" i="38" s="1"/>
  <c r="W27" i="38"/>
  <c r="AD7" i="38"/>
  <c r="AC7" i="38"/>
  <c r="AB7" i="38"/>
  <c r="V62" i="38" a="1"/>
  <c r="V62" i="38" s="1"/>
  <c r="V27" i="38"/>
  <c r="AA7" i="38"/>
  <c r="AA9" i="38" s="1"/>
  <c r="AA62" i="38" s="1" a="1"/>
  <c r="AA62" i="38" s="1"/>
  <c r="Y62" i="38" a="1"/>
  <c r="Y62" i="38" s="1"/>
  <c r="Y28" i="38" s="1"/>
  <c r="Y27" i="38"/>
  <c r="AE7" i="38"/>
  <c r="F27" i="26"/>
  <c r="C32" i="22"/>
  <c r="C225" i="22" s="1"/>
  <c r="K87" i="13"/>
  <c r="K88" i="13"/>
  <c r="F12" i="4"/>
  <c r="E12" i="4"/>
  <c r="E15" i="4"/>
  <c r="F15" i="4"/>
  <c r="F13" i="4"/>
  <c r="E13" i="4"/>
  <c r="E14" i="4"/>
  <c r="F14" i="4"/>
  <c r="E11" i="4"/>
  <c r="F11" i="4"/>
  <c r="L362" i="22" s="1"/>
  <c r="B55" i="13"/>
  <c r="C65" i="13" s="1"/>
  <c r="C13" i="26" s="1"/>
  <c r="B13" i="26" s="1"/>
  <c r="B101" i="26" s="1"/>
  <c r="C33" i="22"/>
  <c r="B6" i="13" s="1"/>
  <c r="B22" i="22"/>
  <c r="B23" i="22" s="1"/>
  <c r="C175" i="22" s="1"/>
  <c r="B9" i="13"/>
  <c r="B26" i="24"/>
  <c r="M362" i="22" l="1"/>
  <c r="L368" i="22"/>
  <c r="AV75" i="38"/>
  <c r="AV91" i="38"/>
  <c r="AV71" i="38"/>
  <c r="AV67" i="38"/>
  <c r="AV83" i="38"/>
  <c r="AV87" i="38"/>
  <c r="E101" i="26"/>
  <c r="D101" i="26"/>
  <c r="B114" i="26"/>
  <c r="B80" i="26"/>
  <c r="B69" i="26"/>
  <c r="B115" i="26"/>
  <c r="B81" i="26"/>
  <c r="B70" i="26"/>
  <c r="B84" i="26"/>
  <c r="B105" i="26"/>
  <c r="B119" i="26"/>
  <c r="B85" i="26"/>
  <c r="B110" i="26"/>
  <c r="B78" i="26"/>
  <c r="B116" i="26"/>
  <c r="B117" i="26"/>
  <c r="B106" i="26"/>
  <c r="B120" i="26"/>
  <c r="B86" i="26"/>
  <c r="B111" i="26"/>
  <c r="B67" i="26"/>
  <c r="B68" i="26"/>
  <c r="B71" i="26"/>
  <c r="B118" i="26"/>
  <c r="B107" i="26"/>
  <c r="B121" i="26"/>
  <c r="B87" i="26"/>
  <c r="B65" i="26"/>
  <c r="B77" i="26"/>
  <c r="B112" i="26"/>
  <c r="B79" i="26"/>
  <c r="B102" i="26"/>
  <c r="B103" i="26"/>
  <c r="B104" i="26"/>
  <c r="B108" i="26"/>
  <c r="B122" i="26"/>
  <c r="B63" i="26"/>
  <c r="B109" i="26"/>
  <c r="B123" i="26"/>
  <c r="B64" i="26"/>
  <c r="B66" i="26"/>
  <c r="B113" i="26"/>
  <c r="B82" i="26"/>
  <c r="B83" i="26"/>
  <c r="AC11" i="38"/>
  <c r="AC9" i="38"/>
  <c r="AC123" i="38" s="1" a="1"/>
  <c r="AC123" i="38" s="1"/>
  <c r="AU123" i="38" s="1"/>
  <c r="AE10" i="38"/>
  <c r="AE9" i="38"/>
  <c r="AE62" i="38" s="1" a="1"/>
  <c r="AE62" i="38" s="1"/>
  <c r="AD10" i="38"/>
  <c r="AD9" i="38"/>
  <c r="AD61" i="38" s="1" a="1"/>
  <c r="AD61" i="38" s="1"/>
  <c r="AU61" i="38" s="1"/>
  <c r="AB11" i="38"/>
  <c r="AB9" i="38"/>
  <c r="AB62" i="38" s="1" a="1"/>
  <c r="AB62" i="38" s="1"/>
  <c r="AV66" i="38"/>
  <c r="AV142" i="38"/>
  <c r="AV78" i="38"/>
  <c r="AV132" i="38"/>
  <c r="AV86" i="38"/>
  <c r="AV70" i="38"/>
  <c r="AV90" i="38"/>
  <c r="AV129" i="38"/>
  <c r="AV81" i="38"/>
  <c r="AV92" i="38"/>
  <c r="AL1" i="38"/>
  <c r="AH1" i="38"/>
  <c r="Z1" i="38"/>
  <c r="AN1" i="38"/>
  <c r="T1" i="38"/>
  <c r="U28" i="38"/>
  <c r="V28" i="38"/>
  <c r="X28" i="38"/>
  <c r="W28" i="38"/>
  <c r="AC138" i="38" a="1"/>
  <c r="AC138" i="38" s="1"/>
  <c r="AU138" i="38" s="1"/>
  <c r="AW138" i="38" s="1"/>
  <c r="AE74" i="38" a="1"/>
  <c r="AE74" i="38" s="1"/>
  <c r="AU74" i="38" s="1"/>
  <c r="AW74" i="38" s="1"/>
  <c r="AD73" i="38" a="1"/>
  <c r="AD73" i="38" s="1"/>
  <c r="AU73" i="38" s="1"/>
  <c r="AW73" i="38" s="1"/>
  <c r="AA27" i="38"/>
  <c r="AA63" i="38" a="1"/>
  <c r="AA63" i="38" s="1"/>
  <c r="AA28" i="38" s="1"/>
  <c r="AB82" i="38" a="1"/>
  <c r="AB82" i="38" s="1"/>
  <c r="AU82" i="38" s="1"/>
  <c r="AW82" i="38" s="1"/>
  <c r="A110" i="13"/>
  <c r="C179" i="22"/>
  <c r="E184" i="22" s="1"/>
  <c r="C180" i="22"/>
  <c r="C30" i="26" s="1"/>
  <c r="B65" i="13"/>
  <c r="B28" i="26"/>
  <c r="E16" i="4"/>
  <c r="F16" i="4"/>
  <c r="AV27" i="38" s="1"/>
  <c r="C23" i="13"/>
  <c r="G279" i="22" s="1"/>
  <c r="C18" i="13"/>
  <c r="F274" i="22"/>
  <c r="F279" i="22"/>
  <c r="F270" i="22"/>
  <c r="F268" i="22"/>
  <c r="C19" i="13"/>
  <c r="G270" i="22" s="1"/>
  <c r="C56" i="4"/>
  <c r="H11" i="4"/>
  <c r="B75" i="4" s="1"/>
  <c r="C16" i="4"/>
  <c r="B9" i="36" s="1"/>
  <c r="M368" i="22" l="1"/>
  <c r="B21" i="13"/>
  <c r="F21" i="13" s="1"/>
  <c r="H21" i="13" s="1"/>
  <c r="D112" i="26"/>
  <c r="E112" i="26"/>
  <c r="E121" i="26"/>
  <c r="D121" i="26"/>
  <c r="D123" i="26"/>
  <c r="E123" i="26"/>
  <c r="E109" i="26"/>
  <c r="D109" i="26"/>
  <c r="E105" i="26"/>
  <c r="D105" i="26"/>
  <c r="E107" i="26"/>
  <c r="D107" i="26"/>
  <c r="D118" i="26"/>
  <c r="E118" i="26"/>
  <c r="E117" i="26"/>
  <c r="D117" i="26"/>
  <c r="D116" i="26"/>
  <c r="E116" i="26"/>
  <c r="D110" i="26"/>
  <c r="E110" i="26"/>
  <c r="E119" i="26"/>
  <c r="D119" i="26"/>
  <c r="E122" i="26"/>
  <c r="D122" i="26"/>
  <c r="E108" i="26"/>
  <c r="D108" i="26"/>
  <c r="E104" i="26"/>
  <c r="D104" i="26"/>
  <c r="D103" i="26"/>
  <c r="E103" i="26"/>
  <c r="D113" i="26"/>
  <c r="E113" i="26"/>
  <c r="D111" i="26"/>
  <c r="E111" i="26"/>
  <c r="D102" i="26"/>
  <c r="E102" i="26"/>
  <c r="E120" i="26"/>
  <c r="D120" i="26"/>
  <c r="D115" i="26"/>
  <c r="E115" i="26"/>
  <c r="E106" i="26"/>
  <c r="D106" i="26"/>
  <c r="D114" i="26"/>
  <c r="E114" i="26"/>
  <c r="AU62" i="38"/>
  <c r="AW62" i="38" s="1"/>
  <c r="AE27" i="38"/>
  <c r="AB27" i="38"/>
  <c r="AW123" i="38"/>
  <c r="AV123" i="38"/>
  <c r="AW61" i="38"/>
  <c r="AV61" i="38"/>
  <c r="AC27" i="38"/>
  <c r="AD27" i="38"/>
  <c r="E56" i="4"/>
  <c r="AW27" i="38"/>
  <c r="AV74" i="38"/>
  <c r="AV138" i="38"/>
  <c r="AV82" i="38"/>
  <c r="AV73" i="38"/>
  <c r="T131" i="38" a="1"/>
  <c r="T131" i="38" s="1"/>
  <c r="T130" i="38" a="1"/>
  <c r="T130" i="38" s="1"/>
  <c r="T89" i="38" a="1"/>
  <c r="T89" i="38" s="1"/>
  <c r="T140" i="38" a="1"/>
  <c r="T140" i="38" s="1"/>
  <c r="T73" i="38" a="1"/>
  <c r="T73" i="38" s="1"/>
  <c r="T111" i="38" a="1"/>
  <c r="T111" i="38" s="1"/>
  <c r="T159" i="38" a="1"/>
  <c r="T159" i="38" s="1"/>
  <c r="T149" i="38" a="1"/>
  <c r="T149" i="38" s="1"/>
  <c r="T154" i="38" a="1"/>
  <c r="T154" i="38" s="1"/>
  <c r="T163" i="38" a="1"/>
  <c r="T163" i="38" s="1"/>
  <c r="T93" i="38" a="1"/>
  <c r="T93" i="38" s="1"/>
  <c r="T80" i="38" a="1"/>
  <c r="T80" i="38" s="1"/>
  <c r="T109" i="38" a="1"/>
  <c r="T109" i="38" s="1"/>
  <c r="T141" i="38" a="1"/>
  <c r="T141" i="38" s="1"/>
  <c r="T55" i="38" a="1"/>
  <c r="T55" i="38" s="1"/>
  <c r="T114" i="38" a="1"/>
  <c r="T114" i="38" s="1"/>
  <c r="T69" i="38" a="1"/>
  <c r="T69" i="38" s="1"/>
  <c r="T118" i="38" a="1"/>
  <c r="T118" i="38" s="1"/>
  <c r="T125" i="38" a="1"/>
  <c r="T125" i="38" s="1"/>
  <c r="T164" i="38" a="1"/>
  <c r="T164" i="38" s="1"/>
  <c r="T165" i="38" a="1"/>
  <c r="T165" i="38" s="1"/>
  <c r="T120" i="38" a="1"/>
  <c r="T120" i="38" s="1"/>
  <c r="T155" i="38" a="1"/>
  <c r="T155" i="38" s="1"/>
  <c r="T121" i="38" a="1"/>
  <c r="T121" i="38" s="1"/>
  <c r="T152" i="38" a="1"/>
  <c r="T152" i="38" s="1"/>
  <c r="T92" i="38" a="1"/>
  <c r="T92" i="38" s="1"/>
  <c r="T158" i="38" a="1"/>
  <c r="T158" i="38" s="1"/>
  <c r="T72" i="38" a="1"/>
  <c r="T72" i="38" s="1"/>
  <c r="T161" i="38" a="1"/>
  <c r="T161" i="38" s="1"/>
  <c r="T65" i="38" a="1"/>
  <c r="T65" i="38" s="1"/>
  <c r="T128" i="38" a="1"/>
  <c r="T128" i="38" s="1"/>
  <c r="T81" i="38" a="1"/>
  <c r="T81" i="38" s="1"/>
  <c r="T98" i="38" a="1"/>
  <c r="T98" i="38" s="1"/>
  <c r="T160" i="38" a="1"/>
  <c r="T160" i="38" s="1"/>
  <c r="T90" i="38" a="1"/>
  <c r="T90" i="38" s="1"/>
  <c r="T117" i="38" a="1"/>
  <c r="T117" i="38" s="1"/>
  <c r="T58" i="38" a="1"/>
  <c r="T58" i="38" s="1"/>
  <c r="T79" i="38" a="1"/>
  <c r="T79" i="38" s="1"/>
  <c r="T137" i="38" a="1"/>
  <c r="T137" i="38" s="1"/>
  <c r="T122" i="38" a="1"/>
  <c r="T122" i="38" s="1"/>
  <c r="T150" i="38" a="1"/>
  <c r="T150" i="38" s="1"/>
  <c r="T96" i="38" a="1"/>
  <c r="T96" i="38" s="1"/>
  <c r="T97" i="38" a="1"/>
  <c r="T97" i="38" s="1"/>
  <c r="T107" i="38" a="1"/>
  <c r="T107" i="38" s="1"/>
  <c r="T87" i="38" a="1"/>
  <c r="T87" i="38" s="1"/>
  <c r="T148" i="38" a="1"/>
  <c r="T148" i="38" s="1"/>
  <c r="T123" i="38" a="1"/>
  <c r="T123" i="38" s="1"/>
  <c r="T135" i="38" a="1"/>
  <c r="T135" i="38" s="1"/>
  <c r="T156" i="38" a="1"/>
  <c r="T156" i="38" s="1"/>
  <c r="T147" i="38" a="1"/>
  <c r="T147" i="38" s="1"/>
  <c r="T99" i="38" a="1"/>
  <c r="T99" i="38" s="1"/>
  <c r="T76" i="38" a="1"/>
  <c r="T76" i="38" s="1"/>
  <c r="T49" i="38" a="1"/>
  <c r="T49" i="38" s="1"/>
  <c r="T110" i="38" a="1"/>
  <c r="T110" i="38" s="1"/>
  <c r="T132" i="38" a="1"/>
  <c r="T132" i="38" s="1"/>
  <c r="T67" i="38" a="1"/>
  <c r="T67" i="38" s="1"/>
  <c r="T119" i="38" a="1"/>
  <c r="T119" i="38" s="1"/>
  <c r="T153" i="38" a="1"/>
  <c r="T153" i="38" s="1"/>
  <c r="T108" i="38" a="1"/>
  <c r="T108" i="38" s="1"/>
  <c r="T134" i="38" a="1"/>
  <c r="T134" i="38" s="1"/>
  <c r="T50" i="38" a="1"/>
  <c r="T50" i="38" s="1"/>
  <c r="T105" i="38" a="1"/>
  <c r="T105" i="38" s="1"/>
  <c r="T145" i="38" a="1"/>
  <c r="T145" i="38" s="1"/>
  <c r="T127" i="38" a="1"/>
  <c r="T127" i="38" s="1"/>
  <c r="T142" i="38" a="1"/>
  <c r="T142" i="38" s="1"/>
  <c r="T136" i="38" a="1"/>
  <c r="T136" i="38" s="1"/>
  <c r="T66" i="38" a="1"/>
  <c r="T66" i="38" s="1"/>
  <c r="T95" i="38" a="1"/>
  <c r="T95" i="38" s="1"/>
  <c r="T63" i="38" a="1"/>
  <c r="T63" i="38" s="1"/>
  <c r="T113" i="38" a="1"/>
  <c r="T113" i="38" s="1"/>
  <c r="T52" i="38" a="1"/>
  <c r="T52" i="38" s="1"/>
  <c r="T70" i="38" a="1"/>
  <c r="T70" i="38" s="1"/>
  <c r="T59" i="38" a="1"/>
  <c r="T59" i="38" s="1"/>
  <c r="T85" i="38" a="1"/>
  <c r="T85" i="38" s="1"/>
  <c r="T68" i="38" a="1"/>
  <c r="T68" i="38" s="1"/>
  <c r="T57" i="38" a="1"/>
  <c r="T57" i="38" s="1"/>
  <c r="T157" i="38" a="1"/>
  <c r="T157" i="38" s="1"/>
  <c r="T47" i="38" a="1"/>
  <c r="T47" i="38" s="1"/>
  <c r="T56" i="38" a="1"/>
  <c r="T56" i="38" s="1"/>
  <c r="T116" i="38" a="1"/>
  <c r="T116" i="38" s="1"/>
  <c r="T88" i="38" a="1"/>
  <c r="T88" i="38" s="1"/>
  <c r="T54" i="38" a="1"/>
  <c r="T54" i="38" s="1"/>
  <c r="T75" i="38" a="1"/>
  <c r="T75" i="38" s="1"/>
  <c r="T144" i="38" a="1"/>
  <c r="T144" i="38" s="1"/>
  <c r="T64" i="38" a="1"/>
  <c r="T64" i="38" s="1"/>
  <c r="T61" i="38" a="1"/>
  <c r="T61" i="38" s="1"/>
  <c r="T84" i="38" a="1"/>
  <c r="T84" i="38" s="1"/>
  <c r="T74" i="38" a="1"/>
  <c r="T74" i="38" s="1"/>
  <c r="T60" i="38" a="1"/>
  <c r="T60" i="38" s="1"/>
  <c r="T102" i="38" a="1"/>
  <c r="T102" i="38" s="1"/>
  <c r="T94" i="38" a="1"/>
  <c r="T94" i="38" s="1"/>
  <c r="T91" i="38" a="1"/>
  <c r="T91" i="38" s="1"/>
  <c r="T104" i="38" a="1"/>
  <c r="T104" i="38" s="1"/>
  <c r="T151" i="38" a="1"/>
  <c r="T151" i="38" s="1"/>
  <c r="T83" i="38" a="1"/>
  <c r="T83" i="38" s="1"/>
  <c r="T126" i="38" a="1"/>
  <c r="T126" i="38" s="1"/>
  <c r="T115" i="38" a="1"/>
  <c r="T115" i="38" s="1"/>
  <c r="T106" i="38" a="1"/>
  <c r="T106" i="38" s="1"/>
  <c r="T112" i="38" a="1"/>
  <c r="T112" i="38" s="1"/>
  <c r="T138" i="38" a="1"/>
  <c r="T138" i="38" s="1"/>
  <c r="T133" i="38" a="1"/>
  <c r="T133" i="38" s="1"/>
  <c r="T143" i="38" a="1"/>
  <c r="T143" i="38" s="1"/>
  <c r="T162" i="38" a="1"/>
  <c r="T162" i="38" s="1"/>
  <c r="T78" i="38" a="1"/>
  <c r="T78" i="38" s="1"/>
  <c r="T71" i="38" a="1"/>
  <c r="T71" i="38" s="1"/>
  <c r="T62" i="38" a="1"/>
  <c r="T62" i="38" s="1"/>
  <c r="T139" i="38" a="1"/>
  <c r="T139" i="38" s="1"/>
  <c r="T86" i="38" a="1"/>
  <c r="T86" i="38" s="1"/>
  <c r="T101" i="38" a="1"/>
  <c r="T101" i="38" s="1"/>
  <c r="T124" i="38" a="1"/>
  <c r="T124" i="38" s="1"/>
  <c r="T51" i="38" a="1"/>
  <c r="T51" i="38" s="1"/>
  <c r="T100" i="38" a="1"/>
  <c r="T100" i="38" s="1"/>
  <c r="T146" i="38" a="1"/>
  <c r="T146" i="38" s="1"/>
  <c r="T77" i="38" a="1"/>
  <c r="T77" i="38" s="1"/>
  <c r="T103" i="38" a="1"/>
  <c r="T103" i="38" s="1"/>
  <c r="T129" i="38" a="1"/>
  <c r="T129" i="38" s="1"/>
  <c r="T48" i="38" a="1"/>
  <c r="T48" i="38" s="1"/>
  <c r="T53" i="38" a="1"/>
  <c r="T53" i="38" s="1"/>
  <c r="T82" i="38" a="1"/>
  <c r="T82" i="38" s="1"/>
  <c r="AN73" i="38" a="1"/>
  <c r="AN73" i="38" s="1"/>
  <c r="AX73" i="38" s="1"/>
  <c r="AN75" i="38" a="1"/>
  <c r="AN75" i="38" s="1"/>
  <c r="AX75" i="38" s="1"/>
  <c r="AZ75" i="38" s="1"/>
  <c r="AN117" i="38" a="1"/>
  <c r="AN117" i="38" s="1"/>
  <c r="AX117" i="38" s="1"/>
  <c r="AZ117" i="38" s="1"/>
  <c r="AN143" i="38" a="1"/>
  <c r="AN143" i="38" s="1"/>
  <c r="AX143" i="38" s="1"/>
  <c r="AZ143" i="38" s="1"/>
  <c r="AN159" i="38" a="1"/>
  <c r="AN159" i="38" s="1"/>
  <c r="AX159" i="38" s="1"/>
  <c r="AZ159" i="38" s="1"/>
  <c r="AN96" i="38" a="1"/>
  <c r="AN96" i="38" s="1"/>
  <c r="AX96" i="38" s="1"/>
  <c r="AZ96" i="38" s="1"/>
  <c r="AN36" i="38" a="1"/>
  <c r="AN36" i="38" s="1"/>
  <c r="AX36" i="38" s="1"/>
  <c r="AZ36" i="38" s="1"/>
  <c r="AN97" i="38" a="1"/>
  <c r="AN97" i="38" s="1"/>
  <c r="AX97" i="38" s="1"/>
  <c r="AZ97" i="38" s="1"/>
  <c r="AN63" i="38" a="1"/>
  <c r="AN63" i="38" s="1"/>
  <c r="AX63" i="38" s="1"/>
  <c r="AN44" i="38" a="1"/>
  <c r="AN44" i="38" s="1"/>
  <c r="AX44" i="38" s="1"/>
  <c r="AZ44" i="38" s="1"/>
  <c r="AN95" i="38" a="1"/>
  <c r="AN95" i="38" s="1"/>
  <c r="AX95" i="38" s="1"/>
  <c r="AZ95" i="38" s="1"/>
  <c r="AN54" i="38" a="1"/>
  <c r="AN54" i="38" s="1"/>
  <c r="AX54" i="38" s="1"/>
  <c r="AZ54" i="38" s="1"/>
  <c r="AN62" i="38" a="1"/>
  <c r="AN62" i="38" s="1"/>
  <c r="AX62" i="38" s="1"/>
  <c r="AN37" i="38" a="1"/>
  <c r="AN37" i="38" s="1"/>
  <c r="AX37" i="38" s="1"/>
  <c r="AZ37" i="38" s="1"/>
  <c r="AN98" i="38" a="1"/>
  <c r="AN98" i="38" s="1"/>
  <c r="AX98" i="38" s="1"/>
  <c r="AZ98" i="38" s="1"/>
  <c r="AN59" i="38" a="1"/>
  <c r="AN59" i="38" s="1"/>
  <c r="AX59" i="38" s="1"/>
  <c r="AZ59" i="38" s="1"/>
  <c r="AN72" i="38" a="1"/>
  <c r="AN72" i="38" s="1"/>
  <c r="AX72" i="38" s="1"/>
  <c r="AZ72" i="38" s="1"/>
  <c r="AN65" i="38" a="1"/>
  <c r="AN65" i="38" s="1"/>
  <c r="AX65" i="38" s="1"/>
  <c r="AZ65" i="38" s="1"/>
  <c r="AN69" i="38" a="1"/>
  <c r="AN69" i="38" s="1"/>
  <c r="AX69" i="38" s="1"/>
  <c r="AZ69" i="38" s="1"/>
  <c r="AN120" i="38" a="1"/>
  <c r="AN120" i="38" s="1"/>
  <c r="AX120" i="38" s="1"/>
  <c r="AZ120" i="38" s="1"/>
  <c r="AN113" i="38" a="1"/>
  <c r="AN113" i="38" s="1"/>
  <c r="AX113" i="38" s="1"/>
  <c r="AZ113" i="38" s="1"/>
  <c r="AN101" i="38" a="1"/>
  <c r="AN101" i="38" s="1"/>
  <c r="AX101" i="38" s="1"/>
  <c r="AZ101" i="38" s="1"/>
  <c r="AN85" i="38" a="1"/>
  <c r="AN85" i="38" s="1"/>
  <c r="AX85" i="38" s="1"/>
  <c r="AZ85" i="38" s="1"/>
  <c r="AN41" i="38" a="1"/>
  <c r="AN41" i="38" s="1"/>
  <c r="AX41" i="38" s="1"/>
  <c r="AZ41" i="38" s="1"/>
  <c r="AN93" i="38" a="1"/>
  <c r="AN93" i="38" s="1"/>
  <c r="AX93" i="38" s="1"/>
  <c r="AZ93" i="38" s="1"/>
  <c r="AN57" i="38" a="1"/>
  <c r="AN57" i="38" s="1"/>
  <c r="AX57" i="38" s="1"/>
  <c r="AZ57" i="38" s="1"/>
  <c r="AN142" i="38" a="1"/>
  <c r="AN142" i="38" s="1"/>
  <c r="AX142" i="38" s="1"/>
  <c r="AZ142" i="38" s="1"/>
  <c r="AN38" i="38" a="1"/>
  <c r="AN38" i="38" s="1"/>
  <c r="AX38" i="38" s="1"/>
  <c r="AZ38" i="38" s="1"/>
  <c r="AN137" i="38" a="1"/>
  <c r="AN137" i="38" s="1"/>
  <c r="AX137" i="38" s="1"/>
  <c r="AZ137" i="38" s="1"/>
  <c r="AN50" i="38" a="1"/>
  <c r="AN50" i="38" s="1"/>
  <c r="AX50" i="38" s="1"/>
  <c r="AZ50" i="38" s="1"/>
  <c r="AN161" i="38" a="1"/>
  <c r="AN161" i="38" s="1"/>
  <c r="AX161" i="38" s="1"/>
  <c r="AZ161" i="38" s="1"/>
  <c r="AN33" i="38" a="1"/>
  <c r="AN33" i="38" s="1"/>
  <c r="AX33" i="38" s="1"/>
  <c r="AZ33" i="38" s="1"/>
  <c r="AN94" i="38" a="1"/>
  <c r="AN94" i="38" s="1"/>
  <c r="AX94" i="38" s="1"/>
  <c r="AZ94" i="38" s="1"/>
  <c r="AN53" i="38" a="1"/>
  <c r="AN53" i="38" s="1"/>
  <c r="AX53" i="38" s="1"/>
  <c r="AZ53" i="38" s="1"/>
  <c r="AN68" i="38" a="1"/>
  <c r="AN68" i="38" s="1"/>
  <c r="AX68" i="38" s="1"/>
  <c r="AZ68" i="38" s="1"/>
  <c r="AN144" i="38" a="1"/>
  <c r="AN144" i="38" s="1"/>
  <c r="AX144" i="38" s="1"/>
  <c r="AZ144" i="38" s="1"/>
  <c r="AN129" i="38" a="1"/>
  <c r="AN129" i="38" s="1"/>
  <c r="AX129" i="38" s="1"/>
  <c r="AZ129" i="38" s="1"/>
  <c r="AN150" i="38" a="1"/>
  <c r="AN150" i="38" s="1"/>
  <c r="AX150" i="38" s="1"/>
  <c r="AZ150" i="38" s="1"/>
  <c r="AN162" i="38" a="1"/>
  <c r="AN162" i="38" s="1"/>
  <c r="AX162" i="38" s="1"/>
  <c r="AZ162" i="38" s="1"/>
  <c r="AN52" i="38" a="1"/>
  <c r="AN52" i="38" s="1"/>
  <c r="AX52" i="38" s="1"/>
  <c r="AZ52" i="38" s="1"/>
  <c r="AN158" i="38" a="1"/>
  <c r="AN158" i="38" s="1"/>
  <c r="AX158" i="38" s="1"/>
  <c r="AZ158" i="38" s="1"/>
  <c r="AN134" i="38" a="1"/>
  <c r="AN134" i="38" s="1"/>
  <c r="AX134" i="38" s="1"/>
  <c r="AZ134" i="38" s="1"/>
  <c r="AN39" i="38" a="1"/>
  <c r="AN39" i="38" s="1"/>
  <c r="AX39" i="38" s="1"/>
  <c r="AZ39" i="38" s="1"/>
  <c r="AN133" i="38" a="1"/>
  <c r="AN133" i="38" s="1"/>
  <c r="AX133" i="38" s="1"/>
  <c r="AZ133" i="38" s="1"/>
  <c r="AN55" i="38" a="1"/>
  <c r="AN55" i="38" s="1"/>
  <c r="AX55" i="38" s="1"/>
  <c r="AZ55" i="38" s="1"/>
  <c r="AN132" i="38" a="1"/>
  <c r="AN132" i="38" s="1"/>
  <c r="AX132" i="38" s="1"/>
  <c r="AZ132" i="38" s="1"/>
  <c r="AN34" i="38" a="1"/>
  <c r="AN34" i="38" s="1"/>
  <c r="AX34" i="38" s="1"/>
  <c r="AZ34" i="38" s="1"/>
  <c r="AN139" i="38" a="1"/>
  <c r="AN139" i="38" s="1"/>
  <c r="AX139" i="38" s="1"/>
  <c r="AZ139" i="38" s="1"/>
  <c r="AN91" i="38" a="1"/>
  <c r="AN91" i="38" s="1"/>
  <c r="AX91" i="38" s="1"/>
  <c r="AZ91" i="38" s="1"/>
  <c r="AN163" i="38" a="1"/>
  <c r="AN163" i="38" s="1"/>
  <c r="AX163" i="38" s="1"/>
  <c r="AZ163" i="38" s="1"/>
  <c r="AN90" i="38" a="1"/>
  <c r="AN90" i="38" s="1"/>
  <c r="AX90" i="38" s="1"/>
  <c r="AZ90" i="38" s="1"/>
  <c r="AN136" i="38" a="1"/>
  <c r="AN136" i="38" s="1"/>
  <c r="AX136" i="38" s="1"/>
  <c r="AZ136" i="38" s="1"/>
  <c r="AN49" i="38" a="1"/>
  <c r="AN49" i="38" s="1"/>
  <c r="AX49" i="38" s="1"/>
  <c r="AZ49" i="38" s="1"/>
  <c r="AN64" i="38" a="1"/>
  <c r="AN64" i="38" s="1"/>
  <c r="AX64" i="38" s="1"/>
  <c r="AZ64" i="38" s="1"/>
  <c r="AN81" i="38" a="1"/>
  <c r="AN81" i="38" s="1"/>
  <c r="AX81" i="38" s="1"/>
  <c r="AZ81" i="38" s="1"/>
  <c r="AN32" i="38" a="1"/>
  <c r="AN32" i="38" s="1"/>
  <c r="AX32" i="38" s="1"/>
  <c r="AZ32" i="38" s="1"/>
  <c r="AN92" i="38" a="1"/>
  <c r="AN92" i="38" s="1"/>
  <c r="AX92" i="38" s="1"/>
  <c r="AZ92" i="38" s="1"/>
  <c r="AN164" i="38" a="1"/>
  <c r="AN164" i="38" s="1"/>
  <c r="AX164" i="38" s="1"/>
  <c r="AZ164" i="38" s="1"/>
  <c r="AN104" i="38" a="1"/>
  <c r="AN104" i="38" s="1"/>
  <c r="AX104" i="38" s="1"/>
  <c r="AZ104" i="38" s="1"/>
  <c r="AN155" i="38" a="1"/>
  <c r="AN155" i="38" s="1"/>
  <c r="AX155" i="38" s="1"/>
  <c r="AZ155" i="38" s="1"/>
  <c r="AN35" i="38" a="1"/>
  <c r="AN35" i="38" s="1"/>
  <c r="AX35" i="38" s="1"/>
  <c r="AZ35" i="38" s="1"/>
  <c r="AN154" i="38" a="1"/>
  <c r="AN154" i="38" s="1"/>
  <c r="AX154" i="38" s="1"/>
  <c r="AZ154" i="38" s="1"/>
  <c r="AN51" i="38" a="1"/>
  <c r="AN51" i="38" s="1"/>
  <c r="AX51" i="38" s="1"/>
  <c r="AZ51" i="38" s="1"/>
  <c r="AN146" i="38" a="1"/>
  <c r="AN146" i="38" s="1"/>
  <c r="AX146" i="38" s="1"/>
  <c r="AZ146" i="38" s="1"/>
  <c r="AN82" i="38" a="1"/>
  <c r="AN82" i="38" s="1"/>
  <c r="AX82" i="38" s="1"/>
  <c r="AN135" i="38" a="1"/>
  <c r="AN135" i="38" s="1"/>
  <c r="AX135" i="38" s="1"/>
  <c r="AZ135" i="38" s="1"/>
  <c r="AN114" i="38" a="1"/>
  <c r="AN114" i="38" s="1"/>
  <c r="AX114" i="38" s="1"/>
  <c r="AZ114" i="38" s="1"/>
  <c r="AN128" i="38" a="1"/>
  <c r="AN128" i="38" s="1"/>
  <c r="AX128" i="38" s="1"/>
  <c r="AZ128" i="38" s="1"/>
  <c r="AN84" i="38" a="1"/>
  <c r="AN84" i="38" s="1"/>
  <c r="AX84" i="38" s="1"/>
  <c r="AZ84" i="38" s="1"/>
  <c r="AN141" i="38" a="1"/>
  <c r="AN141" i="38" s="1"/>
  <c r="AX141" i="38" s="1"/>
  <c r="AZ141" i="38" s="1"/>
  <c r="AN89" i="38" a="1"/>
  <c r="AN89" i="38" s="1"/>
  <c r="AX89" i="38" s="1"/>
  <c r="AZ89" i="38" s="1"/>
  <c r="AN160" i="38" a="1"/>
  <c r="AN160" i="38" s="1"/>
  <c r="AX160" i="38" s="1"/>
  <c r="AZ160" i="38" s="1"/>
  <c r="AN140" i="38" a="1"/>
  <c r="AN140" i="38" s="1"/>
  <c r="AX140" i="38" s="1"/>
  <c r="AZ140" i="38" s="1"/>
  <c r="AN122" i="38" a="1"/>
  <c r="AN122" i="38" s="1"/>
  <c r="AX122" i="38" s="1"/>
  <c r="AZ122" i="38" s="1"/>
  <c r="AN100" i="38" a="1"/>
  <c r="AN100" i="38" s="1"/>
  <c r="AX100" i="38" s="1"/>
  <c r="AZ100" i="38" s="1"/>
  <c r="AN157" i="38" a="1"/>
  <c r="AN157" i="38" s="1"/>
  <c r="AX157" i="38" s="1"/>
  <c r="AZ157" i="38" s="1"/>
  <c r="AN149" i="38" a="1"/>
  <c r="AN149" i="38" s="1"/>
  <c r="AX149" i="38" s="1"/>
  <c r="AZ149" i="38" s="1"/>
  <c r="AN83" i="38" a="1"/>
  <c r="AN83" i="38" s="1"/>
  <c r="AX83" i="38" s="1"/>
  <c r="AZ83" i="38" s="1"/>
  <c r="AN119" i="38" a="1"/>
  <c r="AN119" i="38" s="1"/>
  <c r="AX119" i="38" s="1"/>
  <c r="AZ119" i="38" s="1"/>
  <c r="AN111" i="38" a="1"/>
  <c r="AN111" i="38" s="1"/>
  <c r="AX111" i="38" s="1"/>
  <c r="AZ111" i="38" s="1"/>
  <c r="AN121" i="38" a="1"/>
  <c r="AN121" i="38" s="1"/>
  <c r="AX121" i="38" s="1"/>
  <c r="AZ121" i="38" s="1"/>
  <c r="AN74" i="38" a="1"/>
  <c r="AN74" i="38" s="1"/>
  <c r="AX74" i="38" s="1"/>
  <c r="AN110" i="38" a="1"/>
  <c r="AN110" i="38" s="1"/>
  <c r="AX110" i="38" s="1"/>
  <c r="AZ110" i="38" s="1"/>
  <c r="AN148" i="38" a="1"/>
  <c r="AN148" i="38" s="1"/>
  <c r="AX148" i="38" s="1"/>
  <c r="AZ148" i="38" s="1"/>
  <c r="AN88" i="38" a="1"/>
  <c r="AN88" i="38" s="1"/>
  <c r="AX88" i="38" s="1"/>
  <c r="AZ88" i="38" s="1"/>
  <c r="AN131" i="38" a="1"/>
  <c r="AN131" i="38" s="1"/>
  <c r="AX131" i="38" s="1"/>
  <c r="AZ131" i="38" s="1"/>
  <c r="AN77" i="38" a="1"/>
  <c r="AN77" i="38" s="1"/>
  <c r="AX77" i="38" s="1"/>
  <c r="AZ77" i="38" s="1"/>
  <c r="AN130" i="38" a="1"/>
  <c r="AN130" i="38" s="1"/>
  <c r="AX130" i="38" s="1"/>
  <c r="AZ130" i="38" s="1"/>
  <c r="AN67" i="38" a="1"/>
  <c r="AN67" i="38" s="1"/>
  <c r="AX67" i="38" s="1"/>
  <c r="AZ67" i="38" s="1"/>
  <c r="AN56" i="38" a="1"/>
  <c r="AN56" i="38" s="1"/>
  <c r="AX56" i="38" s="1"/>
  <c r="AZ56" i="38" s="1"/>
  <c r="AN145" i="38" a="1"/>
  <c r="AN145" i="38" s="1"/>
  <c r="AX145" i="38" s="1"/>
  <c r="AZ145" i="38" s="1"/>
  <c r="AN61" i="38" a="1"/>
  <c r="AN61" i="38" s="1"/>
  <c r="AX61" i="38" s="1"/>
  <c r="AZ61" i="38" s="1"/>
  <c r="AN87" i="38" a="1"/>
  <c r="AN87" i="38" s="1"/>
  <c r="AX87" i="38" s="1"/>
  <c r="AZ87" i="38" s="1"/>
  <c r="AN79" i="38" a="1"/>
  <c r="AN79" i="38" s="1"/>
  <c r="AX79" i="38" s="1"/>
  <c r="AZ79" i="38" s="1"/>
  <c r="AN123" i="38" a="1"/>
  <c r="AN123" i="38" s="1"/>
  <c r="AX123" i="38" s="1"/>
  <c r="AZ123" i="38" s="1"/>
  <c r="AN107" i="38" a="1"/>
  <c r="AN107" i="38" s="1"/>
  <c r="AX107" i="38" s="1"/>
  <c r="AZ107" i="38" s="1"/>
  <c r="AN70" i="38" a="1"/>
  <c r="AN70" i="38" s="1"/>
  <c r="AX70" i="38" s="1"/>
  <c r="AZ70" i="38" s="1"/>
  <c r="AN46" i="38" a="1"/>
  <c r="AN46" i="38" s="1"/>
  <c r="AX46" i="38" s="1"/>
  <c r="AZ46" i="38" s="1"/>
  <c r="AN106" i="38" a="1"/>
  <c r="AN106" i="38" s="1"/>
  <c r="AX106" i="38" s="1"/>
  <c r="AZ106" i="38" s="1"/>
  <c r="AN147" i="38" a="1"/>
  <c r="AN147" i="38" s="1"/>
  <c r="AN80" i="38" a="1"/>
  <c r="AN80" i="38" s="1"/>
  <c r="AX80" i="38" s="1"/>
  <c r="AZ80" i="38" s="1"/>
  <c r="AN127" i="38" a="1"/>
  <c r="AN127" i="38" s="1"/>
  <c r="AX127" i="38" s="1"/>
  <c r="AZ127" i="38" s="1"/>
  <c r="AN109" i="38" a="1"/>
  <c r="AN109" i="38" s="1"/>
  <c r="AX109" i="38" s="1"/>
  <c r="AZ109" i="38" s="1"/>
  <c r="AN78" i="38" a="1"/>
  <c r="AN78" i="38" s="1"/>
  <c r="AX78" i="38" s="1"/>
  <c r="AZ78" i="38" s="1"/>
  <c r="AN165" i="38" a="1"/>
  <c r="AN165" i="38" s="1"/>
  <c r="AX165" i="38" s="1"/>
  <c r="AZ165" i="38" s="1"/>
  <c r="AN43" i="38" a="1"/>
  <c r="AN43" i="38" s="1"/>
  <c r="AX43" i="38" s="1"/>
  <c r="AZ43" i="38" s="1"/>
  <c r="AN112" i="38" a="1"/>
  <c r="AN112" i="38" s="1"/>
  <c r="AX112" i="38" s="1"/>
  <c r="AZ112" i="38" s="1"/>
  <c r="AN66" i="38" a="1"/>
  <c r="AN66" i="38" s="1"/>
  <c r="AX66" i="38" s="1"/>
  <c r="AZ66" i="38" s="1"/>
  <c r="AN126" i="38" a="1"/>
  <c r="AN126" i="38" s="1"/>
  <c r="AX126" i="38" s="1"/>
  <c r="AZ126" i="38" s="1"/>
  <c r="AN153" i="38" a="1"/>
  <c r="AN153" i="38" s="1"/>
  <c r="AX153" i="38" s="1"/>
  <c r="AZ153" i="38" s="1"/>
  <c r="AN42" i="38" a="1"/>
  <c r="AN42" i="38" s="1"/>
  <c r="AX42" i="38" s="1"/>
  <c r="AZ42" i="38" s="1"/>
  <c r="AN116" i="38" a="1"/>
  <c r="AN116" i="38" s="1"/>
  <c r="AX116" i="38" s="1"/>
  <c r="AZ116" i="38" s="1"/>
  <c r="AN138" i="38" a="1"/>
  <c r="AN138" i="38" s="1"/>
  <c r="AX138" i="38" s="1"/>
  <c r="AN99" i="38" a="1"/>
  <c r="AN99" i="38" s="1"/>
  <c r="AX99" i="38" s="1"/>
  <c r="AZ99" i="38" s="1"/>
  <c r="AN47" i="38" a="1"/>
  <c r="AN47" i="38" s="1"/>
  <c r="AX47" i="38" s="1"/>
  <c r="AZ47" i="38" s="1"/>
  <c r="AN124" i="38" a="1"/>
  <c r="AN124" i="38" s="1"/>
  <c r="AX124" i="38" s="1"/>
  <c r="AZ124" i="38" s="1"/>
  <c r="AN118" i="38" a="1"/>
  <c r="AN118" i="38" s="1"/>
  <c r="AX118" i="38" s="1"/>
  <c r="AZ118" i="38" s="1"/>
  <c r="AN115" i="38" a="1"/>
  <c r="AN115" i="38" s="1"/>
  <c r="AX115" i="38" s="1"/>
  <c r="AZ115" i="38" s="1"/>
  <c r="AN108" i="38" a="1"/>
  <c r="AN108" i="38" s="1"/>
  <c r="AX108" i="38" s="1"/>
  <c r="AZ108" i="38" s="1"/>
  <c r="AN40" i="38" a="1"/>
  <c r="AN40" i="38" s="1"/>
  <c r="AX40" i="38" s="1"/>
  <c r="AZ40" i="38" s="1"/>
  <c r="AN48" i="38" a="1"/>
  <c r="AN48" i="38" s="1"/>
  <c r="AX48" i="38" s="1"/>
  <c r="AZ48" i="38" s="1"/>
  <c r="AN31" i="38" a="1"/>
  <c r="AN31" i="38" s="1"/>
  <c r="AX31" i="38" s="1"/>
  <c r="AZ31" i="38" s="1"/>
  <c r="AN71" i="38" a="1"/>
  <c r="AN71" i="38" s="1"/>
  <c r="AX71" i="38" s="1"/>
  <c r="AZ71" i="38" s="1"/>
  <c r="AN86" i="38" a="1"/>
  <c r="AN86" i="38" s="1"/>
  <c r="AX86" i="38" s="1"/>
  <c r="AZ86" i="38" s="1"/>
  <c r="AN102" i="38" a="1"/>
  <c r="AN102" i="38" s="1"/>
  <c r="AX102" i="38" s="1"/>
  <c r="AZ102" i="38" s="1"/>
  <c r="AN58" i="38" a="1"/>
  <c r="AN58" i="38" s="1"/>
  <c r="AX58" i="38" s="1"/>
  <c r="AZ58" i="38" s="1"/>
  <c r="AN105" i="38" a="1"/>
  <c r="AN105" i="38" s="1"/>
  <c r="AX105" i="38" s="1"/>
  <c r="AZ105" i="38" s="1"/>
  <c r="AN103" i="38" a="1"/>
  <c r="AN103" i="38" s="1"/>
  <c r="AX103" i="38" s="1"/>
  <c r="AZ103" i="38" s="1"/>
  <c r="AN152" i="38" a="1"/>
  <c r="AN152" i="38" s="1"/>
  <c r="AX152" i="38" s="1"/>
  <c r="AZ152" i="38" s="1"/>
  <c r="AN156" i="38" a="1"/>
  <c r="AN156" i="38" s="1"/>
  <c r="AX156" i="38" s="1"/>
  <c r="AZ156" i="38" s="1"/>
  <c r="AN125" i="38" a="1"/>
  <c r="AN125" i="38" s="1"/>
  <c r="AX125" i="38" s="1"/>
  <c r="AZ125" i="38" s="1"/>
  <c r="AN151" i="38" a="1"/>
  <c r="AN151" i="38" s="1"/>
  <c r="AX151" i="38" s="1"/>
  <c r="AZ151" i="38" s="1"/>
  <c r="AN60" i="38" a="1"/>
  <c r="AN60" i="38" s="1"/>
  <c r="AX60" i="38" s="1"/>
  <c r="AZ60" i="38" s="1"/>
  <c r="AN76" i="38" a="1"/>
  <c r="AN76" i="38" s="1"/>
  <c r="AX76" i="38" s="1"/>
  <c r="AZ76" i="38" s="1"/>
  <c r="Z155" i="38" a="1"/>
  <c r="Z155" i="38" s="1"/>
  <c r="Z82" i="38" a="1"/>
  <c r="Z82" i="38" s="1"/>
  <c r="Z78" i="38" a="1"/>
  <c r="Z78" i="38" s="1"/>
  <c r="Z71" i="38" a="1"/>
  <c r="Z71" i="38" s="1"/>
  <c r="Z59" i="38" a="1"/>
  <c r="Z59" i="38" s="1"/>
  <c r="Z110" i="38" a="1"/>
  <c r="Z110" i="38" s="1"/>
  <c r="Z102" i="38" a="1"/>
  <c r="Z102" i="38" s="1"/>
  <c r="Z150" i="38" a="1"/>
  <c r="Z150" i="38" s="1"/>
  <c r="Z151" i="38" a="1"/>
  <c r="Z151" i="38" s="1"/>
  <c r="Z144" i="38" a="1"/>
  <c r="Z144" i="38" s="1"/>
  <c r="Z77" i="38" a="1"/>
  <c r="Z77" i="38" s="1"/>
  <c r="Z69" i="38" a="1"/>
  <c r="Z69" i="38" s="1"/>
  <c r="Z121" i="38" a="1"/>
  <c r="Z121" i="38" s="1"/>
  <c r="Z118" i="38" a="1"/>
  <c r="Z118" i="38" s="1"/>
  <c r="Z98" i="38" a="1"/>
  <c r="Z98" i="38" s="1"/>
  <c r="Z83" i="38" a="1"/>
  <c r="Z83" i="38" s="1"/>
  <c r="Z79" i="38" a="1"/>
  <c r="Z79" i="38" s="1"/>
  <c r="Z65" i="38" a="1"/>
  <c r="Z65" i="38" s="1"/>
  <c r="Z147" i="38" a="1"/>
  <c r="Z147" i="38" s="1"/>
  <c r="Z159" i="38" a="1"/>
  <c r="Z159" i="38" s="1"/>
  <c r="Z161" i="38" a="1"/>
  <c r="Z161" i="38" s="1"/>
  <c r="Z111" i="38" a="1"/>
  <c r="Z111" i="38" s="1"/>
  <c r="Z103" i="38" a="1"/>
  <c r="Z103" i="38" s="1"/>
  <c r="Z94" i="38" a="1"/>
  <c r="Z94" i="38" s="1"/>
  <c r="Z81" i="38" a="1"/>
  <c r="Z81" i="38" s="1"/>
  <c r="Z133" i="38" a="1"/>
  <c r="Z133" i="38" s="1"/>
  <c r="Z127" i="38" a="1"/>
  <c r="Z127" i="38" s="1"/>
  <c r="Z64" i="38" a="1"/>
  <c r="Z64" i="38" s="1"/>
  <c r="Z58" i="38" a="1"/>
  <c r="Z58" i="38" s="1"/>
  <c r="Z55" i="38" a="1"/>
  <c r="Z55" i="38" s="1"/>
  <c r="Z112" i="38" a="1"/>
  <c r="Z112" i="38" s="1"/>
  <c r="Z57" i="38" a="1"/>
  <c r="Z57" i="38" s="1"/>
  <c r="Z137" i="38" a="1"/>
  <c r="Z137" i="38" s="1"/>
  <c r="Z134" i="38" a="1"/>
  <c r="Z134" i="38" s="1"/>
  <c r="Z124" i="38" a="1"/>
  <c r="Z124" i="38" s="1"/>
  <c r="Z164" i="38" a="1"/>
  <c r="Z164" i="38" s="1"/>
  <c r="Z101" i="38" a="1"/>
  <c r="Z101" i="38" s="1"/>
  <c r="Z117" i="38" a="1"/>
  <c r="Z117" i="38" s="1"/>
  <c r="Z158" i="38" a="1"/>
  <c r="Z158" i="38" s="1"/>
  <c r="Z152" i="38" a="1"/>
  <c r="Z152" i="38" s="1"/>
  <c r="Z95" i="38" a="1"/>
  <c r="Z95" i="38" s="1"/>
  <c r="Z53" i="38" a="1"/>
  <c r="Z53" i="38" s="1"/>
  <c r="Z136" i="38" a="1"/>
  <c r="Z136" i="38" s="1"/>
  <c r="Z72" i="38" a="1"/>
  <c r="Z72" i="38" s="1"/>
  <c r="Z123" i="38" a="1"/>
  <c r="Z123" i="38" s="1"/>
  <c r="Z49" i="38" a="1"/>
  <c r="Z49" i="38" s="1"/>
  <c r="Z85" i="38" a="1"/>
  <c r="Z85" i="38" s="1"/>
  <c r="Z73" i="38" a="1"/>
  <c r="Z73" i="38" s="1"/>
  <c r="Z68" i="38" a="1"/>
  <c r="Z68" i="38" s="1"/>
  <c r="Z107" i="38" a="1"/>
  <c r="Z107" i="38" s="1"/>
  <c r="Z149" i="38" a="1"/>
  <c r="Z149" i="38" s="1"/>
  <c r="Z163" i="38" a="1"/>
  <c r="Z163" i="38" s="1"/>
  <c r="Z105" i="38" a="1"/>
  <c r="Z105" i="38" s="1"/>
  <c r="Z51" i="38" a="1"/>
  <c r="Z51" i="38" s="1"/>
  <c r="Z146" i="38" a="1"/>
  <c r="Z146" i="38" s="1"/>
  <c r="Z90" i="38" a="1"/>
  <c r="Z90" i="38" s="1"/>
  <c r="Z84" i="38" a="1"/>
  <c r="Z84" i="38" s="1"/>
  <c r="Z80" i="38" a="1"/>
  <c r="Z80" i="38" s="1"/>
  <c r="Z129" i="38" a="1"/>
  <c r="Z129" i="38" s="1"/>
  <c r="Z60" i="38" a="1"/>
  <c r="Z60" i="38" s="1"/>
  <c r="Z89" i="38" a="1"/>
  <c r="Z89" i="38" s="1"/>
  <c r="Z109" i="38" a="1"/>
  <c r="Z109" i="38" s="1"/>
  <c r="Z88" i="38" a="1"/>
  <c r="Z88" i="38" s="1"/>
  <c r="Z76" i="38" a="1"/>
  <c r="Z76" i="38" s="1"/>
  <c r="Z62" i="38" a="1"/>
  <c r="Z62" i="38" s="1"/>
  <c r="Z48" i="38" a="1"/>
  <c r="Z48" i="38" s="1"/>
  <c r="Z92" i="38" a="1"/>
  <c r="Z92" i="38" s="1"/>
  <c r="Z148" i="38" a="1"/>
  <c r="Z148" i="38" s="1"/>
  <c r="Z115" i="38" a="1"/>
  <c r="Z115" i="38" s="1"/>
  <c r="Z119" i="38" a="1"/>
  <c r="Z119" i="38" s="1"/>
  <c r="Z86" i="38" a="1"/>
  <c r="Z86" i="38" s="1"/>
  <c r="Z74" i="38" a="1"/>
  <c r="Z74" i="38" s="1"/>
  <c r="Z67" i="38" a="1"/>
  <c r="Z67" i="38" s="1"/>
  <c r="Z128" i="38" a="1"/>
  <c r="Z128" i="38" s="1"/>
  <c r="Z104" i="38" a="1"/>
  <c r="Z104" i="38" s="1"/>
  <c r="Z116" i="38" a="1"/>
  <c r="Z116" i="38" s="1"/>
  <c r="Z162" i="38" a="1"/>
  <c r="Z162" i="38" s="1"/>
  <c r="Z99" i="38" a="1"/>
  <c r="Z99" i="38" s="1"/>
  <c r="Z141" i="38" a="1"/>
  <c r="Z141" i="38" s="1"/>
  <c r="Z132" i="38" a="1"/>
  <c r="Z132" i="38" s="1"/>
  <c r="Z63" i="38" a="1"/>
  <c r="Z63" i="38" s="1"/>
  <c r="Z113" i="38" a="1"/>
  <c r="Z113" i="38" s="1"/>
  <c r="Z142" i="38" a="1"/>
  <c r="Z142" i="38" s="1"/>
  <c r="Z120" i="38" a="1"/>
  <c r="Z120" i="38" s="1"/>
  <c r="Z108" i="38" a="1"/>
  <c r="Z108" i="38" s="1"/>
  <c r="Z50" i="38" a="1"/>
  <c r="Z50" i="38" s="1"/>
  <c r="Z106" i="38" a="1"/>
  <c r="Z106" i="38" s="1"/>
  <c r="Z87" i="38" a="1"/>
  <c r="Z87" i="38" s="1"/>
  <c r="Z75" i="38" a="1"/>
  <c r="Z75" i="38" s="1"/>
  <c r="Z125" i="38" a="1"/>
  <c r="Z125" i="38" s="1"/>
  <c r="Z54" i="38" a="1"/>
  <c r="Z54" i="38" s="1"/>
  <c r="Z157" i="38" a="1"/>
  <c r="Z157" i="38" s="1"/>
  <c r="Z122" i="38" a="1"/>
  <c r="Z122" i="38" s="1"/>
  <c r="Z135" i="38" a="1"/>
  <c r="Z135" i="38" s="1"/>
  <c r="Z56" i="38" a="1"/>
  <c r="Z56" i="38" s="1"/>
  <c r="Z97" i="38" a="1"/>
  <c r="Z97" i="38" s="1"/>
  <c r="Z70" i="38" a="1"/>
  <c r="Z70" i="38" s="1"/>
  <c r="Z165" i="38" a="1"/>
  <c r="Z165" i="38" s="1"/>
  <c r="Z131" i="38" a="1"/>
  <c r="Z131" i="38" s="1"/>
  <c r="Z140" i="38" a="1"/>
  <c r="Z140" i="38" s="1"/>
  <c r="Z91" i="38" a="1"/>
  <c r="Z91" i="38" s="1"/>
  <c r="Z153" i="38" a="1"/>
  <c r="Z153" i="38" s="1"/>
  <c r="Z154" i="38" a="1"/>
  <c r="Z154" i="38" s="1"/>
  <c r="Z66" i="38" a="1"/>
  <c r="Z66" i="38" s="1"/>
  <c r="Z114" i="38" a="1"/>
  <c r="Z114" i="38" s="1"/>
  <c r="Z100" i="38" a="1"/>
  <c r="Z100" i="38" s="1"/>
  <c r="Z139" i="38" a="1"/>
  <c r="Z139" i="38" s="1"/>
  <c r="Z160" i="38" a="1"/>
  <c r="Z160" i="38" s="1"/>
  <c r="Z143" i="38" a="1"/>
  <c r="Z143" i="38" s="1"/>
  <c r="Z61" i="38" a="1"/>
  <c r="Z61" i="38" s="1"/>
  <c r="Z130" i="38" a="1"/>
  <c r="Z130" i="38" s="1"/>
  <c r="Z96" i="38" a="1"/>
  <c r="Z96" i="38" s="1"/>
  <c r="Z156" i="38" a="1"/>
  <c r="Z156" i="38" s="1"/>
  <c r="Z145" i="38" a="1"/>
  <c r="Z145" i="38" s="1"/>
  <c r="Z52" i="38" a="1"/>
  <c r="Z52" i="38" s="1"/>
  <c r="Z138" i="38" a="1"/>
  <c r="Z138" i="38" s="1"/>
  <c r="Z93" i="38" a="1"/>
  <c r="Z93" i="38" s="1"/>
  <c r="Z126" i="38" a="1"/>
  <c r="Z126" i="38" s="1"/>
  <c r="Z47" i="38" a="1"/>
  <c r="Z47" i="38" s="1"/>
  <c r="Z43" i="38" a="1"/>
  <c r="Z43" i="38" s="1"/>
  <c r="Z35" i="38" a="1"/>
  <c r="Z35" i="38" s="1"/>
  <c r="Z44" i="38" a="1"/>
  <c r="Z44" i="38" s="1"/>
  <c r="Z36" i="38" a="1"/>
  <c r="Z36" i="38" s="1"/>
  <c r="Z33" i="38" a="1"/>
  <c r="Z33" i="38" s="1"/>
  <c r="Z39" i="38" a="1"/>
  <c r="Z39" i="38" s="1"/>
  <c r="Z34" i="38" a="1"/>
  <c r="Z34" i="38" s="1"/>
  <c r="Z40" i="38" a="1"/>
  <c r="Z40" i="38" s="1"/>
  <c r="Z45" i="38" a="1"/>
  <c r="Z45" i="38" s="1"/>
  <c r="Z37" i="38" a="1"/>
  <c r="Z37" i="38" s="1"/>
  <c r="Z46" i="38" a="1"/>
  <c r="Z46" i="38" s="1"/>
  <c r="Z38" i="38" a="1"/>
  <c r="Z38" i="38" s="1"/>
  <c r="Z32" i="38" a="1"/>
  <c r="Z32" i="38" s="1"/>
  <c r="AH65" i="38" a="1"/>
  <c r="AH65" i="38" s="1"/>
  <c r="AH108" i="38" a="1"/>
  <c r="AH108" i="38" s="1"/>
  <c r="AH138" i="38" a="1"/>
  <c r="AH138" i="38" s="1"/>
  <c r="AH144" i="38" a="1"/>
  <c r="AH144" i="38" s="1"/>
  <c r="AH160" i="38" a="1"/>
  <c r="AH160" i="38" s="1"/>
  <c r="AH162" i="38" a="1"/>
  <c r="AH162" i="38" s="1"/>
  <c r="AH112" i="38" a="1"/>
  <c r="AH112" i="38" s="1"/>
  <c r="AH155" i="38" a="1"/>
  <c r="AH155" i="38" s="1"/>
  <c r="AH93" i="38" a="1"/>
  <c r="AH93" i="38" s="1"/>
  <c r="AH57" i="38" a="1"/>
  <c r="AH57" i="38" s="1"/>
  <c r="AH147" i="38" a="1"/>
  <c r="AH147" i="38" s="1"/>
  <c r="AH142" i="38" a="1"/>
  <c r="AH142" i="38" s="1"/>
  <c r="AH83" i="38" a="1"/>
  <c r="AH83" i="38" s="1"/>
  <c r="AH161" i="38" a="1"/>
  <c r="AH161" i="38" s="1"/>
  <c r="AH79" i="38" a="1"/>
  <c r="AH79" i="38" s="1"/>
  <c r="AH128" i="38" a="1"/>
  <c r="AH128" i="38" s="1"/>
  <c r="AH91" i="38" a="1"/>
  <c r="AH91" i="38" s="1"/>
  <c r="AH100" i="38" a="1"/>
  <c r="AH100" i="38" s="1"/>
  <c r="AH69" i="38" a="1"/>
  <c r="AH69" i="38" s="1"/>
  <c r="AH148" i="38" a="1"/>
  <c r="AH148" i="38" s="1"/>
  <c r="AH123" i="38" a="1"/>
  <c r="AH123" i="38" s="1"/>
  <c r="AH164" i="38" a="1"/>
  <c r="AH164" i="38" s="1"/>
  <c r="AH49" i="38" a="1"/>
  <c r="AH49" i="38" s="1"/>
  <c r="AH89" i="38" a="1"/>
  <c r="AH89" i="38" s="1"/>
  <c r="AH96" i="38" a="1"/>
  <c r="AH96" i="38" s="1"/>
  <c r="AH54" i="38" a="1"/>
  <c r="AH54" i="38" s="1"/>
  <c r="AH140" i="38" a="1"/>
  <c r="AH140" i="38" s="1"/>
  <c r="AH117" i="38" a="1"/>
  <c r="AH117" i="38" s="1"/>
  <c r="AH132" i="38" a="1"/>
  <c r="AH132" i="38" s="1"/>
  <c r="AH105" i="38" a="1"/>
  <c r="AH105" i="38" s="1"/>
  <c r="AH141" i="38" a="1"/>
  <c r="AH141" i="38" s="1"/>
  <c r="AH76" i="38" a="1"/>
  <c r="AH76" i="38" s="1"/>
  <c r="AH68" i="38" a="1"/>
  <c r="AH68" i="38" s="1"/>
  <c r="AH111" i="38" a="1"/>
  <c r="AH111" i="38" s="1"/>
  <c r="AH102" i="38" a="1"/>
  <c r="AH102" i="38" s="1"/>
  <c r="AH150" i="38" a="1"/>
  <c r="AH150" i="38" s="1"/>
  <c r="AH121" i="38" a="1"/>
  <c r="AH121" i="38" s="1"/>
  <c r="AH74" i="38" a="1"/>
  <c r="AH74" i="38" s="1"/>
  <c r="AH90" i="38" a="1"/>
  <c r="AH90" i="38" s="1"/>
  <c r="AH78" i="38" a="1"/>
  <c r="AH78" i="38" s="1"/>
  <c r="AH106" i="38" a="1"/>
  <c r="AH106" i="38" s="1"/>
  <c r="AH113" i="38" a="1"/>
  <c r="AH113" i="38" s="1"/>
  <c r="AH116" i="38" a="1"/>
  <c r="AH116" i="38" s="1"/>
  <c r="AH109" i="38" a="1"/>
  <c r="AH109" i="38" s="1"/>
  <c r="AH52" i="38" a="1"/>
  <c r="AH52" i="38" s="1"/>
  <c r="AH81" i="38" a="1"/>
  <c r="AH81" i="38" s="1"/>
  <c r="AH158" i="38" a="1"/>
  <c r="AH158" i="38" s="1"/>
  <c r="AH77" i="38" a="1"/>
  <c r="AH77" i="38" s="1"/>
  <c r="AH136" i="38" a="1"/>
  <c r="AH136" i="38" s="1"/>
  <c r="AH82" i="38" a="1"/>
  <c r="AH82" i="38" s="1"/>
  <c r="AH118" i="38" a="1"/>
  <c r="AH118" i="38" s="1"/>
  <c r="AH145" i="38" a="1"/>
  <c r="AH145" i="38" s="1"/>
  <c r="AH103" i="38" a="1"/>
  <c r="AH103" i="38" s="1"/>
  <c r="AH61" i="38" a="1"/>
  <c r="AH61" i="38" s="1"/>
  <c r="AH59" i="38" a="1"/>
  <c r="AH59" i="38" s="1"/>
  <c r="AH159" i="38" a="1"/>
  <c r="AH159" i="38" s="1"/>
  <c r="AH88" i="38" a="1"/>
  <c r="AH88" i="38" s="1"/>
  <c r="AH85" i="38" a="1"/>
  <c r="AH85" i="38" s="1"/>
  <c r="AH130" i="38" a="1"/>
  <c r="AH130" i="38" s="1"/>
  <c r="AH62" i="38" a="1"/>
  <c r="AH62" i="38" s="1"/>
  <c r="AH156" i="38" a="1"/>
  <c r="AH156" i="38" s="1"/>
  <c r="AH71" i="38" a="1"/>
  <c r="AH71" i="38" s="1"/>
  <c r="AH114" i="38" a="1"/>
  <c r="AH114" i="38" s="1"/>
  <c r="AH51" i="38" a="1"/>
  <c r="AH51" i="38" s="1"/>
  <c r="AH146" i="38" a="1"/>
  <c r="AH146" i="38" s="1"/>
  <c r="AH135" i="38" a="1"/>
  <c r="AH135" i="38" s="1"/>
  <c r="AH67" i="38" a="1"/>
  <c r="AH67" i="38" s="1"/>
  <c r="AH157" i="38" a="1"/>
  <c r="AH157" i="38" s="1"/>
  <c r="AH151" i="38" a="1"/>
  <c r="AH151" i="38" s="1"/>
  <c r="AH48" i="38" a="1"/>
  <c r="AH48" i="38" s="1"/>
  <c r="AH53" i="38" a="1"/>
  <c r="AH53" i="38" s="1"/>
  <c r="AH63" i="38" a="1"/>
  <c r="AH63" i="38" s="1"/>
  <c r="AH80" i="38" a="1"/>
  <c r="AH80" i="38" s="1"/>
  <c r="AH133" i="38" a="1"/>
  <c r="AH133" i="38" s="1"/>
  <c r="AH87" i="38" a="1"/>
  <c r="AH87" i="38" s="1"/>
  <c r="AH122" i="38" a="1"/>
  <c r="AH122" i="38" s="1"/>
  <c r="AH86" i="38" a="1"/>
  <c r="AH86" i="38" s="1"/>
  <c r="AH50" i="38" a="1"/>
  <c r="AH50" i="38" s="1"/>
  <c r="AH97" i="38" a="1"/>
  <c r="AH97" i="38" s="1"/>
  <c r="AH127" i="38" a="1"/>
  <c r="AH127" i="38" s="1"/>
  <c r="AH55" i="38" a="1"/>
  <c r="AH55" i="38" s="1"/>
  <c r="AH143" i="38" a="1"/>
  <c r="AH143" i="38" s="1"/>
  <c r="AH119" i="38" a="1"/>
  <c r="AH119" i="38" s="1"/>
  <c r="AH98" i="38" a="1"/>
  <c r="AH98" i="38" s="1"/>
  <c r="AH134" i="38" a="1"/>
  <c r="AH134" i="38" s="1"/>
  <c r="AH66" i="38" a="1"/>
  <c r="AH66" i="38" s="1"/>
  <c r="AH60" i="38" a="1"/>
  <c r="AH60" i="38" s="1"/>
  <c r="AH154" i="38" a="1"/>
  <c r="AH154" i="38" s="1"/>
  <c r="AH73" i="38" a="1"/>
  <c r="AH73" i="38" s="1"/>
  <c r="AH163" i="38" a="1"/>
  <c r="AH163" i="38" s="1"/>
  <c r="AH64" i="38" a="1"/>
  <c r="AH64" i="38" s="1"/>
  <c r="AH84" i="38" a="1"/>
  <c r="AH84" i="38" s="1"/>
  <c r="AH101" i="38" a="1"/>
  <c r="AH101" i="38" s="1"/>
  <c r="AH120" i="38" a="1"/>
  <c r="AH120" i="38" s="1"/>
  <c r="AH72" i="38" a="1"/>
  <c r="AH72" i="38" s="1"/>
  <c r="AH99" i="38" a="1"/>
  <c r="AH99" i="38" s="1"/>
  <c r="AH58" i="38" a="1"/>
  <c r="AH58" i="38" s="1"/>
  <c r="AH95" i="38" a="1"/>
  <c r="AH95" i="38" s="1"/>
  <c r="AH137" i="38" a="1"/>
  <c r="AH137" i="38" s="1"/>
  <c r="AH139" i="38" a="1"/>
  <c r="AH139" i="38" s="1"/>
  <c r="AH129" i="38" a="1"/>
  <c r="AH129" i="38" s="1"/>
  <c r="AH124" i="38" a="1"/>
  <c r="AH124" i="38" s="1"/>
  <c r="AH125" i="38" a="1"/>
  <c r="AH125" i="38" s="1"/>
  <c r="AH153" i="38" a="1"/>
  <c r="AH153" i="38" s="1"/>
  <c r="AH92" i="38" a="1"/>
  <c r="AH92" i="38" s="1"/>
  <c r="AH152" i="38" a="1"/>
  <c r="AH152" i="38" s="1"/>
  <c r="AH56" i="38" a="1"/>
  <c r="AH56" i="38" s="1"/>
  <c r="AH115" i="38" a="1"/>
  <c r="AH115" i="38" s="1"/>
  <c r="AH165" i="38" a="1"/>
  <c r="AH165" i="38" s="1"/>
  <c r="AH149" i="38" a="1"/>
  <c r="AH149" i="38" s="1"/>
  <c r="AH70" i="38" a="1"/>
  <c r="AH70" i="38" s="1"/>
  <c r="AH47" i="38" a="1"/>
  <c r="AH47" i="38" s="1"/>
  <c r="AH94" i="38" a="1"/>
  <c r="AH94" i="38" s="1"/>
  <c r="AH131" i="38" a="1"/>
  <c r="AH131" i="38" s="1"/>
  <c r="AH126" i="38" a="1"/>
  <c r="AH126" i="38" s="1"/>
  <c r="AH75" i="38" a="1"/>
  <c r="AH75" i="38" s="1"/>
  <c r="AH110" i="38" a="1"/>
  <c r="AH110" i="38" s="1"/>
  <c r="AH107" i="38" a="1"/>
  <c r="AH107" i="38" s="1"/>
  <c r="AH104" i="38" a="1"/>
  <c r="AH104" i="38" s="1"/>
  <c r="AL78" i="38" a="1"/>
  <c r="AL78" i="38" s="1"/>
  <c r="AL158" i="38" a="1"/>
  <c r="AL158" i="38" s="1"/>
  <c r="AL143" i="38" a="1"/>
  <c r="AL143" i="38" s="1"/>
  <c r="AL154" i="38" a="1"/>
  <c r="AL154" i="38" s="1"/>
  <c r="AL153" i="38" a="1"/>
  <c r="AL153" i="38" s="1"/>
  <c r="AL53" i="38" a="1"/>
  <c r="AL53" i="38" s="1"/>
  <c r="AL75" i="38" a="1"/>
  <c r="AL75" i="38" s="1"/>
  <c r="AL164" i="38" a="1"/>
  <c r="AL164" i="38" s="1"/>
  <c r="AL56" i="38" a="1"/>
  <c r="AL56" i="38" s="1"/>
  <c r="AL146" i="38" a="1"/>
  <c r="AL146" i="38" s="1"/>
  <c r="AL88" i="38" a="1"/>
  <c r="AL88" i="38" s="1"/>
  <c r="AL74" i="38" a="1"/>
  <c r="AL74" i="38" s="1"/>
  <c r="AL96" i="38" a="1"/>
  <c r="AL96" i="38" s="1"/>
  <c r="AL50" i="38" a="1"/>
  <c r="AL50" i="38" s="1"/>
  <c r="AL108" i="38" a="1"/>
  <c r="AL108" i="38" s="1"/>
  <c r="AL133" i="38" a="1"/>
  <c r="AL133" i="38" s="1"/>
  <c r="AL111" i="38" a="1"/>
  <c r="AL111" i="38" s="1"/>
  <c r="AL134" i="38" a="1"/>
  <c r="AL134" i="38" s="1"/>
  <c r="AL145" i="38" a="1"/>
  <c r="AL145" i="38" s="1"/>
  <c r="AL54" i="38" a="1"/>
  <c r="AL54" i="38" s="1"/>
  <c r="AL144" i="38" a="1"/>
  <c r="AL144" i="38" s="1"/>
  <c r="AL64" i="38" a="1"/>
  <c r="AL64" i="38" s="1"/>
  <c r="AL125" i="38" a="1"/>
  <c r="AL125" i="38" s="1"/>
  <c r="AL162" i="38" a="1"/>
  <c r="AL162" i="38" s="1"/>
  <c r="AL113" i="38" a="1"/>
  <c r="AL113" i="38" s="1"/>
  <c r="AL86" i="38" a="1"/>
  <c r="AL86" i="38" s="1"/>
  <c r="AL109" i="38" a="1"/>
  <c r="AL109" i="38" s="1"/>
  <c r="AL121" i="38" a="1"/>
  <c r="AL121" i="38" s="1"/>
  <c r="AL49" i="38" a="1"/>
  <c r="AL49" i="38" s="1"/>
  <c r="AL105" i="38" a="1"/>
  <c r="AL105" i="38" s="1"/>
  <c r="AL161" i="38" a="1"/>
  <c r="AL161" i="38" s="1"/>
  <c r="AL104" i="38" a="1"/>
  <c r="AL104" i="38" s="1"/>
  <c r="AL163" i="38" a="1"/>
  <c r="AL163" i="38" s="1"/>
  <c r="AL57" i="38" a="1"/>
  <c r="AL57" i="38" s="1"/>
  <c r="AL102" i="38" a="1"/>
  <c r="AL102" i="38" s="1"/>
  <c r="AL52" i="38" a="1"/>
  <c r="AL52" i="38" s="1"/>
  <c r="AL80" i="38" a="1"/>
  <c r="AL80" i="38" s="1"/>
  <c r="AL137" i="38" a="1"/>
  <c r="AL137" i="38" s="1"/>
  <c r="AL72" i="38" a="1"/>
  <c r="AL72" i="38" s="1"/>
  <c r="AL48" i="38" a="1"/>
  <c r="AL48" i="38" s="1"/>
  <c r="AL139" i="38" a="1"/>
  <c r="AL139" i="38" s="1"/>
  <c r="AL123" i="38" a="1"/>
  <c r="AL123" i="38" s="1"/>
  <c r="AL149" i="38" a="1"/>
  <c r="AL149" i="38" s="1"/>
  <c r="AL114" i="38" a="1"/>
  <c r="AL114" i="38" s="1"/>
  <c r="AL128" i="38" a="1"/>
  <c r="AL128" i="38" s="1"/>
  <c r="AL51" i="38" a="1"/>
  <c r="AL51" i="38" s="1"/>
  <c r="AL106" i="38" a="1"/>
  <c r="AL106" i="38" s="1"/>
  <c r="AL90" i="38" a="1"/>
  <c r="AL90" i="38" s="1"/>
  <c r="AL99" i="38" a="1"/>
  <c r="AL99" i="38" s="1"/>
  <c r="AL159" i="38" a="1"/>
  <c r="AL159" i="38" s="1"/>
  <c r="AL73" i="38" a="1"/>
  <c r="AL73" i="38" s="1"/>
  <c r="AL63" i="38" a="1"/>
  <c r="AL63" i="38" s="1"/>
  <c r="AL131" i="38" a="1"/>
  <c r="AL131" i="38" s="1"/>
  <c r="AL89" i="38" a="1"/>
  <c r="AL89" i="38" s="1"/>
  <c r="AL66" i="38" a="1"/>
  <c r="AL66" i="38" s="1"/>
  <c r="AL70" i="38" a="1"/>
  <c r="AL70" i="38" s="1"/>
  <c r="AL165" i="38" a="1"/>
  <c r="AL165" i="38" s="1"/>
  <c r="AL122" i="38" a="1"/>
  <c r="AL122" i="38" s="1"/>
  <c r="AL118" i="38" a="1"/>
  <c r="AL118" i="38" s="1"/>
  <c r="AL100" i="38" a="1"/>
  <c r="AL100" i="38" s="1"/>
  <c r="AL83" i="38" a="1"/>
  <c r="AL83" i="38" s="1"/>
  <c r="AL67" i="38" a="1"/>
  <c r="AL67" i="38" s="1"/>
  <c r="AL155" i="38" a="1"/>
  <c r="AL155" i="38" s="1"/>
  <c r="AL115" i="38" a="1"/>
  <c r="AL115" i="38" s="1"/>
  <c r="AL95" i="38" a="1"/>
  <c r="AL95" i="38" s="1"/>
  <c r="AL147" i="38" a="1"/>
  <c r="AL147" i="38" s="1"/>
  <c r="AL47" i="38" a="1"/>
  <c r="AL47" i="38" s="1"/>
  <c r="AL71" i="38" a="1"/>
  <c r="AL71" i="38" s="1"/>
  <c r="AL69" i="38" a="1"/>
  <c r="AL69" i="38" s="1"/>
  <c r="AL68" i="38" a="1"/>
  <c r="AL68" i="38" s="1"/>
  <c r="AL82" i="38" a="1"/>
  <c r="AL82" i="38" s="1"/>
  <c r="AL156" i="38" a="1"/>
  <c r="AL156" i="38" s="1"/>
  <c r="AL116" i="38" a="1"/>
  <c r="AL116" i="38" s="1"/>
  <c r="AL93" i="38" a="1"/>
  <c r="AL93" i="38" s="1"/>
  <c r="AL120" i="38" a="1"/>
  <c r="AL120" i="38" s="1"/>
  <c r="AL110" i="38" a="1"/>
  <c r="AL110" i="38" s="1"/>
  <c r="AL94" i="38" a="1"/>
  <c r="AL94" i="38" s="1"/>
  <c r="AL85" i="38" a="1"/>
  <c r="AL85" i="38" s="1"/>
  <c r="AL98" i="38" a="1"/>
  <c r="AL98" i="38" s="1"/>
  <c r="AL55" i="38" a="1"/>
  <c r="AL55" i="38" s="1"/>
  <c r="AL136" i="38" a="1"/>
  <c r="AL136" i="38" s="1"/>
  <c r="AL151" i="38" a="1"/>
  <c r="AL151" i="38" s="1"/>
  <c r="AL58" i="38" a="1"/>
  <c r="AL58" i="38" s="1"/>
  <c r="AL84" i="38" a="1"/>
  <c r="AL84" i="38" s="1"/>
  <c r="AL65" i="38" a="1"/>
  <c r="AL65" i="38" s="1"/>
  <c r="AL152" i="38" a="1"/>
  <c r="AL152" i="38" s="1"/>
  <c r="AL103" i="38" a="1"/>
  <c r="AL103" i="38" s="1"/>
  <c r="AL130" i="38" a="1"/>
  <c r="AL130" i="38" s="1"/>
  <c r="AL92" i="38" a="1"/>
  <c r="AL92" i="38" s="1"/>
  <c r="AL87" i="38" a="1"/>
  <c r="AL87" i="38" s="1"/>
  <c r="AL126" i="38" a="1"/>
  <c r="AL126" i="38" s="1"/>
  <c r="AL77" i="38" a="1"/>
  <c r="AL77" i="38" s="1"/>
  <c r="AL112" i="38" a="1"/>
  <c r="AL112" i="38" s="1"/>
  <c r="AL59" i="38" a="1"/>
  <c r="AL59" i="38" s="1"/>
  <c r="AL150" i="38" a="1"/>
  <c r="AL150" i="38" s="1"/>
  <c r="AL81" i="38" a="1"/>
  <c r="AL81" i="38" s="1"/>
  <c r="AL135" i="38" a="1"/>
  <c r="AL135" i="38" s="1"/>
  <c r="AL117" i="38" a="1"/>
  <c r="AL117" i="38" s="1"/>
  <c r="AL79" i="38" a="1"/>
  <c r="AL79" i="38" s="1"/>
  <c r="AL129" i="38" a="1"/>
  <c r="AL129" i="38" s="1"/>
  <c r="AL160" i="38" a="1"/>
  <c r="AL160" i="38" s="1"/>
  <c r="AL101" i="38" a="1"/>
  <c r="AL101" i="38" s="1"/>
  <c r="AL142" i="38" a="1"/>
  <c r="AL142" i="38" s="1"/>
  <c r="AL60" i="38" a="1"/>
  <c r="AL60" i="38" s="1"/>
  <c r="AL107" i="38" a="1"/>
  <c r="AL107" i="38" s="1"/>
  <c r="AL91" i="38" a="1"/>
  <c r="AL91" i="38" s="1"/>
  <c r="AL132" i="38" a="1"/>
  <c r="AL132" i="38" s="1"/>
  <c r="AL148" i="38" a="1"/>
  <c r="AL148" i="38" s="1"/>
  <c r="AL61" i="38" a="1"/>
  <c r="AL61" i="38" s="1"/>
  <c r="AL141" i="38" a="1"/>
  <c r="AL141" i="38" s="1"/>
  <c r="AL62" i="38" a="1"/>
  <c r="AL62" i="38" s="1"/>
  <c r="AL97" i="38" a="1"/>
  <c r="AL97" i="38" s="1"/>
  <c r="AL127" i="38" a="1"/>
  <c r="AL127" i="38" s="1"/>
  <c r="AL138" i="38" a="1"/>
  <c r="AL138" i="38" s="1"/>
  <c r="AL119" i="38" a="1"/>
  <c r="AL119" i="38" s="1"/>
  <c r="AL140" i="38" a="1"/>
  <c r="AL140" i="38" s="1"/>
  <c r="AL124" i="38" a="1"/>
  <c r="AL124" i="38" s="1"/>
  <c r="AL157" i="38" a="1"/>
  <c r="AL157" i="38" s="1"/>
  <c r="AL76" i="38" a="1"/>
  <c r="AL76" i="38" s="1"/>
  <c r="AU63" i="38"/>
  <c r="AW63" i="38" s="1"/>
  <c r="AE28" i="38"/>
  <c r="AD28" i="38"/>
  <c r="AB28" i="38"/>
  <c r="AC28" i="38"/>
  <c r="G268" i="22"/>
  <c r="B102" i="13"/>
  <c r="B42" i="4" s="1"/>
  <c r="A116" i="13"/>
  <c r="F56" i="4"/>
  <c r="C75" i="4"/>
  <c r="E182" i="22"/>
  <c r="E186" i="22"/>
  <c r="E183" i="22"/>
  <c r="E185" i="22"/>
  <c r="C86" i="13"/>
  <c r="C90" i="13"/>
  <c r="M90" i="13" s="1"/>
  <c r="C80" i="13"/>
  <c r="M80" i="13" s="1"/>
  <c r="C85" i="13"/>
  <c r="M85" i="13" s="1"/>
  <c r="C83" i="13"/>
  <c r="B42" i="13"/>
  <c r="F42" i="13" s="1"/>
  <c r="C88" i="13"/>
  <c r="M88" i="13" s="1"/>
  <c r="C84" i="13"/>
  <c r="M84" i="13" s="1"/>
  <c r="C82" i="13"/>
  <c r="C258" i="22"/>
  <c r="A26" i="2" s="1"/>
  <c r="B24" i="13"/>
  <c r="E24" i="13" s="1"/>
  <c r="C76" i="13"/>
  <c r="N76" i="13" s="1"/>
  <c r="C74" i="13"/>
  <c r="B101" i="13"/>
  <c r="B41" i="4" s="1"/>
  <c r="C79" i="13"/>
  <c r="M79" i="13" s="1"/>
  <c r="C78" i="13"/>
  <c r="N78" i="13" s="1"/>
  <c r="B44" i="13"/>
  <c r="F44" i="13" s="1"/>
  <c r="H44" i="13" s="1"/>
  <c r="D95" i="26" s="1"/>
  <c r="C77" i="13"/>
  <c r="M77" i="13" s="1"/>
  <c r="B20" i="13"/>
  <c r="F20" i="13" s="1"/>
  <c r="B22" i="13"/>
  <c r="E22" i="13" s="1"/>
  <c r="B23" i="13"/>
  <c r="F23" i="13" s="1"/>
  <c r="B105" i="13"/>
  <c r="B45" i="4" s="1"/>
  <c r="B43" i="13"/>
  <c r="E43" i="13" s="1"/>
  <c r="C91" i="13"/>
  <c r="M91" i="13" s="1"/>
  <c r="C73" i="13"/>
  <c r="B104" i="13"/>
  <c r="B44" i="4" s="1"/>
  <c r="B45" i="13"/>
  <c r="F45" i="13" s="1"/>
  <c r="H45" i="13" s="1"/>
  <c r="D96" i="26" s="1"/>
  <c r="B19" i="13"/>
  <c r="F19" i="13" s="1"/>
  <c r="C75" i="13"/>
  <c r="N75" i="13" s="1"/>
  <c r="C89" i="13"/>
  <c r="B103" i="13"/>
  <c r="B43" i="4" s="1"/>
  <c r="C87" i="13"/>
  <c r="M87" i="13" s="1"/>
  <c r="C72" i="13"/>
  <c r="B18" i="13"/>
  <c r="C81" i="13"/>
  <c r="M81" i="13" s="1"/>
  <c r="E11" i="2"/>
  <c r="F11" i="2"/>
  <c r="H16" i="4"/>
  <c r="AU27" i="38" s="1"/>
  <c r="C62" i="13"/>
  <c r="E21" i="13" l="1"/>
  <c r="G21" i="13" s="1"/>
  <c r="AW28" i="38"/>
  <c r="AV62" i="38"/>
  <c r="AY138" i="38"/>
  <c r="AZ138" i="38"/>
  <c r="AY82" i="38"/>
  <c r="AZ82" i="38"/>
  <c r="AY74" i="38"/>
  <c r="AZ74" i="38"/>
  <c r="AY63" i="38"/>
  <c r="AZ63" i="38"/>
  <c r="AY73" i="38"/>
  <c r="AZ73" i="38"/>
  <c r="AY62" i="38"/>
  <c r="AZ62" i="38"/>
  <c r="AY79" i="38"/>
  <c r="AY64" i="38"/>
  <c r="AY36" i="38"/>
  <c r="AY60" i="38"/>
  <c r="AY102" i="38"/>
  <c r="AY118" i="38"/>
  <c r="AY126" i="38"/>
  <c r="AY80" i="38"/>
  <c r="AY87" i="38"/>
  <c r="AY88" i="38"/>
  <c r="AY149" i="38"/>
  <c r="AY84" i="38"/>
  <c r="AY35" i="38"/>
  <c r="AY49" i="38"/>
  <c r="AY55" i="38"/>
  <c r="AY129" i="38"/>
  <c r="AY137" i="38"/>
  <c r="AY113" i="38"/>
  <c r="AY37" i="38"/>
  <c r="AY96" i="38"/>
  <c r="AY76" i="38"/>
  <c r="AY83" i="38"/>
  <c r="AY150" i="38"/>
  <c r="AV63" i="38"/>
  <c r="AY151" i="38"/>
  <c r="AY86" i="38"/>
  <c r="AY124" i="38"/>
  <c r="AY66" i="38"/>
  <c r="AY61" i="38"/>
  <c r="AY148" i="38"/>
  <c r="AY157" i="38"/>
  <c r="AY128" i="38"/>
  <c r="AY155" i="38"/>
  <c r="AY136" i="38"/>
  <c r="AY133" i="38"/>
  <c r="AY144" i="38"/>
  <c r="AY38" i="38"/>
  <c r="AY120" i="38"/>
  <c r="AY159" i="38"/>
  <c r="AY58" i="38"/>
  <c r="AY141" i="38"/>
  <c r="AY50" i="38"/>
  <c r="AY125" i="38"/>
  <c r="AY71" i="38"/>
  <c r="AY47" i="38"/>
  <c r="AY112" i="38"/>
  <c r="AY106" i="38"/>
  <c r="AY145" i="38"/>
  <c r="AY110" i="38"/>
  <c r="AY100" i="38"/>
  <c r="AY114" i="38"/>
  <c r="AY104" i="38"/>
  <c r="AY90" i="38"/>
  <c r="AY39" i="38"/>
  <c r="AY68" i="38"/>
  <c r="AY142" i="38"/>
  <c r="AY69" i="38"/>
  <c r="AY54" i="38"/>
  <c r="AY143" i="38"/>
  <c r="AY153" i="38"/>
  <c r="AY156" i="38"/>
  <c r="AY31" i="38"/>
  <c r="AY99" i="38"/>
  <c r="AY43" i="38"/>
  <c r="AY46" i="38"/>
  <c r="AY56" i="38"/>
  <c r="AY122" i="38"/>
  <c r="AY135" i="38"/>
  <c r="AY164" i="38"/>
  <c r="AY163" i="38"/>
  <c r="AY134" i="38"/>
  <c r="AY53" i="38"/>
  <c r="AY57" i="38"/>
  <c r="AY65" i="38"/>
  <c r="AY95" i="38"/>
  <c r="AY117" i="38"/>
  <c r="AY131" i="38"/>
  <c r="AY101" i="38"/>
  <c r="AY152" i="38"/>
  <c r="AY48" i="38"/>
  <c r="AY165" i="38"/>
  <c r="AY70" i="38"/>
  <c r="AY67" i="38"/>
  <c r="AY121" i="38"/>
  <c r="AY140" i="38"/>
  <c r="AY92" i="38"/>
  <c r="AY91" i="38"/>
  <c r="AY158" i="38"/>
  <c r="AY94" i="38"/>
  <c r="AY93" i="38"/>
  <c r="AY44" i="38"/>
  <c r="AY75" i="38"/>
  <c r="AY115" i="38"/>
  <c r="AY154" i="38"/>
  <c r="AY98" i="38"/>
  <c r="AY103" i="38"/>
  <c r="AY40" i="38"/>
  <c r="AY116" i="38"/>
  <c r="AY78" i="38"/>
  <c r="AY107" i="38"/>
  <c r="AY130" i="38"/>
  <c r="AY111" i="38"/>
  <c r="AY160" i="38"/>
  <c r="AY146" i="38"/>
  <c r="AY32" i="38"/>
  <c r="AY139" i="38"/>
  <c r="AY52" i="38"/>
  <c r="AY33" i="38"/>
  <c r="AY41" i="38"/>
  <c r="AY72" i="38"/>
  <c r="AY127" i="38"/>
  <c r="AY132" i="38"/>
  <c r="AY105" i="38"/>
  <c r="AY108" i="38"/>
  <c r="AY42" i="38"/>
  <c r="AY109" i="38"/>
  <c r="AY123" i="38"/>
  <c r="AY77" i="38"/>
  <c r="AY119" i="38"/>
  <c r="AY89" i="38"/>
  <c r="AY51" i="38"/>
  <c r="AY81" i="38"/>
  <c r="AY34" i="38"/>
  <c r="AY162" i="38"/>
  <c r="AY161" i="38"/>
  <c r="AY85" i="38"/>
  <c r="AY59" i="38"/>
  <c r="AY97" i="38"/>
  <c r="BD152" i="38"/>
  <c r="BA53" i="38"/>
  <c r="BA124" i="38"/>
  <c r="BA143" i="38"/>
  <c r="BA151" i="38"/>
  <c r="BA61" i="38"/>
  <c r="BA47" i="38"/>
  <c r="BA113" i="38"/>
  <c r="BA105" i="38"/>
  <c r="BA110" i="38"/>
  <c r="BA148" i="38"/>
  <c r="BA79" i="38"/>
  <c r="BA65" i="38"/>
  <c r="BA120" i="38"/>
  <c r="BA141" i="38"/>
  <c r="BA111" i="38"/>
  <c r="BD131" i="38"/>
  <c r="BD95" i="38"/>
  <c r="BD163" i="38"/>
  <c r="BD133" i="38"/>
  <c r="BD135" i="38"/>
  <c r="BD85" i="38"/>
  <c r="BD82" i="38"/>
  <c r="BD113" i="38"/>
  <c r="BD111" i="38"/>
  <c r="BD54" i="38"/>
  <c r="BD100" i="38"/>
  <c r="BD57" i="38"/>
  <c r="BD108" i="38"/>
  <c r="BD143" i="38"/>
  <c r="BD94" i="38"/>
  <c r="BD92" i="38"/>
  <c r="BD58" i="38"/>
  <c r="BD73" i="38"/>
  <c r="BD55" i="38"/>
  <c r="BD80" i="38"/>
  <c r="BD146" i="38"/>
  <c r="BD88" i="38"/>
  <c r="BD136" i="38"/>
  <c r="BD106" i="38"/>
  <c r="BD68" i="38"/>
  <c r="BD96" i="38"/>
  <c r="BD93" i="38"/>
  <c r="BD65" i="38"/>
  <c r="BA48" i="38"/>
  <c r="BA101" i="38"/>
  <c r="BA133" i="38"/>
  <c r="BA104" i="38"/>
  <c r="BA64" i="38"/>
  <c r="BA157" i="38"/>
  <c r="BA63" i="38"/>
  <c r="BA50" i="38"/>
  <c r="BA49" i="38"/>
  <c r="BA87" i="38"/>
  <c r="BA58" i="38"/>
  <c r="BA161" i="38"/>
  <c r="BA165" i="38"/>
  <c r="BA109" i="38"/>
  <c r="BA73" i="38"/>
  <c r="BC73" i="38" s="1"/>
  <c r="BD47" i="38"/>
  <c r="BD153" i="38"/>
  <c r="BD99" i="38"/>
  <c r="BD154" i="38"/>
  <c r="BD127" i="38"/>
  <c r="BD51" i="38"/>
  <c r="BD159" i="38"/>
  <c r="BD77" i="38"/>
  <c r="BD78" i="38"/>
  <c r="BD76" i="38"/>
  <c r="BD89" i="38"/>
  <c r="BD128" i="38"/>
  <c r="BD155" i="38"/>
  <c r="AX147" i="38"/>
  <c r="AZ147" i="38" s="1"/>
  <c r="BA129" i="38"/>
  <c r="BA86" i="38"/>
  <c r="BA138" i="38"/>
  <c r="BA91" i="38"/>
  <c r="BA144" i="38"/>
  <c r="BA57" i="38"/>
  <c r="BA95" i="38"/>
  <c r="BA134" i="38"/>
  <c r="BA76" i="38"/>
  <c r="BA107" i="38"/>
  <c r="BA117" i="38"/>
  <c r="BA72" i="38"/>
  <c r="BA164" i="38"/>
  <c r="BA80" i="38"/>
  <c r="BA140" i="38"/>
  <c r="BD104" i="38"/>
  <c r="BD70" i="38"/>
  <c r="BD125" i="38"/>
  <c r="BD72" i="38"/>
  <c r="BD60" i="38"/>
  <c r="BD97" i="38"/>
  <c r="BD53" i="38"/>
  <c r="BD114" i="38"/>
  <c r="BD59" i="38"/>
  <c r="BD158" i="38"/>
  <c r="BD90" i="38"/>
  <c r="BD141" i="38"/>
  <c r="BD49" i="38"/>
  <c r="BD112" i="38"/>
  <c r="BA103" i="38"/>
  <c r="BA139" i="38"/>
  <c r="BA112" i="38"/>
  <c r="BA94" i="38"/>
  <c r="BA75" i="38"/>
  <c r="BA68" i="38"/>
  <c r="BA66" i="38"/>
  <c r="BA108" i="38"/>
  <c r="BA99" i="38"/>
  <c r="BA97" i="38"/>
  <c r="BA90" i="38"/>
  <c r="BA158" i="38"/>
  <c r="BA125" i="38"/>
  <c r="BA93" i="38"/>
  <c r="BA89" i="38"/>
  <c r="BD107" i="38"/>
  <c r="BD149" i="38"/>
  <c r="BD124" i="38"/>
  <c r="BD120" i="38"/>
  <c r="BD66" i="38"/>
  <c r="BD50" i="38"/>
  <c r="BD48" i="38"/>
  <c r="BD61" i="38"/>
  <c r="BD81" i="38"/>
  <c r="BD74" i="38"/>
  <c r="BD105" i="38"/>
  <c r="BD164" i="38"/>
  <c r="BD161" i="38"/>
  <c r="BD162" i="38"/>
  <c r="BA77" i="38"/>
  <c r="BA62" i="38"/>
  <c r="BA106" i="38"/>
  <c r="BA102" i="38"/>
  <c r="BA54" i="38"/>
  <c r="BA85" i="38"/>
  <c r="BA136" i="38"/>
  <c r="BA153" i="38"/>
  <c r="BA147" i="38"/>
  <c r="BA96" i="38"/>
  <c r="BA160" i="38"/>
  <c r="BA92" i="38"/>
  <c r="BA118" i="38"/>
  <c r="BA163" i="38"/>
  <c r="BA130" i="38"/>
  <c r="BD110" i="38"/>
  <c r="BD165" i="38"/>
  <c r="BD129" i="38"/>
  <c r="BD101" i="38"/>
  <c r="BD134" i="38"/>
  <c r="BD86" i="38"/>
  <c r="BD151" i="38"/>
  <c r="BD156" i="38"/>
  <c r="BD103" i="38"/>
  <c r="BD52" i="38"/>
  <c r="BD121" i="38"/>
  <c r="BD132" i="38"/>
  <c r="BD123" i="38"/>
  <c r="BD160" i="38"/>
  <c r="BA146" i="38"/>
  <c r="BA71" i="38"/>
  <c r="BA115" i="38"/>
  <c r="BA60" i="38"/>
  <c r="BA88" i="38"/>
  <c r="BA59" i="38"/>
  <c r="BA142" i="38"/>
  <c r="BA119" i="38"/>
  <c r="BA156" i="38"/>
  <c r="BA150" i="38"/>
  <c r="BA98" i="38"/>
  <c r="BA152" i="38"/>
  <c r="BA69" i="38"/>
  <c r="BA154" i="38"/>
  <c r="BA131" i="38"/>
  <c r="BD115" i="38"/>
  <c r="BD139" i="38"/>
  <c r="BD84" i="38"/>
  <c r="BD98" i="38"/>
  <c r="BD122" i="38"/>
  <c r="BD157" i="38"/>
  <c r="BD62" i="38"/>
  <c r="BD145" i="38"/>
  <c r="BD109" i="38"/>
  <c r="BD150" i="38"/>
  <c r="BD117" i="38"/>
  <c r="BD148" i="38"/>
  <c r="BD142" i="38"/>
  <c r="BD144" i="38"/>
  <c r="BA100" i="38"/>
  <c r="BA78" i="38"/>
  <c r="BA126" i="38"/>
  <c r="BA74" i="38"/>
  <c r="BA116" i="38"/>
  <c r="BA70" i="38"/>
  <c r="BA127" i="38"/>
  <c r="BA67" i="38"/>
  <c r="BA135" i="38"/>
  <c r="BA122" i="38"/>
  <c r="BA81" i="38"/>
  <c r="BA121" i="38"/>
  <c r="BA114" i="38"/>
  <c r="BA149" i="38"/>
  <c r="BD126" i="38"/>
  <c r="BD56" i="38"/>
  <c r="BD137" i="38"/>
  <c r="BD64" i="38"/>
  <c r="BD119" i="38"/>
  <c r="BD130" i="38"/>
  <c r="BD118" i="38"/>
  <c r="BD116" i="38"/>
  <c r="BD102" i="38"/>
  <c r="BD140" i="38"/>
  <c r="BD69" i="38"/>
  <c r="BD147" i="38"/>
  <c r="BD138" i="38"/>
  <c r="BA82" i="38"/>
  <c r="BA51" i="38"/>
  <c r="BA162" i="38"/>
  <c r="BA83" i="38"/>
  <c r="BA84" i="38"/>
  <c r="BA56" i="38"/>
  <c r="BA52" i="38"/>
  <c r="BA145" i="38"/>
  <c r="BA132" i="38"/>
  <c r="BA123" i="38"/>
  <c r="BA137" i="38"/>
  <c r="BA128" i="38"/>
  <c r="BA155" i="38"/>
  <c r="BA55" i="38"/>
  <c r="BA159" i="38"/>
  <c r="L57" i="4"/>
  <c r="M57" i="4"/>
  <c r="F258" i="22"/>
  <c r="B50" i="4"/>
  <c r="C188" i="22"/>
  <c r="C23" i="26" s="1"/>
  <c r="C19" i="26" s="1"/>
  <c r="B19" i="26" s="1"/>
  <c r="M78" i="13"/>
  <c r="E42" i="13"/>
  <c r="G42" i="13" s="1"/>
  <c r="C93" i="26" s="1"/>
  <c r="M76" i="13"/>
  <c r="N85" i="13"/>
  <c r="F22" i="13"/>
  <c r="N91" i="13"/>
  <c r="E19" i="13"/>
  <c r="G19" i="13" s="1"/>
  <c r="N86" i="13"/>
  <c r="N84" i="13"/>
  <c r="N87" i="13"/>
  <c r="N79" i="13"/>
  <c r="N74" i="13"/>
  <c r="N82" i="13"/>
  <c r="M83" i="13"/>
  <c r="M74" i="13"/>
  <c r="N88" i="13"/>
  <c r="N77" i="13"/>
  <c r="M89" i="13"/>
  <c r="F43" i="13"/>
  <c r="E44" i="13"/>
  <c r="G44" i="13" s="1"/>
  <c r="C95" i="26" s="1"/>
  <c r="N73" i="13"/>
  <c r="E23" i="13"/>
  <c r="G23" i="13" s="1"/>
  <c r="E20" i="13"/>
  <c r="N80" i="13"/>
  <c r="F24" i="13"/>
  <c r="N81" i="13"/>
  <c r="M75" i="13"/>
  <c r="N83" i="13"/>
  <c r="N90" i="13"/>
  <c r="G258" i="22"/>
  <c r="M82" i="13"/>
  <c r="E45" i="13"/>
  <c r="G45" i="13" s="1"/>
  <c r="C96" i="26" s="1"/>
  <c r="N89" i="13"/>
  <c r="M86" i="13"/>
  <c r="E258" i="22"/>
  <c r="D258" i="22"/>
  <c r="M73" i="13"/>
  <c r="E18" i="13"/>
  <c r="G18" i="13" s="1"/>
  <c r="F18" i="13"/>
  <c r="H18" i="13" s="1"/>
  <c r="M72" i="13"/>
  <c r="N72" i="13"/>
  <c r="B25" i="2"/>
  <c r="AF7" i="38" s="1"/>
  <c r="B333" i="22"/>
  <c r="C326" i="22" s="1"/>
  <c r="H56" i="4"/>
  <c r="C11" i="26"/>
  <c r="B11" i="26" s="1"/>
  <c r="C205" i="22"/>
  <c r="C207" i="22" s="1"/>
  <c r="H42" i="13"/>
  <c r="D93" i="26" s="1"/>
  <c r="H23" i="13"/>
  <c r="H19" i="13"/>
  <c r="AV28" i="38" l="1"/>
  <c r="AF22" i="38"/>
  <c r="AF9" i="38"/>
  <c r="AF23" i="38"/>
  <c r="AF12" i="38"/>
  <c r="AF87" i="38" s="1" a="1"/>
  <c r="AF87" i="38" s="1"/>
  <c r="AF24" i="38"/>
  <c r="AF15" i="38"/>
  <c r="AF79" i="38" s="1" a="1"/>
  <c r="AF79" i="38" s="1"/>
  <c r="AF10" i="38"/>
  <c r="AF75" i="38" s="1" a="1"/>
  <c r="AF75" i="38" s="1"/>
  <c r="AF21" i="38"/>
  <c r="AF11" i="38"/>
  <c r="AF83" i="38" s="1" a="1"/>
  <c r="AF83" i="38" s="1"/>
  <c r="AF19" i="38"/>
  <c r="AF13" i="38"/>
  <c r="AF71" i="38" s="1" a="1"/>
  <c r="AF71" i="38" s="1"/>
  <c r="AF20" i="38"/>
  <c r="AF16" i="38"/>
  <c r="AF91" i="38" s="1" a="1"/>
  <c r="AF91" i="38" s="1"/>
  <c r="AF17" i="38"/>
  <c r="AF18" i="38"/>
  <c r="AF14" i="38"/>
  <c r="AF67" i="38" s="1" a="1"/>
  <c r="AF67" i="38" s="1"/>
  <c r="BE116" i="38"/>
  <c r="BF116" i="38"/>
  <c r="BE148" i="38"/>
  <c r="BF148" i="38"/>
  <c r="BE103" i="38"/>
  <c r="BF103" i="38"/>
  <c r="BE50" i="38"/>
  <c r="BF50" i="38"/>
  <c r="BE125" i="38"/>
  <c r="BF125" i="38"/>
  <c r="BE118" i="38"/>
  <c r="BF118" i="38"/>
  <c r="BE117" i="38"/>
  <c r="BF117" i="38"/>
  <c r="BE84" i="38"/>
  <c r="BF84" i="38"/>
  <c r="BE156" i="38"/>
  <c r="BF156" i="38"/>
  <c r="BE161" i="38"/>
  <c r="BF161" i="38"/>
  <c r="BE66" i="38"/>
  <c r="BF66" i="38"/>
  <c r="BE158" i="38"/>
  <c r="BF158" i="38"/>
  <c r="BE70" i="38"/>
  <c r="BF70" i="38"/>
  <c r="BE77" i="38"/>
  <c r="BF77" i="38"/>
  <c r="BE93" i="38"/>
  <c r="BF93" i="38"/>
  <c r="BE55" i="38"/>
  <c r="BF55" i="38"/>
  <c r="BE100" i="38"/>
  <c r="BF100" i="38"/>
  <c r="BE163" i="38"/>
  <c r="BF163" i="38"/>
  <c r="BE139" i="38"/>
  <c r="BF139" i="38"/>
  <c r="BE120" i="38"/>
  <c r="BF120" i="38"/>
  <c r="BE104" i="38"/>
  <c r="BF104" i="38"/>
  <c r="BE73" i="38"/>
  <c r="BF73" i="38"/>
  <c r="BE160" i="38"/>
  <c r="BF160" i="38"/>
  <c r="BE86" i="38"/>
  <c r="BF86" i="38"/>
  <c r="BE105" i="38"/>
  <c r="BF105" i="38"/>
  <c r="BE124" i="38"/>
  <c r="BF124" i="38"/>
  <c r="BE114" i="38"/>
  <c r="BF114" i="38"/>
  <c r="BE51" i="38"/>
  <c r="BF51" i="38"/>
  <c r="BE68" i="38"/>
  <c r="BF68" i="38"/>
  <c r="BE58" i="38"/>
  <c r="BF58" i="38"/>
  <c r="BE111" i="38"/>
  <c r="BF111" i="38"/>
  <c r="BE131" i="38"/>
  <c r="BF131" i="38"/>
  <c r="BE152" i="38"/>
  <c r="BF152" i="38"/>
  <c r="BE151" i="38"/>
  <c r="BF151" i="38"/>
  <c r="BE119" i="38"/>
  <c r="BF119" i="38"/>
  <c r="BE145" i="38"/>
  <c r="BF145" i="38"/>
  <c r="BE123" i="38"/>
  <c r="BF123" i="38"/>
  <c r="BE134" i="38"/>
  <c r="BF134" i="38"/>
  <c r="BE74" i="38"/>
  <c r="BF74" i="38"/>
  <c r="BE149" i="38"/>
  <c r="BF149" i="38"/>
  <c r="BE53" i="38"/>
  <c r="BF53" i="38"/>
  <c r="BE155" i="38"/>
  <c r="BF155" i="38"/>
  <c r="BE127" i="38"/>
  <c r="BF127" i="38"/>
  <c r="BE106" i="38"/>
  <c r="BF106" i="38"/>
  <c r="BE92" i="38"/>
  <c r="BF92" i="38"/>
  <c r="BE113" i="38"/>
  <c r="BF113" i="38"/>
  <c r="BE150" i="38"/>
  <c r="BF150" i="38"/>
  <c r="BE59" i="38"/>
  <c r="BF59" i="38"/>
  <c r="BE95" i="38"/>
  <c r="BF95" i="38"/>
  <c r="BE138" i="38"/>
  <c r="BF138" i="38"/>
  <c r="BE69" i="38"/>
  <c r="BF69" i="38"/>
  <c r="BE137" i="38"/>
  <c r="BF137" i="38"/>
  <c r="BE62" i="38"/>
  <c r="BF62" i="38"/>
  <c r="BE132" i="38"/>
  <c r="BF132" i="38"/>
  <c r="BE101" i="38"/>
  <c r="BF101" i="38"/>
  <c r="BE81" i="38"/>
  <c r="BF81" i="38"/>
  <c r="BE107" i="38"/>
  <c r="BF107" i="38"/>
  <c r="BE112" i="38"/>
  <c r="BF112" i="38"/>
  <c r="BE97" i="38"/>
  <c r="BF97" i="38"/>
  <c r="BE128" i="38"/>
  <c r="BF128" i="38"/>
  <c r="BE154" i="38"/>
  <c r="BF154" i="38"/>
  <c r="BE136" i="38"/>
  <c r="BF136" i="38"/>
  <c r="BE94" i="38"/>
  <c r="BF94" i="38"/>
  <c r="BE82" i="38"/>
  <c r="BF82" i="38"/>
  <c r="BE164" i="38"/>
  <c r="BF164" i="38"/>
  <c r="BE96" i="38"/>
  <c r="BF96" i="38"/>
  <c r="BE115" i="38"/>
  <c r="BF115" i="38"/>
  <c r="BE147" i="38"/>
  <c r="BF147" i="38"/>
  <c r="BE140" i="38"/>
  <c r="BF140" i="38"/>
  <c r="BE56" i="38"/>
  <c r="BF56" i="38"/>
  <c r="BE144" i="38"/>
  <c r="BF144" i="38"/>
  <c r="BE157" i="38"/>
  <c r="BF157" i="38"/>
  <c r="BE121" i="38"/>
  <c r="BF121" i="38"/>
  <c r="BE129" i="38"/>
  <c r="BF129" i="38"/>
  <c r="BE61" i="38"/>
  <c r="BF61" i="38"/>
  <c r="BE49" i="38"/>
  <c r="BF49" i="38"/>
  <c r="BE60" i="38"/>
  <c r="BF60" i="38"/>
  <c r="BE89" i="38"/>
  <c r="BF89" i="38"/>
  <c r="BE99" i="38"/>
  <c r="BF99" i="38"/>
  <c r="BE88" i="38"/>
  <c r="BF88" i="38"/>
  <c r="BE143" i="38"/>
  <c r="BF143" i="38"/>
  <c r="BE85" i="38"/>
  <c r="BF85" i="38"/>
  <c r="BE159" i="38"/>
  <c r="BF159" i="38"/>
  <c r="BE54" i="38"/>
  <c r="BF54" i="38"/>
  <c r="BE109" i="38"/>
  <c r="BF109" i="38"/>
  <c r="BE64" i="38"/>
  <c r="BF64" i="38"/>
  <c r="BE102" i="38"/>
  <c r="BF102" i="38"/>
  <c r="BE126" i="38"/>
  <c r="BF126" i="38"/>
  <c r="BE142" i="38"/>
  <c r="BF142" i="38"/>
  <c r="BE122" i="38"/>
  <c r="BF122" i="38"/>
  <c r="BE52" i="38"/>
  <c r="BF52" i="38"/>
  <c r="BE165" i="38"/>
  <c r="BF165" i="38"/>
  <c r="BE48" i="38"/>
  <c r="BF48" i="38"/>
  <c r="BE141" i="38"/>
  <c r="BF141" i="38"/>
  <c r="BE72" i="38"/>
  <c r="BF72" i="38"/>
  <c r="BE76" i="38"/>
  <c r="BF76" i="38"/>
  <c r="BE153" i="38"/>
  <c r="BF153" i="38"/>
  <c r="BE146" i="38"/>
  <c r="BF146" i="38"/>
  <c r="BE108" i="38"/>
  <c r="BF108" i="38"/>
  <c r="BE135" i="38"/>
  <c r="BF135" i="38"/>
  <c r="BE130" i="38"/>
  <c r="BF130" i="38"/>
  <c r="BE98" i="38"/>
  <c r="BF98" i="38"/>
  <c r="BE110" i="38"/>
  <c r="BF110" i="38"/>
  <c r="BE162" i="38"/>
  <c r="BF162" i="38"/>
  <c r="BE90" i="38"/>
  <c r="BF90" i="38"/>
  <c r="BE78" i="38"/>
  <c r="BF78" i="38"/>
  <c r="BE47" i="38"/>
  <c r="BF47" i="38"/>
  <c r="BE65" i="38"/>
  <c r="BF65" i="38"/>
  <c r="BE80" i="38"/>
  <c r="BF80" i="38"/>
  <c r="BE57" i="38"/>
  <c r="BF57" i="38"/>
  <c r="BE133" i="38"/>
  <c r="BF133" i="38"/>
  <c r="BB122" i="38"/>
  <c r="BC122" i="38"/>
  <c r="BB102" i="38"/>
  <c r="BC102" i="38"/>
  <c r="BB99" i="38"/>
  <c r="BC99" i="38"/>
  <c r="BB104" i="38"/>
  <c r="BC104" i="38"/>
  <c r="BB113" i="38"/>
  <c r="BC113" i="38"/>
  <c r="BB56" i="38"/>
  <c r="BC56" i="38"/>
  <c r="BB135" i="38"/>
  <c r="BC135" i="38"/>
  <c r="BB154" i="38"/>
  <c r="BC154" i="38"/>
  <c r="BB116" i="38"/>
  <c r="BC116" i="38"/>
  <c r="BB136" i="38"/>
  <c r="BC136" i="38"/>
  <c r="BB94" i="38"/>
  <c r="BC94" i="38"/>
  <c r="BB129" i="38"/>
  <c r="BC129" i="38"/>
  <c r="BB148" i="38"/>
  <c r="BC148" i="38"/>
  <c r="BB132" i="38"/>
  <c r="BC132" i="38"/>
  <c r="BB82" i="38"/>
  <c r="BC82" i="38"/>
  <c r="BB121" i="38"/>
  <c r="BC121" i="38"/>
  <c r="BB74" i="38"/>
  <c r="BC74" i="38"/>
  <c r="BB156" i="38"/>
  <c r="BC156" i="38"/>
  <c r="BB146" i="38"/>
  <c r="BC146" i="38"/>
  <c r="BB163" i="38"/>
  <c r="BC163" i="38"/>
  <c r="BB85" i="38"/>
  <c r="BC85" i="38"/>
  <c r="BB90" i="38"/>
  <c r="BK90" i="38" s="1"/>
  <c r="BN90" i="38" s="1"/>
  <c r="BC90" i="38"/>
  <c r="BB112" i="38"/>
  <c r="BC112" i="38"/>
  <c r="BB134" i="38"/>
  <c r="BC134" i="38"/>
  <c r="BB109" i="38"/>
  <c r="BC109" i="38"/>
  <c r="BB157" i="38"/>
  <c r="BC157" i="38"/>
  <c r="BB110" i="38"/>
  <c r="BC110" i="38"/>
  <c r="BB53" i="38"/>
  <c r="BC53" i="38"/>
  <c r="BB131" i="38"/>
  <c r="BC131" i="38"/>
  <c r="BB123" i="38"/>
  <c r="BC123" i="38"/>
  <c r="BB51" i="38"/>
  <c r="BC51" i="38"/>
  <c r="BB114" i="38"/>
  <c r="BC114" i="38"/>
  <c r="BB150" i="38"/>
  <c r="BC150" i="38"/>
  <c r="BB71" i="38"/>
  <c r="BC71" i="38"/>
  <c r="BB130" i="38"/>
  <c r="BC130" i="38"/>
  <c r="BB158" i="38"/>
  <c r="BC158" i="38"/>
  <c r="BB76" i="38"/>
  <c r="BC76" i="38"/>
  <c r="BB63" i="38"/>
  <c r="BC63" i="38"/>
  <c r="BB124" i="38"/>
  <c r="BC124" i="38"/>
  <c r="BB145" i="38"/>
  <c r="BC145" i="38"/>
  <c r="BB81" i="38"/>
  <c r="BC81" i="38"/>
  <c r="BB126" i="38"/>
  <c r="BC126" i="38"/>
  <c r="BB119" i="38"/>
  <c r="BC119" i="38"/>
  <c r="BB118" i="38"/>
  <c r="BC118" i="38"/>
  <c r="BB54" i="38"/>
  <c r="BC54" i="38"/>
  <c r="BB97" i="38"/>
  <c r="BC97" i="38"/>
  <c r="BB139" i="38"/>
  <c r="BC139" i="38"/>
  <c r="BB140" i="38"/>
  <c r="BC140" i="38"/>
  <c r="BB95" i="38"/>
  <c r="BC95" i="38"/>
  <c r="BB165" i="38"/>
  <c r="BC165" i="38"/>
  <c r="BB64" i="38"/>
  <c r="BC64" i="38"/>
  <c r="BB105" i="38"/>
  <c r="BC105" i="38"/>
  <c r="BB159" i="38"/>
  <c r="BC159" i="38"/>
  <c r="BB160" i="38"/>
  <c r="BC160" i="38"/>
  <c r="BB106" i="38"/>
  <c r="BC106" i="38"/>
  <c r="BB58" i="38"/>
  <c r="BC58" i="38"/>
  <c r="BB155" i="38"/>
  <c r="BK155" i="38" s="1"/>
  <c r="BN155" i="38" s="1"/>
  <c r="BC155" i="38"/>
  <c r="BB84" i="38"/>
  <c r="BC84" i="38"/>
  <c r="BB67" i="38"/>
  <c r="BC67" i="38"/>
  <c r="BB69" i="38"/>
  <c r="BC69" i="38"/>
  <c r="BB88" i="38"/>
  <c r="BC88" i="38"/>
  <c r="BB96" i="38"/>
  <c r="BC96" i="38"/>
  <c r="BB62" i="38"/>
  <c r="BC62" i="38"/>
  <c r="BB89" i="38"/>
  <c r="BC89" i="38"/>
  <c r="BB66" i="38"/>
  <c r="BC66" i="38"/>
  <c r="BB72" i="38"/>
  <c r="BC72" i="38"/>
  <c r="BB91" i="38"/>
  <c r="BC91" i="38"/>
  <c r="BB87" i="38"/>
  <c r="BC87" i="38"/>
  <c r="BB101" i="38"/>
  <c r="BC101" i="38"/>
  <c r="BB120" i="38"/>
  <c r="BC120" i="38"/>
  <c r="BB61" i="38"/>
  <c r="BC61" i="38"/>
  <c r="BB52" i="38"/>
  <c r="BC52" i="38"/>
  <c r="BB78" i="38"/>
  <c r="BC78" i="38"/>
  <c r="BB142" i="38"/>
  <c r="BC142" i="38"/>
  <c r="BB92" i="38"/>
  <c r="BC92" i="38"/>
  <c r="BB103" i="38"/>
  <c r="BC103" i="38"/>
  <c r="BB55" i="38"/>
  <c r="BC55" i="38"/>
  <c r="BB108" i="38"/>
  <c r="BC108" i="38"/>
  <c r="BB164" i="38"/>
  <c r="BC164" i="38"/>
  <c r="BB144" i="38"/>
  <c r="BC144" i="38"/>
  <c r="BB141" i="38"/>
  <c r="BK141" i="38" s="1"/>
  <c r="BN141" i="38" s="1"/>
  <c r="BC141" i="38"/>
  <c r="BB128" i="38"/>
  <c r="BC128" i="38"/>
  <c r="BB127" i="38"/>
  <c r="BC127" i="38"/>
  <c r="BB152" i="38"/>
  <c r="BC152" i="38"/>
  <c r="BB60" i="38"/>
  <c r="BC60" i="38"/>
  <c r="BB147" i="38"/>
  <c r="BC147" i="38"/>
  <c r="BB77" i="38"/>
  <c r="BC77" i="38"/>
  <c r="BB93" i="38"/>
  <c r="BC93" i="38"/>
  <c r="BB68" i="38"/>
  <c r="BC68" i="38"/>
  <c r="BB117" i="38"/>
  <c r="BC117" i="38"/>
  <c r="BB138" i="38"/>
  <c r="BC138" i="38"/>
  <c r="BB49" i="38"/>
  <c r="BC49" i="38"/>
  <c r="BB48" i="38"/>
  <c r="BC48" i="38"/>
  <c r="BB65" i="38"/>
  <c r="BC65" i="38"/>
  <c r="BB151" i="38"/>
  <c r="BC151" i="38"/>
  <c r="BB80" i="38"/>
  <c r="BK80" i="38" s="1"/>
  <c r="BN80" i="38" s="1"/>
  <c r="BC80" i="38"/>
  <c r="BB57" i="38"/>
  <c r="BC57" i="38"/>
  <c r="BB161" i="38"/>
  <c r="BC161" i="38"/>
  <c r="BB111" i="38"/>
  <c r="BC111" i="38"/>
  <c r="BB100" i="38"/>
  <c r="BC100" i="38"/>
  <c r="BB59" i="38"/>
  <c r="BC59" i="38"/>
  <c r="BB133" i="38"/>
  <c r="BC133" i="38"/>
  <c r="BB47" i="38"/>
  <c r="BC47" i="38"/>
  <c r="BB83" i="38"/>
  <c r="BC83" i="38"/>
  <c r="BB137" i="38"/>
  <c r="BC137" i="38"/>
  <c r="BB162" i="38"/>
  <c r="BC162" i="38"/>
  <c r="BB149" i="38"/>
  <c r="BC149" i="38"/>
  <c r="BB70" i="38"/>
  <c r="BC70" i="38"/>
  <c r="BB98" i="38"/>
  <c r="BC98" i="38"/>
  <c r="BB115" i="38"/>
  <c r="BC115" i="38"/>
  <c r="BB153" i="38"/>
  <c r="BC153" i="38"/>
  <c r="BB125" i="38"/>
  <c r="BC125" i="38"/>
  <c r="BB75" i="38"/>
  <c r="BC75" i="38"/>
  <c r="BB107" i="38"/>
  <c r="BK107" i="38" s="1"/>
  <c r="BN107" i="38" s="1"/>
  <c r="BC107" i="38"/>
  <c r="BB86" i="38"/>
  <c r="BC86" i="38"/>
  <c r="BB50" i="38"/>
  <c r="BC50" i="38"/>
  <c r="BB79" i="38"/>
  <c r="BC79" i="38"/>
  <c r="BB143" i="38"/>
  <c r="BC143" i="38"/>
  <c r="BJ152" i="38"/>
  <c r="BJ51" i="38"/>
  <c r="BJ105" i="38"/>
  <c r="BJ154" i="38"/>
  <c r="BJ84" i="38"/>
  <c r="BJ161" i="38"/>
  <c r="BJ128" i="38"/>
  <c r="BJ116" i="38"/>
  <c r="BJ60" i="38"/>
  <c r="BJ123" i="38"/>
  <c r="BJ129" i="38"/>
  <c r="BJ147" i="38"/>
  <c r="BJ72" i="38"/>
  <c r="BJ144" i="38"/>
  <c r="BJ111" i="38"/>
  <c r="BJ80" i="38"/>
  <c r="BJ66" i="38"/>
  <c r="BJ95" i="38"/>
  <c r="BJ134" i="38"/>
  <c r="BJ122" i="38"/>
  <c r="BJ99" i="38"/>
  <c r="BJ143" i="38"/>
  <c r="BJ68" i="38"/>
  <c r="BJ114" i="38"/>
  <c r="BJ106" i="38"/>
  <c r="BJ125" i="38"/>
  <c r="BJ82" i="38"/>
  <c r="BJ96" i="38"/>
  <c r="BJ97" i="38"/>
  <c r="BJ162" i="38"/>
  <c r="BJ89" i="38"/>
  <c r="BJ109" i="38"/>
  <c r="BJ132" i="38"/>
  <c r="BJ130" i="38"/>
  <c r="BJ115" i="38"/>
  <c r="BJ93" i="38"/>
  <c r="BJ92" i="38"/>
  <c r="BJ70" i="38"/>
  <c r="BJ101" i="38"/>
  <c r="BJ159" i="38"/>
  <c r="BJ133" i="38"/>
  <c r="BJ157" i="38"/>
  <c r="BJ124" i="38"/>
  <c r="BJ150" i="38"/>
  <c r="BJ55" i="38"/>
  <c r="BJ149" i="38"/>
  <c r="BJ126" i="38"/>
  <c r="BJ65" i="38"/>
  <c r="BJ163" i="38"/>
  <c r="BJ56" i="38"/>
  <c r="BJ54" i="38"/>
  <c r="BJ100" i="38"/>
  <c r="BJ112" i="38"/>
  <c r="BJ50" i="38"/>
  <c r="BJ59" i="38"/>
  <c r="BJ119" i="38"/>
  <c r="BJ127" i="38"/>
  <c r="BJ146" i="38"/>
  <c r="BJ107" i="38"/>
  <c r="BJ103" i="38"/>
  <c r="BJ94" i="38"/>
  <c r="BJ140" i="38"/>
  <c r="BJ165" i="38"/>
  <c r="BJ131" i="38"/>
  <c r="BJ120" i="38"/>
  <c r="BJ136" i="38"/>
  <c r="BJ148" i="38"/>
  <c r="BJ86" i="38"/>
  <c r="BJ113" i="38"/>
  <c r="BJ49" i="38"/>
  <c r="BJ88" i="38"/>
  <c r="BJ118" i="38"/>
  <c r="BJ64" i="38"/>
  <c r="BJ139" i="38"/>
  <c r="BJ57" i="38"/>
  <c r="BJ164" i="38"/>
  <c r="BJ156" i="38"/>
  <c r="BJ69" i="38"/>
  <c r="BJ90" i="38"/>
  <c r="BJ110" i="38"/>
  <c r="BJ47" i="38"/>
  <c r="BJ141" i="38"/>
  <c r="BJ85" i="38"/>
  <c r="BJ81" i="38"/>
  <c r="BJ77" i="38"/>
  <c r="BJ108" i="38"/>
  <c r="BJ74" i="38"/>
  <c r="BJ52" i="38"/>
  <c r="BJ160" i="38"/>
  <c r="BJ78" i="38"/>
  <c r="BJ98" i="38"/>
  <c r="BJ158" i="38"/>
  <c r="BJ121" i="38"/>
  <c r="BJ48" i="38"/>
  <c r="BJ138" i="38"/>
  <c r="BJ155" i="38"/>
  <c r="BJ61" i="38"/>
  <c r="BJ151" i="38"/>
  <c r="BJ76" i="38"/>
  <c r="BJ137" i="38"/>
  <c r="BJ102" i="38"/>
  <c r="BB73" i="38"/>
  <c r="BJ73" i="38"/>
  <c r="BJ62" i="38"/>
  <c r="BJ117" i="38"/>
  <c r="BJ53" i="38"/>
  <c r="BJ135" i="38"/>
  <c r="BJ153" i="38"/>
  <c r="BJ142" i="38"/>
  <c r="BJ104" i="38"/>
  <c r="BJ145" i="38"/>
  <c r="BJ58" i="38"/>
  <c r="AY147" i="38"/>
  <c r="D49" i="4"/>
  <c r="H49" i="4" s="1"/>
  <c r="D25" i="2"/>
  <c r="C27" i="26"/>
  <c r="E25" i="2"/>
  <c r="E49" i="4" s="1"/>
  <c r="B335" i="22"/>
  <c r="C329" i="22" s="1"/>
  <c r="B20" i="36"/>
  <c r="F25" i="2"/>
  <c r="F49" i="4" s="1"/>
  <c r="B62" i="13"/>
  <c r="L87" i="13" s="1"/>
  <c r="D69" i="26" s="1"/>
  <c r="B49" i="24"/>
  <c r="C204" i="22"/>
  <c r="C206" i="22" s="1"/>
  <c r="C209" i="22" s="1"/>
  <c r="BK81" i="38" l="1"/>
  <c r="BN81" i="38" s="1"/>
  <c r="BK56" i="38"/>
  <c r="BN56" i="38" s="1"/>
  <c r="BK146" i="38"/>
  <c r="BN146" i="38" s="1"/>
  <c r="BK57" i="38"/>
  <c r="BN57" i="38" s="1"/>
  <c r="BK143" i="38"/>
  <c r="BN143" i="38" s="1"/>
  <c r="BK77" i="38"/>
  <c r="BN77" i="38" s="1"/>
  <c r="BK144" i="38"/>
  <c r="BN144" i="38" s="1"/>
  <c r="BK78" i="38"/>
  <c r="BN78" i="38" s="1"/>
  <c r="BK54" i="38"/>
  <c r="BN54" i="38" s="1"/>
  <c r="BK138" i="38"/>
  <c r="BN138" i="38" s="1"/>
  <c r="BK69" i="38"/>
  <c r="BN69" i="38" s="1"/>
  <c r="BK156" i="38"/>
  <c r="BN156" i="38" s="1"/>
  <c r="BK125" i="38"/>
  <c r="BN125" i="38" s="1"/>
  <c r="BK152" i="38"/>
  <c r="BN152" i="38" s="1"/>
  <c r="BK93" i="38"/>
  <c r="BN93" i="38" s="1"/>
  <c r="BK98" i="38"/>
  <c r="BN98" i="38" s="1"/>
  <c r="BK142" i="38"/>
  <c r="BN142" i="38" s="1"/>
  <c r="BK124" i="38"/>
  <c r="BN124" i="38" s="1"/>
  <c r="BK137" i="38"/>
  <c r="BN137" i="38" s="1"/>
  <c r="BK161" i="38"/>
  <c r="BN161" i="38" s="1"/>
  <c r="BK55" i="38"/>
  <c r="BN55" i="38" s="1"/>
  <c r="BK136" i="38"/>
  <c r="BN136" i="38" s="1"/>
  <c r="BK73" i="38"/>
  <c r="BN73" i="38" s="1"/>
  <c r="BK103" i="38"/>
  <c r="BN103" i="38" s="1"/>
  <c r="BK88" i="38"/>
  <c r="BN88" i="38" s="1"/>
  <c r="BK151" i="38"/>
  <c r="BN151" i="38" s="1"/>
  <c r="BK114" i="38"/>
  <c r="BN114" i="38" s="1"/>
  <c r="BK70" i="38"/>
  <c r="BN70" i="38" s="1"/>
  <c r="BK59" i="38"/>
  <c r="BN59" i="38" s="1"/>
  <c r="BK100" i="38"/>
  <c r="BN100" i="38" s="1"/>
  <c r="BK64" i="38"/>
  <c r="BN64" i="38" s="1"/>
  <c r="BK76" i="38"/>
  <c r="BN76" i="38" s="1"/>
  <c r="BK123" i="38"/>
  <c r="BN123" i="38" s="1"/>
  <c r="BK112" i="38"/>
  <c r="BN112" i="38" s="1"/>
  <c r="BK131" i="38"/>
  <c r="BN131" i="38" s="1"/>
  <c r="BK96" i="38"/>
  <c r="BN96" i="38" s="1"/>
  <c r="BK132" i="38"/>
  <c r="BN132" i="38" s="1"/>
  <c r="BK52" i="38"/>
  <c r="BN52" i="38" s="1"/>
  <c r="BK48" i="38"/>
  <c r="BN48" i="38" s="1"/>
  <c r="BK68" i="38"/>
  <c r="BN68" i="38" s="1"/>
  <c r="BK60" i="38"/>
  <c r="BN60" i="38" s="1"/>
  <c r="BK95" i="38"/>
  <c r="BN95" i="38" s="1"/>
  <c r="BK153" i="38"/>
  <c r="BN153" i="38" s="1"/>
  <c r="BK85" i="38"/>
  <c r="BN85" i="38" s="1"/>
  <c r="BK148" i="38"/>
  <c r="BN148" i="38" s="1"/>
  <c r="BK113" i="38"/>
  <c r="BN113" i="38" s="1"/>
  <c r="BK122" i="38"/>
  <c r="BN122" i="38" s="1"/>
  <c r="BK164" i="38"/>
  <c r="BN164" i="38" s="1"/>
  <c r="BK92" i="38"/>
  <c r="BN92" i="38" s="1"/>
  <c r="BK62" i="38"/>
  <c r="BN62" i="38" s="1"/>
  <c r="BK89" i="38"/>
  <c r="BN89" i="38" s="1"/>
  <c r="BK58" i="38"/>
  <c r="BN58" i="38" s="1"/>
  <c r="BK105" i="38"/>
  <c r="BN105" i="38" s="1"/>
  <c r="BK118" i="38"/>
  <c r="BN118" i="38" s="1"/>
  <c r="BK109" i="38"/>
  <c r="BN109" i="38" s="1"/>
  <c r="BK116" i="38"/>
  <c r="BN116" i="38" s="1"/>
  <c r="BK72" i="38"/>
  <c r="BN72" i="38" s="1"/>
  <c r="BK133" i="38"/>
  <c r="BN133" i="38" s="1"/>
  <c r="BK121" i="38"/>
  <c r="BN121" i="38" s="1"/>
  <c r="BK130" i="38"/>
  <c r="BN130" i="38" s="1"/>
  <c r="BK102" i="38"/>
  <c r="BN102" i="38" s="1"/>
  <c r="BK108" i="38"/>
  <c r="BN108" i="38" s="1"/>
  <c r="BK115" i="38"/>
  <c r="BN115" i="38" s="1"/>
  <c r="BK97" i="38"/>
  <c r="BN97" i="38" s="1"/>
  <c r="BK160" i="38"/>
  <c r="BN160" i="38" s="1"/>
  <c r="BK117" i="38"/>
  <c r="BN117" i="38" s="1"/>
  <c r="BK101" i="38"/>
  <c r="BN101" i="38" s="1"/>
  <c r="BK66" i="38"/>
  <c r="BN66" i="38" s="1"/>
  <c r="BK159" i="38"/>
  <c r="BN159" i="38" s="1"/>
  <c r="BK150" i="38"/>
  <c r="BN150" i="38" s="1"/>
  <c r="BK74" i="38"/>
  <c r="BN74" i="38" s="1"/>
  <c r="BK47" i="38"/>
  <c r="BN47" i="38" s="1"/>
  <c r="BK111" i="38"/>
  <c r="BN111" i="38" s="1"/>
  <c r="BK127" i="38"/>
  <c r="BN127" i="38" s="1"/>
  <c r="BK61" i="38"/>
  <c r="BN61" i="38" s="1"/>
  <c r="BK139" i="38"/>
  <c r="BN139" i="38" s="1"/>
  <c r="BK119" i="38"/>
  <c r="BN119" i="38" s="1"/>
  <c r="BK110" i="38"/>
  <c r="BN110" i="38" s="1"/>
  <c r="BK94" i="38"/>
  <c r="BN94" i="38" s="1"/>
  <c r="BK128" i="38"/>
  <c r="BN128" i="38" s="1"/>
  <c r="BK140" i="38"/>
  <c r="BN140" i="38" s="1"/>
  <c r="BK53" i="38"/>
  <c r="BN53" i="38" s="1"/>
  <c r="BK134" i="38"/>
  <c r="BN134" i="38" s="1"/>
  <c r="BK163" i="38"/>
  <c r="BN163" i="38" s="1"/>
  <c r="BK129" i="38"/>
  <c r="BN129" i="38" s="1"/>
  <c r="BK154" i="38"/>
  <c r="BN154" i="38" s="1"/>
  <c r="BK104" i="38"/>
  <c r="BN104" i="38" s="1"/>
  <c r="BK99" i="38"/>
  <c r="BN99" i="38" s="1"/>
  <c r="BK65" i="38"/>
  <c r="BN65" i="38" s="1"/>
  <c r="BK165" i="38"/>
  <c r="BN165" i="38" s="1"/>
  <c r="BK126" i="38"/>
  <c r="BN126" i="38" s="1"/>
  <c r="BK49" i="38"/>
  <c r="BN49" i="38" s="1"/>
  <c r="BK157" i="38"/>
  <c r="BN157" i="38" s="1"/>
  <c r="BK82" i="38"/>
  <c r="BN82" i="38" s="1"/>
  <c r="BK120" i="38"/>
  <c r="BN120" i="38" s="1"/>
  <c r="BK50" i="38"/>
  <c r="BN50" i="38" s="1"/>
  <c r="BK145" i="38"/>
  <c r="BN145" i="38" s="1"/>
  <c r="BK158" i="38"/>
  <c r="BN158" i="38" s="1"/>
  <c r="BK86" i="38"/>
  <c r="BN86" i="38" s="1"/>
  <c r="BK149" i="38"/>
  <c r="BN149" i="38" s="1"/>
  <c r="BK106" i="38"/>
  <c r="BN106" i="38" s="1"/>
  <c r="BK51" i="38"/>
  <c r="BN51" i="38" s="1"/>
  <c r="BK135" i="38"/>
  <c r="BN135" i="38" s="1"/>
  <c r="BK162" i="38"/>
  <c r="BN162" i="38" s="1"/>
  <c r="BK84" i="38"/>
  <c r="BN84" i="38" s="1"/>
  <c r="BQ76" i="38"/>
  <c r="BO76" i="38" s="1"/>
  <c r="BQ85" i="38"/>
  <c r="BO85" i="38" s="1"/>
  <c r="BQ126" i="38"/>
  <c r="BO126" i="38" s="1"/>
  <c r="BQ101" i="38"/>
  <c r="BO101" i="38" s="1"/>
  <c r="BQ123" i="38"/>
  <c r="BO123" i="38" s="1"/>
  <c r="BQ53" i="38"/>
  <c r="BO53" i="38" s="1"/>
  <c r="BQ151" i="38"/>
  <c r="BO151" i="38" s="1"/>
  <c r="BQ78" i="38"/>
  <c r="BO78" i="38" s="1"/>
  <c r="BQ57" i="38"/>
  <c r="BO57" i="38" s="1"/>
  <c r="BQ86" i="38"/>
  <c r="BO86" i="38" s="1"/>
  <c r="BQ103" i="38"/>
  <c r="BO103" i="38" s="1"/>
  <c r="BQ112" i="38"/>
  <c r="BO112" i="38" s="1"/>
  <c r="BQ149" i="38"/>
  <c r="BO149" i="38" s="1"/>
  <c r="BQ70" i="38"/>
  <c r="BQ162" i="38"/>
  <c r="BQ143" i="38"/>
  <c r="BO143" i="38" s="1"/>
  <c r="BQ66" i="38"/>
  <c r="BO66" i="38" s="1"/>
  <c r="BQ50" i="38"/>
  <c r="BO50" i="38" s="1"/>
  <c r="BQ117" i="38"/>
  <c r="BO117" i="38" s="1"/>
  <c r="BQ61" i="38"/>
  <c r="BO61" i="38" s="1"/>
  <c r="BQ160" i="38"/>
  <c r="BO160" i="38" s="1"/>
  <c r="BQ141" i="38"/>
  <c r="BO141" i="38" s="1"/>
  <c r="BQ148" i="38"/>
  <c r="BO148" i="38" s="1"/>
  <c r="BQ107" i="38"/>
  <c r="BQ100" i="38"/>
  <c r="BO100" i="38" s="1"/>
  <c r="BQ55" i="38"/>
  <c r="BO55" i="38" s="1"/>
  <c r="BQ92" i="38"/>
  <c r="BQ97" i="38"/>
  <c r="BO97" i="38" s="1"/>
  <c r="BQ99" i="38"/>
  <c r="BO99" i="38" s="1"/>
  <c r="BQ80" i="38"/>
  <c r="BO80" i="38" s="1"/>
  <c r="BQ60" i="38"/>
  <c r="BO60" i="38" s="1"/>
  <c r="BQ105" i="38"/>
  <c r="BO105" i="38" s="1"/>
  <c r="BQ58" i="38"/>
  <c r="BO58" i="38" s="1"/>
  <c r="BQ62" i="38"/>
  <c r="BO62" i="38" s="1"/>
  <c r="BQ155" i="38"/>
  <c r="BO155" i="38" s="1"/>
  <c r="BQ52" i="38"/>
  <c r="BO52" i="38" s="1"/>
  <c r="BQ47" i="38"/>
  <c r="BO47" i="38" s="1"/>
  <c r="BQ139" i="38"/>
  <c r="BO139" i="38" s="1"/>
  <c r="BQ136" i="38"/>
  <c r="BO136" i="38" s="1"/>
  <c r="BQ146" i="38"/>
  <c r="BO146" i="38" s="1"/>
  <c r="BQ54" i="38"/>
  <c r="BO54" i="38" s="1"/>
  <c r="BQ150" i="38"/>
  <c r="BO150" i="38" s="1"/>
  <c r="BQ93" i="38"/>
  <c r="BO93" i="38" s="1"/>
  <c r="BQ96" i="38"/>
  <c r="BO96" i="38" s="1"/>
  <c r="BQ122" i="38"/>
  <c r="BO122" i="38" s="1"/>
  <c r="BQ111" i="38"/>
  <c r="BO111" i="38" s="1"/>
  <c r="BQ116" i="38"/>
  <c r="BO116" i="38" s="1"/>
  <c r="BQ152" i="38"/>
  <c r="BO152" i="38" s="1"/>
  <c r="BQ145" i="38"/>
  <c r="BO145" i="38" s="1"/>
  <c r="BQ73" i="38"/>
  <c r="BQ138" i="38"/>
  <c r="BQ74" i="38"/>
  <c r="BQ110" i="38"/>
  <c r="BO110" i="38" s="1"/>
  <c r="BQ64" i="38"/>
  <c r="BO64" i="38" s="1"/>
  <c r="BQ120" i="38"/>
  <c r="BO120" i="38" s="1"/>
  <c r="BQ127" i="38"/>
  <c r="BO127" i="38" s="1"/>
  <c r="BQ56" i="38"/>
  <c r="BO56" i="38" s="1"/>
  <c r="BQ124" i="38"/>
  <c r="BO124" i="38" s="1"/>
  <c r="BQ115" i="38"/>
  <c r="BO115" i="38" s="1"/>
  <c r="BQ82" i="38"/>
  <c r="BQ134" i="38"/>
  <c r="BO134" i="38" s="1"/>
  <c r="BQ144" i="38"/>
  <c r="BO144" i="38" s="1"/>
  <c r="BQ128" i="38"/>
  <c r="BO128" i="38" s="1"/>
  <c r="BQ98" i="38"/>
  <c r="BO98" i="38" s="1"/>
  <c r="BQ94" i="38"/>
  <c r="BO94" i="38" s="1"/>
  <c r="BQ89" i="38"/>
  <c r="BO89" i="38" s="1"/>
  <c r="BQ104" i="38"/>
  <c r="BO104" i="38" s="1"/>
  <c r="BQ48" i="38"/>
  <c r="BO48" i="38" s="1"/>
  <c r="BQ108" i="38"/>
  <c r="BO108" i="38" s="1"/>
  <c r="BQ90" i="38"/>
  <c r="BQ118" i="38"/>
  <c r="BO118" i="38" s="1"/>
  <c r="BQ131" i="38"/>
  <c r="BO131" i="38" s="1"/>
  <c r="BQ119" i="38"/>
  <c r="BO119" i="38" s="1"/>
  <c r="BQ163" i="38"/>
  <c r="BO163" i="38" s="1"/>
  <c r="BQ157" i="38"/>
  <c r="BO157" i="38" s="1"/>
  <c r="BQ130" i="38"/>
  <c r="BO130" i="38" s="1"/>
  <c r="BQ125" i="38"/>
  <c r="BO125" i="38" s="1"/>
  <c r="BQ95" i="38"/>
  <c r="BQ72" i="38"/>
  <c r="BO72" i="38" s="1"/>
  <c r="BQ161" i="38"/>
  <c r="BO161" i="38" s="1"/>
  <c r="BQ135" i="38"/>
  <c r="BO135" i="38" s="1"/>
  <c r="BQ164" i="38"/>
  <c r="BO164" i="38" s="1"/>
  <c r="BQ68" i="38"/>
  <c r="BO68" i="38" s="1"/>
  <c r="BQ142" i="38"/>
  <c r="BQ102" i="38"/>
  <c r="BQ121" i="38"/>
  <c r="BO121" i="38" s="1"/>
  <c r="BQ77" i="38"/>
  <c r="BO77" i="38" s="1"/>
  <c r="BQ69" i="38"/>
  <c r="BO69" i="38" s="1"/>
  <c r="BQ88" i="38"/>
  <c r="BO88" i="38" s="1"/>
  <c r="BQ165" i="38"/>
  <c r="BO165" i="38" s="1"/>
  <c r="BQ59" i="38"/>
  <c r="BO59" i="38" s="1"/>
  <c r="BQ65" i="38"/>
  <c r="BO65" i="38" s="1"/>
  <c r="BQ133" i="38"/>
  <c r="BO133" i="38" s="1"/>
  <c r="BQ132" i="38"/>
  <c r="BQ106" i="38"/>
  <c r="BQ84" i="38"/>
  <c r="BO84" i="38" s="1"/>
  <c r="BQ51" i="38"/>
  <c r="BO51" i="38" s="1"/>
  <c r="BQ113" i="38"/>
  <c r="BQ153" i="38"/>
  <c r="BO153" i="38" s="1"/>
  <c r="BQ137" i="38"/>
  <c r="BO137" i="38" s="1"/>
  <c r="BQ158" i="38"/>
  <c r="BO158" i="38" s="1"/>
  <c r="BQ81" i="38"/>
  <c r="BQ156" i="38"/>
  <c r="BQ49" i="38"/>
  <c r="BO49" i="38" s="1"/>
  <c r="BQ140" i="38"/>
  <c r="BO140" i="38" s="1"/>
  <c r="BQ159" i="38"/>
  <c r="BO159" i="38" s="1"/>
  <c r="BQ109" i="38"/>
  <c r="BO109" i="38" s="1"/>
  <c r="BQ114" i="38"/>
  <c r="BQ129" i="38"/>
  <c r="BQ154" i="38"/>
  <c r="BO154" i="38" s="1"/>
  <c r="BQ147" i="38"/>
  <c r="BO147" i="38" s="1"/>
  <c r="BK147" i="38"/>
  <c r="AJ7" i="38"/>
  <c r="AF8" i="38"/>
  <c r="AF63" i="38" a="1"/>
  <c r="AF63" i="38" s="1"/>
  <c r="AF27" i="38"/>
  <c r="B57" i="24"/>
  <c r="C191" i="22"/>
  <c r="B11" i="36" s="1"/>
  <c r="C189" i="22"/>
  <c r="B12" i="36" s="1"/>
  <c r="B43" i="26"/>
  <c r="F11" i="34"/>
  <c r="C328" i="22"/>
  <c r="C327" i="22"/>
  <c r="C325" i="22"/>
  <c r="C330" i="22"/>
  <c r="L95" i="13"/>
  <c r="O95" i="13" s="1"/>
  <c r="C20" i="13"/>
  <c r="L90" i="13"/>
  <c r="D86" i="26" s="1"/>
  <c r="E86" i="26" s="1"/>
  <c r="F86" i="26" s="1"/>
  <c r="L93" i="13"/>
  <c r="P93" i="13" s="1"/>
  <c r="L94" i="13"/>
  <c r="P94" i="13" s="1"/>
  <c r="L88" i="13"/>
  <c r="D70" i="26" s="1"/>
  <c r="L76" i="13"/>
  <c r="D79" i="26" s="1"/>
  <c r="L72" i="13"/>
  <c r="L91" i="13"/>
  <c r="D87" i="26" s="1"/>
  <c r="E87" i="26" s="1"/>
  <c r="F87" i="26" s="1"/>
  <c r="L89" i="13"/>
  <c r="D71" i="26" s="1"/>
  <c r="L73" i="13"/>
  <c r="D77" i="26" s="1"/>
  <c r="E77" i="26" s="1"/>
  <c r="F77" i="26" s="1"/>
  <c r="L74" i="13"/>
  <c r="D64" i="26" s="1"/>
  <c r="L92" i="13"/>
  <c r="O92" i="13" s="1"/>
  <c r="E286" i="22"/>
  <c r="F286" i="22" s="1"/>
  <c r="BN147" i="38" l="1"/>
  <c r="AF28" i="38"/>
  <c r="AJ13" i="38"/>
  <c r="AJ71" i="38" s="1" a="1"/>
  <c r="AJ71" i="38" s="1"/>
  <c r="BD71" i="38" s="1"/>
  <c r="AJ21" i="38"/>
  <c r="AJ18" i="38"/>
  <c r="AJ16" i="38"/>
  <c r="AJ91" i="38" s="1" a="1"/>
  <c r="AJ91" i="38" s="1"/>
  <c r="BD91" i="38" s="1"/>
  <c r="BF91" i="38" s="1"/>
  <c r="AJ24" i="38"/>
  <c r="AJ10" i="38"/>
  <c r="AJ75" i="38" s="1" a="1"/>
  <c r="AJ75" i="38" s="1"/>
  <c r="BD75" i="38" s="1"/>
  <c r="AJ11" i="38"/>
  <c r="AJ83" i="38" s="1" a="1"/>
  <c r="AJ83" i="38" s="1"/>
  <c r="BD83" i="38" s="1"/>
  <c r="AJ19" i="38"/>
  <c r="AJ14" i="38"/>
  <c r="AJ67" i="38" s="1" a="1"/>
  <c r="AJ67" i="38" s="1"/>
  <c r="BD67" i="38" s="1"/>
  <c r="AJ22" i="38"/>
  <c r="AJ17" i="38"/>
  <c r="AJ12" i="38"/>
  <c r="AJ87" i="38" s="1" a="1"/>
  <c r="AJ87" i="38" s="1"/>
  <c r="BD87" i="38" s="1"/>
  <c r="AJ20" i="38"/>
  <c r="AJ15" i="38"/>
  <c r="AJ79" i="38" s="1" a="1"/>
  <c r="AJ79" i="38" s="1"/>
  <c r="BD79" i="38" s="1"/>
  <c r="AJ23" i="38"/>
  <c r="AJ9" i="38"/>
  <c r="AJ63" i="38" s="1" a="1"/>
  <c r="AJ63" i="38" s="1"/>
  <c r="BD63" i="38" s="1"/>
  <c r="G274" i="22"/>
  <c r="D63" i="26"/>
  <c r="E63" i="26" s="1"/>
  <c r="B21" i="26"/>
  <c r="B23" i="26"/>
  <c r="B5" i="13"/>
  <c r="D185" i="22"/>
  <c r="D182" i="22"/>
  <c r="D184" i="22"/>
  <c r="D183" i="22"/>
  <c r="D186" i="22"/>
  <c r="B54" i="13"/>
  <c r="E79" i="26"/>
  <c r="F79" i="26" s="1"/>
  <c r="G79" i="26" s="1"/>
  <c r="H79" i="26" s="1"/>
  <c r="P72" i="13"/>
  <c r="O76" i="13"/>
  <c r="O88" i="13"/>
  <c r="E70" i="26"/>
  <c r="P74" i="13"/>
  <c r="F64" i="26"/>
  <c r="P73" i="13"/>
  <c r="G77" i="26"/>
  <c r="H77" i="26" s="1"/>
  <c r="O89" i="13"/>
  <c r="E71" i="26"/>
  <c r="O90" i="13"/>
  <c r="G86" i="26"/>
  <c r="I86" i="26" s="1"/>
  <c r="P91" i="13"/>
  <c r="G87" i="26"/>
  <c r="I87" i="26" s="1"/>
  <c r="P87" i="13"/>
  <c r="F69" i="26"/>
  <c r="P95" i="13"/>
  <c r="O93" i="13"/>
  <c r="P88" i="13"/>
  <c r="O73" i="13"/>
  <c r="O94" i="13"/>
  <c r="O72" i="13"/>
  <c r="P92" i="13"/>
  <c r="P90" i="13"/>
  <c r="O91" i="13"/>
  <c r="P76" i="13"/>
  <c r="O87" i="13"/>
  <c r="G20" i="13"/>
  <c r="H20" i="13"/>
  <c r="O74" i="13"/>
  <c r="P89" i="13"/>
  <c r="C43" i="13"/>
  <c r="B94" i="26" s="1"/>
  <c r="I286" i="22"/>
  <c r="BJ75" i="38" l="1"/>
  <c r="BF75" i="38"/>
  <c r="BJ79" i="38"/>
  <c r="BF79" i="38"/>
  <c r="BJ87" i="38"/>
  <c r="BF87" i="38"/>
  <c r="BJ71" i="38"/>
  <c r="BF71" i="38"/>
  <c r="BJ63" i="38"/>
  <c r="BF63" i="38"/>
  <c r="BJ67" i="38"/>
  <c r="BF67" i="38"/>
  <c r="BJ83" i="38"/>
  <c r="BF83" i="38"/>
  <c r="BE75" i="38"/>
  <c r="BK75" i="38" s="1"/>
  <c r="BN75" i="38" s="1"/>
  <c r="BE79" i="38"/>
  <c r="BK79" i="38" s="1"/>
  <c r="BN79" i="38" s="1"/>
  <c r="BE83" i="38"/>
  <c r="BK83" i="38" s="1"/>
  <c r="BN83" i="38" s="1"/>
  <c r="BE91" i="38"/>
  <c r="BE63" i="38"/>
  <c r="BK63" i="38" s="1"/>
  <c r="BE87" i="38"/>
  <c r="BK87" i="38" s="1"/>
  <c r="BN87" i="38" s="1"/>
  <c r="BE67" i="38"/>
  <c r="BK67" i="38" s="1"/>
  <c r="BN67" i="38" s="1"/>
  <c r="BE71" i="38"/>
  <c r="BK71" i="38" s="1"/>
  <c r="BN71" i="38" s="1"/>
  <c r="AJ28" i="38"/>
  <c r="AJ27" i="38"/>
  <c r="B27" i="26"/>
  <c r="B30" i="26"/>
  <c r="F70" i="26"/>
  <c r="F63" i="26"/>
  <c r="E69" i="26"/>
  <c r="E64" i="26"/>
  <c r="I77" i="26"/>
  <c r="H87" i="26"/>
  <c r="I79" i="26"/>
  <c r="F71" i="26"/>
  <c r="H86" i="26"/>
  <c r="H43" i="13"/>
  <c r="G286" i="22"/>
  <c r="G43" i="13"/>
  <c r="C50" i="13"/>
  <c r="A119" i="13" s="1" a="1"/>
  <c r="A119" i="13" s="1"/>
  <c r="BQ63" i="38" l="1"/>
  <c r="BQ67" i="38"/>
  <c r="BO67" i="38" s="1"/>
  <c r="BQ87" i="38"/>
  <c r="BO87" i="38" s="1"/>
  <c r="BQ75" i="38"/>
  <c r="BQ83" i="38"/>
  <c r="BQ79" i="38"/>
  <c r="BO79" i="38" s="1"/>
  <c r="BQ71" i="38"/>
  <c r="BN63" i="38"/>
  <c r="C102" i="13"/>
  <c r="B42" i="26" s="1"/>
  <c r="G50" i="13"/>
  <c r="D102" i="13" s="1"/>
  <c r="C42" i="26" s="1"/>
  <c r="C94" i="26"/>
  <c r="H50" i="13"/>
  <c r="E102" i="13" s="1"/>
  <c r="D42" i="26" s="1"/>
  <c r="D94" i="26"/>
  <c r="D42" i="4" l="1"/>
  <c r="H42" i="4" s="1"/>
  <c r="F42" i="4"/>
  <c r="E42" i="4"/>
  <c r="C24" i="13" l="1"/>
  <c r="B10" i="13" l="1"/>
  <c r="C22" i="13"/>
  <c r="A118" i="13" s="1" a="1"/>
  <c r="A118" i="13" s="1"/>
  <c r="F278" i="22"/>
  <c r="C194" i="22"/>
  <c r="C196" i="22" s="1"/>
  <c r="B56" i="13" l="1"/>
  <c r="C64" i="13" s="1"/>
  <c r="C195" i="22"/>
  <c r="B58" i="24" s="1"/>
  <c r="G24" i="13"/>
  <c r="H24" i="13"/>
  <c r="G278" i="22"/>
  <c r="C29" i="13"/>
  <c r="H22" i="13"/>
  <c r="G22" i="13"/>
  <c r="C101" i="13" l="1"/>
  <c r="B39" i="26" s="1"/>
  <c r="E101" i="13"/>
  <c r="D39" i="26" s="1"/>
  <c r="D101" i="13"/>
  <c r="C39" i="26" s="1"/>
  <c r="C63" i="13"/>
  <c r="C12" i="26" s="1"/>
  <c r="B12" i="26" s="1"/>
  <c r="C15" i="26"/>
  <c r="B15" i="26" s="1"/>
  <c r="A60" i="24"/>
  <c r="C214" i="22"/>
  <c r="C216" i="22" s="1"/>
  <c r="A59" i="24"/>
  <c r="H29" i="13"/>
  <c r="G29" i="13"/>
  <c r="D41" i="4" l="1"/>
  <c r="H41" i="4" s="1"/>
  <c r="AN22" i="38"/>
  <c r="AN23" i="38"/>
  <c r="AN24" i="38" s="1"/>
  <c r="A111" i="13"/>
  <c r="F41" i="4"/>
  <c r="L75" i="13"/>
  <c r="AN27" i="38" l="1"/>
  <c r="AN45" i="38" a="1"/>
  <c r="AN45" i="38" s="1"/>
  <c r="B50" i="24"/>
  <c r="B63" i="13"/>
  <c r="B64" i="13" s="1"/>
  <c r="A114" i="13" s="1"/>
  <c r="C126" i="22"/>
  <c r="C127" i="22" s="1"/>
  <c r="D26" i="4" s="1"/>
  <c r="A115" i="13"/>
  <c r="D78" i="26"/>
  <c r="E78" i="26" s="1"/>
  <c r="F78" i="26" s="1"/>
  <c r="G78" i="26" s="1"/>
  <c r="C14" i="26"/>
  <c r="B14" i="26" s="1"/>
  <c r="P75" i="13"/>
  <c r="O75" i="13"/>
  <c r="E41" i="4"/>
  <c r="AX45" i="38" l="1"/>
  <c r="AN28" i="38"/>
  <c r="D81" i="13"/>
  <c r="K81" i="13" s="1"/>
  <c r="L81" i="13" s="1"/>
  <c r="D83" i="26" s="1"/>
  <c r="E83" i="26" s="1"/>
  <c r="F83" i="26" s="1"/>
  <c r="D79" i="13"/>
  <c r="K79" i="13" s="1"/>
  <c r="L79" i="13" s="1"/>
  <c r="D81" i="26" s="1"/>
  <c r="E81" i="26" s="1"/>
  <c r="F81" i="26" s="1"/>
  <c r="D82" i="13"/>
  <c r="K82" i="13" s="1"/>
  <c r="L82" i="13" s="1"/>
  <c r="D65" i="26" s="1"/>
  <c r="C213" i="22"/>
  <c r="C215" i="22" s="1"/>
  <c r="C218" i="22" s="1"/>
  <c r="C58" i="26" s="1"/>
  <c r="D83" i="13"/>
  <c r="K83" i="13" s="1"/>
  <c r="L83" i="13" s="1"/>
  <c r="D67" i="26" s="1"/>
  <c r="D84" i="13"/>
  <c r="K84" i="13" s="1"/>
  <c r="L84" i="13" s="1"/>
  <c r="D84" i="26" s="1"/>
  <c r="E84" i="26" s="1"/>
  <c r="F84" i="26" s="1"/>
  <c r="D85" i="13"/>
  <c r="K85" i="13" s="1"/>
  <c r="L85" i="13" s="1"/>
  <c r="D85" i="26" s="1"/>
  <c r="E85" i="26" s="1"/>
  <c r="F85" i="26" s="1"/>
  <c r="B29" i="26"/>
  <c r="C230" i="22" s="1"/>
  <c r="C231" i="22" s="1"/>
  <c r="D78" i="13"/>
  <c r="K78" i="13" s="1"/>
  <c r="L78" i="13" s="1"/>
  <c r="D66" i="26" s="1"/>
  <c r="D77" i="13"/>
  <c r="K77" i="13" s="1"/>
  <c r="L77" i="13" s="1"/>
  <c r="D86" i="13"/>
  <c r="K86" i="13" s="1"/>
  <c r="L86" i="13" s="1"/>
  <c r="D68" i="26" s="1"/>
  <c r="D80" i="13"/>
  <c r="K80" i="13" s="1"/>
  <c r="L80" i="13" s="1"/>
  <c r="D82" i="26" s="1"/>
  <c r="E82" i="26" s="1"/>
  <c r="F82" i="26" s="1"/>
  <c r="A19" i="4"/>
  <c r="D27" i="4"/>
  <c r="E27" i="4" s="1"/>
  <c r="F27" i="4" s="1"/>
  <c r="D25" i="4"/>
  <c r="E26" i="4"/>
  <c r="F26" i="4"/>
  <c r="C130" i="22"/>
  <c r="C131" i="22" s="1"/>
  <c r="I78" i="26"/>
  <c r="H78" i="26"/>
  <c r="AZ45" i="38" l="1"/>
  <c r="AZ28" i="38" s="1"/>
  <c r="AY45" i="38"/>
  <c r="AY28" i="38" s="1"/>
  <c r="AX28" i="38"/>
  <c r="C235" i="22"/>
  <c r="A32" i="26" s="1"/>
  <c r="B51" i="24"/>
  <c r="A52" i="24" s="1"/>
  <c r="D80" i="26"/>
  <c r="E80" i="26" s="1"/>
  <c r="F80" i="26" s="1"/>
  <c r="D104" i="13" s="1" a="1"/>
  <c r="D104" i="13" s="1"/>
  <c r="C41" i="26" s="1"/>
  <c r="A22" i="4"/>
  <c r="D28" i="4"/>
  <c r="F28" i="4" s="1"/>
  <c r="C79" i="4" s="1"/>
  <c r="F25" i="4"/>
  <c r="H25" i="4"/>
  <c r="C57" i="4"/>
  <c r="E25" i="4"/>
  <c r="AZ27" i="38" s="1"/>
  <c r="E66" i="26"/>
  <c r="O78" i="13"/>
  <c r="P78" i="13"/>
  <c r="F68" i="26"/>
  <c r="P86" i="13"/>
  <c r="O86" i="13"/>
  <c r="G84" i="26"/>
  <c r="I84" i="26" s="1"/>
  <c r="P84" i="13"/>
  <c r="O84" i="13"/>
  <c r="G82" i="26"/>
  <c r="I82" i="26" s="1"/>
  <c r="O80" i="13"/>
  <c r="P80" i="13"/>
  <c r="P79" i="13"/>
  <c r="G81" i="26"/>
  <c r="I81" i="26" s="1"/>
  <c r="O79" i="13"/>
  <c r="P77" i="13"/>
  <c r="L96" i="13"/>
  <c r="A120" i="13" s="1" a="1"/>
  <c r="A120" i="13" s="1"/>
  <c r="O77" i="13"/>
  <c r="O83" i="13"/>
  <c r="P83" i="13"/>
  <c r="E67" i="26"/>
  <c r="G83" i="26"/>
  <c r="H83" i="26" s="1"/>
  <c r="P81" i="13"/>
  <c r="O81" i="13"/>
  <c r="P82" i="13"/>
  <c r="O82" i="13"/>
  <c r="O85" i="13"/>
  <c r="P85" i="13"/>
  <c r="G85" i="26"/>
  <c r="H85" i="26" s="1"/>
  <c r="D124" i="26"/>
  <c r="D105" i="13" s="1"/>
  <c r="C43" i="26" s="1"/>
  <c r="E124" i="26"/>
  <c r="E105" i="13" s="1"/>
  <c r="D43" i="26" s="1"/>
  <c r="E24" i="37" l="1"/>
  <c r="AY27" i="38"/>
  <c r="A53" i="24"/>
  <c r="E104" i="13" a="1"/>
  <c r="E104" i="13" s="1"/>
  <c r="D41" i="26" s="1"/>
  <c r="F88" i="26"/>
  <c r="C104" i="13" s="1"/>
  <c r="B41" i="26" s="1"/>
  <c r="C103" i="13"/>
  <c r="B40" i="26" s="1"/>
  <c r="G80" i="26"/>
  <c r="I80" i="26" s="1"/>
  <c r="D66" i="22"/>
  <c r="C64" i="34" s="1"/>
  <c r="B77" i="4"/>
  <c r="C77" i="4"/>
  <c r="H30" i="4"/>
  <c r="AX27" i="38" s="1"/>
  <c r="F45" i="4"/>
  <c r="E45" i="4"/>
  <c r="E28" i="4"/>
  <c r="E44" i="4"/>
  <c r="E57" i="4"/>
  <c r="F30" i="4"/>
  <c r="F28" i="26" s="1"/>
  <c r="F57" i="4"/>
  <c r="O96" i="13"/>
  <c r="D103" i="13" s="1"/>
  <c r="F66" i="26"/>
  <c r="P96" i="13"/>
  <c r="E103" i="13" s="1"/>
  <c r="E68" i="26"/>
  <c r="H82" i="26"/>
  <c r="H81" i="26"/>
  <c r="H84" i="26"/>
  <c r="F67" i="26"/>
  <c r="D88" i="26"/>
  <c r="I83" i="26"/>
  <c r="D72" i="26"/>
  <c r="I85" i="26"/>
  <c r="B64" i="24" a="1"/>
  <c r="B64" i="24" s="1"/>
  <c r="F65" i="26"/>
  <c r="E65" i="26"/>
  <c r="E30" i="4" l="1"/>
  <c r="E58" i="4" s="1"/>
  <c r="D24" i="37"/>
  <c r="D43" i="4"/>
  <c r="H43" i="4" s="1"/>
  <c r="C106" i="13"/>
  <c r="B44" i="26" s="1"/>
  <c r="E30" i="26" s="1"/>
  <c r="G88" i="26"/>
  <c r="D44" i="4"/>
  <c r="H44" i="4" s="1"/>
  <c r="H80" i="26"/>
  <c r="H88" i="26" s="1"/>
  <c r="F44" i="4"/>
  <c r="B13" i="2"/>
  <c r="E28" i="26"/>
  <c r="D106" i="13"/>
  <c r="C44" i="26" s="1"/>
  <c r="C40" i="26"/>
  <c r="E106" i="13"/>
  <c r="D44" i="26" s="1"/>
  <c r="F30" i="26" s="1"/>
  <c r="G30" i="26" s="1"/>
  <c r="D40" i="26"/>
  <c r="H57" i="4"/>
  <c r="F43" i="4"/>
  <c r="E43" i="4"/>
  <c r="E46" i="4" s="1"/>
  <c r="BC27" i="38" s="1"/>
  <c r="M58" i="4"/>
  <c r="O58" i="4" s="1"/>
  <c r="L58" i="4"/>
  <c r="F58" i="4"/>
  <c r="F13" i="2"/>
  <c r="F27" i="2" s="1"/>
  <c r="F72" i="26"/>
  <c r="E72" i="26"/>
  <c r="I88" i="26"/>
  <c r="E13" i="2" l="1"/>
  <c r="E27" i="2" s="1"/>
  <c r="B12" i="2"/>
  <c r="D46" i="4"/>
  <c r="F46" i="4"/>
  <c r="H46" i="4"/>
  <c r="BA27" i="38" s="1"/>
  <c r="G28" i="26"/>
  <c r="G29" i="26"/>
  <c r="G27" i="26"/>
  <c r="B27" i="2"/>
  <c r="D13" i="2"/>
  <c r="E60" i="4"/>
  <c r="F24" i="34" s="1"/>
  <c r="E12" i="2"/>
  <c r="L59" i="4"/>
  <c r="N59" i="4" s="1"/>
  <c r="M59" i="4"/>
  <c r="O59" i="4" s="1"/>
  <c r="E14" i="2" l="1"/>
  <c r="C78" i="4"/>
  <c r="BB27" i="38"/>
  <c r="B78" i="4"/>
  <c r="T7" i="38"/>
  <c r="D12" i="2"/>
  <c r="B26" i="2"/>
  <c r="C60" i="4"/>
  <c r="D59" i="22"/>
  <c r="C55" i="34" s="1"/>
  <c r="B14" i="2"/>
  <c r="D14" i="2" s="1"/>
  <c r="D60" i="22"/>
  <c r="C56" i="34" s="1"/>
  <c r="B10" i="36"/>
  <c r="B332" i="22"/>
  <c r="C321" i="22" s="1"/>
  <c r="F60" i="4"/>
  <c r="F12" i="2"/>
  <c r="F14" i="2" s="1"/>
  <c r="C15" i="34"/>
  <c r="H60" i="4"/>
  <c r="D51" i="4"/>
  <c r="D27" i="2"/>
  <c r="AI7" i="38" s="1"/>
  <c r="AI16" i="38" s="1"/>
  <c r="T17" i="38" l="1"/>
  <c r="T24" i="38"/>
  <c r="T19" i="38"/>
  <c r="T20" i="38"/>
  <c r="T21" i="38"/>
  <c r="T13" i="38"/>
  <c r="T12" i="38"/>
  <c r="T14" i="38"/>
  <c r="T11" i="38"/>
  <c r="T23" i="38"/>
  <c r="T18" i="38"/>
  <c r="T16" i="38"/>
  <c r="T15" i="38"/>
  <c r="T9" i="38"/>
  <c r="T10" i="38"/>
  <c r="T22" i="38"/>
  <c r="L61" i="4"/>
  <c r="AI8" i="38"/>
  <c r="AI27" i="38"/>
  <c r="AI91" i="38" a="1"/>
  <c r="AI91" i="38" s="1"/>
  <c r="BG91" i="38" s="1"/>
  <c r="BI91" i="38" s="1"/>
  <c r="BI28" i="38" s="1"/>
  <c r="T32" i="38" a="1"/>
  <c r="T32" i="38" s="1"/>
  <c r="BA32" i="38" s="1"/>
  <c r="BC32" i="38" s="1"/>
  <c r="M61" i="4"/>
  <c r="C322" i="22"/>
  <c r="C320" i="22" s="1"/>
  <c r="F10" i="34" s="1"/>
  <c r="D50" i="4"/>
  <c r="H50" i="4" s="1"/>
  <c r="BD27" i="38" s="1"/>
  <c r="B28" i="2"/>
  <c r="D28" i="2" s="1"/>
  <c r="D26" i="2"/>
  <c r="AH7" i="38" s="1"/>
  <c r="H51" i="4"/>
  <c r="BG27" i="38" s="1"/>
  <c r="F51" i="4"/>
  <c r="E51" i="4"/>
  <c r="F26" i="2"/>
  <c r="F50" i="4" s="1"/>
  <c r="E26" i="2"/>
  <c r="E50" i="4" s="1"/>
  <c r="AH10" i="38" l="1"/>
  <c r="AH20" i="38"/>
  <c r="AH9" i="38"/>
  <c r="AH17" i="38"/>
  <c r="AH12" i="38"/>
  <c r="AH11" i="38"/>
  <c r="AH23" i="38"/>
  <c r="AH24" i="38"/>
  <c r="AH15" i="38"/>
  <c r="AH16" i="38"/>
  <c r="AH13" i="38"/>
  <c r="AH19" i="38"/>
  <c r="AH18" i="38"/>
  <c r="AH14" i="38"/>
  <c r="AH22" i="38"/>
  <c r="AH21" i="38"/>
  <c r="E52" i="4"/>
  <c r="BI27" i="38"/>
  <c r="E61" i="4"/>
  <c r="C40" i="34" s="1"/>
  <c r="BF27" i="38"/>
  <c r="BJ91" i="38"/>
  <c r="BB32" i="38"/>
  <c r="F52" i="4"/>
  <c r="E26" i="37" s="1"/>
  <c r="BH27" i="38"/>
  <c r="F61" i="4"/>
  <c r="BE27" i="38"/>
  <c r="BH91" i="38"/>
  <c r="BG28" i="38"/>
  <c r="T45" i="38" a="1"/>
  <c r="T45" i="38" s="1"/>
  <c r="BA45" i="38" s="1"/>
  <c r="BC45" i="38" s="1"/>
  <c r="T46" i="38" a="1"/>
  <c r="T46" i="38" s="1"/>
  <c r="BA46" i="38" s="1"/>
  <c r="BC46" i="38" s="1"/>
  <c r="T39" i="38" a="1"/>
  <c r="T39" i="38" s="1"/>
  <c r="BA39" i="38" s="1"/>
  <c r="BC39" i="38" s="1"/>
  <c r="T40" i="38" a="1"/>
  <c r="T40" i="38" s="1"/>
  <c r="BA40" i="38" s="1"/>
  <c r="BC40" i="38" s="1"/>
  <c r="T41" i="38" a="1"/>
  <c r="T41" i="38" s="1"/>
  <c r="T42" i="38" a="1"/>
  <c r="T42" i="38" s="1"/>
  <c r="T33" i="38" a="1"/>
  <c r="T33" i="38" s="1"/>
  <c r="BA33" i="38" s="1"/>
  <c r="BC33" i="38" s="1"/>
  <c r="T34" i="38" a="1"/>
  <c r="T34" i="38" s="1"/>
  <c r="BA34" i="38" s="1"/>
  <c r="BC34" i="38" s="1"/>
  <c r="T43" i="38" a="1"/>
  <c r="T43" i="38" s="1"/>
  <c r="BA43" i="38" s="1"/>
  <c r="BC43" i="38" s="1"/>
  <c r="T44" i="38" a="1"/>
  <c r="T44" i="38" s="1"/>
  <c r="BA44" i="38" s="1"/>
  <c r="BC44" i="38" s="1"/>
  <c r="T37" i="38" a="1"/>
  <c r="T37" i="38" s="1"/>
  <c r="BA37" i="38" s="1"/>
  <c r="BC37" i="38" s="1"/>
  <c r="T38" i="38" a="1"/>
  <c r="T38" i="38" s="1"/>
  <c r="BA38" i="38" s="1"/>
  <c r="BC38" i="38" s="1"/>
  <c r="T35" i="38" a="1"/>
  <c r="T35" i="38" s="1"/>
  <c r="BA35" i="38" s="1"/>
  <c r="BC35" i="38" s="1"/>
  <c r="T36" i="38" a="1"/>
  <c r="T36" i="38" s="1"/>
  <c r="BA36" i="38" s="1"/>
  <c r="BC36" i="38" s="1"/>
  <c r="AI28" i="38"/>
  <c r="Z7" i="38"/>
  <c r="AH32" i="38" a="1"/>
  <c r="AH32" i="38" s="1"/>
  <c r="T31" i="38" a="1"/>
  <c r="T31" i="38" s="1"/>
  <c r="T27" i="38"/>
  <c r="D53" i="4"/>
  <c r="C61" i="4" s="1"/>
  <c r="H53" i="4"/>
  <c r="H61" i="4" s="1"/>
  <c r="C66" i="34" s="1"/>
  <c r="F28" i="2"/>
  <c r="E28" i="2"/>
  <c r="B16" i="36"/>
  <c r="D26" i="37" l="1"/>
  <c r="F53" i="4"/>
  <c r="C81" i="4" s="1"/>
  <c r="Z11" i="38"/>
  <c r="Z41" i="38" s="1" a="1"/>
  <c r="Z41" i="38" s="1"/>
  <c r="BA41" i="38" s="1"/>
  <c r="BC41" i="38" s="1"/>
  <c r="Z9" i="38"/>
  <c r="Z31" i="38" s="1" a="1"/>
  <c r="Z31" i="38" s="1"/>
  <c r="BA31" i="38" s="1"/>
  <c r="B17" i="36"/>
  <c r="F62" i="4"/>
  <c r="F28" i="34" s="1"/>
  <c r="E53" i="4"/>
  <c r="E62" i="4"/>
  <c r="E68" i="4" s="1"/>
  <c r="G4" i="37" s="1"/>
  <c r="BK27" i="38"/>
  <c r="F66" i="4"/>
  <c r="BN27" i="38" s="1"/>
  <c r="BQ91" i="38"/>
  <c r="BB34" i="38"/>
  <c r="BB33" i="38"/>
  <c r="BB36" i="38"/>
  <c r="BB35" i="38"/>
  <c r="BB38" i="38"/>
  <c r="BB40" i="38"/>
  <c r="BB37" i="38"/>
  <c r="BB39" i="38"/>
  <c r="BB44" i="38"/>
  <c r="BB46" i="38"/>
  <c r="BB43" i="38"/>
  <c r="BB45" i="38"/>
  <c r="BH28" i="38"/>
  <c r="BK91" i="38"/>
  <c r="AH43" i="38" a="1"/>
  <c r="AH43" i="38" s="1"/>
  <c r="AH44" i="38" a="1"/>
  <c r="AH44" i="38" s="1"/>
  <c r="AH39" i="38" a="1"/>
  <c r="AH39" i="38" s="1"/>
  <c r="AH40" i="38" a="1"/>
  <c r="AH40" i="38" s="1"/>
  <c r="AH33" i="38" a="1"/>
  <c r="AH33" i="38" s="1"/>
  <c r="AH34" i="38" a="1"/>
  <c r="AH34" i="38" s="1"/>
  <c r="AH45" i="38" a="1"/>
  <c r="AH45" i="38" s="1"/>
  <c r="AH46" i="38" a="1"/>
  <c r="AH46" i="38" s="1"/>
  <c r="AH41" i="38" a="1"/>
  <c r="AH41" i="38" s="1"/>
  <c r="AH42" i="38" a="1"/>
  <c r="AH42" i="38" s="1"/>
  <c r="AH37" i="38" a="1"/>
  <c r="AH37" i="38" s="1"/>
  <c r="AH38" i="38" a="1"/>
  <c r="AH38" i="38" s="1"/>
  <c r="AH35" i="38" a="1"/>
  <c r="AH35" i="38" s="1"/>
  <c r="AH36" i="38" a="1"/>
  <c r="AH36" i="38" s="1"/>
  <c r="Z42" i="38" a="1"/>
  <c r="Z42" i="38" s="1"/>
  <c r="BA42" i="38" s="1"/>
  <c r="BC42" i="38" s="1"/>
  <c r="T28" i="38"/>
  <c r="AH8" i="38"/>
  <c r="AL7" i="38"/>
  <c r="AH31" i="38" a="1"/>
  <c r="AH31" i="38" s="1"/>
  <c r="AH27" i="38"/>
  <c r="B81" i="4"/>
  <c r="B83" i="4" s="1"/>
  <c r="H68" i="4"/>
  <c r="L62" i="4"/>
  <c r="M62" i="4"/>
  <c r="M68" i="4"/>
  <c r="L63" i="4" l="1"/>
  <c r="M67" i="4"/>
  <c r="C83" i="4"/>
  <c r="E75" i="4" s="1"/>
  <c r="Z27" i="38"/>
  <c r="M63" i="4"/>
  <c r="O63" i="4" s="1"/>
  <c r="BC31" i="38"/>
  <c r="BC28" i="38" s="1"/>
  <c r="BB31" i="38"/>
  <c r="C54" i="34"/>
  <c r="BJ27" i="38"/>
  <c r="BN91" i="38"/>
  <c r="BB41" i="38"/>
  <c r="BB42" i="38"/>
  <c r="AH28" i="38"/>
  <c r="C82" i="4"/>
  <c r="BA28" i="38"/>
  <c r="Z28" i="38"/>
  <c r="AL15" i="38"/>
  <c r="AL23" i="38"/>
  <c r="AL10" i="38"/>
  <c r="AL18" i="38"/>
  <c r="AL13" i="38"/>
  <c r="AL21" i="38"/>
  <c r="AL20" i="38"/>
  <c r="AL16" i="38"/>
  <c r="AL24" i="38"/>
  <c r="AL11" i="38"/>
  <c r="AL19" i="38"/>
  <c r="AL14" i="38"/>
  <c r="AL22" i="38"/>
  <c r="AL9" i="38"/>
  <c r="AL32" i="38" s="1" a="1"/>
  <c r="AL32" i="38" s="1"/>
  <c r="BD32" i="38" s="1"/>
  <c r="AL17" i="38"/>
  <c r="AL12" i="38"/>
  <c r="D82" i="4"/>
  <c r="D76" i="4"/>
  <c r="D75" i="4"/>
  <c r="D79" i="4"/>
  <c r="D80" i="4"/>
  <c r="D77" i="4"/>
  <c r="D78" i="4"/>
  <c r="D81" i="4"/>
  <c r="D66" i="4"/>
  <c r="A66" i="4"/>
  <c r="F68" i="4"/>
  <c r="L73" i="4" l="1"/>
  <c r="L74" i="4" s="1"/>
  <c r="C16" i="34"/>
  <c r="E79" i="4"/>
  <c r="E80" i="4"/>
  <c r="E82" i="4"/>
  <c r="E81" i="4"/>
  <c r="E76" i="4"/>
  <c r="E78" i="4"/>
  <c r="E77" i="4"/>
  <c r="N63" i="4"/>
  <c r="L67" i="4"/>
  <c r="G5" i="37"/>
  <c r="BJ32" i="38"/>
  <c r="BF32" i="38"/>
  <c r="BB28" i="38"/>
  <c r="BE32" i="38"/>
  <c r="BK32" i="38" s="1"/>
  <c r="BN32" i="38" s="1"/>
  <c r="AL33" i="38" a="1"/>
  <c r="AL33" i="38" s="1"/>
  <c r="BD33" i="38" s="1"/>
  <c r="AL34" i="38" a="1"/>
  <c r="AL34" i="38" s="1"/>
  <c r="BD34" i="38" s="1"/>
  <c r="AL35" i="38" a="1"/>
  <c r="AL35" i="38" s="1"/>
  <c r="BD35" i="38" s="1"/>
  <c r="AL36" i="38" a="1"/>
  <c r="AL36" i="38" s="1"/>
  <c r="BD36" i="38" s="1"/>
  <c r="AL37" i="38" a="1"/>
  <c r="AL37" i="38" s="1"/>
  <c r="BD37" i="38" s="1"/>
  <c r="AL38" i="38" a="1"/>
  <c r="AL38" i="38" s="1"/>
  <c r="BD38" i="38" s="1"/>
  <c r="AL41" i="38" a="1"/>
  <c r="AL41" i="38" s="1"/>
  <c r="BD41" i="38" s="1"/>
  <c r="AL42" i="38" a="1"/>
  <c r="AL42" i="38" s="1"/>
  <c r="BD42" i="38" s="1"/>
  <c r="AL43" i="38" a="1"/>
  <c r="AL43" i="38" s="1"/>
  <c r="BD43" i="38" s="1"/>
  <c r="AL44" i="38" a="1"/>
  <c r="AL44" i="38" s="1"/>
  <c r="BD44" i="38" s="1"/>
  <c r="AL39" i="38" a="1"/>
  <c r="AL39" i="38" s="1"/>
  <c r="BD39" i="38" s="1"/>
  <c r="AL40" i="38" a="1"/>
  <c r="AL40" i="38" s="1"/>
  <c r="BD40" i="38" s="1"/>
  <c r="AL45" i="38" a="1"/>
  <c r="AL45" i="38" s="1"/>
  <c r="BD45" i="38" s="1"/>
  <c r="AL46" i="38" a="1"/>
  <c r="AL46" i="38" s="1"/>
  <c r="BD46" i="38" s="1"/>
  <c r="AL27" i="38"/>
  <c r="AL31" i="38" a="1"/>
  <c r="AL31" i="38" s="1"/>
  <c r="BD31" i="38" s="1"/>
  <c r="N67" i="4"/>
  <c r="B15" i="36"/>
  <c r="B32" i="36" s="1"/>
  <c r="F69" i="4"/>
  <c r="F70" i="4" s="1"/>
  <c r="D68" i="4"/>
  <c r="E83" i="4" l="1"/>
  <c r="O67" i="4"/>
  <c r="N58" i="4"/>
  <c r="BQ32" i="38"/>
  <c r="BO32" i="38" s="1"/>
  <c r="BJ33" i="38"/>
  <c r="BF33" i="38"/>
  <c r="BJ44" i="38"/>
  <c r="BF44" i="38"/>
  <c r="BJ34" i="38"/>
  <c r="BF34" i="38"/>
  <c r="BJ31" i="38"/>
  <c r="BQ31" i="38" s="1"/>
  <c r="BO31" i="38" s="1"/>
  <c r="BF31" i="38"/>
  <c r="BJ42" i="38"/>
  <c r="BF42" i="38"/>
  <c r="BJ41" i="38"/>
  <c r="BF41" i="38"/>
  <c r="BJ43" i="38"/>
  <c r="BF43" i="38"/>
  <c r="BJ46" i="38"/>
  <c r="BF46" i="38"/>
  <c r="BJ38" i="38"/>
  <c r="BF38" i="38"/>
  <c r="BJ37" i="38"/>
  <c r="BF37" i="38"/>
  <c r="BJ45" i="38"/>
  <c r="BF45" i="38"/>
  <c r="BJ40" i="38"/>
  <c r="BF40" i="38"/>
  <c r="BJ36" i="38"/>
  <c r="BF36" i="38"/>
  <c r="BJ39" i="38"/>
  <c r="BF39" i="38"/>
  <c r="BJ35" i="38"/>
  <c r="BF35" i="38"/>
  <c r="BE37" i="38"/>
  <c r="BK37" i="38" s="1"/>
  <c r="BN37" i="38" s="1"/>
  <c r="BE46" i="38"/>
  <c r="BK46" i="38" s="1"/>
  <c r="BN46" i="38" s="1"/>
  <c r="BE38" i="38"/>
  <c r="BK38" i="38" s="1"/>
  <c r="BN38" i="38" s="1"/>
  <c r="BE45" i="38"/>
  <c r="BK45" i="38" s="1"/>
  <c r="BN45" i="38" s="1"/>
  <c r="BE36" i="38"/>
  <c r="BK36" i="38" s="1"/>
  <c r="BN36" i="38" s="1"/>
  <c r="BE35" i="38"/>
  <c r="BK35" i="38" s="1"/>
  <c r="BN35" i="38" s="1"/>
  <c r="BE39" i="38"/>
  <c r="BK39" i="38" s="1"/>
  <c r="BN39" i="38" s="1"/>
  <c r="BE44" i="38"/>
  <c r="BK44" i="38" s="1"/>
  <c r="BN44" i="38" s="1"/>
  <c r="BE34" i="38"/>
  <c r="BK34" i="38" s="1"/>
  <c r="BN34" i="38" s="1"/>
  <c r="BE40" i="38"/>
  <c r="BK40" i="38" s="1"/>
  <c r="BN40" i="38" s="1"/>
  <c r="BE33" i="38"/>
  <c r="BK33" i="38" s="1"/>
  <c r="BN33" i="38" s="1"/>
  <c r="BE43" i="38"/>
  <c r="BK43" i="38" s="1"/>
  <c r="BN43" i="38" s="1"/>
  <c r="BE42" i="38"/>
  <c r="BK42" i="38" s="1"/>
  <c r="BN42" i="38" s="1"/>
  <c r="BE31" i="38"/>
  <c r="BK31" i="38" s="1"/>
  <c r="BE41" i="38"/>
  <c r="BK41" i="38" s="1"/>
  <c r="BN41" i="38" s="1"/>
  <c r="BD28" i="38"/>
  <c r="AL28" i="38"/>
  <c r="N62" i="4"/>
  <c r="O62" i="4" s="1"/>
  <c r="N61" i="4"/>
  <c r="O61" i="4" s="1"/>
  <c r="N57" i="4"/>
  <c r="O57" i="4" s="1"/>
  <c r="B25" i="36"/>
  <c r="BQ42" i="38" l="1"/>
  <c r="BO42" i="38" s="1"/>
  <c r="BQ33" i="38"/>
  <c r="BO33" i="38" s="1"/>
  <c r="BQ38" i="38"/>
  <c r="BO38" i="38" s="1"/>
  <c r="BQ36" i="38"/>
  <c r="BO36" i="38" s="1"/>
  <c r="BF28" i="38"/>
  <c r="BQ39" i="38"/>
  <c r="BO39" i="38" s="1"/>
  <c r="BJ28" i="38"/>
  <c r="BQ43" i="38"/>
  <c r="BO43" i="38" s="1"/>
  <c r="BQ41" i="38"/>
  <c r="BQ34" i="38"/>
  <c r="BO34" i="38" s="1"/>
  <c r="BQ40" i="38"/>
  <c r="BO40" i="38" s="1"/>
  <c r="BQ45" i="38"/>
  <c r="BQ35" i="38"/>
  <c r="BQ46" i="38"/>
  <c r="BO46" i="38" s="1"/>
  <c r="BQ44" i="38"/>
  <c r="BO44" i="38" s="1"/>
  <c r="BQ37" i="38"/>
  <c r="BN31" i="38"/>
  <c r="BK28" i="38"/>
  <c r="BE28" i="38"/>
  <c r="AU28" i="38"/>
  <c r="C14" i="34"/>
  <c r="B26" i="36"/>
  <c r="G33" i="36"/>
  <c r="C32" i="36"/>
  <c r="D32" i="36"/>
  <c r="O68" i="4"/>
  <c r="BN28" i="38" l="1"/>
  <c r="BO35" i="38"/>
  <c r="H33" i="36"/>
  <c r="I33" i="36" s="1"/>
  <c r="B33" i="36"/>
  <c r="BO37" i="38" l="1"/>
  <c r="G34" i="36"/>
  <c r="D33" i="36"/>
  <c r="C33" i="36"/>
  <c r="B78" i="24"/>
  <c r="A7" i="4" s="1"/>
  <c r="BO41" i="38" l="1"/>
  <c r="H34" i="36"/>
  <c r="I34" i="36" s="1"/>
  <c r="B34" i="36"/>
  <c r="BO45" i="38" l="1"/>
  <c r="BO63" i="38"/>
  <c r="BO95" i="38"/>
  <c r="G35" i="36"/>
  <c r="D34" i="36"/>
  <c r="C34" i="36"/>
  <c r="BO70" i="38" l="1"/>
  <c r="H35" i="36"/>
  <c r="I35" i="36" s="1"/>
  <c r="B35" i="36"/>
  <c r="BO71" i="38" l="1"/>
  <c r="G36" i="36"/>
  <c r="D35" i="36"/>
  <c r="C35" i="36"/>
  <c r="BO102" i="38" l="1"/>
  <c r="H36" i="36"/>
  <c r="I36" i="36" s="1"/>
  <c r="B36" i="36"/>
  <c r="BO73" i="38" l="1"/>
  <c r="G37" i="36"/>
  <c r="C36" i="36"/>
  <c r="H37" i="36" s="1"/>
  <c r="D36" i="36"/>
  <c r="BO74" i="38" l="1"/>
  <c r="I37" i="36"/>
  <c r="B37" i="36"/>
  <c r="G38" i="36" s="1"/>
  <c r="BO75" i="38" l="1"/>
  <c r="D37" i="36"/>
  <c r="C37" i="36"/>
  <c r="H38" i="36" s="1"/>
  <c r="I38" i="36" s="1"/>
  <c r="BO106" i="38" l="1"/>
  <c r="B38" i="36"/>
  <c r="G39" i="36" s="1"/>
  <c r="BO107" i="38" l="1"/>
  <c r="D38" i="36"/>
  <c r="C38" i="36"/>
  <c r="H39" i="36" s="1"/>
  <c r="I39" i="36" s="1"/>
  <c r="BO81" i="38" l="1"/>
  <c r="B39" i="36"/>
  <c r="G40" i="36" s="1"/>
  <c r="BO82" i="38" l="1"/>
  <c r="D39" i="36"/>
  <c r="C39" i="36"/>
  <c r="H40" i="36" s="1"/>
  <c r="I40" i="36" s="1"/>
  <c r="BO83" i="38" l="1"/>
  <c r="B40" i="36"/>
  <c r="G41" i="36" s="1"/>
  <c r="BO113" i="38" l="1"/>
  <c r="D40" i="36"/>
  <c r="C40" i="36"/>
  <c r="H41" i="36" s="1"/>
  <c r="I41" i="36" s="1"/>
  <c r="BO114" i="38" l="1"/>
  <c r="B41" i="36"/>
  <c r="G42" i="36" s="1"/>
  <c r="BO90" i="38" l="1"/>
  <c r="D41" i="36"/>
  <c r="C41" i="36"/>
  <c r="H42" i="36" s="1"/>
  <c r="I42" i="36" s="1"/>
  <c r="BO91" i="38" l="1"/>
  <c r="B42" i="36"/>
  <c r="G43" i="36" s="1"/>
  <c r="BO92" i="38" l="1"/>
  <c r="D42" i="36"/>
  <c r="C42" i="36"/>
  <c r="H43" i="36" s="1"/>
  <c r="I43" i="36" s="1"/>
  <c r="BO129" i="38" l="1"/>
  <c r="B43" i="36"/>
  <c r="G44" i="36" s="1"/>
  <c r="BO132" i="38" l="1"/>
  <c r="D43" i="36"/>
  <c r="C43" i="36"/>
  <c r="H44" i="36" s="1"/>
  <c r="I44" i="36" s="1"/>
  <c r="BO156" i="38" l="1"/>
  <c r="B44" i="36"/>
  <c r="G45" i="36" s="1"/>
  <c r="BO138" i="38" l="1"/>
  <c r="D44" i="36"/>
  <c r="C44" i="36"/>
  <c r="H45" i="36" s="1"/>
  <c r="I45" i="36" s="1"/>
  <c r="BO162" i="38" l="1"/>
  <c r="B45" i="36"/>
  <c r="G46" i="36" s="1"/>
  <c r="BO142" i="38" l="1"/>
  <c r="E35" i="37" s="1"/>
  <c r="D45" i="36"/>
  <c r="C45" i="36"/>
  <c r="H46" i="36" s="1"/>
  <c r="I46" i="36" s="1"/>
  <c r="I101" i="37" l="1"/>
  <c r="G74" i="37"/>
  <c r="I106" i="37"/>
  <c r="C85" i="37"/>
  <c r="D60" i="37"/>
  <c r="B75" i="37"/>
  <c r="F75" i="37" s="1"/>
  <c r="H83" i="37"/>
  <c r="H70" i="37"/>
  <c r="H109" i="37"/>
  <c r="I105" i="37"/>
  <c r="D81" i="37"/>
  <c r="C81" i="37"/>
  <c r="H50" i="37"/>
  <c r="C156" i="37"/>
  <c r="H93" i="37"/>
  <c r="I49" i="37"/>
  <c r="H49" i="37"/>
  <c r="B48" i="37"/>
  <c r="F48" i="37" s="1"/>
  <c r="D47" i="37"/>
  <c r="E32" i="37"/>
  <c r="E44" i="37"/>
  <c r="I169" i="37"/>
  <c r="E41" i="37"/>
  <c r="G102" i="37"/>
  <c r="C73" i="37"/>
  <c r="H96" i="37"/>
  <c r="D63" i="37"/>
  <c r="H94" i="37"/>
  <c r="I173" i="37"/>
  <c r="E50" i="37"/>
  <c r="I44" i="37"/>
  <c r="B44" i="37"/>
  <c r="F44" i="37" s="1"/>
  <c r="H45" i="37"/>
  <c r="B45" i="37"/>
  <c r="F45" i="37" s="1"/>
  <c r="E48" i="37"/>
  <c r="E39" i="37"/>
  <c r="B46" i="37"/>
  <c r="F46" i="37" s="1"/>
  <c r="E42" i="37"/>
  <c r="H63" i="37"/>
  <c r="E37" i="37"/>
  <c r="H48" i="37"/>
  <c r="B120" i="37"/>
  <c r="F120" i="37" s="1"/>
  <c r="B109" i="37"/>
  <c r="F109" i="37" s="1"/>
  <c r="G134" i="37"/>
  <c r="B67" i="37"/>
  <c r="F67" i="37" s="1"/>
  <c r="D124" i="37"/>
  <c r="B127" i="37"/>
  <c r="F127" i="37" s="1"/>
  <c r="B52" i="37"/>
  <c r="F52" i="37" s="1"/>
  <c r="E38" i="37"/>
  <c r="C45" i="37"/>
  <c r="B49" i="37"/>
  <c r="F49" i="37" s="1"/>
  <c r="E46" i="37"/>
  <c r="E45" i="37"/>
  <c r="D46" i="37"/>
  <c r="D57" i="37"/>
  <c r="E43" i="37"/>
  <c r="B64" i="37"/>
  <c r="F64" i="37" s="1"/>
  <c r="G50" i="37"/>
  <c r="D134" i="37"/>
  <c r="H99" i="37"/>
  <c r="I97" i="37"/>
  <c r="H77" i="37"/>
  <c r="G91" i="37"/>
  <c r="H142" i="37"/>
  <c r="I104" i="37"/>
  <c r="B50" i="37"/>
  <c r="F50" i="37" s="1"/>
  <c r="B47" i="37"/>
  <c r="F47" i="37" s="1"/>
  <c r="D45" i="37"/>
  <c r="G48" i="37"/>
  <c r="G49" i="37"/>
  <c r="G44" i="37"/>
  <c r="I46" i="37"/>
  <c r="I45" i="37"/>
  <c r="G129" i="37"/>
  <c r="H66" i="37"/>
  <c r="E47" i="37"/>
  <c r="D102" i="37"/>
  <c r="G103" i="37"/>
  <c r="B110" i="37"/>
  <c r="F110" i="37" s="1"/>
  <c r="E67" i="37"/>
  <c r="I126" i="37"/>
  <c r="I148" i="37"/>
  <c r="I50" i="37"/>
  <c r="D48" i="37"/>
  <c r="D49" i="37"/>
  <c r="C44" i="37"/>
  <c r="I47" i="37"/>
  <c r="G47" i="37"/>
  <c r="C49" i="37"/>
  <c r="H44" i="37"/>
  <c r="E49" i="37"/>
  <c r="C50" i="37"/>
  <c r="E40" i="37"/>
  <c r="G135" i="37"/>
  <c r="B77" i="37"/>
  <c r="F77" i="37" s="1"/>
  <c r="E36" i="37"/>
  <c r="I99" i="37"/>
  <c r="E150" i="37"/>
  <c r="G147" i="37"/>
  <c r="H121" i="37"/>
  <c r="C106" i="37"/>
  <c r="I117" i="37"/>
  <c r="I54" i="37"/>
  <c r="B174" i="37"/>
  <c r="F174" i="37" s="1"/>
  <c r="G53" i="37"/>
  <c r="D44" i="37"/>
  <c r="C47" i="37"/>
  <c r="I48" i="37"/>
  <c r="C48" i="37"/>
  <c r="G46" i="37"/>
  <c r="H47" i="37"/>
  <c r="E53" i="37"/>
  <c r="B29" i="37"/>
  <c r="F29" i="37" s="1"/>
  <c r="C29" i="37"/>
  <c r="D29" i="37"/>
  <c r="I30" i="37"/>
  <c r="C30" i="37"/>
  <c r="E29" i="37"/>
  <c r="H30" i="37"/>
  <c r="C33" i="37"/>
  <c r="C32" i="37"/>
  <c r="D30" i="37"/>
  <c r="B30" i="37"/>
  <c r="F30" i="37" s="1"/>
  <c r="E30" i="37"/>
  <c r="H32" i="37"/>
  <c r="I32" i="37"/>
  <c r="D31" i="37"/>
  <c r="B31" i="37"/>
  <c r="F31" i="37" s="1"/>
  <c r="B33" i="37"/>
  <c r="F33" i="37" s="1"/>
  <c r="H31" i="37"/>
  <c r="E31" i="37"/>
  <c r="G30" i="37"/>
  <c r="D33" i="37"/>
  <c r="B32" i="37"/>
  <c r="F32" i="37" s="1"/>
  <c r="H35" i="37"/>
  <c r="G35" i="37"/>
  <c r="B34" i="37"/>
  <c r="F34" i="37" s="1"/>
  <c r="G31" i="37"/>
  <c r="G32" i="37"/>
  <c r="I33" i="37"/>
  <c r="I34" i="37"/>
  <c r="I31" i="37"/>
  <c r="C35" i="37"/>
  <c r="D32" i="37"/>
  <c r="C34" i="37"/>
  <c r="C31" i="37"/>
  <c r="G33" i="37"/>
  <c r="E33" i="37"/>
  <c r="D34" i="37"/>
  <c r="B35" i="37"/>
  <c r="F35" i="37" s="1"/>
  <c r="G34" i="37"/>
  <c r="H34" i="37"/>
  <c r="H33" i="37"/>
  <c r="B36" i="37"/>
  <c r="F36" i="37" s="1"/>
  <c r="I35" i="37"/>
  <c r="D35" i="37"/>
  <c r="D37" i="37"/>
  <c r="B37" i="37"/>
  <c r="F37" i="37" s="1"/>
  <c r="E34" i="37"/>
  <c r="H36" i="37"/>
  <c r="H37" i="37"/>
  <c r="I38" i="37"/>
  <c r="C37" i="37"/>
  <c r="D36" i="37"/>
  <c r="G36" i="37"/>
  <c r="I36" i="37"/>
  <c r="C36" i="37"/>
  <c r="G38" i="37"/>
  <c r="G37" i="37"/>
  <c r="D39" i="37"/>
  <c r="H38" i="37"/>
  <c r="D38" i="37"/>
  <c r="I37" i="37"/>
  <c r="B38" i="37"/>
  <c r="F38" i="37" s="1"/>
  <c r="C38" i="37"/>
  <c r="I39" i="37"/>
  <c r="B39" i="37"/>
  <c r="F39" i="37" s="1"/>
  <c r="B41" i="37"/>
  <c r="F41" i="37" s="1"/>
  <c r="B40" i="37"/>
  <c r="F40" i="37" s="1"/>
  <c r="H39" i="37"/>
  <c r="G39" i="37"/>
  <c r="C39" i="37"/>
  <c r="D40" i="37"/>
  <c r="I41" i="37"/>
  <c r="H40" i="37"/>
  <c r="I40" i="37"/>
  <c r="G43" i="37"/>
  <c r="G40" i="37"/>
  <c r="C42" i="37"/>
  <c r="D42" i="37"/>
  <c r="H43" i="37"/>
  <c r="C40" i="37"/>
  <c r="G41" i="37"/>
  <c r="I42" i="37"/>
  <c r="C43" i="37"/>
  <c r="H41" i="37"/>
  <c r="C41" i="37"/>
  <c r="H42" i="37"/>
  <c r="D41" i="37"/>
  <c r="G42" i="37"/>
  <c r="B42" i="37"/>
  <c r="F42" i="37" s="1"/>
  <c r="B43" i="37"/>
  <c r="F43" i="37" s="1"/>
  <c r="D43" i="37"/>
  <c r="G45" i="37"/>
  <c r="I43" i="37"/>
  <c r="B51" i="37"/>
  <c r="F51" i="37" s="1"/>
  <c r="D51" i="37"/>
  <c r="C51" i="37"/>
  <c r="E51" i="37"/>
  <c r="H52" i="37"/>
  <c r="I51" i="37"/>
  <c r="G178" i="37"/>
  <c r="I53" i="37"/>
  <c r="H51" i="37"/>
  <c r="H46" i="37"/>
  <c r="C46" i="37"/>
  <c r="D50" i="37"/>
  <c r="C54" i="37"/>
  <c r="C53" i="37"/>
  <c r="H53" i="37"/>
  <c r="D54" i="37"/>
  <c r="B54" i="37"/>
  <c r="F54" i="37" s="1"/>
  <c r="D53" i="37"/>
  <c r="H54" i="37"/>
  <c r="G51" i="37"/>
  <c r="I52" i="37"/>
  <c r="E54" i="37"/>
  <c r="E52" i="37"/>
  <c r="B53" i="37"/>
  <c r="F53" i="37" s="1"/>
  <c r="D52" i="37"/>
  <c r="H131" i="37"/>
  <c r="G52" i="37"/>
  <c r="G54" i="37"/>
  <c r="C52" i="37"/>
  <c r="C126" i="37"/>
  <c r="G73" i="37"/>
  <c r="G111" i="37"/>
  <c r="I157" i="37"/>
  <c r="D95" i="37"/>
  <c r="G113" i="37"/>
  <c r="H118" i="37"/>
  <c r="D97" i="37"/>
  <c r="B95" i="37"/>
  <c r="F95" i="37" s="1"/>
  <c r="C124" i="37"/>
  <c r="B114" i="37"/>
  <c r="F114" i="37" s="1"/>
  <c r="D115" i="37"/>
  <c r="D61" i="37"/>
  <c r="H174" i="37"/>
  <c r="B61" i="37"/>
  <c r="F61" i="37" s="1"/>
  <c r="D161" i="37"/>
  <c r="B170" i="37"/>
  <c r="F170" i="37" s="1"/>
  <c r="D117" i="37"/>
  <c r="B139" i="37"/>
  <c r="F139" i="37" s="1"/>
  <c r="G141" i="37"/>
  <c r="D126" i="37"/>
  <c r="B101" i="37"/>
  <c r="F101" i="37" s="1"/>
  <c r="B94" i="37"/>
  <c r="F94" i="37" s="1"/>
  <c r="H149" i="37"/>
  <c r="D127" i="37"/>
  <c r="H175" i="37"/>
  <c r="D137" i="37"/>
  <c r="I115" i="37"/>
  <c r="D85" i="37"/>
  <c r="I81" i="37"/>
  <c r="I156" i="37"/>
  <c r="I66" i="37"/>
  <c r="G162" i="37"/>
  <c r="H145" i="37"/>
  <c r="D174" i="37"/>
  <c r="H115" i="37"/>
  <c r="C102" i="37"/>
  <c r="I133" i="37"/>
  <c r="C109" i="37"/>
  <c r="B176" i="37"/>
  <c r="F176" i="37" s="1"/>
  <c r="I127" i="37"/>
  <c r="E177" i="37"/>
  <c r="C83" i="37"/>
  <c r="G166" i="37"/>
  <c r="H103" i="37"/>
  <c r="C75" i="37"/>
  <c r="E123" i="37"/>
  <c r="G136" i="37"/>
  <c r="G144" i="37"/>
  <c r="G171" i="37"/>
  <c r="D148" i="37"/>
  <c r="C142" i="37"/>
  <c r="B74" i="37"/>
  <c r="F74" i="37" s="1"/>
  <c r="I87" i="37"/>
  <c r="C76" i="37"/>
  <c r="E132" i="37"/>
  <c r="E119" i="37"/>
  <c r="D76" i="37"/>
  <c r="G109" i="37"/>
  <c r="E65" i="37"/>
  <c r="I60" i="37"/>
  <c r="B177" i="37"/>
  <c r="F177" i="37" s="1"/>
  <c r="E169" i="37"/>
  <c r="E103" i="37"/>
  <c r="G138" i="37"/>
  <c r="E91" i="37"/>
  <c r="D65" i="37"/>
  <c r="G124" i="37"/>
  <c r="G89" i="37"/>
  <c r="D88" i="37"/>
  <c r="I57" i="37"/>
  <c r="B125" i="37"/>
  <c r="F125" i="37" s="1"/>
  <c r="E138" i="37"/>
  <c r="E163" i="37"/>
  <c r="B128" i="37"/>
  <c r="F128" i="37" s="1"/>
  <c r="D176" i="37"/>
  <c r="C173" i="37"/>
  <c r="E87" i="37"/>
  <c r="H95" i="37"/>
  <c r="B80" i="37"/>
  <c r="F80" i="37" s="1"/>
  <c r="E136" i="37"/>
  <c r="G163" i="37"/>
  <c r="B104" i="37"/>
  <c r="F104" i="37" s="1"/>
  <c r="G164" i="37"/>
  <c r="D58" i="37"/>
  <c r="B97" i="37"/>
  <c r="F97" i="37" s="1"/>
  <c r="E155" i="37"/>
  <c r="G148" i="37"/>
  <c r="C101" i="37"/>
  <c r="D166" i="37"/>
  <c r="I82" i="37"/>
  <c r="B88" i="37"/>
  <c r="F88" i="37" s="1"/>
  <c r="E166" i="37"/>
  <c r="B69" i="37"/>
  <c r="F69" i="37" s="1"/>
  <c r="C171" i="37"/>
  <c r="B96" i="37"/>
  <c r="F96" i="37" s="1"/>
  <c r="G68" i="37"/>
  <c r="I67" i="37"/>
  <c r="D94" i="37"/>
  <c r="C136" i="37"/>
  <c r="I141" i="37"/>
  <c r="C69" i="37"/>
  <c r="C87" i="37"/>
  <c r="C125" i="37"/>
  <c r="I96" i="37"/>
  <c r="D55" i="37"/>
  <c r="G57" i="37"/>
  <c r="D105" i="37"/>
  <c r="D132" i="37"/>
  <c r="I83" i="37"/>
  <c r="B111" i="37"/>
  <c r="F111" i="37" s="1"/>
  <c r="H167" i="37"/>
  <c r="I142" i="37"/>
  <c r="E99" i="37"/>
  <c r="H139" i="37"/>
  <c r="B146" i="37"/>
  <c r="F146" i="37" s="1"/>
  <c r="E104" i="37"/>
  <c r="H71" i="37"/>
  <c r="C154" i="37"/>
  <c r="E157" i="37"/>
  <c r="G99" i="37"/>
  <c r="H81" i="37"/>
  <c r="E131" i="37"/>
  <c r="G61" i="37"/>
  <c r="B135" i="37"/>
  <c r="F135" i="37" s="1"/>
  <c r="I61" i="37"/>
  <c r="C148" i="37"/>
  <c r="E114" i="37"/>
  <c r="H88" i="37"/>
  <c r="E105" i="37"/>
  <c r="G137" i="37"/>
  <c r="I161" i="37"/>
  <c r="I172" i="37"/>
  <c r="E122" i="37"/>
  <c r="C157" i="37"/>
  <c r="I85" i="37"/>
  <c r="E126" i="37"/>
  <c r="H55" i="37"/>
  <c r="D142" i="37"/>
  <c r="B169" i="37"/>
  <c r="F169" i="37" s="1"/>
  <c r="G170" i="37"/>
  <c r="E90" i="37"/>
  <c r="I146" i="37"/>
  <c r="C71" i="37"/>
  <c r="G127" i="37"/>
  <c r="E86" i="37"/>
  <c r="E116" i="37"/>
  <c r="B115" i="37"/>
  <c r="F115" i="37" s="1"/>
  <c r="E137" i="37"/>
  <c r="E64" i="37"/>
  <c r="E83" i="37"/>
  <c r="C103" i="37"/>
  <c r="G79" i="37"/>
  <c r="B55" i="37"/>
  <c r="F55" i="37" s="1"/>
  <c r="C147" i="37"/>
  <c r="C117" i="37"/>
  <c r="G139" i="37"/>
  <c r="C84" i="37"/>
  <c r="I164" i="37"/>
  <c r="E146" i="37"/>
  <c r="H102" i="37"/>
  <c r="H160" i="37"/>
  <c r="G96" i="37"/>
  <c r="B119" i="37"/>
  <c r="F119" i="37" s="1"/>
  <c r="G150" i="37"/>
  <c r="E79" i="37"/>
  <c r="E164" i="37"/>
  <c r="C67" i="37"/>
  <c r="E68" i="37"/>
  <c r="D99" i="37"/>
  <c r="B57" i="37"/>
  <c r="F57" i="37" s="1"/>
  <c r="C131" i="37"/>
  <c r="E97" i="37"/>
  <c r="I86" i="37"/>
  <c r="H169" i="37"/>
  <c r="C57" i="37"/>
  <c r="D171" i="37"/>
  <c r="D87" i="37"/>
  <c r="D156" i="37"/>
  <c r="I111" i="37"/>
  <c r="B159" i="37"/>
  <c r="F159" i="37" s="1"/>
  <c r="G63" i="37"/>
  <c r="E156" i="37"/>
  <c r="D165" i="37"/>
  <c r="H159" i="37"/>
  <c r="E66" i="37"/>
  <c r="H122" i="37"/>
  <c r="I121" i="37"/>
  <c r="E167" i="37"/>
  <c r="E158" i="37"/>
  <c r="E92" i="37"/>
  <c r="E145" i="37"/>
  <c r="G158" i="37"/>
  <c r="E84" i="37"/>
  <c r="D59" i="37"/>
  <c r="D170" i="37"/>
  <c r="E140" i="37"/>
  <c r="H89" i="37"/>
  <c r="H119" i="37"/>
  <c r="D140" i="37"/>
  <c r="H75" i="37"/>
  <c r="I139" i="37"/>
  <c r="H111" i="37"/>
  <c r="B81" i="37"/>
  <c r="F81" i="37" s="1"/>
  <c r="I92" i="37"/>
  <c r="D74" i="37"/>
  <c r="E162" i="37"/>
  <c r="I163" i="37"/>
  <c r="I107" i="37"/>
  <c r="B76" i="37"/>
  <c r="F76" i="37" s="1"/>
  <c r="I93" i="37"/>
  <c r="G152" i="37"/>
  <c r="D92" i="37"/>
  <c r="B85" i="37"/>
  <c r="F85" i="37" s="1"/>
  <c r="B118" i="37"/>
  <c r="F118" i="37" s="1"/>
  <c r="H162" i="37"/>
  <c r="H171" i="37"/>
  <c r="C111" i="37"/>
  <c r="E80" i="37"/>
  <c r="E61" i="37"/>
  <c r="D158" i="37"/>
  <c r="B108" i="37"/>
  <c r="F108" i="37" s="1"/>
  <c r="E135" i="37"/>
  <c r="C58" i="37"/>
  <c r="H112" i="37"/>
  <c r="H100" i="37"/>
  <c r="B56" i="37"/>
  <c r="F56" i="37" s="1"/>
  <c r="D168" i="37"/>
  <c r="C159" i="37"/>
  <c r="D162" i="37"/>
  <c r="I162" i="37"/>
  <c r="D121" i="37"/>
  <c r="E56" i="37"/>
  <c r="I174" i="37"/>
  <c r="I119" i="37"/>
  <c r="E153" i="37"/>
  <c r="E161" i="37"/>
  <c r="B175" i="37"/>
  <c r="F175" i="37" s="1"/>
  <c r="E58" i="37"/>
  <c r="C107" i="37"/>
  <c r="D167" i="37"/>
  <c r="I74" i="37"/>
  <c r="I95" i="37"/>
  <c r="E128" i="37"/>
  <c r="D113" i="37"/>
  <c r="E69" i="37"/>
  <c r="I98" i="37"/>
  <c r="H127" i="37"/>
  <c r="C152" i="37"/>
  <c r="B134" i="37"/>
  <c r="F134" i="37" s="1"/>
  <c r="B58" i="37"/>
  <c r="F58" i="37" s="1"/>
  <c r="I143" i="37"/>
  <c r="I138" i="37"/>
  <c r="G117" i="37"/>
  <c r="D143" i="37"/>
  <c r="B155" i="37"/>
  <c r="F155" i="37" s="1"/>
  <c r="B154" i="37"/>
  <c r="F154" i="37" s="1"/>
  <c r="I178" i="37"/>
  <c r="B93" i="37"/>
  <c r="F93" i="37" s="1"/>
  <c r="I78" i="37"/>
  <c r="C161" i="37"/>
  <c r="C176" i="37"/>
  <c r="E112" i="37"/>
  <c r="E133" i="37"/>
  <c r="G143" i="37"/>
  <c r="D151" i="37"/>
  <c r="H158" i="37"/>
  <c r="H151" i="37"/>
  <c r="H61" i="37"/>
  <c r="B123" i="37"/>
  <c r="F123" i="37" s="1"/>
  <c r="G105" i="37"/>
  <c r="B137" i="37"/>
  <c r="F137" i="37" s="1"/>
  <c r="D175" i="37"/>
  <c r="G119" i="37"/>
  <c r="B164" i="37"/>
  <c r="F164" i="37" s="1"/>
  <c r="H141" i="37"/>
  <c r="E101" i="37"/>
  <c r="C100" i="37"/>
  <c r="H106" i="37"/>
  <c r="B84" i="37"/>
  <c r="F84" i="37" s="1"/>
  <c r="D103" i="37"/>
  <c r="E85" i="37"/>
  <c r="B173" i="37"/>
  <c r="F173" i="37" s="1"/>
  <c r="C92" i="37"/>
  <c r="E82" i="37"/>
  <c r="I108" i="37"/>
  <c r="C80" i="37"/>
  <c r="D160" i="37"/>
  <c r="E149" i="37"/>
  <c r="D116" i="37"/>
  <c r="G151" i="37"/>
  <c r="G165" i="37"/>
  <c r="E89" i="37"/>
  <c r="D73" i="37"/>
  <c r="G126" i="37"/>
  <c r="E159" i="37"/>
  <c r="D104" i="37"/>
  <c r="G78" i="37"/>
  <c r="B62" i="37"/>
  <c r="F62" i="37" s="1"/>
  <c r="B100" i="37"/>
  <c r="F100" i="37" s="1"/>
  <c r="B133" i="37"/>
  <c r="F133" i="37" s="1"/>
  <c r="E168" i="37"/>
  <c r="B105" i="37"/>
  <c r="F105" i="37" s="1"/>
  <c r="I91" i="37"/>
  <c r="B124" i="37"/>
  <c r="F124" i="37" s="1"/>
  <c r="G130" i="37"/>
  <c r="E109" i="37"/>
  <c r="G172" i="37"/>
  <c r="C122" i="37"/>
  <c r="C140" i="37"/>
  <c r="C127" i="37"/>
  <c r="E154" i="37"/>
  <c r="H65" i="37"/>
  <c r="B178" i="37"/>
  <c r="F178" i="37" s="1"/>
  <c r="I58" i="37"/>
  <c r="D101" i="37"/>
  <c r="D135" i="37"/>
  <c r="C123" i="37"/>
  <c r="E110" i="37"/>
  <c r="E75" i="37"/>
  <c r="H86" i="37"/>
  <c r="G110" i="37"/>
  <c r="C132" i="37"/>
  <c r="C168" i="37"/>
  <c r="C129" i="37"/>
  <c r="C119" i="37"/>
  <c r="G153" i="37"/>
  <c r="I150" i="37"/>
  <c r="D108" i="37"/>
  <c r="E178" i="37"/>
  <c r="I110" i="37"/>
  <c r="G69" i="37"/>
  <c r="G80" i="37"/>
  <c r="E147" i="37"/>
  <c r="H105" i="37"/>
  <c r="B145" i="37"/>
  <c r="F145" i="37" s="1"/>
  <c r="I89" i="37"/>
  <c r="D106" i="37"/>
  <c r="B143" i="37"/>
  <c r="F143" i="37" s="1"/>
  <c r="G71" i="37"/>
  <c r="E165" i="37"/>
  <c r="E95" i="37"/>
  <c r="E111" i="37"/>
  <c r="G104" i="37"/>
  <c r="B89" i="37"/>
  <c r="F89" i="37" s="1"/>
  <c r="D169" i="37"/>
  <c r="E175" i="37"/>
  <c r="D119" i="37"/>
  <c r="H136" i="37"/>
  <c r="C110" i="37"/>
  <c r="E63" i="37"/>
  <c r="H90" i="37"/>
  <c r="B160" i="37"/>
  <c r="F160" i="37" s="1"/>
  <c r="E62" i="37"/>
  <c r="B83" i="37"/>
  <c r="F83" i="37" s="1"/>
  <c r="B86" i="37"/>
  <c r="F86" i="37" s="1"/>
  <c r="I64" i="37"/>
  <c r="G66" i="37"/>
  <c r="D177" i="37"/>
  <c r="H80" i="37"/>
  <c r="E152" i="37"/>
  <c r="I69" i="37"/>
  <c r="G97" i="37"/>
  <c r="B153" i="37"/>
  <c r="F153" i="37" s="1"/>
  <c r="D130" i="37"/>
  <c r="H68" i="37"/>
  <c r="I135" i="37"/>
  <c r="B66" i="37"/>
  <c r="F66" i="37" s="1"/>
  <c r="G125" i="37"/>
  <c r="G108" i="37"/>
  <c r="I76" i="37"/>
  <c r="C165" i="37"/>
  <c r="D98" i="37"/>
  <c r="I122" i="37"/>
  <c r="B132" i="37"/>
  <c r="F132" i="37" s="1"/>
  <c r="H161" i="37"/>
  <c r="E98" i="37"/>
  <c r="H128" i="37"/>
  <c r="B166" i="37"/>
  <c r="F166" i="37" s="1"/>
  <c r="E134" i="37"/>
  <c r="G168" i="37"/>
  <c r="B79" i="37"/>
  <c r="F79" i="37" s="1"/>
  <c r="C64" i="37"/>
  <c r="I165" i="37"/>
  <c r="E70" i="37"/>
  <c r="E117" i="37"/>
  <c r="B102" i="37"/>
  <c r="F102" i="37" s="1"/>
  <c r="C118" i="37"/>
  <c r="E78" i="37"/>
  <c r="H84" i="37"/>
  <c r="C164" i="37"/>
  <c r="G88" i="37"/>
  <c r="H126" i="37"/>
  <c r="I80" i="37"/>
  <c r="D133" i="37"/>
  <c r="E115" i="37"/>
  <c r="D120" i="37"/>
  <c r="H74" i="37"/>
  <c r="G92" i="37"/>
  <c r="E108" i="37"/>
  <c r="B158" i="37"/>
  <c r="F158" i="37" s="1"/>
  <c r="E96" i="37"/>
  <c r="G70" i="37"/>
  <c r="B150" i="37"/>
  <c r="F150" i="37" s="1"/>
  <c r="G65" i="37"/>
  <c r="D107" i="37"/>
  <c r="B171" i="37"/>
  <c r="F171" i="37" s="1"/>
  <c r="B59" i="37"/>
  <c r="F59" i="37" s="1"/>
  <c r="H58" i="37"/>
  <c r="C91" i="37"/>
  <c r="E107" i="37"/>
  <c r="H144" i="37"/>
  <c r="D66" i="37"/>
  <c r="E81" i="37"/>
  <c r="H164" i="37"/>
  <c r="H143" i="37"/>
  <c r="G114" i="37"/>
  <c r="H107" i="37"/>
  <c r="E125" i="37"/>
  <c r="I175" i="37"/>
  <c r="D152" i="37"/>
  <c r="E144" i="37"/>
  <c r="H129" i="37"/>
  <c r="G106" i="37"/>
  <c r="I114" i="37"/>
  <c r="I109" i="37"/>
  <c r="E143" i="37"/>
  <c r="B136" i="37"/>
  <c r="F136" i="37" s="1"/>
  <c r="G59" i="37"/>
  <c r="D96" i="37"/>
  <c r="E160" i="37"/>
  <c r="E141" i="37"/>
  <c r="E94" i="37"/>
  <c r="E88" i="37"/>
  <c r="D146" i="37"/>
  <c r="I88" i="37"/>
  <c r="I140" i="37"/>
  <c r="D157" i="37"/>
  <c r="E127" i="37"/>
  <c r="C56" i="37"/>
  <c r="H124" i="37"/>
  <c r="I118" i="37"/>
  <c r="E55" i="37"/>
  <c r="H76" i="37"/>
  <c r="D93" i="37"/>
  <c r="C134" i="37"/>
  <c r="D111" i="37"/>
  <c r="E106" i="37"/>
  <c r="B90" i="37"/>
  <c r="F90" i="37" s="1"/>
  <c r="H153" i="37"/>
  <c r="E139" i="37"/>
  <c r="E73" i="37"/>
  <c r="C72" i="37"/>
  <c r="C135" i="37"/>
  <c r="G98" i="37"/>
  <c r="I145" i="37"/>
  <c r="D125" i="37"/>
  <c r="G173" i="37"/>
  <c r="E100" i="37"/>
  <c r="D78" i="37"/>
  <c r="C105" i="37"/>
  <c r="I75" i="37"/>
  <c r="I159" i="37"/>
  <c r="I131" i="37"/>
  <c r="B117" i="37"/>
  <c r="F117" i="37" s="1"/>
  <c r="C70" i="37"/>
  <c r="D128" i="37"/>
  <c r="C99" i="37"/>
  <c r="E71" i="37"/>
  <c r="G86" i="37"/>
  <c r="G58" i="37"/>
  <c r="B162" i="37"/>
  <c r="F162" i="37" s="1"/>
  <c r="E76" i="37"/>
  <c r="D79" i="37"/>
  <c r="D131" i="37"/>
  <c r="I120" i="37"/>
  <c r="G142" i="37"/>
  <c r="I59" i="37"/>
  <c r="I116" i="37"/>
  <c r="C112" i="37"/>
  <c r="G112" i="37"/>
  <c r="D139" i="37"/>
  <c r="D136" i="37"/>
  <c r="C120" i="37"/>
  <c r="D147" i="37"/>
  <c r="D100" i="37"/>
  <c r="H133" i="37"/>
  <c r="E60" i="37"/>
  <c r="I102" i="37"/>
  <c r="E171" i="37"/>
  <c r="E148" i="37"/>
  <c r="C177" i="37"/>
  <c r="D84" i="37"/>
  <c r="D56" i="37"/>
  <c r="E72" i="37"/>
  <c r="E174" i="37"/>
  <c r="I77" i="37"/>
  <c r="G123" i="37"/>
  <c r="B149" i="37"/>
  <c r="F149" i="37" s="1"/>
  <c r="C108" i="37"/>
  <c r="I90" i="37"/>
  <c r="I112" i="37"/>
  <c r="E129" i="37"/>
  <c r="E130" i="37"/>
  <c r="D123" i="37"/>
  <c r="C68" i="37"/>
  <c r="B163" i="37"/>
  <c r="F163" i="37" s="1"/>
  <c r="E172" i="37"/>
  <c r="I166" i="37"/>
  <c r="I70" i="37"/>
  <c r="H82" i="37"/>
  <c r="H125" i="37"/>
  <c r="D69" i="37"/>
  <c r="I132" i="37"/>
  <c r="H113" i="37"/>
  <c r="H132" i="37"/>
  <c r="E74" i="37"/>
  <c r="H170" i="37"/>
  <c r="H123" i="37"/>
  <c r="I158" i="37"/>
  <c r="I154" i="37"/>
  <c r="D118" i="37"/>
  <c r="I73" i="37"/>
  <c r="B131" i="37"/>
  <c r="F131" i="37" s="1"/>
  <c r="C104" i="37"/>
  <c r="D173" i="37"/>
  <c r="B141" i="37"/>
  <c r="F141" i="37" s="1"/>
  <c r="D86" i="37"/>
  <c r="C94" i="37"/>
  <c r="C130" i="37"/>
  <c r="E102" i="37"/>
  <c r="G133" i="37"/>
  <c r="E124" i="37"/>
  <c r="G177" i="37"/>
  <c r="E118" i="37"/>
  <c r="I177" i="37"/>
  <c r="C150" i="37"/>
  <c r="D109" i="37"/>
  <c r="G156" i="37"/>
  <c r="E176" i="37"/>
  <c r="D89" i="37"/>
  <c r="H150" i="37"/>
  <c r="G77" i="37"/>
  <c r="H173" i="37"/>
  <c r="G75" i="37"/>
  <c r="E151" i="37"/>
  <c r="C155" i="37"/>
  <c r="B116" i="37"/>
  <c r="F116" i="37" s="1"/>
  <c r="B82" i="37"/>
  <c r="F82" i="37" s="1"/>
  <c r="E77" i="37"/>
  <c r="D70" i="37"/>
  <c r="B106" i="37"/>
  <c r="F106" i="37" s="1"/>
  <c r="H134" i="37"/>
  <c r="H114" i="37"/>
  <c r="B138" i="37"/>
  <c r="F138" i="37" s="1"/>
  <c r="E120" i="37"/>
  <c r="B87" i="37"/>
  <c r="F87" i="37" s="1"/>
  <c r="I152" i="37"/>
  <c r="C90" i="37"/>
  <c r="C174" i="37"/>
  <c r="C172" i="37"/>
  <c r="G101" i="37"/>
  <c r="H154" i="37"/>
  <c r="C144" i="37"/>
  <c r="H69" i="37"/>
  <c r="C115" i="37"/>
  <c r="B99" i="37"/>
  <c r="F99" i="37" s="1"/>
  <c r="E57" i="37"/>
  <c r="B121" i="37"/>
  <c r="F121" i="37" s="1"/>
  <c r="B65" i="37"/>
  <c r="F65" i="37" s="1"/>
  <c r="E93" i="37"/>
  <c r="I84" i="37"/>
  <c r="D172" i="37"/>
  <c r="B151" i="37"/>
  <c r="F151" i="37" s="1"/>
  <c r="B157" i="37"/>
  <c r="F157" i="37" s="1"/>
  <c r="E142" i="37"/>
  <c r="I151" i="37"/>
  <c r="E170" i="37"/>
  <c r="E173" i="37"/>
  <c r="C162" i="37"/>
  <c r="G131" i="37"/>
  <c r="C93" i="37"/>
  <c r="D141" i="37"/>
  <c r="I137" i="37"/>
  <c r="G160" i="37"/>
  <c r="G154" i="37"/>
  <c r="G167" i="37"/>
  <c r="C121" i="37"/>
  <c r="B142" i="37"/>
  <c r="F142" i="37" s="1"/>
  <c r="E59" i="37"/>
  <c r="C77" i="37"/>
  <c r="D150" i="37"/>
  <c r="D144" i="37"/>
  <c r="I100" i="37"/>
  <c r="C98" i="37"/>
  <c r="B72" i="37"/>
  <c r="F72" i="37" s="1"/>
  <c r="G149" i="37"/>
  <c r="B152" i="37"/>
  <c r="F152" i="37" s="1"/>
  <c r="G116" i="37"/>
  <c r="C97" i="37"/>
  <c r="G82" i="37"/>
  <c r="B172" i="37"/>
  <c r="F172" i="37" s="1"/>
  <c r="H64" i="37"/>
  <c r="I155" i="37"/>
  <c r="G159" i="37"/>
  <c r="C79" i="37"/>
  <c r="H59" i="37"/>
  <c r="H176" i="37"/>
  <c r="H117" i="37"/>
  <c r="B92" i="37"/>
  <c r="F92" i="37" s="1"/>
  <c r="I160" i="37"/>
  <c r="B161" i="37"/>
  <c r="F161" i="37" s="1"/>
  <c r="C88" i="37"/>
  <c r="C128" i="37"/>
  <c r="B167" i="37"/>
  <c r="F167" i="37" s="1"/>
  <c r="H138" i="37"/>
  <c r="C143" i="37"/>
  <c r="D80" i="37"/>
  <c r="H110" i="37"/>
  <c r="I128" i="37"/>
  <c r="C178" i="37"/>
  <c r="G84" i="37"/>
  <c r="C138" i="37"/>
  <c r="H116" i="37"/>
  <c r="G140" i="37"/>
  <c r="C169" i="37"/>
  <c r="C63" i="37"/>
  <c r="H91" i="37"/>
  <c r="B129" i="37"/>
  <c r="F129" i="37" s="1"/>
  <c r="G161" i="37"/>
  <c r="G83" i="37"/>
  <c r="I65" i="37"/>
  <c r="H60" i="37"/>
  <c r="D164" i="37"/>
  <c r="G76" i="37"/>
  <c r="G62" i="37"/>
  <c r="I129" i="37"/>
  <c r="H165" i="37"/>
  <c r="D129" i="37"/>
  <c r="C151" i="37"/>
  <c r="D155" i="37"/>
  <c r="D71" i="37"/>
  <c r="H172" i="37"/>
  <c r="B98" i="37"/>
  <c r="F98" i="37" s="1"/>
  <c r="H152" i="37"/>
  <c r="G128" i="37"/>
  <c r="C137" i="37"/>
  <c r="G157" i="37"/>
  <c r="G67" i="37"/>
  <c r="H97" i="37"/>
  <c r="C166" i="37"/>
  <c r="G81" i="37"/>
  <c r="H137" i="37"/>
  <c r="G155" i="37"/>
  <c r="H147" i="37"/>
  <c r="H168" i="37"/>
  <c r="H163" i="37"/>
  <c r="D72" i="37"/>
  <c r="I55" i="37"/>
  <c r="I153" i="37"/>
  <c r="C146" i="37"/>
  <c r="H78" i="37"/>
  <c r="H73" i="37"/>
  <c r="E113" i="37"/>
  <c r="I171" i="37"/>
  <c r="D67" i="37"/>
  <c r="I130" i="37"/>
  <c r="D110" i="37"/>
  <c r="H177" i="37"/>
  <c r="H57" i="37"/>
  <c r="G169" i="37"/>
  <c r="G72" i="37"/>
  <c r="B168" i="37"/>
  <c r="F168" i="37" s="1"/>
  <c r="D153" i="37"/>
  <c r="B144" i="37"/>
  <c r="F144" i="37" s="1"/>
  <c r="C145" i="37"/>
  <c r="E121" i="37"/>
  <c r="B107" i="37"/>
  <c r="F107" i="37" s="1"/>
  <c r="G146" i="37"/>
  <c r="B112" i="37"/>
  <c r="F112" i="37" s="1"/>
  <c r="D83" i="37"/>
  <c r="H120" i="37"/>
  <c r="B103" i="37"/>
  <c r="F103" i="37" s="1"/>
  <c r="I68" i="37"/>
  <c r="G176" i="37"/>
  <c r="B147" i="37"/>
  <c r="F147" i="37" s="1"/>
  <c r="H56" i="37"/>
  <c r="I72" i="37"/>
  <c r="D154" i="37"/>
  <c r="C141" i="37"/>
  <c r="C175" i="37"/>
  <c r="B140" i="37"/>
  <c r="F140" i="37" s="1"/>
  <c r="H87" i="37"/>
  <c r="G175" i="37"/>
  <c r="D114" i="37"/>
  <c r="G100" i="37"/>
  <c r="C86" i="37"/>
  <c r="I62" i="37"/>
  <c r="H79" i="37"/>
  <c r="D91" i="37"/>
  <c r="G122" i="37"/>
  <c r="H155" i="37"/>
  <c r="B113" i="37"/>
  <c r="F113" i="37" s="1"/>
  <c r="C160" i="37"/>
  <c r="C78" i="37"/>
  <c r="I170" i="37"/>
  <c r="C60" i="37"/>
  <c r="B60" i="37"/>
  <c r="F60" i="37" s="1"/>
  <c r="I103" i="37"/>
  <c r="B130" i="37"/>
  <c r="F130" i="37" s="1"/>
  <c r="H104" i="37"/>
  <c r="H108" i="37"/>
  <c r="D75" i="37"/>
  <c r="D77" i="37"/>
  <c r="H157" i="37"/>
  <c r="C139" i="37"/>
  <c r="H140" i="37"/>
  <c r="D122" i="37"/>
  <c r="B126" i="37"/>
  <c r="F126" i="37" s="1"/>
  <c r="G115" i="37"/>
  <c r="I144" i="37"/>
  <c r="B68" i="37"/>
  <c r="F68" i="37" s="1"/>
  <c r="H85" i="37"/>
  <c r="G87" i="37"/>
  <c r="H101" i="37"/>
  <c r="B73" i="37"/>
  <c r="F73" i="37" s="1"/>
  <c r="G107" i="37"/>
  <c r="C113" i="37"/>
  <c r="I123" i="37"/>
  <c r="I124" i="37"/>
  <c r="I79" i="37"/>
  <c r="D145" i="37"/>
  <c r="G60" i="37"/>
  <c r="D159" i="37"/>
  <c r="D112" i="37"/>
  <c r="C62" i="37"/>
  <c r="B71" i="37"/>
  <c r="F71" i="37" s="1"/>
  <c r="H130" i="37"/>
  <c r="G64" i="37"/>
  <c r="C149" i="37"/>
  <c r="B122" i="37"/>
  <c r="F122" i="37" s="1"/>
  <c r="I71" i="37"/>
  <c r="B91" i="37"/>
  <c r="F91" i="37" s="1"/>
  <c r="C167" i="37"/>
  <c r="G93" i="37"/>
  <c r="D163" i="37"/>
  <c r="D82" i="37"/>
  <c r="B78" i="37"/>
  <c r="F78" i="37" s="1"/>
  <c r="I113" i="37"/>
  <c r="H72" i="37"/>
  <c r="H148" i="37"/>
  <c r="G85" i="37"/>
  <c r="I167" i="37"/>
  <c r="C163" i="37"/>
  <c r="G56" i="37"/>
  <c r="C55" i="37"/>
  <c r="B70" i="37"/>
  <c r="F70" i="37" s="1"/>
  <c r="D62" i="37"/>
  <c r="G118" i="37"/>
  <c r="C74" i="37"/>
  <c r="I125" i="37"/>
  <c r="G94" i="37"/>
  <c r="B165" i="37"/>
  <c r="F165" i="37" s="1"/>
  <c r="C95" i="37"/>
  <c r="D149" i="37"/>
  <c r="C158" i="37"/>
  <c r="H67" i="37"/>
  <c r="C59" i="37"/>
  <c r="C114" i="37"/>
  <c r="C170" i="37"/>
  <c r="C65" i="37"/>
  <c r="B156" i="37"/>
  <c r="F156" i="37" s="1"/>
  <c r="I149" i="37"/>
  <c r="H98" i="37"/>
  <c r="I147" i="37"/>
  <c r="G120" i="37"/>
  <c r="I134" i="37"/>
  <c r="G132" i="37"/>
  <c r="D68" i="37"/>
  <c r="C133" i="37"/>
  <c r="H135" i="37"/>
  <c r="G55" i="37"/>
  <c r="G90" i="37"/>
  <c r="G121" i="37"/>
  <c r="C82" i="37"/>
  <c r="H156" i="37"/>
  <c r="I168" i="37"/>
  <c r="H178" i="37"/>
  <c r="D64" i="37"/>
  <c r="C96" i="37"/>
  <c r="I136" i="37"/>
  <c r="C116" i="37"/>
  <c r="C66" i="37"/>
  <c r="I94" i="37"/>
  <c r="D178" i="37"/>
  <c r="I176" i="37"/>
  <c r="C89" i="37"/>
  <c r="H62" i="37"/>
  <c r="I63" i="37"/>
  <c r="C153" i="37"/>
  <c r="I56" i="37"/>
  <c r="D90" i="37"/>
  <c r="H92" i="37"/>
  <c r="G174" i="37"/>
  <c r="H166" i="37"/>
  <c r="H146" i="37"/>
  <c r="D138" i="37"/>
  <c r="B148" i="37"/>
  <c r="F148" i="37" s="1"/>
  <c r="B63" i="37"/>
  <c r="F63" i="37" s="1"/>
  <c r="C61" i="37"/>
  <c r="G95" i="37"/>
  <c r="G145" i="37"/>
  <c r="B46" i="36"/>
  <c r="G47" i="36" s="1"/>
  <c r="I5" i="37" l="1"/>
  <c r="I4" i="37"/>
  <c r="D46" i="36"/>
  <c r="C46" i="36"/>
  <c r="H47" i="36" s="1"/>
  <c r="I47" i="36" s="1"/>
  <c r="B47" i="36" l="1"/>
  <c r="G48" i="36" s="1"/>
  <c r="D47" i="36" l="1"/>
  <c r="C47" i="36"/>
  <c r="H48" i="36" s="1"/>
  <c r="I48" i="36" s="1"/>
  <c r="B48" i="36" l="1"/>
  <c r="G49" i="36" s="1"/>
  <c r="D48" i="36" l="1"/>
  <c r="C48" i="36"/>
  <c r="H49" i="36" s="1"/>
  <c r="I49" i="36" s="1"/>
  <c r="B49" i="36" l="1"/>
  <c r="G50" i="36" s="1"/>
  <c r="D49" i="36" l="1"/>
  <c r="C49" i="36"/>
  <c r="H50" i="36" s="1"/>
  <c r="I50" i="36" s="1"/>
  <c r="B50" i="36" l="1"/>
  <c r="G51" i="36" s="1"/>
  <c r="D50" i="36" l="1"/>
  <c r="C50" i="36"/>
  <c r="H51" i="36" s="1"/>
  <c r="I51" i="36" s="1"/>
  <c r="B51" i="36" l="1"/>
  <c r="G52" i="36" s="1"/>
  <c r="D51" i="36" l="1"/>
  <c r="C51" i="36"/>
  <c r="H52" i="36" s="1"/>
  <c r="I52" i="36" s="1"/>
  <c r="D83" i="4"/>
  <c r="B52" i="36" l="1"/>
  <c r="G53" i="36" s="1"/>
  <c r="D52" i="36" l="1"/>
  <c r="C52" i="36"/>
  <c r="H53" i="36" s="1"/>
  <c r="I53" i="36" s="1"/>
  <c r="B53" i="36" l="1"/>
  <c r="G54" i="36" s="1"/>
  <c r="D53" i="36" l="1"/>
  <c r="C53" i="36"/>
  <c r="H54" i="36" s="1"/>
  <c r="I54" i="36" s="1"/>
  <c r="B54" i="36" l="1"/>
  <c r="G55" i="36" s="1"/>
  <c r="D54" i="36" l="1"/>
  <c r="C54" i="36"/>
  <c r="H55" i="36" s="1"/>
  <c r="I55" i="36" s="1"/>
  <c r="B55" i="36" l="1"/>
  <c r="G56" i="36" s="1"/>
  <c r="D55" i="36" l="1"/>
  <c r="C55" i="36"/>
  <c r="H56" i="36" s="1"/>
  <c r="I56" i="36" s="1"/>
  <c r="B56" i="36" l="1"/>
  <c r="G57" i="36" s="1"/>
  <c r="D56" i="36" l="1"/>
  <c r="C56" i="36"/>
  <c r="H57" i="36" s="1"/>
  <c r="I57" i="36" s="1"/>
  <c r="B57" i="36" l="1"/>
  <c r="G58" i="36" s="1"/>
  <c r="D57" i="36" l="1"/>
  <c r="C57" i="36"/>
  <c r="H58" i="36" s="1"/>
  <c r="I58" i="36" s="1"/>
  <c r="B58" i="36" l="1"/>
  <c r="G59" i="36" s="1"/>
  <c r="D58" i="36" l="1"/>
  <c r="C58" i="36"/>
  <c r="H59" i="36" s="1"/>
  <c r="I59" i="36" s="1"/>
  <c r="B59" i="36" l="1"/>
  <c r="G60" i="36" s="1"/>
  <c r="D59" i="36" l="1"/>
  <c r="C59" i="36"/>
  <c r="H60" i="36" s="1"/>
  <c r="I60" i="36" s="1"/>
  <c r="B60" i="36" l="1"/>
  <c r="G61" i="36" s="1"/>
  <c r="D60" i="36" l="1"/>
  <c r="C60" i="36"/>
  <c r="H61" i="36" s="1"/>
  <c r="I61" i="36" s="1"/>
  <c r="B61" i="36" l="1"/>
  <c r="G62" i="36" s="1"/>
  <c r="D61" i="36" l="1"/>
  <c r="C61" i="36"/>
  <c r="H62" i="36" s="1"/>
  <c r="I62" i="36" s="1"/>
  <c r="B62" i="36" l="1"/>
  <c r="G63" i="36" s="1"/>
  <c r="D62" i="36" l="1"/>
  <c r="C62" i="36"/>
  <c r="H63" i="36" s="1"/>
  <c r="I63" i="36" s="1"/>
  <c r="B63" i="36" l="1"/>
  <c r="G64" i="36" s="1"/>
  <c r="D63" i="36" l="1"/>
  <c r="C63" i="36"/>
  <c r="H64" i="36" s="1"/>
  <c r="I64" i="36" s="1"/>
  <c r="B64" i="36" l="1"/>
  <c r="G65" i="36" s="1"/>
  <c r="D64" i="36" l="1"/>
  <c r="C64" i="36"/>
  <c r="H65" i="36" s="1"/>
  <c r="I65" i="36" s="1"/>
  <c r="B65" i="36" l="1"/>
  <c r="G66" i="36" s="1"/>
  <c r="D65" i="36" l="1"/>
  <c r="C65" i="36"/>
  <c r="H66" i="36" s="1"/>
  <c r="I66" i="36" s="1"/>
  <c r="B66" i="36" l="1"/>
  <c r="G67" i="36" s="1"/>
  <c r="D66" i="36" l="1"/>
  <c r="C66" i="36"/>
  <c r="H67" i="36" s="1"/>
  <c r="I67" i="36" s="1"/>
  <c r="B67" i="36" l="1"/>
  <c r="G68" i="36" s="1"/>
  <c r="D67" i="36" l="1"/>
  <c r="C67" i="36"/>
  <c r="H68" i="36" s="1"/>
  <c r="I68" i="36" s="1"/>
  <c r="B68" i="36" l="1"/>
  <c r="G69" i="36" s="1"/>
  <c r="D68" i="36" l="1"/>
  <c r="C68" i="36"/>
  <c r="H69" i="36" s="1"/>
  <c r="I69" i="36" s="1"/>
  <c r="B69" i="36" l="1"/>
  <c r="G70" i="36" s="1"/>
  <c r="D69" i="36" l="1"/>
  <c r="C69" i="36"/>
  <c r="H70" i="36" s="1"/>
  <c r="I70" i="36" s="1"/>
  <c r="B70" i="36" l="1"/>
  <c r="G71" i="36" s="1"/>
  <c r="D70" i="36" l="1"/>
  <c r="C70" i="36"/>
  <c r="H71" i="36" s="1"/>
  <c r="I71" i="36" s="1"/>
  <c r="B71" i="36" l="1"/>
  <c r="D71" i="36" l="1"/>
  <c r="B27" i="36"/>
  <c r="C71" i="36"/>
  <c r="C38" i="34" l="1"/>
  <c r="C339" i="22"/>
  <c r="E343" i="22" l="1"/>
  <c r="G343" i="22" s="1"/>
  <c r="E345" i="22"/>
  <c r="G345" i="22" s="1"/>
  <c r="E344" i="22"/>
  <c r="G344" i="22" s="1"/>
  <c r="C37" i="3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Evan</author>
  </authors>
  <commentList>
    <comment ref="J41" authorId="0" shapeId="0" xr:uid="{1F40A294-A659-4E3C-AC1A-088C8CF69970}">
      <text>
        <r>
          <rPr>
            <b/>
            <sz val="12"/>
            <color indexed="81"/>
            <rFont val="Tahoma"/>
            <family val="2"/>
          </rPr>
          <t>The lead engineer on this project. This is the engineer who will be making most of the technical decisions and taking charge of the most critical part of the implementation.</t>
        </r>
      </text>
    </comment>
    <comment ref="A43" authorId="0" shapeId="0" xr:uid="{CEDEB996-B6E0-4ABF-BFA9-F2131FE9E82E}">
      <text>
        <r>
          <rPr>
            <b/>
            <sz val="11"/>
            <color indexed="81"/>
            <rFont val="Tahoma"/>
            <family val="2"/>
          </rPr>
          <t>Kickoff - Getting the project started with the client
Design - Tasks involving design production (workshops, data gathering, writing, etc)
Implementation - All staging and deployment/go live and post cutover support, including functional testing and UAT support.
Project Completion &amp; Handover - As-built documentation, Training, Support transition, project close activity.</t>
        </r>
      </text>
    </comment>
    <comment ref="B43" authorId="0" shapeId="0" xr:uid="{4F191B97-70BD-4377-B372-200840146F15}">
      <text>
        <r>
          <rPr>
            <b/>
            <sz val="11"/>
            <color indexed="81"/>
            <rFont val="Tahoma"/>
            <family val="2"/>
          </rPr>
          <t>Please enter the appropriate Skill for the relevant task from the dropdown menu</t>
        </r>
      </text>
    </comment>
    <comment ref="D43" authorId="0" shapeId="0" xr:uid="{1F1F1ADA-3C13-44A2-940F-D3EE4E2F1EC0}">
      <text>
        <r>
          <rPr>
            <b/>
            <sz val="11"/>
            <color indexed="81"/>
            <rFont val="Tahoma"/>
            <family val="2"/>
          </rPr>
          <t>Provide a description of the activity in this row.
This description for each task should be detailed enough to be seen in the scope of works.</t>
        </r>
      </text>
    </comment>
    <comment ref="E43" authorId="0" shapeId="0" xr:uid="{455C1B60-2BAC-4600-A699-4AF03A9763AA}">
      <text>
        <r>
          <rPr>
            <b/>
            <sz val="11"/>
            <color indexed="81"/>
            <rFont val="Tahoma"/>
            <family val="2"/>
          </rPr>
          <t>This column will automatically suggest the required number or onsite trips - based on the number of hours, location, and whether or not work at this site requires local accommodation
However, you can override it if appropriate.</t>
        </r>
      </text>
    </comment>
    <comment ref="F43" authorId="0" shapeId="0" xr:uid="{0E20985B-83C5-4277-887D-B4425BD0E9A7}">
      <text>
        <r>
          <rPr>
            <b/>
            <sz val="11"/>
            <color indexed="81"/>
            <rFont val="Tahoma"/>
            <family val="2"/>
          </rPr>
          <t>This column will automatically suggest the required number of overnight stays - based on the number of hours, location, and whether or not work at this site requires local accommodation
However, you can override it if appropriate.</t>
        </r>
      </text>
    </comment>
    <comment ref="G43" authorId="0" shapeId="0" xr:uid="{DE8B0E32-E4AB-41E4-9AA5-F9369756BEE9}">
      <text>
        <r>
          <rPr>
            <b/>
            <sz val="11"/>
            <color indexed="81"/>
            <rFont val="Tahoma"/>
            <family val="2"/>
          </rPr>
          <t>This column is for tracking the total number of documents on this job. if this task results in a finished document, put a '1' in this column against that row.
In this estimator, you don't need to specify time for document reviews - you just need to note which tasks produce documents.
Accordingly, documents have special impacts on management effort, so please take care to fill this in.</t>
        </r>
      </text>
    </comment>
    <comment ref="H43" authorId="0" shapeId="0" xr:uid="{DA950B0D-915D-481D-A0B6-46E4C62710FC}">
      <text>
        <r>
          <rPr>
            <b/>
            <sz val="12"/>
            <color indexed="81"/>
            <rFont val="Tahoma"/>
            <family val="2"/>
          </rPr>
          <t>If you wish, you can enter the amount of work that you believe a client activity will be - to keep track of how much work is being assigned to the Client. This is not mandatory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Evan</author>
  </authors>
  <commentList>
    <comment ref="E64" authorId="0" shapeId="0" xr:uid="{A468892F-1AB7-4AB9-B0CC-021E4C8DB05D}">
      <text>
        <r>
          <rPr>
            <b/>
            <sz val="14"/>
            <color indexed="81"/>
            <rFont val="Tahoma"/>
            <family val="2"/>
          </rPr>
          <t>Remember: Anything which is being staged at ArchiTech will need to be freighted to site. Make sure to include these costs in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Evan</author>
  </authors>
  <commentList>
    <comment ref="F71" authorId="0" shapeId="0" xr:uid="{F1B1C7B9-985A-4D12-A2B4-D34BE1683925}">
      <text>
        <r>
          <rPr>
            <b/>
            <sz val="9"/>
            <color indexed="81"/>
            <rFont val="Tahoma"/>
            <family val="2"/>
          </rPr>
          <t>Oversight Effort Per 'Instance' - once off, per week, per document, etc</t>
        </r>
        <r>
          <rPr>
            <sz val="9"/>
            <color indexed="81"/>
            <rFont val="Tahoma"/>
            <family val="2"/>
          </rPr>
          <t xml:space="preserve">
</t>
        </r>
      </text>
    </comment>
    <comment ref="G71" authorId="0" shapeId="0" xr:uid="{4E653C40-8D95-49F3-BB3D-CEEF7B90B79C}">
      <text>
        <r>
          <rPr>
            <b/>
            <sz val="9"/>
            <color indexed="81"/>
            <rFont val="Tahoma"/>
            <family val="2"/>
          </rPr>
          <t>Tier 3 Effort Per 'Instance' - once off, per week, per document, etc</t>
        </r>
      </text>
    </comment>
    <comment ref="H71" authorId="0" shapeId="0" xr:uid="{2D132A8C-04F1-4BF3-ACF6-B81E7A1CA9E8}">
      <text>
        <r>
          <rPr>
            <b/>
            <sz val="9"/>
            <color indexed="81"/>
            <rFont val="Tahoma"/>
            <family val="2"/>
          </rPr>
          <t>Tier 2 Effort Per 'Instance' - once off, per week, per document, etc</t>
        </r>
        <r>
          <rPr>
            <sz val="9"/>
            <color indexed="81"/>
            <rFont val="Tahoma"/>
            <family val="2"/>
          </rPr>
          <t xml:space="preserve">
</t>
        </r>
      </text>
    </comment>
    <comment ref="I71" authorId="0" shapeId="0" xr:uid="{09C08E16-2A46-45A3-A60C-9E9B453C1422}">
      <text>
        <r>
          <rPr>
            <b/>
            <sz val="9"/>
            <color indexed="81"/>
            <rFont val="Tahoma"/>
            <family val="2"/>
          </rPr>
          <t>Tier 1 Effort Per 'Instance' - once off, per week, per document, etc</t>
        </r>
      </text>
    </comment>
    <comment ref="K71" authorId="0" shapeId="0" xr:uid="{171C189D-405D-40B4-9ACD-A27D5D070151}">
      <text>
        <r>
          <rPr>
            <b/>
            <sz val="9"/>
            <color indexed="81"/>
            <rFont val="Tahoma"/>
            <family val="2"/>
          </rPr>
          <t>Number of 'Instances' - 
weeks, documents, etc.</t>
        </r>
      </text>
    </comment>
    <comment ref="L71" authorId="0" shapeId="0" xr:uid="{6049A1D4-BCFA-4F8C-9E86-CB70F265DD28}">
      <text>
        <r>
          <rPr>
            <b/>
            <sz val="9"/>
            <color indexed="81"/>
            <rFont val="Tahoma"/>
            <family val="2"/>
          </rPr>
          <t>Total Effort for the Project for this line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<sst xmlns="http://schemas.openxmlformats.org/spreadsheetml/2006/main" count="1880" uniqueCount="1294">
  <si>
    <t>Services Scoping Summary</t>
  </si>
  <si>
    <t>Quote Number</t>
  </si>
  <si>
    <t>Quote Description / Name</t>
  </si>
  <si>
    <t>Resource 2</t>
  </si>
  <si>
    <t>Resource 3</t>
  </si>
  <si>
    <t>Resource 4</t>
  </si>
  <si>
    <t>Resource 5</t>
  </si>
  <si>
    <t>Business Hours</t>
  </si>
  <si>
    <t>Technical Assistant</t>
  </si>
  <si>
    <t>Project Manager</t>
  </si>
  <si>
    <t>Office Hours</t>
  </si>
  <si>
    <t>After Hours</t>
  </si>
  <si>
    <t>Overnight Stays</t>
  </si>
  <si>
    <t>Sell Price</t>
  </si>
  <si>
    <t>Onsite Trips</t>
  </si>
  <si>
    <t>Phase</t>
  </si>
  <si>
    <t>Task</t>
  </si>
  <si>
    <t>R1 Location</t>
  </si>
  <si>
    <t>R2 Location</t>
  </si>
  <si>
    <t>R3 Location</t>
  </si>
  <si>
    <t>R4 Location</t>
  </si>
  <si>
    <t>R5 Location</t>
  </si>
  <si>
    <t>ArchiTech Primary Office</t>
  </si>
  <si>
    <t>Onsite Round Trips</t>
  </si>
  <si>
    <t>Duration (weeks)</t>
  </si>
  <si>
    <t>Effort (Hours)</t>
  </si>
  <si>
    <t>Cost</t>
  </si>
  <si>
    <t>Bookings &amp; Expense Management</t>
  </si>
  <si>
    <t>Document Outputs</t>
  </si>
  <si>
    <t>Document Non-technical Reviews</t>
  </si>
  <si>
    <t>Document Technical Reviews</t>
  </si>
  <si>
    <t>Total</t>
  </si>
  <si>
    <t>R1 Cost</t>
  </si>
  <si>
    <t>R2 Cost</t>
  </si>
  <si>
    <t>R3 Cost</t>
  </si>
  <si>
    <t>R5 Cost</t>
  </si>
  <si>
    <t>R4 Cost</t>
  </si>
  <si>
    <t>QTY</t>
  </si>
  <si>
    <t>Travel cost per KM</t>
  </si>
  <si>
    <t>Item</t>
  </si>
  <si>
    <t>Description</t>
  </si>
  <si>
    <t>Oversight</t>
  </si>
  <si>
    <t>Tier 3</t>
  </si>
  <si>
    <t>Tier 2</t>
  </si>
  <si>
    <t>Once off</t>
  </si>
  <si>
    <t>Schedule Management</t>
  </si>
  <si>
    <t>External Status Report/Agenda Preparation</t>
  </si>
  <si>
    <t>External Status Meetings</t>
  </si>
  <si>
    <t>External Status Meeting Minutes</t>
  </si>
  <si>
    <t>Budget Tracking Preparation</t>
  </si>
  <si>
    <t>Budget Tracking</t>
  </si>
  <si>
    <t>PIR preparation</t>
  </si>
  <si>
    <t>PIR Meeting</t>
  </si>
  <si>
    <t>PIR Documentation</t>
  </si>
  <si>
    <t>Tier 1</t>
  </si>
  <si>
    <t>Project Management Level</t>
  </si>
  <si>
    <t>Management Frequency (weeks)</t>
  </si>
  <si>
    <t>Invoicing and Financial Reporting Effort</t>
  </si>
  <si>
    <t>Port Melbourne</t>
  </si>
  <si>
    <t>Type</t>
  </si>
  <si>
    <t>Issue Register Management</t>
  </si>
  <si>
    <t>Risk Register Management</t>
  </si>
  <si>
    <t>Resource 1 (LEAD)</t>
  </si>
  <si>
    <t>R1 Business Hours</t>
  </si>
  <si>
    <t>R1 After Hours</t>
  </si>
  <si>
    <t>R2 Business Hours</t>
  </si>
  <si>
    <t>R2 After Hours</t>
  </si>
  <si>
    <t>R3 Business Hours</t>
  </si>
  <si>
    <t>R3 After Hours</t>
  </si>
  <si>
    <t>R4 Business Hours</t>
  </si>
  <si>
    <t>R4 After Hours</t>
  </si>
  <si>
    <t>R5 Business Hours</t>
  </si>
  <si>
    <t>R5 After Hours</t>
  </si>
  <si>
    <t>Overnight StaysR2</t>
  </si>
  <si>
    <t>Overnight StaysR3</t>
  </si>
  <si>
    <t>Overnight StaysR4</t>
  </si>
  <si>
    <t>Overnight StaysR5</t>
  </si>
  <si>
    <t>Overnight StaysR1</t>
  </si>
  <si>
    <t>Onsite Round Trips_Hidden</t>
  </si>
  <si>
    <t>Overnight Stays_Hidden</t>
  </si>
  <si>
    <t>Round Trips R2</t>
  </si>
  <si>
    <t>Round Trips R3</t>
  </si>
  <si>
    <t>Round Trips R4</t>
  </si>
  <si>
    <t>Round Trips R5</t>
  </si>
  <si>
    <t>Round Trips R1</t>
  </si>
  <si>
    <t>Client Site</t>
  </si>
  <si>
    <t>Client Site term:</t>
  </si>
  <si>
    <t>ArchiTech Office term:</t>
  </si>
  <si>
    <t>Office</t>
  </si>
  <si>
    <t>R1 Cost_Hidden</t>
  </si>
  <si>
    <t>R2 Cost_Hidden</t>
  </si>
  <si>
    <t>R3 Cost_Hidden</t>
  </si>
  <si>
    <t>R4 Cost_Hidden</t>
  </si>
  <si>
    <t>R5 Cost_Hidden</t>
  </si>
  <si>
    <t>Professional Engineering Services</t>
  </si>
  <si>
    <t>Management Services</t>
  </si>
  <si>
    <t>Travel</t>
  </si>
  <si>
    <t>Rate Type</t>
  </si>
  <si>
    <t>Resources required (inc. Manager)</t>
  </si>
  <si>
    <t>Recommendation</t>
  </si>
  <si>
    <t>Discount</t>
  </si>
  <si>
    <t>Project Management Tier Recommendation</t>
  </si>
  <si>
    <t>None</t>
  </si>
  <si>
    <t>Project Engineer Hours</t>
  </si>
  <si>
    <t>Total Engineer Hours</t>
  </si>
  <si>
    <t>Resources (inc. Manager)</t>
  </si>
  <si>
    <t>Average Engineer Hours Per Week</t>
  </si>
  <si>
    <t>Average Engineer Hours per week</t>
  </si>
  <si>
    <t>Recommended Project Management Level</t>
  </si>
  <si>
    <t>Report frequency (1 per X weeks)</t>
  </si>
  <si>
    <t>Scales With</t>
  </si>
  <si>
    <t>N/A</t>
  </si>
  <si>
    <t>Multiplier</t>
  </si>
  <si>
    <t>Lead Engineer + Manager BOM, Quote &amp; PSE Validation Effort</t>
  </si>
  <si>
    <t>Project External Reporting Setup</t>
  </si>
  <si>
    <t>Hours</t>
  </si>
  <si>
    <t>Sales Handover</t>
  </si>
  <si>
    <t>Action Register Management</t>
  </si>
  <si>
    <t>Tender &amp; Contract Review</t>
  </si>
  <si>
    <t>Rank</t>
  </si>
  <si>
    <t>Finished Document Outputs</t>
  </si>
  <si>
    <t>Subcontractor</t>
  </si>
  <si>
    <t>Task Summary</t>
  </si>
  <si>
    <t>Contractor Quote Number</t>
  </si>
  <si>
    <t>Quote Type</t>
  </si>
  <si>
    <t>Document Output QTY</t>
  </si>
  <si>
    <t>#</t>
  </si>
  <si>
    <t>Subcontractor #1</t>
  </si>
  <si>
    <t>Subcontractor #2</t>
  </si>
  <si>
    <t>Subcontractor #3</t>
  </si>
  <si>
    <t>Subcontractor #4</t>
  </si>
  <si>
    <t>Subcontractor #5</t>
  </si>
  <si>
    <t>Subcontractors</t>
  </si>
  <si>
    <t>Time &amp; Materials</t>
  </si>
  <si>
    <t>Fixed Fee</t>
  </si>
  <si>
    <t>Subcontractor Management</t>
  </si>
  <si>
    <t>Engineer Document Outputs</t>
  </si>
  <si>
    <t>Subcontractor Engagement</t>
  </si>
  <si>
    <t>Document Reviews</t>
  </si>
  <si>
    <t>QA Oversight</t>
  </si>
  <si>
    <t>Subcontractor Services</t>
  </si>
  <si>
    <t>Professional Services TOTAL</t>
  </si>
  <si>
    <t>Engineering Tasks</t>
  </si>
  <si>
    <t>Subcontractor Service TOTAL</t>
  </si>
  <si>
    <t>Project Risk</t>
  </si>
  <si>
    <t>Management Service TOTAL</t>
  </si>
  <si>
    <t>Totals</t>
  </si>
  <si>
    <t>Total Ex. GST</t>
  </si>
  <si>
    <t>GST</t>
  </si>
  <si>
    <t>Buy Price (ex. GST)</t>
  </si>
  <si>
    <t>Sell Price (Ex. GST)</t>
  </si>
  <si>
    <t>Total Inc. GST</t>
  </si>
  <si>
    <t xml:space="preserve">Project Schedule </t>
  </si>
  <si>
    <t>Project Plan Creation</t>
  </si>
  <si>
    <t>Sell</t>
  </si>
  <si>
    <t>R1 Sell</t>
  </si>
  <si>
    <t>R2 Sell</t>
  </si>
  <si>
    <t>R3 Sell</t>
  </si>
  <si>
    <t>R4 Sell</t>
  </si>
  <si>
    <t>R5 Sell</t>
  </si>
  <si>
    <t>Sell - Line Total</t>
  </si>
  <si>
    <t>Management</t>
  </si>
  <si>
    <t>Discount Rate Alerts</t>
  </si>
  <si>
    <t xml:space="preserve"> </t>
  </si>
  <si>
    <t>Cost Price</t>
  </si>
  <si>
    <t>Cost - Line total</t>
  </si>
  <si>
    <t>Sell Rate</t>
  </si>
  <si>
    <t>Cost Rate</t>
  </si>
  <si>
    <t>Project Risk TOTAL</t>
  </si>
  <si>
    <t>Port Melbourne Recommended</t>
  </si>
  <si>
    <t>Document Hours</t>
  </si>
  <si>
    <t>Project Progress Management</t>
  </si>
  <si>
    <t>Terminology - Onsite vs Offsite</t>
  </si>
  <si>
    <t>Work Location</t>
  </si>
  <si>
    <t xml:space="preserve">Technical Works Recommended Duration </t>
  </si>
  <si>
    <t>Work Hours</t>
  </si>
  <si>
    <t>Work hours per Week</t>
  </si>
  <si>
    <t>Work Hours (Total)</t>
  </si>
  <si>
    <t>The 'Base Duration' is the minimum duration even if there are not enough hours for this many weeks of work.</t>
  </si>
  <si>
    <t>Engineer allocation %:</t>
  </si>
  <si>
    <t>Engineer allocation % - the percentage of an engineer's time which we recommend allocating to a project.</t>
  </si>
  <si>
    <t>Engineer Hours per day</t>
  </si>
  <si>
    <t>Engineer hours per day - The number of hours an engineer works on projects.</t>
  </si>
  <si>
    <t>Additional duration %</t>
  </si>
  <si>
    <r>
      <t xml:space="preserve">Additional Duration % - an extra allowance for the </t>
    </r>
    <r>
      <rPr>
        <i/>
        <sz val="12"/>
        <color theme="1"/>
        <rFont val="Calibri"/>
        <family val="2"/>
        <scheme val="minor"/>
      </rPr>
      <t>project</t>
    </r>
    <r>
      <rPr>
        <sz val="12"/>
        <color theme="1"/>
        <rFont val="Calibri"/>
        <family val="2"/>
        <scheme val="minor"/>
      </rPr>
      <t xml:space="preserve"> to take longer than the </t>
    </r>
    <r>
      <rPr>
        <i/>
        <sz val="12"/>
        <color theme="1"/>
        <rFont val="Calibri"/>
        <family val="2"/>
        <scheme val="minor"/>
      </rPr>
      <t>hours</t>
    </r>
    <r>
      <rPr>
        <sz val="12"/>
        <color theme="1"/>
        <rFont val="Calibri"/>
        <family val="2"/>
        <scheme val="minor"/>
      </rPr>
      <t xml:space="preserve"> assigned - inefficiencies, issues, critical path, etc.</t>
    </r>
  </si>
  <si>
    <t>Adjusting for Weekends</t>
  </si>
  <si>
    <t>Adjusting for weekends: Allowing for the fact that only 5/7 days are available for work without overtime (which is based on engineer preference and not guaranteed)</t>
  </si>
  <si>
    <r>
      <t xml:space="preserve">The 'Scaling duration' is the number of </t>
    </r>
    <r>
      <rPr>
        <i/>
        <sz val="12"/>
        <color theme="1"/>
        <rFont val="Calibri"/>
        <family val="2"/>
        <scheme val="minor"/>
      </rPr>
      <t xml:space="preserve">days, </t>
    </r>
    <r>
      <rPr>
        <sz val="12"/>
        <color theme="1"/>
        <rFont val="Calibri"/>
        <family val="2"/>
        <scheme val="minor"/>
      </rPr>
      <t xml:space="preserve">per </t>
    </r>
    <r>
      <rPr>
        <i/>
        <sz val="12"/>
        <color theme="1"/>
        <rFont val="Calibri"/>
        <family val="2"/>
        <scheme val="minor"/>
      </rPr>
      <t>work hour</t>
    </r>
    <r>
      <rPr>
        <sz val="12"/>
        <color theme="1"/>
        <rFont val="Calibri"/>
        <family val="2"/>
        <scheme val="minor"/>
      </rPr>
      <t xml:space="preserve">, but only the hours of the single engineer with the most work. 
This is calculated from the settings below. </t>
    </r>
    <r>
      <rPr>
        <u/>
        <sz val="12"/>
        <color theme="1"/>
        <rFont val="Calibri"/>
        <family val="2"/>
        <scheme val="minor"/>
      </rPr>
      <t>Please change the underlying assumptions rather than the figure directly.</t>
    </r>
  </si>
  <si>
    <t>These are the thresholds at which the management page recommends a project management tier.</t>
  </si>
  <si>
    <t>Project Engineer Hours means the total number of hours on the 'Engineering Tasks' Tab</t>
  </si>
  <si>
    <t>Management Frequency/Cycle Recommendation</t>
  </si>
  <si>
    <t>Discount %</t>
  </si>
  <si>
    <t>Warning Message</t>
  </si>
  <si>
    <t>This setting controls an automatic alert which appears on the summary page.</t>
  </si>
  <si>
    <t>If the "discount" on the summary page is set above each Discount % Threshold in column B, the warning message</t>
  </si>
  <si>
    <t>in column C will be displayed.</t>
  </si>
  <si>
    <t>Management Calculation Settings</t>
  </si>
  <si>
    <t>Rates - SELL Price</t>
  </si>
  <si>
    <t>Rates - COST Price</t>
  </si>
  <si>
    <t>Subcontractor Engagements</t>
  </si>
  <si>
    <t>Management Overheads</t>
  </si>
  <si>
    <t>Project Risk Assessment</t>
  </si>
  <si>
    <t>Delivery</t>
  </si>
  <si>
    <t>CS</t>
  </si>
  <si>
    <t>Department</t>
  </si>
  <si>
    <t>Line</t>
  </si>
  <si>
    <t>Calculation Settings</t>
  </si>
  <si>
    <t>Task Type</t>
  </si>
  <si>
    <t>Activity</t>
  </si>
  <si>
    <t>Margin</t>
  </si>
  <si>
    <t>1. Minimum Management Overhead</t>
  </si>
  <si>
    <t>Project Close</t>
  </si>
  <si>
    <t>Lead Engineer Environment Familiarisation</t>
  </si>
  <si>
    <t>Mandatory Engineering Tasks</t>
  </si>
  <si>
    <t>Lead Engineer Environment Familiarisation - Minimum</t>
  </si>
  <si>
    <t>Lead Engineer Environment Familiarisation - Scales with project total effort</t>
  </si>
  <si>
    <t>Engineer Onboarding - Minimum</t>
  </si>
  <si>
    <t>Engineer Onboarding - scales with project effort</t>
  </si>
  <si>
    <t>Quote Number Entered</t>
  </si>
  <si>
    <t>Quote Description / Name Entered</t>
  </si>
  <si>
    <t>Resource Type chosen for all resources</t>
  </si>
  <si>
    <t>Data Missing - titles</t>
  </si>
  <si>
    <t>Data Missing - location</t>
  </si>
  <si>
    <t>Phase/Technology/Type/Description entered for all tasks</t>
  </si>
  <si>
    <t>Work Location entered for all engineers on all tasks</t>
  </si>
  <si>
    <t>Yes</t>
  </si>
  <si>
    <t>No</t>
  </si>
  <si>
    <t>I have recorded all subcontractor engagements associated with this project, either fixed fee, T&amp;M, or otherwise, in the table above</t>
  </si>
  <si>
    <t>Engineer Management per engineer per week</t>
  </si>
  <si>
    <t>Subcontractor Declaration 1</t>
  </si>
  <si>
    <t>Subcontractor Declaration 2</t>
  </si>
  <si>
    <t>Subcontractor Declaration 3</t>
  </si>
  <si>
    <t>Subcontractor Declaration 4</t>
  </si>
  <si>
    <t>Declaration Response Option 1 (Positive)</t>
  </si>
  <si>
    <t>Declaration Response Option 2 (Negative)</t>
  </si>
  <si>
    <t>Engineer Hours:</t>
  </si>
  <si>
    <t>Engineer Onboarding - Resource 2</t>
  </si>
  <si>
    <t>Engineer Onboarding - Resource 3</t>
  </si>
  <si>
    <t>Engineer Onboarding - Resource 4</t>
  </si>
  <si>
    <t>Engineer Onboarding - Resource 5</t>
  </si>
  <si>
    <t>Resource Assigned</t>
  </si>
  <si>
    <t>Base Budget:</t>
  </si>
  <si>
    <t>Risk Budget</t>
  </si>
  <si>
    <t>Risk tiers</t>
  </si>
  <si>
    <t>Risk Loading Rate - Engineers</t>
  </si>
  <si>
    <t>Rate</t>
  </si>
  <si>
    <t>Business Hours Cost Rate</t>
  </si>
  <si>
    <t>After Hours Cost Rate</t>
  </si>
  <si>
    <t>Business Hours Sell Rate</t>
  </si>
  <si>
    <t>After Hours Sell Rate</t>
  </si>
  <si>
    <t>Project Management Hours:</t>
  </si>
  <si>
    <t>Subcontractor Workshops</t>
  </si>
  <si>
    <t>Risk Loading Budget</t>
  </si>
  <si>
    <t>Mandatory Engineering Tasks Effort Calculation</t>
  </si>
  <si>
    <t>Subcontractor Declarations</t>
  </si>
  <si>
    <t>Subcontractor Quote Types</t>
  </si>
  <si>
    <t>Type 1</t>
  </si>
  <si>
    <t>Type 2</t>
  </si>
  <si>
    <t>Type 3</t>
  </si>
  <si>
    <t>No Quote Obtained</t>
  </si>
  <si>
    <t>Subcontractor Sub-project duration estimate (weeks)</t>
  </si>
  <si>
    <t>Declaration Response Options</t>
  </si>
  <si>
    <t>Risk Rate Options</t>
  </si>
  <si>
    <t>Risk Loading Rates</t>
  </si>
  <si>
    <t>Section</t>
  </si>
  <si>
    <t>Setting</t>
  </si>
  <si>
    <t>Value</t>
  </si>
  <si>
    <t>Minimum</t>
  </si>
  <si>
    <t>Multiplier (Total Hours)</t>
  </si>
  <si>
    <t>Multiplier (Resources)</t>
  </si>
  <si>
    <t>Multiplier (Per trip)</t>
  </si>
  <si>
    <t>Multiplier (Nights Staying)</t>
  </si>
  <si>
    <t>Base Effort</t>
  </si>
  <si>
    <t>Multiplier (Duration)</t>
  </si>
  <si>
    <t>Current Input(s)</t>
  </si>
  <si>
    <t>Section Scales With</t>
  </si>
  <si>
    <t>Current Outputs (Effort)</t>
  </si>
  <si>
    <t>Sensitivity Testing</t>
  </si>
  <si>
    <t>Test output</t>
  </si>
  <si>
    <t>Travel Costing</t>
  </si>
  <si>
    <t>Subcontractor Buy Price (Total)</t>
  </si>
  <si>
    <t>Subcontractor Sell Price (Total)</t>
  </si>
  <si>
    <t>Multiplier (Weeks)</t>
  </si>
  <si>
    <t>Multiplier (Workshops)</t>
  </si>
  <si>
    <t>Multiplier (Document Reviews)</t>
  </si>
  <si>
    <t>Multiplier (Sell Price)</t>
  </si>
  <si>
    <t>First Week</t>
  </si>
  <si>
    <t>3. ArchiTech Project Management</t>
  </si>
  <si>
    <t>2. Subcontractor Project Management</t>
  </si>
  <si>
    <t>Total Type</t>
  </si>
  <si>
    <t>Multiplier Type</t>
  </si>
  <si>
    <t>I have been adding risk to each of the tasks as I go. I don't think any additional risk needs to be added to this project</t>
  </si>
  <si>
    <t>Discounted Sell</t>
  </si>
  <si>
    <t>Discounted Margin</t>
  </si>
  <si>
    <t>Project Plan</t>
  </si>
  <si>
    <t>Baseline</t>
  </si>
  <si>
    <t>Unmanaged</t>
  </si>
  <si>
    <t>Baseline Sell</t>
  </si>
  <si>
    <t>Baseline Margin</t>
  </si>
  <si>
    <t>Project Management</t>
  </si>
  <si>
    <t>Target Sell (Ex. GST):</t>
  </si>
  <si>
    <t>Required Discount %:</t>
  </si>
  <si>
    <t>hours engineering &amp;</t>
  </si>
  <si>
    <t xml:space="preserve"> hours project management.</t>
  </si>
  <si>
    <t>Estimated Start Date</t>
  </si>
  <si>
    <t>Total Tasks</t>
  </si>
  <si>
    <t>Engineering Tasks &amp; Client Dependencies</t>
  </si>
  <si>
    <t>Does this project require work by any subcontractors engaged via ArchiTech?</t>
  </si>
  <si>
    <t>Small Project</t>
  </si>
  <si>
    <t>Medium Project</t>
  </si>
  <si>
    <t>Large Project</t>
  </si>
  <si>
    <t>PM artefacts/Processes</t>
  </si>
  <si>
    <t>Allocation</t>
  </si>
  <si>
    <t>Adjustment</t>
  </si>
  <si>
    <t>Deliverable</t>
  </si>
  <si>
    <t>Sell price</t>
  </si>
  <si>
    <t>Incidentals</t>
  </si>
  <si>
    <t>AND/OR</t>
  </si>
  <si>
    <t>Tier 4</t>
  </si>
  <si>
    <t>Total Management</t>
  </si>
  <si>
    <t>Project Oversight - Budget, Resource Bookings, Status</t>
  </si>
  <si>
    <t>Client</t>
  </si>
  <si>
    <t>Client KM from Primary Office</t>
  </si>
  <si>
    <t>Client Round Trip travel time from Primary Office (hours)</t>
  </si>
  <si>
    <t>Includes PM + Direct Client &amp; Third party engagement</t>
  </si>
  <si>
    <t>This setting controls the name of 'Onsite' work conducted at client premises and 'offsite' work conducted at ArchiTech purposes.</t>
  </si>
  <si>
    <t>Client Entered</t>
  </si>
  <si>
    <t>Client KM from Primary Office entered</t>
  </si>
  <si>
    <t>Alerts</t>
  </si>
  <si>
    <t>Highest Engineer Loading</t>
  </si>
  <si>
    <t>Threshold</t>
  </si>
  <si>
    <t>Level</t>
  </si>
  <si>
    <t>Current Alert:</t>
  </si>
  <si>
    <t>Alert</t>
  </si>
  <si>
    <t>Current Level</t>
  </si>
  <si>
    <t>Recommended Engineer Allocation %</t>
  </si>
  <si>
    <t>Project Engineer Hours (Current)</t>
  </si>
  <si>
    <t>Engineer Allocation Recommendation (Current)</t>
  </si>
  <si>
    <t>Min Duration</t>
  </si>
  <si>
    <t>Details</t>
  </si>
  <si>
    <t>This section will autocalculate based on the Client KM from Primary Office, above</t>
  </si>
  <si>
    <t>Engineer Roles - Project Technical Tasks page</t>
  </si>
  <si>
    <t>Client Effort Estimate</t>
  </si>
  <si>
    <t>Current Tier</t>
  </si>
  <si>
    <t>Recommended Tier</t>
  </si>
  <si>
    <t>Current Tier Value</t>
  </si>
  <si>
    <t>Recommended Tier Value</t>
  </si>
  <si>
    <t>Alert Active</t>
  </si>
  <si>
    <t>Client/3rd Party Workshops</t>
  </si>
  <si>
    <t>Optional Project Management Services (Standard)</t>
  </si>
  <si>
    <t>Hours Allocated</t>
  </si>
  <si>
    <t>Resource Type</t>
  </si>
  <si>
    <t>Optional Project Management Services (Custom)</t>
  </si>
  <si>
    <t>This is a table that is available to add any special or unusual project management service.</t>
  </si>
  <si>
    <t>Subcontractor Effort Estimate</t>
  </si>
  <si>
    <t>Project Management Adjustments</t>
  </si>
  <si>
    <t>Project Management Summary</t>
  </si>
  <si>
    <t>Project Management Optional</t>
  </si>
  <si>
    <t>Category</t>
  </si>
  <si>
    <t>Subcontractor Engagement Summary</t>
  </si>
  <si>
    <t>Populate this section with the basic details of the subcontractor engagements for this project</t>
  </si>
  <si>
    <t>If engaging subcontractors, answer each of the questions below</t>
  </si>
  <si>
    <t>Subcontractor Engagement Checks</t>
  </si>
  <si>
    <t>Subcontractor Engagement Check</t>
  </si>
  <si>
    <t>Project Management Model</t>
  </si>
  <si>
    <t>Select the basic project management model from the options available. Recommendations are offered based on the size of the project and its duration.</t>
  </si>
  <si>
    <t>This table summarises the project management costs for this project - broken down further in the tables below</t>
  </si>
  <si>
    <r>
      <t xml:space="preserve">This is the mandatory project management effort for the subcontractor engagements listed on this PSE which do </t>
    </r>
    <r>
      <rPr>
        <b/>
        <i/>
        <sz val="12"/>
        <color theme="1"/>
        <rFont val="Helvetica Neue Light"/>
      </rPr>
      <t>not</t>
    </r>
    <r>
      <rPr>
        <i/>
        <sz val="12"/>
        <color theme="1"/>
        <rFont val="Helvetica Neue Light"/>
      </rPr>
      <t xml:space="preserve"> already provide their own project management and client engagement.</t>
    </r>
  </si>
  <si>
    <t>These activities are recommended for a project of this size, but can be adjusted up or down using the 'Adjustment' columns</t>
  </si>
  <si>
    <t>Recommended Cycle</t>
  </si>
  <si>
    <t>Current Cycle Value</t>
  </si>
  <si>
    <t>Recommended Cycle Value</t>
  </si>
  <si>
    <t>Current Cycle</t>
  </si>
  <si>
    <t>I would like to add a fixed number of extra hours for risk:</t>
  </si>
  <si>
    <t>Base Budget - Project Budget without Risk Loading</t>
  </si>
  <si>
    <t>This is the current budget for the project based on the data entered in to the previous three tabs</t>
  </si>
  <si>
    <r>
      <t xml:space="preserve">In this section, establish a project risk budget. 
Note that you may apply both a risk budget </t>
    </r>
    <r>
      <rPr>
        <i/>
        <u/>
        <sz val="12"/>
        <color theme="1"/>
        <rFont val="Helvetica Neue Light"/>
      </rPr>
      <t>and</t>
    </r>
    <r>
      <rPr>
        <i/>
        <sz val="12"/>
        <color theme="1"/>
        <rFont val="Helvetica Neue Light"/>
      </rPr>
      <t xml:space="preserve"> a discount to the same project - you will have the option to set a discount rate on the summary page.</t>
    </r>
  </si>
  <si>
    <t>Project Managers need to be familiar with the terms and clauses in both a tender response and a contract. On larger projects, it's assumed that this will be required.</t>
  </si>
  <si>
    <t>A project schedule is a list of tasks and phases, and how long they will take. 
Project schedules vary in complexity and level of detail.
Advanced project schedules record the work associated with a task, the owner of each task, and the critical path dependencies between tasks and phases.</t>
  </si>
  <si>
    <t>All projects with project meetings should include a project reporting artefact - a dashboard or slideshow presentation that can be submitted along with the meeting.
ArchiTech has a template document which requires different amounts of setup depending on the complexity of the project.</t>
  </si>
  <si>
    <t>All ArchiTech projects require that their budget be tracked.
On the smallest projects, setting up a budget tracking plan can be as simple as a conversation with the engineer about their budget tolerances.
On larger projects, this can be a complex task which involves setting up a budget allocation spreadsheet, a reporting system, and seeking approval from internal stakeholders.</t>
  </si>
  <si>
    <t>Once per cycle, all projects with project management require a regular project meeting.
ArchiTech project managers should lead project meetings and should enter these meetings with a plan as to what will be discussed and what outcomes will be achieved.
Furthermore, for larger projects, ArchiTech project managers should have a written status report to present as part of this meeting and submit to the client.
This time permits the project manager to prepare accordingly.</t>
  </si>
  <si>
    <t>Once per cycle, all projects with project management require a regular project meeting.
This time permits the project manager to attend project meetings.</t>
  </si>
  <si>
    <t>Once per cycle, all projects with project management require a regular project meeting.
On larger projects, the decisions made in these meetings should be formally recorded and circulated to stakeholders.
This time permits the project manager to record, tidy up, and distribute their notes from project meetings in meeting minute format.</t>
  </si>
  <si>
    <t>ArchiTech currently requires that all documents be reviewed prior to release by a second subject matter expert for 
 - Technical accuracy
 - Best practises
 - Full coverage of relevant considerations</t>
  </si>
  <si>
    <t>Internal Project Closure report &amp; lessons learned - prepare for customer meeting</t>
  </si>
  <si>
    <t>Internal Project Closure report &amp; lessons learned - attend customer meeting, attend internal meetings.</t>
  </si>
  <si>
    <t>Internal Project Closure report &amp; lessons learned - write up internal report.</t>
  </si>
  <si>
    <t>ArchiTech Site Selected</t>
  </si>
  <si>
    <t>Start Date Entered</t>
  </si>
  <si>
    <t>End date selected</t>
  </si>
  <si>
    <t>Project Technical Tasks Page</t>
  </si>
  <si>
    <t>Subcontractors Page</t>
  </si>
  <si>
    <t>Subcontractor Engagement Check Completed</t>
  </si>
  <si>
    <t>Project Includes Subcontractors</t>
  </si>
  <si>
    <t>Subcontractor 1 Name Entered</t>
  </si>
  <si>
    <t>Subcontractor Line 1 Complete</t>
  </si>
  <si>
    <t>Subcontractor Line 2 Complete</t>
  </si>
  <si>
    <t>Subcontractor Line 3 Complete</t>
  </si>
  <si>
    <t>Subcontractor Line 4 Complete</t>
  </si>
  <si>
    <t>Subcontractor Line 5 Complete</t>
  </si>
  <si>
    <t>All Engagement Checks Answered</t>
  </si>
  <si>
    <t>Quotes Obtained for all Subcontractors</t>
  </si>
  <si>
    <t>Management Page</t>
  </si>
  <si>
    <t>Project Management Model Selected</t>
  </si>
  <si>
    <t>Management Frequency Selected</t>
  </si>
  <si>
    <t>Adjustments are all valid</t>
  </si>
  <si>
    <t>All tasks have a description</t>
  </si>
  <si>
    <t>Project Risk Page</t>
  </si>
  <si>
    <t>Risk Loading Decision made</t>
  </si>
  <si>
    <t>Risk Loading Applied (If Required by selection)</t>
  </si>
  <si>
    <t>R1 Sell_Hidden</t>
  </si>
  <si>
    <t>R2 Sell_Hidden</t>
  </si>
  <si>
    <t>R3 Sell_Hidden</t>
  </si>
  <si>
    <t>R4 Sell_Hidden5</t>
  </si>
  <si>
    <t>R5 Sell_Hidden</t>
  </si>
  <si>
    <t>Documents_Hidden</t>
  </si>
  <si>
    <t>Cost_Hidden</t>
  </si>
  <si>
    <t>Sell_Hidden</t>
  </si>
  <si>
    <t>Service Categories</t>
  </si>
  <si>
    <t>Category 1</t>
  </si>
  <si>
    <t>Category 2</t>
  </si>
  <si>
    <t>Category 3</t>
  </si>
  <si>
    <t>Category 4</t>
  </si>
  <si>
    <t>Category 5</t>
  </si>
  <si>
    <t>Security</t>
  </si>
  <si>
    <t>Approval Requirements Satisfied For Engineer Loading?</t>
  </si>
  <si>
    <t>Approval Requirements Satisfied for Project Tier &amp; Cycle?</t>
  </si>
  <si>
    <t>Checklist Complete</t>
  </si>
  <si>
    <t>Override?</t>
  </si>
  <si>
    <t>Instructions</t>
  </si>
  <si>
    <t>Checklist</t>
  </si>
  <si>
    <t>I have considered pricing implications and copied all applicable subcontractor exclusions, terms and conditions, client requirements, and prerequisites into an ArchiTech proposal document OR quote.</t>
  </si>
  <si>
    <t>I would like to add a fixed % markup to ArchiTech costs for risk:</t>
  </si>
  <si>
    <t>Enter task details for ALL technical activities required to deliver this project end to end, then allocate them to ArchiTech, client or subcontractor</t>
  </si>
  <si>
    <t>I have assessed this subcontractor to the best of my abilities and have provided a full, accurate and written description of the scope and requirements of the task to the Subcontractor for scoping and pricing. I believe that they are competent to perform the activities scoped to a high professional standard, and that their engagement with ArchiTech is complete and adequate to deliver this solution.</t>
  </si>
  <si>
    <t>Project Management Levels Explained</t>
  </si>
  <si>
    <t>The table below provides an overview description of the 5 levels of ArchiTech Project Management.</t>
  </si>
  <si>
    <r>
      <t xml:space="preserve">These are the mandatory project management services for a project of this size </t>
    </r>
    <r>
      <rPr>
        <i/>
        <u/>
        <sz val="12"/>
        <color theme="1"/>
        <rFont val="Helvetica Neue Light"/>
      </rPr>
      <t>for the 'Project Management Level' chosen above</t>
    </r>
    <r>
      <rPr>
        <i/>
        <sz val="12"/>
        <color theme="1"/>
        <rFont val="Helvetica Neue Light"/>
      </rPr>
      <t>. These values are set by management and cannot be modified on a PSE</t>
    </r>
  </si>
  <si>
    <t>Summary</t>
  </si>
  <si>
    <t>Internal Task Management</t>
  </si>
  <si>
    <t xml:space="preserve">Internally, PMO will set up the project, check in on schedule with the lead engineer, report (internally) and escalate, and manage invoicing. </t>
  </si>
  <si>
    <t>Project requires minimal client contact or stakeholder management</t>
  </si>
  <si>
    <t>Project requires no client contact or stakeholder management</t>
  </si>
  <si>
    <t>Typical project</t>
  </si>
  <si>
    <t>No external project management deliverables are required (No registers, No schedule, No plans)</t>
  </si>
  <si>
    <t>Project requires moderate client contact/stakeholder management</t>
  </si>
  <si>
    <t>Project Manager will:
Deliver 1 email format progress report per fortnight and have meeting with the client once per week on VC for 1 hour max</t>
  </si>
  <si>
    <t>PM Deliverables</t>
  </si>
  <si>
    <t>PM Exclusions</t>
  </si>
  <si>
    <t>PM As-Required Deliverables</t>
  </si>
  <si>
    <t>Fixed Project schedule for external use in Excel or PowerPoint.</t>
  </si>
  <si>
    <t>The Project Manager may produce a Project Management Plan and other documentation as required (Comms Plan, OHS, SWMS, JSA's etc)</t>
  </si>
  <si>
    <t>The Project Manager may use best practise registers (risk, dependency, issues, actions) and produce a PMP</t>
  </si>
  <si>
    <t>Project does not require management</t>
  </si>
  <si>
    <t>Typically greater than 3 month duration, with multiple technologies and work streams, and may have variability in scope due to size and timing</t>
  </si>
  <si>
    <t>Typically less than 1 month duration, where the project is well defined</t>
  </si>
  <si>
    <t>PMO will have NO contact with the client</t>
  </si>
  <si>
    <t>No requirement for OHS or other documents or reporting</t>
  </si>
  <si>
    <t>No requirement for PMP, OHS, minuted meetings or other document</t>
  </si>
  <si>
    <t xml:space="preserve">Typically less than 3 month duration, may have a single subcontractor, and has a well defined scope
</t>
  </si>
  <si>
    <t>Maintained Project Schedule for external use in professional format
Documented meeting minutes</t>
  </si>
  <si>
    <t>Complex Project Schedule (Gantt chart) which will be maintained regularly
Documented meeting minutes
Risk register
Actions register
Dependencies register
Issues register</t>
  </si>
  <si>
    <t>The project management level option above sets the project management allocated to the job. It changes both the amount of work, and the types of tasks that PM's will perform.</t>
  </si>
  <si>
    <t>Project Control Oversight - ArchiTech Sponsor</t>
  </si>
  <si>
    <t>This is purely used to make a recommendation which can be overridden.</t>
  </si>
  <si>
    <t>The distinction matters for the purposes of calculating travel and accommodation costs.</t>
  </si>
  <si>
    <t>These settings control the recommended project duration.</t>
  </si>
  <si>
    <t>Overnight Accommodation Required for late nights</t>
  </si>
  <si>
    <t>Booking Accommodation &amp; Meals - Admin costs</t>
  </si>
  <si>
    <t>Overnight Accommodation &amp; Meals</t>
  </si>
  <si>
    <t>Accommodation required after x km</t>
  </si>
  <si>
    <t>Hours work per trip to site (assuming no accommodation required)</t>
  </si>
  <si>
    <t>Hours work per night's accommodation (assuming accommodation required)</t>
  </si>
  <si>
    <t>Night's accommodation per trip</t>
  </si>
  <si>
    <t>I have reviewed subcontractor proposals and I have identified any delivery gaps (such as significant assumptions re. client or third party implementation activities). I have allowed for this effort in this PSE OR excluded this activity from scope and priced accordingly.</t>
  </si>
  <si>
    <t>At ArchiTech, it is mandatory that medium and large projects include Progress Control Meetings to occur every two cycles.
In this meeting, the project manager must provide a report on the health of the project to the operations manager, the relevant SA, and the ArchiTech Manager of Project Delivery.
This time permits the project manager to prepare for this report.</t>
  </si>
  <si>
    <t xml:space="preserve">ArchiTech currently requires that all documents be reviewed prior to release for:
 - Spelling and Grammar
 - Formatting and correct use of ArchiTech Document styles
 - Irrelevant or plagiarised content
 - Tables of contents, tables and figures
 - Acronym Definitions
 - Formatting of text and tables
 - Correct &amp; consistent use &amp; format of captions on all tables and figures
</t>
  </si>
  <si>
    <t>ConnectWise Work - Setup &amp; Ongoing Management</t>
  </si>
  <si>
    <t>Project Plans are significant documents that define the management process for a project. Project plans are typically made up of a 'communication management plan', an 'issue management plan', and a 'risk management plan'. 
An advanced project plan may include any or all of the following:
 - Communication management plans
 - A project budget &amp; decisions tolerances structure
 - A project organisational Chart
 - Scope management plans
 - Timeline management plans
 - Resource management plans
 - Project Phase structure and Phase Boundary management plans
 - Issue management plans
 - Risk management plans
 - Quality Assurance plans
 - Stakeholder management plans
 - A component register &amp; product management plan
On very large projects, a project plan can be very complex and is expected to be a living document. Some project management methodologies - Prince2, PMP - have very specific definitions and mandatory elements for project plans.</t>
  </si>
  <si>
    <t>Every projects has one or more deadline that it aims to meet - even if it's only arbitrary. Managing a schedule to those deadlines is a key project management activity.
PM's need to regularly review baseline and current timelines, recent progress, issues, risks, and new activities and record how actual work is tracking to timeline. When timeline needs to shift, PM's need to draft and updated project schedule and obtain customer buy--in.</t>
  </si>
  <si>
    <t>Project Managers are ultimately responsible for keeping projects moving in the right direction.
This means talking to engineers, getting progress reports, and working with engineers to set short-term goals; assessing new issues and risks and deciding how time will be allocated to address them; receiving questions and requests from the client and responding to them; engaging and chasing third parties and clients on dependencies and prerequisites; receiving, and initiating, escalations for problems and opportunities.
This is the core day-to-day project management activity. As a rule, the more time in this activity, the more influence a project manager has on the end outcome of a project.</t>
  </si>
  <si>
    <r>
      <t xml:space="preserve">Managing actions, and managing an action register, are two different activities.
All project managers keep a list of actions required </t>
    </r>
    <r>
      <rPr>
        <i/>
        <sz val="14"/>
        <color theme="1"/>
        <rFont val="Helvetica Neue Light"/>
      </rPr>
      <t>somewhere</t>
    </r>
    <r>
      <rPr>
        <sz val="14"/>
        <color theme="1"/>
        <rFont val="Helvetica Neue Light"/>
      </rPr>
      <t>: however, an action register is a formal document listing, defining and summarising those actions, along with their current status, which is distributed to stakeholders.
It is updated on a regular cycle and is expected to capture all significant tasks on both the client and provider side. Maintaining an Action register is a significant recurring activity in its own right.</t>
    </r>
  </si>
  <si>
    <r>
      <t xml:space="preserve">Managing issues, and managing an issue register, are two different activities.
All project managers keep a list of known issues </t>
    </r>
    <r>
      <rPr>
        <i/>
        <sz val="14"/>
        <color theme="1"/>
        <rFont val="Helvetica Neue Light"/>
      </rPr>
      <t>somewhere</t>
    </r>
    <r>
      <rPr>
        <sz val="14"/>
        <color theme="1"/>
        <rFont val="Helvetica Neue Light"/>
      </rPr>
      <t>: however, an issue register is a formal document listing, defining and summarising those issues, along with their current status, priority, and management plans, which is distributed to stakeholders.
It is updated on a regular cycle and is expected to capture all significant project issues on both the client and provider side. Maintaining an issue register is a significant recurring activity in its own right.</t>
    </r>
  </si>
  <si>
    <r>
      <t xml:space="preserve">Managing risks, and managing a risk register, are two different activities.
All project managers keep a list of known risks </t>
    </r>
    <r>
      <rPr>
        <i/>
        <sz val="14"/>
        <color theme="1"/>
        <rFont val="Helvetica Neue Light"/>
      </rPr>
      <t>somewhere</t>
    </r>
    <r>
      <rPr>
        <sz val="14"/>
        <color theme="1"/>
        <rFont val="Helvetica Neue Light"/>
      </rPr>
      <t>: however, a risk register is a formal document listing, defining and summarising those risks, along with their current status, priority, and management plans, which is distributed to stakeholders.
It is updated on a regular cycle and is expected to capture all significant project risks. Maintaining an risk register is a significant recurring activity in its own right.</t>
    </r>
  </si>
  <si>
    <t>All ArchiTech projects require that their budget be tracked.
On the smallest projects, tracking budget can be as simple as checking the actual hours on a project once every week or two.
On larger projects, this can be a complex task involving conversation with engineers, review of risk and issue registers, reallocation of budget between tasks, variation management, conversations with the client about trade-offs, and complex forward estimation of effort.</t>
  </si>
  <si>
    <t>Travel &amp; Accommodation Fees</t>
  </si>
  <si>
    <t>Travel and Accommodation TOTAL</t>
  </si>
  <si>
    <t>Target Price Discount Calculator</t>
  </si>
  <si>
    <t>Travel &amp; Accommodation Budget</t>
  </si>
  <si>
    <t>Project requires weekly progress reporting, a complex schedule which is changing, involves multiple stakeholders, may involve subcontractors, and presents dynamic risk</t>
  </si>
  <si>
    <t>Project Manager will: 
Deliver formatted progress reports per fortnight and schedule meetings with the client twice per week</t>
  </si>
  <si>
    <t>Internally, the PM will manage resources, invoicing, reporting and risk.</t>
  </si>
  <si>
    <t>The Project Manager will 
engage with the client or client representatives, subcontractors and stakeholders multiple times per week and deliver a documented progress report weekly to fortnightly</t>
  </si>
  <si>
    <t>Blended Margin</t>
  </si>
  <si>
    <t>PM Client Contact</t>
  </si>
  <si>
    <t>e.g. - induction documenation, SWMS document, Workcover documents, Inputting progress into Client CRM/Project Management software, Client regular change control meetings, Client regular PCG meetings</t>
  </si>
  <si>
    <t>Administrative management, including setup and invoicing</t>
  </si>
  <si>
    <t>Hours Parking</t>
  </si>
  <si>
    <t>Client Site Parking Cost per Hour (Estimate)</t>
  </si>
  <si>
    <t>Discount Approver List</t>
  </si>
  <si>
    <t>GM Approver List</t>
  </si>
  <si>
    <t>Tolls Per Round Trip to Client Site (Estimate)</t>
  </si>
  <si>
    <t>Freight &amp; Shipping Internal</t>
  </si>
  <si>
    <t>Implementation Phase</t>
  </si>
  <si>
    <t>Onsite Tasks</t>
  </si>
  <si>
    <t>Office Staging Tasks</t>
  </si>
  <si>
    <t>Onsite Implementation Tasks</t>
  </si>
  <si>
    <t>Technology Type</t>
  </si>
  <si>
    <t>Staging Tasks</t>
  </si>
  <si>
    <t>Staging Shipping - Double Check</t>
  </si>
  <si>
    <t>Note</t>
  </si>
  <si>
    <t>Solution Architect Notes</t>
  </si>
  <si>
    <r>
      <rPr>
        <b/>
        <sz val="10"/>
        <color theme="1"/>
        <rFont val="Helvetica Neue Light"/>
      </rPr>
      <t xml:space="preserve">Solution ArchiTect Notes
</t>
    </r>
    <r>
      <rPr>
        <sz val="10"/>
        <color theme="1"/>
        <rFont val="Helvetica Neue Light"/>
      </rPr>
      <t xml:space="preserve">
(alt+enter for line break)</t>
    </r>
  </si>
  <si>
    <r>
      <rPr>
        <b/>
        <sz val="10"/>
        <color theme="1"/>
        <rFont val="Helvetica Neue Light"/>
      </rPr>
      <t>Solution ArchiTect Notes</t>
    </r>
    <r>
      <rPr>
        <sz val="10"/>
        <color theme="1"/>
        <rFont val="Helvetica Neue Light"/>
      </rPr>
      <t xml:space="preserve">
(alt+enter for line break)</t>
    </r>
  </si>
  <si>
    <r>
      <rPr>
        <b/>
        <sz val="10"/>
        <rFont val="Helvetica Neue Light"/>
      </rPr>
      <t>Solution ArchiTect Notes</t>
    </r>
    <r>
      <rPr>
        <sz val="10"/>
        <rFont val="Helvetica Neue Light"/>
      </rPr>
      <t xml:space="preserve">
(alt+enter for line break)</t>
    </r>
  </si>
  <si>
    <t>Section 6, below</t>
  </si>
  <si>
    <t>Client Site Parking Cost per Hour (Estimate) entered</t>
  </si>
  <si>
    <t>Tolls Per Round Trip to Client Site (Estimate) entered</t>
  </si>
  <si>
    <t>Incidentals Budget</t>
  </si>
  <si>
    <t>Incidentals Budget Entered</t>
  </si>
  <si>
    <t>Blended Margin is calculated excluding Travel &amp; Accomodation, Incidentals and Freight + Shipping.</t>
  </si>
  <si>
    <t>Note: Discounts do not apply to Travel &amp; Accomodation, Subcontractors, Incidentals or Freight &amp; Shipping</t>
  </si>
  <si>
    <t>Sell price Margins</t>
  </si>
  <si>
    <t>Tolls</t>
  </si>
  <si>
    <t>Parking</t>
  </si>
  <si>
    <t>You must get email approval to proceed with this proposal</t>
  </si>
  <si>
    <t>è</t>
  </si>
  <si>
    <t>Travel Hours</t>
  </si>
  <si>
    <t>Variation</t>
  </si>
  <si>
    <t>This quote is a variation</t>
  </si>
  <si>
    <t>Quote Number (Original Quote):</t>
  </si>
  <si>
    <t>Recommended Trips/Stays/ Docs</t>
  </si>
  <si>
    <t>Project is a variation</t>
  </si>
  <si>
    <t>Variation Multiplier</t>
  </si>
  <si>
    <t>Variation Multiplier Applies</t>
  </si>
  <si>
    <t>Variation Information Completed?</t>
  </si>
  <si>
    <t>Status</t>
  </si>
  <si>
    <t>0.2 New - Pending PMO Review</t>
  </si>
  <si>
    <t>Project Type</t>
  </si>
  <si>
    <t>3rd Party Delivery With PM</t>
  </si>
  <si>
    <t>3rd Party Delivery Without PM</t>
  </si>
  <si>
    <t>Client-Managed Project</t>
  </si>
  <si>
    <t>Consulting</t>
  </si>
  <si>
    <t>Engineer-Only Project</t>
  </si>
  <si>
    <t>Internal Project</t>
  </si>
  <si>
    <t>Oversight Project</t>
  </si>
  <si>
    <t>PM HOURS</t>
  </si>
  <si>
    <t>ENGINEER HOURS</t>
  </si>
  <si>
    <t>3rd PARTY HOURS (ESTIMATE)</t>
  </si>
  <si>
    <t>PM &gt;= 8 hours, 3rd party &gt; engineer</t>
  </si>
  <si>
    <t>PM &lt; 8 hours, 3rd party &gt; engineer</t>
  </si>
  <si>
    <t>Always false - must be manually set</t>
  </si>
  <si>
    <t>Category = None</t>
  </si>
  <si>
    <t>TYPE:</t>
  </si>
  <si>
    <t>Est. Start:</t>
  </si>
  <si>
    <t>Est. End:</t>
  </si>
  <si>
    <t>Percentage Complete:</t>
  </si>
  <si>
    <t>Include Dependencies in Work Plan:</t>
  </si>
  <si>
    <t>û</t>
  </si>
  <si>
    <t xml:space="preserve">Override Percentage Complete: </t>
  </si>
  <si>
    <t>ü</t>
  </si>
  <si>
    <t>Milestones:</t>
  </si>
  <si>
    <t>Include Estimates on Work Plan</t>
  </si>
  <si>
    <t>Billing Model</t>
  </si>
  <si>
    <t>PM Hours</t>
  </si>
  <si>
    <t>Project Risk %</t>
  </si>
  <si>
    <t>leave this field blank</t>
  </si>
  <si>
    <t>Budget SoT Document</t>
  </si>
  <si>
    <t>Scope SoT Document</t>
  </si>
  <si>
    <t>Solution ArchiTect</t>
  </si>
  <si>
    <t>PSE Author</t>
  </si>
  <si>
    <t>Project Tab</t>
  </si>
  <si>
    <t>Billing Method</t>
  </si>
  <si>
    <t>Billing Amount</t>
  </si>
  <si>
    <t>Bill Time?</t>
  </si>
  <si>
    <t>Bill Expenses?</t>
  </si>
  <si>
    <t>Bill Products?</t>
  </si>
  <si>
    <t>Agreement</t>
  </si>
  <si>
    <t>Location</t>
  </si>
  <si>
    <t>Project Board</t>
  </si>
  <si>
    <t>Billable</t>
  </si>
  <si>
    <t>ArchiTech Network and Communication Solutions</t>
  </si>
  <si>
    <t>Technical Support</t>
  </si>
  <si>
    <t>Services Projects</t>
  </si>
  <si>
    <t>Customer PO</t>
  </si>
  <si>
    <t>Complete this field from the Client Purchase order</t>
  </si>
  <si>
    <t>PO Amount</t>
  </si>
  <si>
    <t>Est. Time Cost</t>
  </si>
  <si>
    <t>Est. Expense Cost</t>
  </si>
  <si>
    <t>Est. Product Cost</t>
  </si>
  <si>
    <t>Est. Time Rev:</t>
  </si>
  <si>
    <t>Est. Expense Rev:</t>
  </si>
  <si>
    <t>Est. Product Rev:</t>
  </si>
  <si>
    <t>Filled in Automatically during conversion</t>
  </si>
  <si>
    <t>Opportunity:</t>
  </si>
  <si>
    <t>Currency:</t>
  </si>
  <si>
    <t>Australian Dollars</t>
  </si>
  <si>
    <t>Bill To Company:</t>
  </si>
  <si>
    <t>Billing Contact</t>
  </si>
  <si>
    <t>Attention</t>
  </si>
  <si>
    <t>Billing Terms</t>
  </si>
  <si>
    <t>Net 30 days</t>
  </si>
  <si>
    <t>Fixed Fee, Milestone-Based</t>
  </si>
  <si>
    <t>Fixed Fee, No Milestones, Prepaid</t>
  </si>
  <si>
    <t>Fixed Fee, No Milestones, Postpaid</t>
  </si>
  <si>
    <t>T&amp;M, No Estimate, Pay-as-you-go</t>
  </si>
  <si>
    <t>T&amp;M, Fixed Estimate, Pay-as-you-go</t>
  </si>
  <si>
    <t>T&amp;M, No Estimate, Block Hours</t>
  </si>
  <si>
    <t>T&amp;M, Estimate, Block Hours</t>
  </si>
  <si>
    <t>Combined - Part T&amp;M, Part Fixed Fee</t>
  </si>
  <si>
    <t>Combined - Fixed Fee with Price Review Point</t>
  </si>
  <si>
    <t>Project Value</t>
  </si>
  <si>
    <t>Project Tasks</t>
  </si>
  <si>
    <t>Milestone Requirements</t>
  </si>
  <si>
    <t>Project Management Type</t>
  </si>
  <si>
    <t>Milestone Row</t>
  </si>
  <si>
    <t>Expenses</t>
  </si>
  <si>
    <t>Value Remaining</t>
  </si>
  <si>
    <t>Milestone %</t>
  </si>
  <si>
    <t>Milestone Structure</t>
  </si>
  <si>
    <t>Key Variables</t>
  </si>
  <si>
    <t>Milestones Plan Required?</t>
  </si>
  <si>
    <t>T&amp;M</t>
  </si>
  <si>
    <t>Model</t>
  </si>
  <si>
    <t>Not to Exceed</t>
  </si>
  <si>
    <t>Milestones</t>
  </si>
  <si>
    <t>Prepaid</t>
  </si>
  <si>
    <t>Milestone Match</t>
  </si>
  <si>
    <t>Prepaid Match</t>
  </si>
  <si>
    <t>Model Match</t>
  </si>
  <si>
    <t>Unknown</t>
  </si>
  <si>
    <t>Milestone QTY:</t>
  </si>
  <si>
    <t>Billing Model:</t>
  </si>
  <si>
    <t>Time Revenue inc. Risk:</t>
  </si>
  <si>
    <t>Est.  Product Cost</t>
  </si>
  <si>
    <t>UNKNOWN - REFER TO BOM/QUOTE</t>
  </si>
  <si>
    <t>Est. ATS Support Cost</t>
  </si>
  <si>
    <t>Est.  Product Rev</t>
  </si>
  <si>
    <t>Est. ATS Support Rev</t>
  </si>
  <si>
    <t>Est. Vendor Support Cost</t>
  </si>
  <si>
    <t>Est. Vendor Support Rev</t>
  </si>
  <si>
    <t>Finance Tab - Billing Information Pod</t>
  </si>
  <si>
    <t>Finance Tab - Finance Information Pod</t>
  </si>
  <si>
    <t>Time Approver</t>
  </si>
  <si>
    <t>Expense Approver</t>
  </si>
  <si>
    <t>Budget Analysis</t>
  </si>
  <si>
    <t>Use Actual Hours</t>
  </si>
  <si>
    <t>Est Hours</t>
  </si>
  <si>
    <t>Use as Budget</t>
  </si>
  <si>
    <t>Restrict Down payment to this project</t>
  </si>
  <si>
    <t>Bill unnapproved time and expense records</t>
  </si>
  <si>
    <t>Bill this project only after it's been closed</t>
  </si>
  <si>
    <t>Do not display this project in the customer portal</t>
  </si>
  <si>
    <t>PM Hours Sold</t>
  </si>
  <si>
    <t>TA Hours Sold</t>
  </si>
  <si>
    <t>SE Hours Sold</t>
  </si>
  <si>
    <t>SSE Hours Sold</t>
  </si>
  <si>
    <t>Internal Variation Hours</t>
  </si>
  <si>
    <t>Int. Variation Approver</t>
  </si>
  <si>
    <t>After Hours Total</t>
  </si>
  <si>
    <t>Role</t>
  </si>
  <si>
    <t>Billing Model Selected</t>
  </si>
  <si>
    <t>Prepaid Flag Set</t>
  </si>
  <si>
    <t>PSE Author Listed</t>
  </si>
  <si>
    <t>filled in automatically</t>
  </si>
  <si>
    <t>Milestones Entered</t>
  </si>
  <si>
    <t>Unknown - should be (in order) contract, SOW or Quote</t>
  </si>
  <si>
    <t>Project Setup Information</t>
  </si>
  <si>
    <t>Prepaid Project</t>
  </si>
  <si>
    <t>Project Risk - Travel &amp; Accomodation</t>
  </si>
  <si>
    <t>Project Risk - Services</t>
  </si>
  <si>
    <t>Travel &amp; Accommodation - Hours</t>
  </si>
  <si>
    <t>Travel &amp; Accommodation - Expenses</t>
  </si>
  <si>
    <t>Senior Consultant</t>
  </si>
  <si>
    <t>Rate Discounts</t>
  </si>
  <si>
    <t>Work Role</t>
  </si>
  <si>
    <t>Corresponding Rate</t>
  </si>
  <si>
    <t>Base Rate</t>
  </si>
  <si>
    <t>Discount Rate</t>
  </si>
  <si>
    <t>Hourly Rate</t>
  </si>
  <si>
    <t>Finance Tab - Billing Rates Pod</t>
  </si>
  <si>
    <t>Billing Rate</t>
  </si>
  <si>
    <t>Set Billing Rates by Work Role</t>
  </si>
  <si>
    <t>Default Rate</t>
  </si>
  <si>
    <t>Discount Rates</t>
  </si>
  <si>
    <t>Total Value</t>
  </si>
  <si>
    <t>Total Discount</t>
  </si>
  <si>
    <t>ROW active?</t>
  </si>
  <si>
    <t>PLAN INCOMPLETE</t>
  </si>
  <si>
    <t>TEST</t>
  </si>
  <si>
    <t>Milestone Best Practises</t>
  </si>
  <si>
    <t>Done well, milestones enforce the structure you have in mind for the project, and give the team a tool to keep projects moving along.</t>
  </si>
  <si>
    <r>
      <t xml:space="preserve"> - They are linked to a </t>
    </r>
    <r>
      <rPr>
        <u/>
        <sz val="12"/>
        <color theme="1"/>
        <rFont val="Calibri"/>
        <family val="2"/>
        <scheme val="minor"/>
      </rPr>
      <t>specific</t>
    </r>
    <r>
      <rPr>
        <sz val="12"/>
        <color theme="1"/>
        <rFont val="Calibri"/>
        <family val="2"/>
        <scheme val="minor"/>
      </rPr>
      <t xml:space="preserve"> task which is </t>
    </r>
    <r>
      <rPr>
        <u/>
        <sz val="12"/>
        <color theme="1"/>
        <rFont val="Calibri"/>
        <family val="2"/>
        <scheme val="minor"/>
      </rPr>
      <t>within the scope</t>
    </r>
    <r>
      <rPr>
        <sz val="12"/>
        <color theme="1"/>
        <rFont val="Calibri"/>
        <family val="2"/>
        <scheme val="minor"/>
      </rPr>
      <t xml:space="preserve"> of the project</t>
    </r>
  </si>
  <si>
    <t xml:space="preserve"> - They are unambiguous and easy to prove completed - ideally, through the delivery of an email</t>
  </si>
  <si>
    <t xml:space="preserve"> - They are (mostly) within ArchiTech's control  and do not depend on client actions or decisions</t>
  </si>
  <si>
    <t>Milestone Quantity Suggested</t>
  </si>
  <si>
    <t>Good Milestones have 3 specific characteristics</t>
  </si>
  <si>
    <t>Milestones are important to ArchiTech. Milestones keep cash flows regular, reduce ArchiTech's exposure to</t>
  </si>
  <si>
    <t>risk, act as early trigger points to identify and resolve client satisfaction issues, and help to keep both ArchiTech and the client on task.</t>
  </si>
  <si>
    <r>
      <rPr>
        <b/>
        <sz val="12"/>
        <color theme="1"/>
        <rFont val="Calibri"/>
        <family val="2"/>
        <scheme val="minor"/>
      </rPr>
      <t>Poor</t>
    </r>
    <r>
      <rPr>
        <sz val="12"/>
        <color theme="1"/>
        <rFont val="Calibri"/>
        <family val="2"/>
        <scheme val="minor"/>
      </rPr>
      <t xml:space="preserve"> Milestone Candidates: 'Project completion' (ambiguous), 'User acceptance testing' (poor control), 'handover to support' (poor control), "Document Acceptance" (poor control)</t>
    </r>
  </si>
  <si>
    <t>List Rank</t>
  </si>
  <si>
    <t>Billing Schedule</t>
  </si>
  <si>
    <t>3rd Party Subcontractors</t>
  </si>
  <si>
    <t>Risk</t>
  </si>
  <si>
    <t>Incidentals, Freight &amp; Shipping</t>
  </si>
  <si>
    <t>Project Manager Round Trips to Site</t>
  </si>
  <si>
    <t>Project Manager Overnight Stays</t>
  </si>
  <si>
    <t>Pre-Discount Summary Breakdown</t>
  </si>
  <si>
    <t>Prepaid Project Variable</t>
  </si>
  <si>
    <t>Milestone</t>
  </si>
  <si>
    <r>
      <t>NOTE: Hardware Billing</t>
    </r>
    <r>
      <rPr>
        <sz val="12"/>
        <color theme="1"/>
        <rFont val="Calibri"/>
        <family val="2"/>
        <scheme val="minor"/>
      </rPr>
      <t xml:space="preserve"> should always be billable '</t>
    </r>
    <r>
      <rPr>
        <b/>
        <sz val="12"/>
        <color theme="1"/>
        <rFont val="Calibri"/>
        <family val="2"/>
        <scheme val="minor"/>
      </rPr>
      <t>upon delivery of goods to client premises'</t>
    </r>
  </si>
  <si>
    <r>
      <rPr>
        <b/>
        <sz val="12"/>
        <color theme="1"/>
        <rFont val="Calibri"/>
        <family val="2"/>
        <scheme val="minor"/>
      </rPr>
      <t>Great candidates</t>
    </r>
    <r>
      <rPr>
        <sz val="12"/>
        <color theme="1"/>
        <rFont val="Calibri"/>
        <family val="2"/>
        <scheme val="minor"/>
      </rPr>
      <t xml:space="preserve"> for milestones include: Specifc Dates, Completion of Project Kickoff Meetings, Submission of Design, </t>
    </r>
  </si>
  <si>
    <t>Submission of Project Schedule, Submission of Implementation and/or Testing plans, Submission of As Built Documents</t>
  </si>
  <si>
    <r>
      <rPr>
        <b/>
        <sz val="12"/>
        <color theme="1"/>
        <rFont val="Calibri"/>
        <family val="2"/>
        <scheme val="minor"/>
      </rPr>
      <t>Acceptable</t>
    </r>
    <r>
      <rPr>
        <sz val="12"/>
        <color theme="1"/>
        <rFont val="Calibri"/>
        <family val="2"/>
        <scheme val="minor"/>
      </rPr>
      <t xml:space="preserve"> milestone candidates: Go/No Go decisions; Completion of Cutover (without rollback); Completion of Functional Testing (</t>
    </r>
    <r>
      <rPr>
        <i/>
        <sz val="12"/>
        <color theme="1"/>
        <rFont val="Calibri"/>
        <family val="2"/>
        <scheme val="minor"/>
      </rPr>
      <t xml:space="preserve">if </t>
    </r>
    <r>
      <rPr>
        <u/>
        <sz val="12"/>
        <color theme="1"/>
        <rFont val="Calibri"/>
        <family val="2"/>
        <scheme val="minor"/>
      </rPr>
      <t>in scope)</t>
    </r>
  </si>
  <si>
    <t>Hours Required</t>
  </si>
  <si>
    <t>Included</t>
  </si>
  <si>
    <t>Skill Required</t>
  </si>
  <si>
    <t>Skills List</t>
  </si>
  <si>
    <t>Skill Name</t>
  </si>
  <si>
    <t>ID</t>
  </si>
  <si>
    <t>TA</t>
  </si>
  <si>
    <t>SE</t>
  </si>
  <si>
    <t>SSE</t>
  </si>
  <si>
    <t>SA</t>
  </si>
  <si>
    <t>Solution Architect</t>
  </si>
  <si>
    <t>Custom Addition</t>
  </si>
  <si>
    <t>Steve McCann</t>
  </si>
  <si>
    <t>Rob Russell</t>
  </si>
  <si>
    <t>Sujith Kumar</t>
  </si>
  <si>
    <t>Integrated Health</t>
  </si>
  <si>
    <t>Datacentre and Cloud</t>
  </si>
  <si>
    <t>Enterprise Networking</t>
  </si>
  <si>
    <t>Collaboration</t>
  </si>
  <si>
    <t>Security Engineer</t>
  </si>
  <si>
    <t>Security Advisor / Consultant</t>
  </si>
  <si>
    <t>Senior Project Manager</t>
  </si>
  <si>
    <t>Project Manager Type</t>
  </si>
  <si>
    <t>Project Manager Roles - Management Page</t>
  </si>
  <si>
    <t>PM</t>
  </si>
  <si>
    <t>SPM</t>
  </si>
  <si>
    <t>Engineer Trips to Site</t>
  </si>
  <si>
    <t>Project Manager Trips to Site</t>
  </si>
  <si>
    <t>Total Round Trips to Site</t>
  </si>
  <si>
    <t>Engineer Overnight Stays</t>
  </si>
  <si>
    <t>Total Overnight Stays</t>
  </si>
  <si>
    <t>Travel - Time Cost</t>
  </si>
  <si>
    <t>Travel - Mileage Cost</t>
  </si>
  <si>
    <t>Travel - Tolls</t>
  </si>
  <si>
    <t>Recommended PM Type</t>
  </si>
  <si>
    <t>Project Planning &amp; Engineer Management</t>
  </si>
  <si>
    <t>Total Engineering Hours</t>
  </si>
  <si>
    <t>Project Manager Engagement</t>
  </si>
  <si>
    <t>These are the thresholds at which the management page will recommend greater or lesser frequency for management activities. As a rule, the fewer engineering hours per week, the less often project reporting should occur - and vice versa.
In this case, 'Average Engineer hours per week' = the total number of hours on the 'Engineering Tasks' Tab, divided by the project's duration.</t>
  </si>
  <si>
    <t>Label</t>
  </si>
  <si>
    <t>Monthly</t>
  </si>
  <si>
    <t>Fortnightly</t>
  </si>
  <si>
    <t>Weekly</t>
  </si>
  <si>
    <t>Twice Weekly</t>
  </si>
  <si>
    <t>Daily</t>
  </si>
  <si>
    <t>Engineers:</t>
  </si>
  <si>
    <t>This is the recommendation made against the 'Hours Per Week Per Engineer' figure on the management page</t>
  </si>
  <si>
    <r>
      <t xml:space="preserve">Project Size affects the </t>
    </r>
    <r>
      <rPr>
        <u/>
        <sz val="12"/>
        <color theme="2" tint="-0.499984740745262"/>
        <rFont val="Helvetica Neue Light"/>
      </rPr>
      <t>types</t>
    </r>
    <r>
      <rPr>
        <sz val="12"/>
        <color theme="2" tint="-0.499984740745262"/>
        <rFont val="Helvetica Neue Light"/>
      </rPr>
      <t xml:space="preserve"> of tasks that PM's do. Bigger Projects have more formal tasks.</t>
    </r>
  </si>
  <si>
    <t>Project Manager Overnight Stays = The number of nights a PM needs accommodation</t>
  </si>
  <si>
    <t>Current Warning</t>
  </si>
  <si>
    <t>Technical Works - End Date</t>
  </si>
  <si>
    <t>Engineers Requested</t>
  </si>
  <si>
    <t>Technical Works Duration (weeks)</t>
  </si>
  <si>
    <t>Calendar Duration</t>
  </si>
  <si>
    <t>Highest Engineer Average Workload per Week</t>
  </si>
  <si>
    <t>Engineering</t>
  </si>
  <si>
    <t>Price</t>
  </si>
  <si>
    <t>Engineering Hours Per PM Engagement</t>
  </si>
  <si>
    <t>Expected Weeks On-Hold / Downtime</t>
  </si>
  <si>
    <t>Project Planned Work Duration:</t>
  </si>
  <si>
    <t>Management Sheet - Subcontractor Rate per hour estimate</t>
  </si>
  <si>
    <t>Rate per hour</t>
  </si>
  <si>
    <t>2. Project Timeline Variables</t>
  </si>
  <si>
    <t>1. Project Management Variables</t>
  </si>
  <si>
    <t>Connectwise Setup, Sales Handover, BOM &amp; Quote Review</t>
  </si>
  <si>
    <t>3. Project Management Summary</t>
  </si>
  <si>
    <t>4. Baseline Project Management Services</t>
  </si>
  <si>
    <t>5. Optional Project Management Services (Standard)</t>
  </si>
  <si>
    <t>6. Subcontractor Engagement Breakdown</t>
  </si>
  <si>
    <t>7. Optional Project Management Services (Custom)</t>
  </si>
  <si>
    <t>Sections 4 and 5, below</t>
  </si>
  <si>
    <t>Adjustments column of Section 5, below</t>
  </si>
  <si>
    <t>Section 7, below</t>
  </si>
  <si>
    <t>Hours Sold</t>
  </si>
  <si>
    <t>Other Roles</t>
  </si>
  <si>
    <t>Travel Hours Sold</t>
  </si>
  <si>
    <t>SPM Hours Sold</t>
  </si>
  <si>
    <t>SA Hours Sold</t>
  </si>
  <si>
    <t>Risk Hours</t>
  </si>
  <si>
    <t>Delivery Department Leader</t>
  </si>
  <si>
    <t>Sales Department Leader</t>
  </si>
  <si>
    <t>PMO Leader</t>
  </si>
  <si>
    <t>Engineering Leader</t>
  </si>
  <si>
    <t>Name</t>
  </si>
  <si>
    <t>Email Address</t>
  </si>
  <si>
    <t>Company Executive</t>
  </si>
  <si>
    <t>rob.russell@architech.net.au</t>
  </si>
  <si>
    <t>sujith.kumar@architech.net.au</t>
  </si>
  <si>
    <t>stephen.mcdonald@architech.net.au</t>
  </si>
  <si>
    <t>steve.mccann@architech.net.au</t>
  </si>
  <si>
    <t>Stephen McDonald</t>
  </si>
  <si>
    <t>Warning: The allocation of work per engagement cycle is extremely low. Project management will be extremely excessive on this timeline, and this estimate will not be competitive. Shorten the timeline or reduce the engagement frequency.</t>
  </si>
  <si>
    <t>Warning: The allocation of work per engagement cycle is low. Project management will be excessive on this timeline, and this estimate will not be competitive. Shorten the timeline or reduce the engagement frequency.</t>
  </si>
  <si>
    <t>Warning: The allocation of work per engagement cycle is extremely high. It is very unlikely that a project manager will be able to keep track of this project. Increase the engagement cycle, or increase the project timeline.</t>
  </si>
  <si>
    <t>Engineer Hours per working week</t>
  </si>
  <si>
    <t>Project Timeline</t>
  </si>
  <si>
    <t>Optimal Days per hour</t>
  </si>
  <si>
    <t>Optimal Duration</t>
  </si>
  <si>
    <t>Optimal Engineer Hours Per Cycle</t>
  </si>
  <si>
    <t>Quarterly</t>
  </si>
  <si>
    <t>Recommended Weeks Duration:</t>
  </si>
  <si>
    <t>Optimal Allocation per Week</t>
  </si>
  <si>
    <t>Actual Calendar Duration</t>
  </si>
  <si>
    <t>Hours Per Management Cycle</t>
  </si>
  <si>
    <t>Management Alerts - Tier Lower Than Recommendation</t>
  </si>
  <si>
    <t>Management Alerts - Cycle Lower Than Recommendation</t>
  </si>
  <si>
    <t>Management Alerts - Engineer overloading</t>
  </si>
  <si>
    <t>Management Alerts - Inefficient timeline</t>
  </si>
  <si>
    <t>Management Alerts - Summary</t>
  </si>
  <si>
    <t>Thrice Weekly</t>
  </si>
  <si>
    <t>Note: this is a significant commitment for a single resource</t>
  </si>
  <si>
    <r>
      <t xml:space="preserve">PM Engagement affects </t>
    </r>
    <r>
      <rPr>
        <u/>
        <sz val="12"/>
        <color theme="2" tint="-0.499984740745262"/>
        <rFont val="Helvetica Neue Light"/>
      </rPr>
      <t>how often</t>
    </r>
    <r>
      <rPr>
        <sz val="12"/>
        <color theme="2" tint="-0.499984740745262"/>
        <rFont val="Helvetica Neue Light"/>
      </rPr>
      <t xml:space="preserve"> PM's do recurring tasks.</t>
    </r>
  </si>
  <si>
    <r>
      <t xml:space="preserve">Project Manager Type affects the </t>
    </r>
    <r>
      <rPr>
        <u/>
        <sz val="12"/>
        <color theme="2" tint="-0.499984740745262"/>
        <rFont val="Helvetica Neue Light"/>
      </rPr>
      <t>rate</t>
    </r>
    <r>
      <rPr>
        <sz val="12"/>
        <color theme="2" tint="-0.499984740745262"/>
        <rFont val="Helvetica Neue Light"/>
      </rPr>
      <t xml:space="preserve"> for PM Services</t>
    </r>
  </si>
  <si>
    <t>Project Manager Round Trips = The number of site visits a PM will make.</t>
  </si>
  <si>
    <r>
      <t xml:space="preserve">Experimental: Please note that the below figures are </t>
    </r>
    <r>
      <rPr>
        <i/>
        <u/>
        <sz val="12"/>
        <color theme="3"/>
        <rFont val="Helvetica Neue Light"/>
      </rPr>
      <t>experimental</t>
    </r>
    <r>
      <rPr>
        <i/>
        <sz val="12"/>
        <color theme="3"/>
        <rFont val="Helvetica Neue Light"/>
      </rPr>
      <t xml:space="preserve"> indicators.
They aim to provide guidelines as to whether the project timeline is optimised to balance engineering to PM's.
Feedback on these recommendations - from the solutions and PMO teams - is requested and welcomed.
Be aware that these recommendations favor a tighter project timeline than the previous model.</t>
    </r>
  </si>
  <si>
    <t>Warning: The allocation of work per engagement cycle is high. A project manager may have trouble keeping track of this project. Consider increasing the engagement cycle, or moderately increasing the project timeline.</t>
  </si>
  <si>
    <t>Engineers are automatically assigned time for project onboarding based on the size of the project</t>
  </si>
  <si>
    <t>Referenced Approvers</t>
  </si>
  <si>
    <t>Risk Loading Rate - Project Management</t>
  </si>
  <si>
    <t>Risk Loading - Travel Time</t>
  </si>
  <si>
    <t>Risk Loading - Travel &amp; Accom. Expense</t>
  </si>
  <si>
    <t>Expense</t>
  </si>
  <si>
    <t>Price %</t>
  </si>
  <si>
    <t>note: the above table excludes risk, incidentals and discounts. A full breakdown can be found on the summary page.</t>
  </si>
  <si>
    <t>% Hours Total</t>
  </si>
  <si>
    <t>% Price Total</t>
  </si>
  <si>
    <t>Ratio Calculator - Management to Implementation Activity</t>
  </si>
  <si>
    <t>Travel &amp; Expense</t>
  </si>
  <si>
    <t>Override</t>
  </si>
  <si>
    <t>Total Hours</t>
  </si>
  <si>
    <t>Project Duration (working weeks)</t>
  </si>
  <si>
    <t>Project Duration (calendar weeks)</t>
  </si>
  <si>
    <t>Expenses &amp; Incidentals</t>
  </si>
  <si>
    <t>Time</t>
  </si>
  <si>
    <t>Third Party Service</t>
  </si>
  <si>
    <t>Timeline</t>
  </si>
  <si>
    <t>Output</t>
  </si>
  <si>
    <t>Written Reports</t>
  </si>
  <si>
    <t>Regular Project Progress Reporting</t>
  </si>
  <si>
    <t>Regular Action and Decision Reporting</t>
  </si>
  <si>
    <t>Regular Issue Reporting</t>
  </si>
  <si>
    <t>Regular Risk Reporting</t>
  </si>
  <si>
    <t>Low complexity engagement - expenses scoped and covered in advance.</t>
  </si>
  <si>
    <t>High performance co-ordination of resources, schedules and information.</t>
  </si>
  <si>
    <t>Project closure with an emphasis on outcomes and proving success.</t>
  </si>
  <si>
    <t>Billing aligned to client needs and project progress.</t>
  </si>
  <si>
    <t>Clean transition from project scoping to project delivery.</t>
  </si>
  <si>
    <t>Professional tacking of project benefits and required outcomes.</t>
  </si>
  <si>
    <t>Tested and proven project monitoring and management methodology.</t>
  </si>
  <si>
    <t>ArchiTech delivery partner engagement management.</t>
  </si>
  <si>
    <t>ArchiTech-led solution development workshops.</t>
  </si>
  <si>
    <t>ArchiTech documentation assurance.</t>
  </si>
  <si>
    <t>ArchiTech solutions oversight.</t>
  </si>
  <si>
    <t>Minuted Progress Meetings</t>
  </si>
  <si>
    <t>Ongoing acesss to an ArchiTech excutive project sponsor</t>
  </si>
  <si>
    <t>ArchiTech Project Management Service Summary</t>
  </si>
  <si>
    <t>Summary of project management service:</t>
  </si>
  <si>
    <t>Networking</t>
  </si>
  <si>
    <t>Secure Networking</t>
  </si>
  <si>
    <t>Data Centre / Cloud</t>
  </si>
  <si>
    <t>Operational Technology</t>
  </si>
  <si>
    <t>Part Number</t>
  </si>
  <si>
    <t>COLLAB</t>
  </si>
  <si>
    <t>Skill Code</t>
  </si>
  <si>
    <t>SECNET</t>
  </si>
  <si>
    <t>AC</t>
  </si>
  <si>
    <t>SC</t>
  </si>
  <si>
    <t>SCE</t>
  </si>
  <si>
    <t>Primary Skill</t>
  </si>
  <si>
    <t>Total Price</t>
  </si>
  <si>
    <t>Total Cost</t>
  </si>
  <si>
    <t>Work Type</t>
  </si>
  <si>
    <t>Tech</t>
  </si>
  <si>
    <t>A-PS-C-COLLAB-AC-AH</t>
  </si>
  <si>
    <t>A-PS-C-COLLAB-AC-BH</t>
  </si>
  <si>
    <t>A-PS-P-COLLAB-PM-AH</t>
  </si>
  <si>
    <t>A-PS-P-COLLAB-PM-BH</t>
  </si>
  <si>
    <t>A-PS-E-COLLAB-SCE-AH</t>
  </si>
  <si>
    <t>A-MS-M-COLLAB-SCE-AH</t>
  </si>
  <si>
    <t>A-PS-E-COLLAB-SCE-BH</t>
  </si>
  <si>
    <t>A-MS-M-COLLAB-SCE-BH</t>
  </si>
  <si>
    <t>A-PS-C-COLLAB-SC-AH</t>
  </si>
  <si>
    <t>A-PS-C-COLLAB-SC-BH</t>
  </si>
  <si>
    <t>A-PS-P-COLLAB-SPM-AH</t>
  </si>
  <si>
    <t>A-PS-P-COLLAB-SPM-BH</t>
  </si>
  <si>
    <t>A-PS-E-COLLAB-SSE-AH</t>
  </si>
  <si>
    <t>A-MS-M-COLLAB-SSE-AH</t>
  </si>
  <si>
    <t>A-PS-E-COLLAB-SSE-BH</t>
  </si>
  <si>
    <t>A-MS-M-COLLAB-SSE-BH</t>
  </si>
  <si>
    <t>A-PS-C-COLLAB-SA-AH</t>
  </si>
  <si>
    <t>A-PS-C-COLLAB-SA-BH</t>
  </si>
  <si>
    <t>A-PS-E-COLLAB-SE-AH</t>
  </si>
  <si>
    <t>A-MS-M-COLLAB-SE-AH</t>
  </si>
  <si>
    <t>A-PS-E-COLLAB-SE-BH</t>
  </si>
  <si>
    <t>A-MS-M-COLLAB-SE-BH</t>
  </si>
  <si>
    <t>A-PS-E-COLLAB-TA-AH</t>
  </si>
  <si>
    <t>A-MS-M-COLLAB-TA-AH</t>
  </si>
  <si>
    <t>A-PS-E-COLLAB-TA-BH</t>
  </si>
  <si>
    <t>A-MS-M-COLLAB-TA-BH</t>
  </si>
  <si>
    <t>A-PS-C-DATACC-AC-AH</t>
  </si>
  <si>
    <t>A-PS-C-DATACC-AC-BH</t>
  </si>
  <si>
    <t>A-PS-P-DATACC-PM-AH</t>
  </si>
  <si>
    <t>A-PS-P-DATACC-PM-BH</t>
  </si>
  <si>
    <t>A-PS-E-DATACC-SCE-AH</t>
  </si>
  <si>
    <t>A-MS-M-DATACC-SCE-AH</t>
  </si>
  <si>
    <t>A-PS-E-DATACC-SCE-BH</t>
  </si>
  <si>
    <t>A-MS-M-DATACC-SCE-BH</t>
  </si>
  <si>
    <t>A-PS-C-DATACC-SC-AH</t>
  </si>
  <si>
    <t>A-PS-C-DATACC-SC-BH</t>
  </si>
  <si>
    <t>A-PS-P-DATACC-SPM-AH</t>
  </si>
  <si>
    <t>A-PS-P-DATACC-SPM-BH</t>
  </si>
  <si>
    <t>A-PS-E-DATACC-SSE-AH</t>
  </si>
  <si>
    <t>A-MS-M-DATACC-SSE-AH</t>
  </si>
  <si>
    <t>A-PS-E-DATACC-SSE-BH</t>
  </si>
  <si>
    <t>A-MS-M-DATACC-SSE-BH</t>
  </si>
  <si>
    <t>A-PS-C-DATACC-SA-AH</t>
  </si>
  <si>
    <t>A-PS-C-DATACC-SA-BH</t>
  </si>
  <si>
    <t>A-PS-E-DATACC-SE-AH</t>
  </si>
  <si>
    <t>A-MS-M-DATACC-SE-AH</t>
  </si>
  <si>
    <t>A-PS-E-DATACC-SE-BH</t>
  </si>
  <si>
    <t>A-MS-M-DATACC-SE-BH</t>
  </si>
  <si>
    <t>A-PS-E-DATACC-TA-AH</t>
  </si>
  <si>
    <t>A-MS-M-DATACC-TA-AH</t>
  </si>
  <si>
    <t>A-PS-E-DATACC-TA-BH</t>
  </si>
  <si>
    <t>A-MS-M-DATACC-TA-BH</t>
  </si>
  <si>
    <t>A-PS-C-INTHLT-AC-AH</t>
  </si>
  <si>
    <t>A-PS-C-INTHLT-AC-BH</t>
  </si>
  <si>
    <t>A-PS-P-INTHLT-PM-AH</t>
  </si>
  <si>
    <t>A-PS-P-INTHLT-PM-BH</t>
  </si>
  <si>
    <t>A-PS-E-INTHLT-SCE-AH</t>
  </si>
  <si>
    <t>A-MS-M-INTHLT-SCE-AH</t>
  </si>
  <si>
    <t>A-PS-E-INTHLT-SCE-BH</t>
  </si>
  <si>
    <t>A-MS-M-INTHLT-SCE-BH</t>
  </si>
  <si>
    <t>A-PS-C-INTHLT-SC-AH</t>
  </si>
  <si>
    <t>A-PS-C-INTHLT-SC-BH</t>
  </si>
  <si>
    <t>A-PS-P-INTHLT-SPM-AH</t>
  </si>
  <si>
    <t>A-PS-P-INTHLT-SPM-BH</t>
  </si>
  <si>
    <t>A-PS-E-INTHLT-SSE-AH</t>
  </si>
  <si>
    <t>A-MS-M-INTHLT-SSE-AH</t>
  </si>
  <si>
    <t>A-PS-E-INTHLT-SSE-BH</t>
  </si>
  <si>
    <t>A-MS-M-INTHLT-SSE-BH</t>
  </si>
  <si>
    <t>A-PS-C-INTHLT-SA-AH</t>
  </si>
  <si>
    <t>A-PS-C-INTHLT-SA-BH</t>
  </si>
  <si>
    <t>A-PS-E-INTHLT-SE-AH</t>
  </si>
  <si>
    <t>A-MS-M-INTHLT-SE-AH</t>
  </si>
  <si>
    <t>A-PS-E-INTHLT-SE-BH</t>
  </si>
  <si>
    <t>A-MS-M-INTHLT-SE-BH</t>
  </si>
  <si>
    <t>A-PS-E-INTHLT-TA-AH</t>
  </si>
  <si>
    <t>A-MS-M-INTHLT-TA-AH</t>
  </si>
  <si>
    <t>A-PS-E-INTHLT-TA-BH</t>
  </si>
  <si>
    <t>A-MS-M-INTHLT-TA-BH</t>
  </si>
  <si>
    <t>A-PS-C-NETWRK-AC-AH</t>
  </si>
  <si>
    <t>A-PS-C-NETWRK-AC-BH</t>
  </si>
  <si>
    <t>A-PS-P-NETWRK-PM-AH</t>
  </si>
  <si>
    <t>A-PS-P-NETWRK-PM-BH</t>
  </si>
  <si>
    <t>A-PS-E-NETWRK-SCE-AH</t>
  </si>
  <si>
    <t>A-MS-M-NETWRK-SCE-AH</t>
  </si>
  <si>
    <t>A-PS-E-NETWRK-SCE-BH</t>
  </si>
  <si>
    <t>A-MS-M-NETWRK-SCE-BH</t>
  </si>
  <si>
    <t>A-PS-C-NETWRK-SC-AH</t>
  </si>
  <si>
    <t>A-PS-C-NETWRK-SC-BH</t>
  </si>
  <si>
    <t>A-PS-P-NETWRK-SPM-AH</t>
  </si>
  <si>
    <t>A-PS-P-NETWRK-SPM-BH</t>
  </si>
  <si>
    <t>A-PS-E-NETWRK-SSE-AH</t>
  </si>
  <si>
    <t>A-MS-M-NETWRK-SSE-AH</t>
  </si>
  <si>
    <t>A-PS-E-NETWRK-SSE-BH</t>
  </si>
  <si>
    <t>A-MS-M-NETWRK-SSE-BH</t>
  </si>
  <si>
    <t>A-PS-C-NETWRK-SA-AH</t>
  </si>
  <si>
    <t>A-PS-C-NETWRK-SA-BH</t>
  </si>
  <si>
    <t>A-PS-E-NETWRK-SE-AH</t>
  </si>
  <si>
    <t>A-MS-M-NETWRK-SE-AH</t>
  </si>
  <si>
    <t>A-PS-E-NETWRK-SE-BH</t>
  </si>
  <si>
    <t>A-MS-M-NETWRK-SE-BH</t>
  </si>
  <si>
    <t>A-PS-E-NETWRK-TA-AH</t>
  </si>
  <si>
    <t>A-MS-M-NETWRK-TA-AH</t>
  </si>
  <si>
    <t>A-PS-E-NETWRK-TA-BH</t>
  </si>
  <si>
    <t>A-MS-M-NETWRK-TA-BH</t>
  </si>
  <si>
    <t>A-PS-C-OPPTEC-AC-AH</t>
  </si>
  <si>
    <t>A-PS-C-OPPTEC-AC-BH</t>
  </si>
  <si>
    <t>A-PS-P-OPPTEC-PM-AH</t>
  </si>
  <si>
    <t>A-PS-P-OPPTEC-PM-BH</t>
  </si>
  <si>
    <t>A-PS-E-OPPTEC-SCE-AH</t>
  </si>
  <si>
    <t>A-MS-M-OPPTEC-SCE-AH</t>
  </si>
  <si>
    <t>A-PS-E-OPPTEC-SCE-BH</t>
  </si>
  <si>
    <t>A-MS-M-OPPTEC-SCE-BH</t>
  </si>
  <si>
    <t>A-PS-C-OPPTEC-SC-AH</t>
  </si>
  <si>
    <t>A-PS-C-OPPTEC-SC-BH</t>
  </si>
  <si>
    <t>A-PS-P-OPPTEC-SPM-AH</t>
  </si>
  <si>
    <t>A-PS-P-OPPTEC-SPM-BH</t>
  </si>
  <si>
    <t>A-PS-E-OPPTEC-SSE-AH</t>
  </si>
  <si>
    <t>A-MS-M-OPPTEC-SSE-AH</t>
  </si>
  <si>
    <t>A-PS-E-OPPTEC-SSE-BH</t>
  </si>
  <si>
    <t>A-MS-M-OPPTEC-SSE-BH</t>
  </si>
  <si>
    <t>A-PS-C-OPPTEC-SA-AH</t>
  </si>
  <si>
    <t>A-PS-C-OPPTEC-SA-BH</t>
  </si>
  <si>
    <t>A-PS-E-OPPTEC-SE-AH</t>
  </si>
  <si>
    <t>A-MS-M-OPPTEC-SE-AH</t>
  </si>
  <si>
    <t>A-PS-E-OPPTEC-SE-BH</t>
  </si>
  <si>
    <t>A-MS-M-OPPTEC-SE-BH</t>
  </si>
  <si>
    <t>A-PS-E-OPPTEC-TA-AH</t>
  </si>
  <si>
    <t>A-MS-M-OPPTEC-TA-AH</t>
  </si>
  <si>
    <t>A-PS-E-OPPTEC-TA-BH</t>
  </si>
  <si>
    <t>A-MS-M-OPPTEC-TA-BH</t>
  </si>
  <si>
    <t>A-TS-S-COLLAB-SCE-AH</t>
  </si>
  <si>
    <t>A-TS-S-COLLAB-SCE-BH</t>
  </si>
  <si>
    <t>A-TS-S-COLLAB-SSE-AH</t>
  </si>
  <si>
    <t>A-TS-S-COLLAB-SSE-BH</t>
  </si>
  <si>
    <t>A-TS-S-COLLAB-SE-AH</t>
  </si>
  <si>
    <t>A-TS-S-COLLAB-SE-BH</t>
  </si>
  <si>
    <t>A-TS-S-COLLAB-TA-AH</t>
  </si>
  <si>
    <t>A-TS-S-COLLAB-TA-BH</t>
  </si>
  <si>
    <t>A-TS-S-DATACC-SCE-AH</t>
  </si>
  <si>
    <t>A-TS-S-DATACC-SCE-BH</t>
  </si>
  <si>
    <t>A-TS-S-DATACC-SSE-AH</t>
  </si>
  <si>
    <t>A-TS-S-DATACC-SSE-BH</t>
  </si>
  <si>
    <t>A-TS-S-DATACC-SE-AH</t>
  </si>
  <si>
    <t>A-TS-S-DATACC-SE-BH</t>
  </si>
  <si>
    <t>A-TS-S-DATACC-TA-AH</t>
  </si>
  <si>
    <t>A-TS-S-DATACC-TA-BH</t>
  </si>
  <si>
    <t>A-TS-S-INTHLT-SCE-AH</t>
  </si>
  <si>
    <t>A-TS-S-INTHLT-SCE-BH</t>
  </si>
  <si>
    <t>A-TS-S-INTHLT-SSE-AH</t>
  </si>
  <si>
    <t>A-TS-S-INTHLT-SSE-BH</t>
  </si>
  <si>
    <t>A-TS-S-INTHLT-SE-AH</t>
  </si>
  <si>
    <t>A-TS-S-INTHLT-SE-BH</t>
  </si>
  <si>
    <t>A-TS-S-INTHLT-TA-AH</t>
  </si>
  <si>
    <t>A-TS-S-INTHLT-TA-BH</t>
  </si>
  <si>
    <t>A-TS-S-NETWRK-SCE-AH</t>
  </si>
  <si>
    <t>A-TS-S-NETWRK-SCE-BH</t>
  </si>
  <si>
    <t>A-TS-S-NETWRK-SSE-AH</t>
  </si>
  <si>
    <t>A-TS-S-NETWRK-SSE-BH</t>
  </si>
  <si>
    <t>A-TS-S-NETWRK-SE-AH</t>
  </si>
  <si>
    <t>A-TS-S-NETWRK-SE-BH</t>
  </si>
  <si>
    <t>A-TS-S-NETWRK-TA-AH</t>
  </si>
  <si>
    <t>A-TS-S-NETWRK-TA-BH</t>
  </si>
  <si>
    <t>A-TS-S-OPPTEC-SCE-AH</t>
  </si>
  <si>
    <t>A-TS-S-OPPTEC-SCE-BH</t>
  </si>
  <si>
    <t>A-TS-S-OPPTEC-SSE-AH</t>
  </si>
  <si>
    <t>A-TS-S-OPPTEC-SSE-BH</t>
  </si>
  <si>
    <t>A-TS-S-OPPTEC-SE-AH</t>
  </si>
  <si>
    <t>A-TS-S-OPPTEC-SE-BH</t>
  </si>
  <si>
    <t>A-TS-S-OPPTEC-TA-AH</t>
  </si>
  <si>
    <t>A-TS-S-OPPTEC-TA-BH</t>
  </si>
  <si>
    <t>A-TS-S-SECNET-SCE-AH</t>
  </si>
  <si>
    <t>A-TS-S-SECNET-SCE-BH</t>
  </si>
  <si>
    <t>A-TS-S-SECNET-SSE-AH</t>
  </si>
  <si>
    <t>A-TS-S-SECNET-SSE-BH</t>
  </si>
  <si>
    <t>A-TS-S-SECNET-SE-AH</t>
  </si>
  <si>
    <t>A-TS-S-SECNET-SE-BH</t>
  </si>
  <si>
    <t>A-TS-S-SECNET-TA-AH</t>
  </si>
  <si>
    <t>A-TS-S-SECNET-TA-BH</t>
  </si>
  <si>
    <t>A-TS-S-SECURE-SCE-AH</t>
  </si>
  <si>
    <t>A-TS-S-SECURE-SCE-BH</t>
  </si>
  <si>
    <t>A-TS-S-SECURE-SSE-AH</t>
  </si>
  <si>
    <t>A-TS-S-SECURE-SSE-BH</t>
  </si>
  <si>
    <t>A-TS-S-SECURE-SE-AH</t>
  </si>
  <si>
    <t>A-TS-S-SECURE-SE-BH</t>
  </si>
  <si>
    <t>A-TS-S-SECURE-TA-AH</t>
  </si>
  <si>
    <t>A-TS-S-SECURE-TA-BH</t>
  </si>
  <si>
    <t>A-TS-S-TRAVEL-SCE-BH</t>
  </si>
  <si>
    <t>A-TS-S-TRAVEL-SSE-BH</t>
  </si>
  <si>
    <t>A-TS-S-TRAVEL-SE-BH</t>
  </si>
  <si>
    <t>A-TS-S-TRAVEL-TA-BH</t>
  </si>
  <si>
    <t>A-PS-C-SECNET-AC-AH</t>
  </si>
  <si>
    <t>A-PS-C-SECNET-AC-BH</t>
  </si>
  <si>
    <t>A-PS-P-SECNET-PM-AH</t>
  </si>
  <si>
    <t>A-PS-P-SECNET-PM-BH</t>
  </si>
  <si>
    <t>A-PS-E-SECNET-SCE-AH</t>
  </si>
  <si>
    <t>A-MS-M-SECNET-SCE-AH</t>
  </si>
  <si>
    <t>A-PS-E-SECNET-SCE-BH</t>
  </si>
  <si>
    <t>A-MS-M-SECNET-SCE-BH</t>
  </si>
  <si>
    <t>A-PS-C-SECNET-SC-AH</t>
  </si>
  <si>
    <t>A-PS-C-SECNET-SC-BH</t>
  </si>
  <si>
    <t>A-PS-P-SECNET-SPM-AH</t>
  </si>
  <si>
    <t>A-PS-P-SECNET-SPM-BH</t>
  </si>
  <si>
    <t>A-PS-E-SECNET-SSE-AH</t>
  </si>
  <si>
    <t>A-MS-M-SECNET-SSE-AH</t>
  </si>
  <si>
    <t>A-PS-E-SECNET-SSE-BH</t>
  </si>
  <si>
    <t>A-MS-M-SECNET-SSE-BH</t>
  </si>
  <si>
    <t>A-PS-C-SECNET-SA-AH</t>
  </si>
  <si>
    <t>A-PS-C-SECNET-SA-BH</t>
  </si>
  <si>
    <t>A-PS-E-SECNET-SE-AH</t>
  </si>
  <si>
    <t>A-MS-M-SECNET-SE-AH</t>
  </si>
  <si>
    <t>A-PS-E-SECNET-SE-BH</t>
  </si>
  <si>
    <t>A-MS-M-SECNET-SE-BH</t>
  </si>
  <si>
    <t>A-PS-E-SECNET-TA-AH</t>
  </si>
  <si>
    <t>A-MS-M-SECNET-TA-AH</t>
  </si>
  <si>
    <t>A-PS-E-SECNET-TA-BH</t>
  </si>
  <si>
    <t>A-MS-M-SECNET-TA-BH</t>
  </si>
  <si>
    <t>A-PS-C-SECURE-AC-AH</t>
  </si>
  <si>
    <t>A-PS-C-SECURE-AC-BH</t>
  </si>
  <si>
    <t>A-PS-P-SECURE-PM-AH</t>
  </si>
  <si>
    <t>A-PS-P-SECURE-PM-BH</t>
  </si>
  <si>
    <t>A-PS-E-SECURE-SCE-AH</t>
  </si>
  <si>
    <t>A-MS-M-SECURE-SCE-AH</t>
  </si>
  <si>
    <t>A-PS-E-SECURE-SCE-BH</t>
  </si>
  <si>
    <t>A-MS-M-SECURE-SCE-BH</t>
  </si>
  <si>
    <t>A-PS-C-SECURE-SC-AH</t>
  </si>
  <si>
    <t>A-PS-C-SECURE-SC-BH</t>
  </si>
  <si>
    <t>A-PS-P-SECURE-SPM-AH</t>
  </si>
  <si>
    <t>A-PS-P-SECURE-SPM-BH</t>
  </si>
  <si>
    <t>A-PS-E-SECURE-SSE-AH</t>
  </si>
  <si>
    <t>A-MS-M-SECURE-SSE-AH</t>
  </si>
  <si>
    <t>A-PS-E-SECURE-SSE-BH</t>
  </si>
  <si>
    <t>A-MS-M-SECURE-SSE-BH</t>
  </si>
  <si>
    <t>A-PS-C-SECURE-SA-AH</t>
  </si>
  <si>
    <t>A-PS-C-SECURE-SA-BH</t>
  </si>
  <si>
    <t>A-PS-E-SECURE-SE-AH</t>
  </si>
  <si>
    <t>A-MS-M-SECURE-SE-AH</t>
  </si>
  <si>
    <t>A-PS-E-SECURE-SE-BH</t>
  </si>
  <si>
    <t>A-MS-M-SECURE-SE-BH</t>
  </si>
  <si>
    <t>A-PS-E-SECURE-TA-AH</t>
  </si>
  <si>
    <t>A-MS-M-SECURE-TA-AH</t>
  </si>
  <si>
    <t>A-PS-E-SECURE-TA-BH</t>
  </si>
  <si>
    <t>A-MS-M-SECURE-TA-BH</t>
  </si>
  <si>
    <t>A-PS-C-TRAVEL-AC-BH</t>
  </si>
  <si>
    <t>A-PS-P-TRAVEL-PM-BH</t>
  </si>
  <si>
    <t>A-PS-E-TRAVEL-SCE-BH</t>
  </si>
  <si>
    <t>A-PS-C-TRAVEL-SC-BH</t>
  </si>
  <si>
    <t>A-PS-P-TRAVEL-SPM-BH</t>
  </si>
  <si>
    <t>A-PS-E-TRAVEL-SSE-BH</t>
  </si>
  <si>
    <t>A-PS-C-TRAVEL-SA-BH</t>
  </si>
  <si>
    <t>A-PS-E-TRAVEL-SE-BH</t>
  </si>
  <si>
    <t>A-PS-E-TRAVEL-TA-BH</t>
  </si>
  <si>
    <t>Summary By Tech</t>
  </si>
  <si>
    <t>NETWRK</t>
  </si>
  <si>
    <t>SECURE</t>
  </si>
  <si>
    <t>DATACC</t>
  </si>
  <si>
    <t>OPPTEC</t>
  </si>
  <si>
    <t>INTHLT</t>
  </si>
  <si>
    <t>TRAVEL</t>
  </si>
  <si>
    <t>Resource 1 BH</t>
  </si>
  <si>
    <t>Resource 1 AH</t>
  </si>
  <si>
    <t>Resource 2 BH</t>
  </si>
  <si>
    <t>Resource 2 AH</t>
  </si>
  <si>
    <t>Resource 3 BH</t>
  </si>
  <si>
    <t>Resource 3 AH</t>
  </si>
  <si>
    <t>Resource 4 BH</t>
  </si>
  <si>
    <t>Resource 4 AH</t>
  </si>
  <si>
    <t>Resource 5 BH</t>
  </si>
  <si>
    <t>Resource 5 AH</t>
  </si>
  <si>
    <t>Total Hours - Column</t>
  </si>
  <si>
    <t>Total Hours - Table Below</t>
  </si>
  <si>
    <t>Error Checking</t>
  </si>
  <si>
    <t>Project</t>
  </si>
  <si>
    <t>R1</t>
  </si>
  <si>
    <t>R2</t>
  </si>
  <si>
    <t>R3</t>
  </si>
  <si>
    <t>R4</t>
  </si>
  <si>
    <t>R5</t>
  </si>
  <si>
    <t>Column Type</t>
  </si>
  <si>
    <t>DEFINED ENGINEERING</t>
  </si>
  <si>
    <t>DEFINED ENGINEERING SUMMARY</t>
  </si>
  <si>
    <t>R1 Mandatory Tasks</t>
  </si>
  <si>
    <t>R2 Mandatory Tasks</t>
  </si>
  <si>
    <t>R3 Mandatory Tasks</t>
  </si>
  <si>
    <t>R4 Mandatory Tasks</t>
  </si>
  <si>
    <t>R5 Mandatory Tasks</t>
  </si>
  <si>
    <t>UNDEFINED HOURS - REMAINDER ALLOCCATION</t>
  </si>
  <si>
    <t>UNDEFINED HOURS  - ROUNDED AMOUNT ALLOCATION</t>
  </si>
  <si>
    <t>PM Remainder</t>
  </si>
  <si>
    <t>R1 Remainder</t>
  </si>
  <si>
    <t>R2 Remainder</t>
  </si>
  <si>
    <t>R3 Remainder</t>
  </si>
  <si>
    <t>R4 Remainder</t>
  </si>
  <si>
    <t>R5 Remainder</t>
  </si>
  <si>
    <t>UNDEFINED PM</t>
  </si>
  <si>
    <t>UNDEFINED ENGINEER</t>
  </si>
  <si>
    <t>PM RISK</t>
  </si>
  <si>
    <t>SSE RISK BH</t>
  </si>
  <si>
    <t>SSE RISK AH</t>
  </si>
  <si>
    <t>SSE RISK TRAVEL</t>
  </si>
  <si>
    <t>Travel Code</t>
  </si>
  <si>
    <t>RISK HOURS - ROUNDED ALLOCATION</t>
  </si>
  <si>
    <t>SSE Remainder RISK BH</t>
  </si>
  <si>
    <t>SSE Remainder RISK AH</t>
  </si>
  <si>
    <t>PM Remainder RISK</t>
  </si>
  <si>
    <t>R1 Trips</t>
  </si>
  <si>
    <t>R2 Trips</t>
  </si>
  <si>
    <t>R3 Trips</t>
  </si>
  <si>
    <t>R4 Trips</t>
  </si>
  <si>
    <t>R5 Trips</t>
  </si>
  <si>
    <t>PM Trips</t>
  </si>
  <si>
    <t xml:space="preserve"> -Space-</t>
  </si>
  <si>
    <t>Department Code</t>
  </si>
  <si>
    <t>ENG</t>
  </si>
  <si>
    <t>CON</t>
  </si>
  <si>
    <t>PMO</t>
  </si>
  <si>
    <t>ENGINEER RISK</t>
  </si>
  <si>
    <t>TRAVEL RISK</t>
  </si>
  <si>
    <t>Manufacturer Part Number</t>
  </si>
  <si>
    <t>Quantity</t>
  </si>
  <si>
    <t>Flat Service Discount</t>
  </si>
  <si>
    <t>Rate Service Discount</t>
  </si>
  <si>
    <t>Effective Discount</t>
  </si>
  <si>
    <t>Travel &amp; Accommodation Hours</t>
  </si>
  <si>
    <t>Total Base Price</t>
  </si>
  <si>
    <t>Professional Engineering Costs</t>
  </si>
  <si>
    <t>Professional Engineering Price</t>
  </si>
  <si>
    <t>Professional Engineering Hours</t>
  </si>
  <si>
    <t>Travel &amp; Accommodation Price</t>
  </si>
  <si>
    <t>Travel &amp; Accommodation Cost</t>
  </si>
  <si>
    <t>Project Management Hours</t>
  </si>
  <si>
    <t>Project Management Price</t>
  </si>
  <si>
    <t>Project Management Cost</t>
  </si>
  <si>
    <t>Project Risk Service Hours</t>
  </si>
  <si>
    <t>Project Risk Service Price</t>
  </si>
  <si>
    <t>Project Risk Service Cost</t>
  </si>
  <si>
    <t>Project Risk Travel Hours</t>
  </si>
  <si>
    <t>Project Risk Travel Price</t>
  </si>
  <si>
    <t>Project Risk Travel Cost</t>
  </si>
  <si>
    <t>The table below is designed to be copied and pasted into the 'Paste Quote' tool available on the ConnectWise CPQ 'Prepare Quote' Tab.</t>
  </si>
  <si>
    <t>ROW</t>
  </si>
  <si>
    <t>A-PS-PROJECT_INCIDENTAL_BUDGET</t>
  </si>
  <si>
    <t>A-PS-PROJECT_FREIGHT_OUT_BUDGET</t>
  </si>
  <si>
    <t>A-PS-PROJECT_MISC_EXPENSE_BUDGET</t>
  </si>
  <si>
    <t>A-PS-PROJECT_TRAVEL_EXPENSE_RISK_BUDGET</t>
  </si>
  <si>
    <t>A-PS-PROJECT_TRAVEL_EXPENSE_BUDGET</t>
  </si>
  <si>
    <t>Data Checks</t>
  </si>
  <si>
    <t>Summary Page Cost:</t>
  </si>
  <si>
    <t>Summary Page Price:</t>
  </si>
  <si>
    <t>CPQ Import Cost:</t>
  </si>
  <si>
    <t>CPQ Import Price:</t>
  </si>
  <si>
    <t>Suggested Price</t>
  </si>
  <si>
    <t>Part Number List</t>
  </si>
  <si>
    <t>A-TS-S-TRAVEL-SCE-AH</t>
  </si>
  <si>
    <t>A-TS-S-TRAVEL-SSE-AH</t>
  </si>
  <si>
    <t>A-TS-S-TRAVEL-SE-AH</t>
  </si>
  <si>
    <t>A-TS-S-TRAVEL-TA-AH</t>
  </si>
  <si>
    <t>A-MS-M-TRAVEL-SCE-AH</t>
  </si>
  <si>
    <t>A-MS-M-TRAVEL-SCE-BH</t>
  </si>
  <si>
    <t>A-MS-M-TRAVEL-SSE-AH</t>
  </si>
  <si>
    <t>A-MS-M-TRAVEL-SSE-BH</t>
  </si>
  <si>
    <t>A-MS-M-TRAVEL-SE-AH</t>
  </si>
  <si>
    <t>A-MS-M-TRAVEL-SE-BH</t>
  </si>
  <si>
    <t>A-MS-M-TRAVEL-TA-AH</t>
  </si>
  <si>
    <t>A-MS-M-TRAVEL-TA-BH</t>
  </si>
  <si>
    <t>IS Printed</t>
  </si>
  <si>
    <t>Bundle headers must be of the 'bundle' class - set during the 'add new product' step on opporunity closure.</t>
  </si>
  <si>
    <t>A default bundle product exists for projects, which comes pre-coded - to use it, copy this product code into the 'bundle part number' field.</t>
  </si>
  <si>
    <t>Upon import using the 'paste quote' tool, it is recommended that you use the 'Create Bundle from Import' option to bundle these items under a single line.</t>
  </si>
  <si>
    <t>Bundled project services look much better on quotes.</t>
  </si>
  <si>
    <t>Bundling project service line items</t>
  </si>
  <si>
    <t>Default ArchiTech Project Bundle Part number:</t>
  </si>
  <si>
    <t>Default Product Description</t>
  </si>
  <si>
    <t>ArchiTech Professional Services</t>
  </si>
  <si>
    <t>ArchiTech_Professional_Services</t>
  </si>
  <si>
    <t>Override Column Round Trips</t>
  </si>
  <si>
    <t>Default Trips</t>
  </si>
  <si>
    <t>Actual Trips</t>
  </si>
  <si>
    <t>Remaining after R1</t>
  </si>
  <si>
    <t>Remaining after R2</t>
  </si>
  <si>
    <t>Remaining after R3</t>
  </si>
  <si>
    <t>Remaining after R4</t>
  </si>
  <si>
    <t>Remaining after R5</t>
  </si>
  <si>
    <t>Additional Custom Trips</t>
  </si>
  <si>
    <t>Version</t>
  </si>
  <si>
    <t>Version ID</t>
  </si>
  <si>
    <t>ArchiTech PSE V2027.1</t>
  </si>
  <si>
    <t>REFERENCE - UNEDITED RATE CARD</t>
  </si>
  <si>
    <t>Current
Sell Rate</t>
  </si>
  <si>
    <t xml:space="preserve">Desired
Sell Rate </t>
  </si>
  <si>
    <t xml:space="preserve">Desired
Margin </t>
  </si>
  <si>
    <t>Sell Rate Increase*</t>
  </si>
  <si>
    <t>AH Cost</t>
  </si>
  <si>
    <t>AH Sell</t>
  </si>
  <si>
    <t>AH Multiplier</t>
  </si>
  <si>
    <t>Systems Engineer (Managed Services)</t>
  </si>
  <si>
    <t>Senior Systems Engineer (Managed Services)</t>
  </si>
  <si>
    <t>Systems Engineer (Professional Services)</t>
  </si>
  <si>
    <t>Senior Systems Engineer (Professional Services)</t>
  </si>
  <si>
    <t>Margin $</t>
  </si>
  <si>
    <t>Margin %</t>
  </si>
  <si>
    <t>RATES</t>
  </si>
  <si>
    <t>Risk Time Cost Budget</t>
  </si>
  <si>
    <t>Risk Expense Cost Budget</t>
  </si>
  <si>
    <t>SCE Hours Sold</t>
  </si>
  <si>
    <t>AC Hours Sold</t>
  </si>
  <si>
    <t>SC Hours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</si>
</sst>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quot;$&quot;* #,##0.00_-;_-&quot;$&quot;* &quot;-&quot;??_-;_-@_-"/>
    <numFmt numFmtId="43" formatCode="_-* #,##0.00_-;\-* #,##0.00_-;_-* &quot;-&quot;??_-;_-@_-"/>
    <numFmt numFmtId="164" formatCode="_(&quot;$&quot;* #,##0.00_);_(&quot;$&quot;* \(#,##0.00\);_(&quot;$&quot;* &quot;-&quot;??_);_(@_)"/>
    <numFmt numFmtId="165" formatCode="&quot;$&quot;#,##0.00"/>
    <numFmt numFmtId="166" formatCode="_-[$$-C09]* #,##0.00_-;\-[$$-C09]* #,##0.00_-;_-[$$-C09]* &quot;-&quot;??_-;_-@_-"/>
    <numFmt numFmtId="167" formatCode="0.0"/>
    <numFmt numFmtId="168" formatCode="0.0%"/>
    <numFmt numFmtId="169" formatCode="0.000000"/>
    <numFmt numFmtId="170" formatCode="&quot;$&quot;#,##0"/>
    <numFmt numFmtId="171" formatCode="#,##0&quot; hours&quot;"/>
    <numFmt numFmtId="172" formatCode="#,###,##0&quot; KM&quot;"/>
    <numFmt numFmtId="173" formatCode="#,##0&quot; trips&quot;"/>
    <numFmt numFmtId="174" formatCode="#,##0&quot; nights&quot;"/>
    <numFmt numFmtId="175" formatCode="#,##0&quot; weeks&quot;"/>
    <numFmt numFmtId="176" formatCode="0.00;\-0.00;\-"/>
    <numFmt numFmtId="177" formatCode="0.0;\-0.0;\-"/>
    <numFmt numFmtId="178" formatCode="&quot;x&quot;0.0#"/>
  </numFmts>
  <fonts count="72">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b/>
      <sz val="18"/>
      <color theme="1"/>
      <name val="Calibri"/>
      <family val="2"/>
      <scheme val="minor"/>
    </font>
    <font>
      <sz val="14"/>
      <color theme="1"/>
      <name val="Helvetica Neue Light"/>
    </font>
    <font>
      <b/>
      <sz val="14"/>
      <color theme="1"/>
      <name val="Helvetica Neue Light"/>
    </font>
    <font>
      <sz val="14"/>
      <color rgb="FF000000"/>
      <name val="Helvetica Neue Light"/>
    </font>
    <font>
      <sz val="14"/>
      <color theme="0"/>
      <name val="Helvetica Neue Light"/>
    </font>
    <font>
      <sz val="12"/>
      <name val="Calibri"/>
      <family val="2"/>
      <scheme val="minor"/>
    </font>
    <font>
      <sz val="8"/>
      <name val="Calibri"/>
      <family val="2"/>
      <scheme val="minor"/>
    </font>
    <font>
      <b/>
      <u/>
      <sz val="12"/>
      <color theme="1"/>
      <name val="Calibri"/>
      <family val="2"/>
      <scheme val="minor"/>
    </font>
    <font>
      <i/>
      <sz val="12"/>
      <color theme="1"/>
      <name val="Calibri"/>
      <family val="2"/>
      <scheme val="minor"/>
    </font>
    <font>
      <b/>
      <sz val="18"/>
      <color theme="1"/>
      <name val="Helvetica Neue Light"/>
    </font>
    <font>
      <b/>
      <sz val="14"/>
      <color theme="0"/>
      <name val="Helvetica Neue Light"/>
    </font>
    <font>
      <sz val="14"/>
      <color theme="2" tint="-0.249977111117893"/>
      <name val="Helvetica Neue Light"/>
    </font>
    <font>
      <u/>
      <sz val="12"/>
      <color theme="1"/>
      <name val="Calibri"/>
      <family val="2"/>
      <scheme val="minor"/>
    </font>
    <font>
      <b/>
      <u/>
      <sz val="14"/>
      <color theme="1"/>
      <name val="Helvetica Neue Light"/>
    </font>
    <font>
      <b/>
      <sz val="12"/>
      <color indexed="81"/>
      <name val="Tahoma"/>
      <family val="2"/>
    </font>
    <font>
      <b/>
      <sz val="14"/>
      <color indexed="81"/>
      <name val="Tahoma"/>
      <family val="2"/>
    </font>
    <font>
      <sz val="14"/>
      <name val="Helvetica Neue Light"/>
    </font>
    <font>
      <sz val="9"/>
      <color indexed="81"/>
      <name val="Tahoma"/>
      <family val="2"/>
    </font>
    <font>
      <b/>
      <sz val="9"/>
      <color indexed="81"/>
      <name val="Tahoma"/>
      <family val="2"/>
    </font>
    <font>
      <b/>
      <sz val="12"/>
      <name val="Calibri"/>
      <family val="2"/>
      <scheme val="minor"/>
    </font>
    <font>
      <b/>
      <sz val="14"/>
      <color theme="2" tint="-0.249977111117893"/>
      <name val="Helvetica Neue Light"/>
    </font>
    <font>
      <b/>
      <sz val="12"/>
      <color theme="1"/>
      <name val="Helvetica Neue Light"/>
    </font>
    <font>
      <b/>
      <sz val="11"/>
      <color theme="1"/>
      <name val="Helvetica Neue Light"/>
    </font>
    <font>
      <sz val="12"/>
      <color theme="1"/>
      <name val="Helvetica Neue Light"/>
    </font>
    <font>
      <sz val="12"/>
      <color theme="2" tint="-0.249977111117893"/>
      <name val="Helvetica Neue Light"/>
    </font>
    <font>
      <sz val="12"/>
      <name val="Helvetica Neue Light"/>
    </font>
    <font>
      <b/>
      <u/>
      <sz val="12"/>
      <color theme="1"/>
      <name val="Helvetica Neue Light"/>
    </font>
    <font>
      <b/>
      <u/>
      <sz val="12"/>
      <color theme="2" tint="-0.249977111117893"/>
      <name val="Helvetica Neue Light"/>
    </font>
    <font>
      <b/>
      <sz val="12"/>
      <color theme="4" tint="-0.249977111117893"/>
      <name val="Helvetica Neue Light"/>
    </font>
    <font>
      <b/>
      <sz val="12"/>
      <color theme="2" tint="-0.249977111117893"/>
      <name val="Helvetica Neue Light"/>
    </font>
    <font>
      <u/>
      <sz val="12"/>
      <color theme="1"/>
      <name val="Helvetica Neue Light"/>
    </font>
    <font>
      <b/>
      <sz val="12"/>
      <name val="Helvetica Neue Light"/>
    </font>
    <font>
      <b/>
      <sz val="11"/>
      <color indexed="81"/>
      <name val="Tahoma"/>
      <family val="2"/>
    </font>
    <font>
      <b/>
      <sz val="16"/>
      <color theme="8"/>
      <name val="Helvetica Neue Light"/>
    </font>
    <font>
      <i/>
      <sz val="14"/>
      <color theme="1"/>
      <name val="Helvetica Neue Light"/>
    </font>
    <font>
      <i/>
      <u/>
      <sz val="14"/>
      <color theme="1"/>
      <name val="Helvetica Neue Light"/>
    </font>
    <font>
      <i/>
      <sz val="12"/>
      <color theme="1"/>
      <name val="Helvetica Neue Light"/>
    </font>
    <font>
      <b/>
      <i/>
      <sz val="12"/>
      <color theme="1"/>
      <name val="Helvetica Neue Light"/>
    </font>
    <font>
      <i/>
      <u/>
      <sz val="12"/>
      <color theme="1"/>
      <name val="Helvetica Neue Light"/>
    </font>
    <font>
      <sz val="12"/>
      <color theme="4"/>
      <name val="Helvetica Neue Light"/>
    </font>
    <font>
      <b/>
      <sz val="16"/>
      <color rgb="FFC00000"/>
      <name val="Helvetica Neue Light"/>
    </font>
    <font>
      <b/>
      <sz val="12"/>
      <color theme="0"/>
      <name val="Helvetica Neue Light"/>
    </font>
    <font>
      <sz val="12"/>
      <color theme="2" tint="-0.749992370372631"/>
      <name val="Helvetica Neue Light"/>
    </font>
    <font>
      <b/>
      <sz val="12"/>
      <color theme="2" tint="-0.749992370372631"/>
      <name val="Helvetica Neue Light"/>
    </font>
    <font>
      <sz val="10"/>
      <color theme="1"/>
      <name val="Helvetica Neue Light"/>
    </font>
    <font>
      <b/>
      <sz val="10"/>
      <color theme="1"/>
      <name val="Helvetica Neue Light"/>
    </font>
    <font>
      <sz val="10"/>
      <name val="Helvetica Neue Light"/>
    </font>
    <font>
      <b/>
      <sz val="10"/>
      <name val="Helvetica Neue Light"/>
    </font>
    <font>
      <b/>
      <sz val="12"/>
      <color rgb="FFC00000"/>
      <name val="Helvetica Neue Light"/>
    </font>
    <font>
      <sz val="12"/>
      <color rgb="FFC00000"/>
      <name val="Helvetica Neue Light"/>
    </font>
    <font>
      <sz val="12"/>
      <color rgb="FFC00000"/>
      <name val="Wingdings"/>
      <charset val="2"/>
    </font>
    <font>
      <sz val="12"/>
      <color theme="1"/>
      <name val="Wingdings"/>
      <charset val="2"/>
    </font>
    <font>
      <b/>
      <sz val="12"/>
      <color theme="8"/>
      <name val="Calibri"/>
      <family val="2"/>
      <scheme val="minor"/>
    </font>
    <font>
      <sz val="12"/>
      <color theme="0"/>
      <name val="Calibri"/>
      <family val="2"/>
      <scheme val="minor"/>
    </font>
    <font>
      <sz val="12"/>
      <color theme="0"/>
      <name val="Helvetica Neue Light"/>
    </font>
    <font>
      <b/>
      <sz val="8"/>
      <color rgb="FFC00000"/>
      <name val="Helvetica Neue Light"/>
    </font>
    <font>
      <sz val="12"/>
      <color theme="2" tint="-0.499984740745262"/>
      <name val="Helvetica Neue Light"/>
    </font>
    <font>
      <u/>
      <sz val="12"/>
      <color theme="2" tint="-0.499984740745262"/>
      <name val="Helvetica Neue Light"/>
    </font>
    <font>
      <b/>
      <sz val="11"/>
      <name val="Calibri"/>
      <family val="2"/>
      <scheme val="minor"/>
    </font>
    <font>
      <b/>
      <sz val="12"/>
      <color theme="0"/>
      <name val="Calibri"/>
      <family val="2"/>
      <scheme val="minor"/>
    </font>
    <font>
      <i/>
      <sz val="12"/>
      <color theme="0"/>
      <name val="Helvetica Neue Light"/>
    </font>
    <font>
      <i/>
      <sz val="12"/>
      <color theme="2" tint="-0.249977111117893"/>
      <name val="Helvetica Neue Light"/>
    </font>
    <font>
      <i/>
      <sz val="12"/>
      <color theme="3"/>
      <name val="Helvetica Neue Light"/>
    </font>
    <font>
      <i/>
      <u/>
      <sz val="12"/>
      <color theme="3"/>
      <name val="Helvetica Neue Light"/>
    </font>
    <font>
      <b/>
      <sz val="11"/>
      <color theme="1"/>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4"/>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theme="9"/>
        <bgColor indexed="64"/>
      </patternFill>
    </fill>
    <fill>
      <patternFill patternType="solid">
        <fgColor theme="4" tint="0.79998168889431442"/>
        <bgColor indexed="64"/>
      </patternFill>
    </fill>
    <fill>
      <patternFill patternType="solid">
        <fgColor theme="6"/>
        <bgColor theme="6"/>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5"/>
        <bgColor indexed="64"/>
      </patternFill>
    </fill>
    <fill>
      <patternFill patternType="solid">
        <fgColor theme="8"/>
        <bgColor theme="8"/>
      </patternFill>
    </fill>
    <fill>
      <patternFill patternType="solid">
        <fgColor theme="8" tint="0.79998168889431442"/>
        <bgColor theme="8" tint="0.79998168889431442"/>
      </patternFill>
    </fill>
    <fill>
      <patternFill patternType="solid">
        <fgColor theme="6" tint="0.39997558519241921"/>
        <bgColor indexed="64"/>
      </patternFill>
    </fill>
    <fill>
      <patternFill patternType="solid">
        <fgColor theme="8" tint="0.79998168889431442"/>
        <bgColor indexed="64"/>
      </patternFill>
    </fill>
    <fill>
      <patternFill patternType="solid">
        <fgColor theme="8"/>
        <bgColor indexed="64"/>
      </patternFill>
    </fill>
    <fill>
      <patternFill patternType="solid">
        <fgColor theme="7"/>
        <bgColor indexed="64"/>
      </patternFill>
    </fill>
    <fill>
      <patternFill patternType="solid">
        <fgColor theme="8" tint="0.59999389629810485"/>
        <bgColor indexed="64"/>
      </patternFill>
    </fill>
    <fill>
      <patternFill patternType="solid">
        <fgColor theme="8" tint="-0.499984740745262"/>
        <bgColor indexed="64"/>
      </patternFill>
    </fill>
    <fill>
      <patternFill patternType="solid">
        <fgColor theme="7"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6"/>
        <bgColor indexed="64"/>
      </patternFill>
    </fill>
  </fills>
  <borders count="10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top style="thin">
        <color auto="1"/>
      </top>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2" tint="-9.9948118533890809E-2"/>
      </left>
      <right style="thin">
        <color theme="2" tint="-9.9948118533890809E-2"/>
      </right>
      <top/>
      <bottom style="thin">
        <color theme="2" tint="-9.9948118533890809E-2"/>
      </bottom>
      <diagonal/>
    </border>
    <border>
      <left style="thin">
        <color theme="2" tint="-9.9948118533890809E-2"/>
      </left>
      <right style="thin">
        <color theme="2" tint="-9.9948118533890809E-2"/>
      </right>
      <top/>
      <bottom/>
      <diagonal/>
    </border>
    <border>
      <left style="thin">
        <color theme="2" tint="-9.9948118533890809E-2"/>
      </left>
      <right/>
      <top style="thin">
        <color theme="2" tint="-9.9948118533890809E-2"/>
      </top>
      <bottom style="thin">
        <color theme="2" tint="-9.9948118533890809E-2"/>
      </bottom>
      <diagonal/>
    </border>
    <border>
      <left style="thin">
        <color theme="2" tint="-9.9948118533890809E-2"/>
      </left>
      <right/>
      <top style="thin">
        <color theme="2" tint="-9.9948118533890809E-2"/>
      </top>
      <bottom/>
      <diagonal/>
    </border>
    <border>
      <left style="thin">
        <color indexed="64"/>
      </left>
      <right style="thin">
        <color theme="2" tint="-9.9948118533890809E-2"/>
      </right>
      <top/>
      <bottom style="thin">
        <color theme="2" tint="-9.9948118533890809E-2"/>
      </bottom>
      <diagonal/>
    </border>
    <border>
      <left/>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theme="6" tint="0.39997558519241921"/>
      </left>
      <right/>
      <top/>
      <bottom style="thin">
        <color theme="6" tint="0.39997558519241921"/>
      </bottom>
      <diagonal/>
    </border>
    <border>
      <left/>
      <right/>
      <top/>
      <bottom style="thin">
        <color theme="6" tint="0.39997558519241921"/>
      </bottom>
      <diagonal/>
    </border>
    <border>
      <left/>
      <right/>
      <top style="thin">
        <color theme="2" tint="-9.9948118533890809E-2"/>
      </top>
      <bottom/>
      <diagonal/>
    </border>
    <border>
      <left/>
      <right/>
      <top style="thin">
        <color indexed="64"/>
      </top>
      <bottom style="medium">
        <color indexed="64"/>
      </bottom>
      <diagonal/>
    </border>
    <border>
      <left/>
      <right/>
      <top style="thin">
        <color indexed="64"/>
      </top>
      <bottom style="double">
        <color indexed="64"/>
      </bottom>
      <diagonal/>
    </border>
    <border>
      <left/>
      <right/>
      <top/>
      <bottom style="double">
        <color indexed="64"/>
      </bottom>
      <diagonal/>
    </border>
    <border>
      <left style="thin">
        <color theme="2" tint="-9.9948118533890809E-2"/>
      </left>
      <right style="thin">
        <color theme="2" tint="-9.9948118533890809E-2"/>
      </right>
      <top style="thin">
        <color theme="2" tint="-9.9948118533890809E-2"/>
      </top>
      <bottom style="double">
        <color indexed="64"/>
      </bottom>
      <diagonal/>
    </border>
    <border>
      <left style="thin">
        <color auto="1"/>
      </left>
      <right style="thin">
        <color auto="1"/>
      </right>
      <top style="thin">
        <color auto="1"/>
      </top>
      <bottom/>
      <diagonal/>
    </border>
    <border>
      <left style="thin">
        <color theme="2" tint="-9.9948118533890809E-2"/>
      </left>
      <right/>
      <top/>
      <bottom style="thin">
        <color theme="2" tint="-9.9948118533890809E-2"/>
      </bottom>
      <diagonal/>
    </border>
    <border>
      <left style="thin">
        <color theme="0" tint="-0.14999847407452621"/>
      </left>
      <right/>
      <top style="thin">
        <color theme="0" tint="-0.14999847407452621"/>
      </top>
      <bottom style="thin">
        <color theme="0" tint="-0.14999847407452621"/>
      </bottom>
      <diagonal/>
    </border>
    <border>
      <left/>
      <right/>
      <top style="thin">
        <color auto="1"/>
      </top>
      <bottom style="medium">
        <color theme="2" tint="-9.9978637043366805E-2"/>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thin">
        <color auto="1"/>
      </bottom>
      <diagonal/>
    </border>
    <border>
      <left style="thin">
        <color auto="1"/>
      </left>
      <right/>
      <top style="thin">
        <color auto="1"/>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top/>
      <bottom style="medium">
        <color indexed="64"/>
      </bottom>
      <diagonal/>
    </border>
    <border>
      <left style="thin">
        <color auto="1"/>
      </left>
      <right style="medium">
        <color indexed="64"/>
      </right>
      <top/>
      <bottom style="medium">
        <color indexed="64"/>
      </bottom>
      <diagonal/>
    </border>
    <border>
      <left/>
      <right/>
      <top/>
      <bottom style="medium">
        <color indexed="64"/>
      </bottom>
      <diagonal/>
    </border>
    <border>
      <left/>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
      <left/>
      <right style="thin">
        <color indexed="64"/>
      </right>
      <top style="medium">
        <color indexed="64"/>
      </top>
      <bottom/>
      <diagonal/>
    </border>
    <border>
      <left style="thin">
        <color auto="1"/>
      </left>
      <right/>
      <top style="medium">
        <color indexed="64"/>
      </top>
      <bottom/>
      <diagonal/>
    </border>
    <border>
      <left/>
      <right style="thin">
        <color auto="1"/>
      </right>
      <top/>
      <bottom style="medium">
        <color indexed="64"/>
      </bottom>
      <diagonal/>
    </border>
    <border>
      <left/>
      <right/>
      <top style="thin">
        <color theme="2" tint="-9.9948118533890809E-2"/>
      </top>
      <bottom style="thin">
        <color theme="2" tint="-9.9948118533890809E-2"/>
      </bottom>
      <diagonal/>
    </border>
    <border>
      <left style="medium">
        <color indexed="64"/>
      </left>
      <right/>
      <top style="thin">
        <color theme="2" tint="-9.9948118533890809E-2"/>
      </top>
      <bottom style="thin">
        <color theme="2" tint="-9.9948118533890809E-2"/>
      </bottom>
      <diagonal/>
    </border>
    <border>
      <left/>
      <right style="thin">
        <color auto="1"/>
      </right>
      <top style="thin">
        <color auto="1"/>
      </top>
      <bottom style="medium">
        <color indexed="64"/>
      </bottom>
      <diagonal/>
    </border>
    <border>
      <left style="medium">
        <color indexed="64"/>
      </left>
      <right style="medium">
        <color indexed="64"/>
      </right>
      <top style="thin">
        <color theme="2" tint="-9.9948118533890809E-2"/>
      </top>
      <bottom style="thin">
        <color theme="2" tint="-9.9948118533890809E-2"/>
      </bottom>
      <diagonal/>
    </border>
    <border>
      <left/>
      <right style="medium">
        <color indexed="64"/>
      </right>
      <top style="thin">
        <color theme="2" tint="-9.9948118533890809E-2"/>
      </top>
      <bottom style="thin">
        <color theme="2" tint="-9.9948118533890809E-2"/>
      </bottom>
      <diagonal/>
    </border>
    <border>
      <left/>
      <right style="thin">
        <color theme="2" tint="-9.9948118533890809E-2"/>
      </right>
      <top/>
      <bottom style="thin">
        <color theme="2" tint="-9.9948118533890809E-2"/>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diagonal/>
    </border>
    <border>
      <left style="medium">
        <color indexed="64"/>
      </left>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indexed="64"/>
      </bottom>
      <diagonal/>
    </border>
    <border>
      <left style="thin">
        <color theme="0"/>
      </left>
      <right/>
      <top style="thin">
        <color theme="0"/>
      </top>
      <bottom style="thin">
        <color indexed="64"/>
      </bottom>
      <diagonal/>
    </border>
    <border>
      <left style="medium">
        <color indexed="64"/>
      </left>
      <right/>
      <top style="thin">
        <color theme="0"/>
      </top>
      <bottom/>
      <diagonal/>
    </border>
    <border>
      <left style="thin">
        <color theme="0"/>
      </left>
      <right/>
      <top style="thin">
        <color indexed="64"/>
      </top>
      <bottom style="medium">
        <color indexed="64"/>
      </bottom>
      <diagonal/>
    </border>
    <border>
      <left style="thin">
        <color theme="0"/>
      </left>
      <right/>
      <top/>
      <bottom/>
      <diagonal/>
    </border>
    <border>
      <left style="thin">
        <color theme="0"/>
      </left>
      <right/>
      <top style="thin">
        <color indexed="64"/>
      </top>
      <bottom style="thin">
        <color indexed="64"/>
      </bottom>
      <diagonal/>
    </border>
    <border>
      <left/>
      <right/>
      <top style="thin">
        <color theme="0"/>
      </top>
      <bottom style="thin">
        <color theme="0"/>
      </bottom>
      <diagonal/>
    </border>
    <border>
      <left/>
      <right/>
      <top style="thin">
        <color theme="0"/>
      </top>
      <bottom style="thin">
        <color indexed="64"/>
      </bottom>
      <diagonal/>
    </border>
    <border>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medium">
        <color indexed="64"/>
      </left>
      <right/>
      <top style="thin">
        <color indexed="64"/>
      </top>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top/>
      <bottom style="thin">
        <color theme="8" tint="0.39997558519241921"/>
      </bottom>
      <diagonal/>
    </border>
    <border>
      <left/>
      <right/>
      <top style="thin">
        <color theme="8" tint="0.39997558519241921"/>
      </top>
      <bottom/>
      <diagonal/>
    </border>
    <border>
      <left style="thin">
        <color theme="0"/>
      </left>
      <right/>
      <top/>
      <bottom style="thin">
        <color theme="0"/>
      </bottom>
      <diagonal/>
    </border>
    <border>
      <left/>
      <right style="thin">
        <color theme="0"/>
      </right>
      <top/>
      <bottom style="thin">
        <color theme="0"/>
      </bottom>
      <diagonal/>
    </border>
  </borders>
  <cellStyleXfs count="567">
    <xf numFmtId="0" fontId="0" fillId="0" borderId="0"/>
    <xf numFmtId="164" fontId="3" fillId="0" borderId="0" applyFont="0" applyFill="0" applyBorder="0" applyAlignment="0" applyProtection="0"/>
    <xf numFmtId="9" fontId="3"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43" fontId="3" fillId="0" borderId="0" applyFont="0" applyFill="0" applyBorder="0" applyAlignment="0" applyProtection="0"/>
  </cellStyleXfs>
  <cellXfs count="814">
    <xf numFmtId="0" fontId="0" fillId="0" borderId="0" xfId="0"/>
    <xf numFmtId="0" fontId="0" fillId="2" borderId="0" xfId="0" applyFill="1"/>
    <xf numFmtId="0" fontId="7" fillId="2" borderId="0" xfId="0" applyFont="1" applyFill="1"/>
    <xf numFmtId="0" fontId="8" fillId="2" borderId="0" xfId="0" applyFont="1" applyFill="1"/>
    <xf numFmtId="0" fontId="9" fillId="2" borderId="0" xfId="0" applyFont="1" applyFill="1"/>
    <xf numFmtId="0" fontId="8" fillId="2" borderId="0" xfId="0" applyFont="1" applyFill="1" applyAlignment="1">
      <alignment horizontal="center"/>
    </xf>
    <xf numFmtId="0" fontId="8" fillId="2" borderId="0" xfId="0" applyFont="1" applyFill="1" applyAlignment="1">
      <alignment horizontal="left"/>
    </xf>
    <xf numFmtId="0" fontId="12" fillId="0" borderId="0" xfId="0" applyFont="1"/>
    <xf numFmtId="164" fontId="12" fillId="0" borderId="0" xfId="1" applyFont="1" applyFill="1" applyProtection="1">
      <protection hidden="1"/>
    </xf>
    <xf numFmtId="0" fontId="10" fillId="0" borderId="6" xfId="0" applyFont="1" applyBorder="1" applyAlignment="1">
      <alignment vertical="center"/>
    </xf>
    <xf numFmtId="0" fontId="8" fillId="0" borderId="6" xfId="0" applyFont="1" applyBorder="1"/>
    <xf numFmtId="0" fontId="8" fillId="3" borderId="1" xfId="0" applyFont="1" applyFill="1" applyBorder="1" applyAlignment="1">
      <alignment horizontal="right"/>
    </xf>
    <xf numFmtId="0" fontId="8" fillId="3" borderId="1" xfId="0" applyFont="1" applyFill="1" applyBorder="1"/>
    <xf numFmtId="0" fontId="11" fillId="0" borderId="0" xfId="0" applyFont="1" applyAlignment="1">
      <alignment vertical="top"/>
    </xf>
    <xf numFmtId="0" fontId="8" fillId="2" borderId="0" xfId="0" applyFont="1" applyFill="1" applyAlignment="1">
      <alignment vertical="top"/>
    </xf>
    <xf numFmtId="0" fontId="8" fillId="0" borderId="0" xfId="0" applyFont="1" applyAlignment="1">
      <alignment vertical="top"/>
    </xf>
    <xf numFmtId="0" fontId="8" fillId="0" borderId="11" xfId="0" applyFont="1" applyBorder="1"/>
    <xf numFmtId="164" fontId="10" fillId="0" borderId="6" xfId="1" applyFont="1" applyFill="1" applyBorder="1" applyAlignment="1">
      <alignment horizontal="center" vertical="center"/>
    </xf>
    <xf numFmtId="164" fontId="10" fillId="0" borderId="7" xfId="1" applyFont="1" applyFill="1" applyBorder="1" applyAlignment="1">
      <alignment horizontal="center" vertical="center"/>
    </xf>
    <xf numFmtId="0" fontId="8" fillId="0" borderId="0" xfId="0" applyFont="1"/>
    <xf numFmtId="0" fontId="16" fillId="2" borderId="0" xfId="0" applyFont="1" applyFill="1"/>
    <xf numFmtId="164" fontId="10" fillId="0" borderId="11" xfId="0" applyNumberFormat="1" applyFont="1" applyBorder="1" applyAlignment="1">
      <alignment horizontal="center" vertical="center"/>
    </xf>
    <xf numFmtId="0" fontId="8" fillId="2" borderId="0" xfId="0" applyFont="1" applyFill="1" applyAlignment="1">
      <alignment vertical="top" wrapText="1"/>
    </xf>
    <xf numFmtId="0" fontId="10" fillId="0" borderId="7" xfId="0" applyFont="1" applyBorder="1" applyAlignment="1">
      <alignment vertical="center"/>
    </xf>
    <xf numFmtId="0" fontId="18" fillId="2" borderId="0" xfId="0" applyFont="1" applyFill="1"/>
    <xf numFmtId="0" fontId="18" fillId="2" borderId="0" xfId="0" applyFont="1" applyFill="1" applyAlignment="1">
      <alignment horizontal="center"/>
    </xf>
    <xf numFmtId="0" fontId="8" fillId="3" borderId="20" xfId="0" applyFont="1" applyFill="1" applyBorder="1" applyAlignment="1">
      <alignment horizontal="right"/>
    </xf>
    <xf numFmtId="0" fontId="8" fillId="3" borderId="21" xfId="0" applyFont="1" applyFill="1" applyBorder="1"/>
    <xf numFmtId="0" fontId="8" fillId="2" borderId="15" xfId="0" applyFont="1" applyFill="1" applyBorder="1"/>
    <xf numFmtId="0" fontId="0" fillId="0" borderId="1" xfId="0" applyBorder="1"/>
    <xf numFmtId="0" fontId="8" fillId="0" borderId="0" xfId="0" applyFont="1" applyAlignment="1">
      <alignment wrapText="1"/>
    </xf>
    <xf numFmtId="0" fontId="17" fillId="0" borderId="23" xfId="0" applyFont="1" applyBorder="1" applyAlignment="1">
      <alignment vertical="top" wrapText="1"/>
    </xf>
    <xf numFmtId="0" fontId="17" fillId="0" borderId="22" xfId="0" applyFont="1" applyBorder="1" applyAlignment="1">
      <alignment vertical="top" wrapText="1"/>
    </xf>
    <xf numFmtId="0" fontId="10" fillId="2" borderId="0" xfId="0" applyFont="1" applyFill="1" applyAlignment="1">
      <alignment vertical="center"/>
    </xf>
    <xf numFmtId="0" fontId="10" fillId="2" borderId="0" xfId="0" applyFont="1" applyFill="1" applyAlignment="1">
      <alignment horizontal="center" vertical="center"/>
    </xf>
    <xf numFmtId="0" fontId="17" fillId="0" borderId="22" xfId="0" applyFont="1" applyBorder="1" applyAlignment="1">
      <alignment vertical="top"/>
    </xf>
    <xf numFmtId="0" fontId="17" fillId="0" borderId="23" xfId="0" applyFont="1" applyBorder="1" applyAlignment="1">
      <alignment vertical="top"/>
    </xf>
    <xf numFmtId="0" fontId="8" fillId="6" borderId="20" xfId="0" applyFont="1" applyFill="1" applyBorder="1" applyAlignment="1">
      <alignment horizontal="right"/>
    </xf>
    <xf numFmtId="0" fontId="8" fillId="6" borderId="1" xfId="0" applyFont="1" applyFill="1" applyBorder="1" applyAlignment="1">
      <alignment horizontal="right"/>
    </xf>
    <xf numFmtId="166" fontId="10" fillId="0" borderId="7" xfId="0" applyNumberFormat="1" applyFont="1" applyBorder="1" applyAlignment="1">
      <alignment vertical="center"/>
    </xf>
    <xf numFmtId="0" fontId="8" fillId="0" borderId="0" xfId="0" applyFont="1" applyAlignment="1">
      <alignment vertical="center"/>
    </xf>
    <xf numFmtId="2" fontId="8" fillId="2" borderId="0" xfId="0" applyNumberFormat="1" applyFont="1" applyFill="1"/>
    <xf numFmtId="0" fontId="11" fillId="0" borderId="0" xfId="0" applyFont="1" applyAlignment="1">
      <alignment horizontal="center" vertical="top" wrapText="1"/>
    </xf>
    <xf numFmtId="166" fontId="10" fillId="0" borderId="6" xfId="0" applyNumberFormat="1" applyFont="1" applyBorder="1" applyAlignment="1">
      <alignment vertical="center"/>
    </xf>
    <xf numFmtId="166" fontId="10" fillId="0" borderId="6" xfId="1" applyNumberFormat="1" applyFont="1" applyFill="1" applyBorder="1" applyAlignment="1">
      <alignment horizontal="center" vertical="center"/>
    </xf>
    <xf numFmtId="166" fontId="8" fillId="0" borderId="11" xfId="0" applyNumberFormat="1" applyFont="1" applyBorder="1"/>
    <xf numFmtId="166" fontId="10" fillId="0" borderId="11" xfId="0" applyNumberFormat="1" applyFont="1" applyBorder="1" applyAlignment="1">
      <alignment horizontal="center" vertical="center"/>
    </xf>
    <xf numFmtId="0" fontId="23" fillId="0" borderId="0" xfId="0" applyFont="1"/>
    <xf numFmtId="166" fontId="23" fillId="0" borderId="0" xfId="0" applyNumberFormat="1" applyFont="1"/>
    <xf numFmtId="166" fontId="23" fillId="0" borderId="6" xfId="1" applyNumberFormat="1" applyFont="1" applyFill="1" applyBorder="1" applyAlignment="1">
      <alignment horizontal="center" vertical="center"/>
    </xf>
    <xf numFmtId="166" fontId="23" fillId="0" borderId="10" xfId="0" applyNumberFormat="1" applyFont="1" applyBorder="1" applyAlignment="1">
      <alignment horizontal="center" vertical="center"/>
    </xf>
    <xf numFmtId="0" fontId="8" fillId="0" borderId="27" xfId="0" applyFont="1" applyBorder="1" applyAlignment="1">
      <alignment vertical="center"/>
    </xf>
    <xf numFmtId="0" fontId="8" fillId="0" borderId="27" xfId="0" applyFont="1" applyBorder="1" applyAlignment="1">
      <alignment wrapText="1"/>
    </xf>
    <xf numFmtId="0" fontId="10" fillId="0" borderId="28" xfId="0" applyFont="1" applyBorder="1" applyAlignment="1">
      <alignment vertical="center"/>
    </xf>
    <xf numFmtId="0" fontId="8" fillId="0" borderId="27" xfId="0" applyFont="1" applyBorder="1"/>
    <xf numFmtId="166" fontId="23" fillId="0" borderId="27" xfId="0" applyNumberFormat="1" applyFont="1" applyBorder="1"/>
    <xf numFmtId="166" fontId="23" fillId="0" borderId="28" xfId="1" applyNumberFormat="1" applyFont="1" applyFill="1" applyBorder="1" applyAlignment="1">
      <alignment horizontal="center" vertical="center"/>
    </xf>
    <xf numFmtId="0" fontId="10" fillId="0" borderId="0" xfId="0" applyFont="1" applyAlignment="1">
      <alignment vertical="center"/>
    </xf>
    <xf numFmtId="2" fontId="8" fillId="0" borderId="0" xfId="0" applyNumberFormat="1" applyFont="1"/>
    <xf numFmtId="0" fontId="12" fillId="5" borderId="1" xfId="0" applyFont="1" applyFill="1" applyBorder="1"/>
    <xf numFmtId="0" fontId="4" fillId="0" borderId="0" xfId="0" applyFont="1" applyAlignment="1">
      <alignment wrapText="1"/>
    </xf>
    <xf numFmtId="0" fontId="0" fillId="0" borderId="0" xfId="0" applyAlignment="1">
      <alignment wrapText="1"/>
    </xf>
    <xf numFmtId="9" fontId="0" fillId="0" borderId="0" xfId="0" applyNumberFormat="1" applyAlignment="1">
      <alignment wrapText="1"/>
    </xf>
    <xf numFmtId="0" fontId="12" fillId="0" borderId="0" xfId="0" applyFont="1" applyAlignment="1">
      <alignment wrapText="1"/>
    </xf>
    <xf numFmtId="0" fontId="0" fillId="0" borderId="1" xfId="0" applyBorder="1" applyAlignment="1">
      <alignment wrapText="1"/>
    </xf>
    <xf numFmtId="0" fontId="0" fillId="5" borderId="1" xfId="0" applyFill="1" applyBorder="1" applyAlignment="1">
      <alignment horizontal="right"/>
    </xf>
    <xf numFmtId="2" fontId="0" fillId="3" borderId="1" xfId="0" applyNumberFormat="1" applyFill="1" applyBorder="1" applyAlignment="1">
      <alignment horizontal="right"/>
    </xf>
    <xf numFmtId="9" fontId="0" fillId="5" borderId="1" xfId="2" applyFont="1" applyFill="1" applyBorder="1" applyAlignment="1">
      <alignment horizontal="left"/>
    </xf>
    <xf numFmtId="0" fontId="0" fillId="5" borderId="1" xfId="0" applyFill="1" applyBorder="1" applyAlignment="1">
      <alignment horizontal="left"/>
    </xf>
    <xf numFmtId="9" fontId="0" fillId="5" borderId="1" xfId="0" applyNumberFormat="1" applyFill="1" applyBorder="1" applyAlignment="1">
      <alignment horizontal="left"/>
    </xf>
    <xf numFmtId="0" fontId="0" fillId="5" borderId="1" xfId="0" applyFill="1" applyBorder="1"/>
    <xf numFmtId="0" fontId="0" fillId="3" borderId="1" xfId="0" applyFill="1" applyBorder="1"/>
    <xf numFmtId="9" fontId="0" fillId="5" borderId="1" xfId="0" applyNumberFormat="1" applyFill="1" applyBorder="1" applyAlignment="1">
      <alignment wrapText="1"/>
    </xf>
    <xf numFmtId="0" fontId="12" fillId="0" borderId="0" xfId="0" applyFont="1" applyAlignment="1" applyProtection="1">
      <alignment wrapText="1"/>
      <protection hidden="1"/>
    </xf>
    <xf numFmtId="0" fontId="12" fillId="0" borderId="0" xfId="0" applyFont="1" applyProtection="1">
      <protection hidden="1"/>
    </xf>
    <xf numFmtId="164" fontId="12" fillId="0" borderId="0" xfId="1" applyFont="1" applyFill="1" applyBorder="1" applyProtection="1">
      <protection hidden="1"/>
    </xf>
    <xf numFmtId="0" fontId="12" fillId="0" borderId="1" xfId="0" applyFont="1" applyBorder="1" applyAlignment="1">
      <alignment wrapText="1"/>
    </xf>
    <xf numFmtId="0" fontId="12" fillId="0" borderId="1" xfId="0" applyFont="1" applyBorder="1"/>
    <xf numFmtId="0" fontId="26" fillId="0" borderId="0" xfId="0" applyFont="1" applyAlignment="1">
      <alignment wrapText="1"/>
    </xf>
    <xf numFmtId="0" fontId="12" fillId="0" borderId="1" xfId="0" applyFont="1" applyBorder="1" applyAlignment="1" applyProtection="1">
      <alignment wrapText="1"/>
      <protection hidden="1"/>
    </xf>
    <xf numFmtId="0" fontId="12" fillId="5" borderId="1" xfId="0" applyFont="1" applyFill="1" applyBorder="1" applyProtection="1">
      <protection hidden="1"/>
    </xf>
    <xf numFmtId="9" fontId="0" fillId="5" borderId="1" xfId="0" applyNumberFormat="1" applyFill="1" applyBorder="1"/>
    <xf numFmtId="0" fontId="0" fillId="0" borderId="1" xfId="0" applyBorder="1" applyAlignment="1">
      <alignment horizontal="left"/>
    </xf>
    <xf numFmtId="0" fontId="0" fillId="0" borderId="1" xfId="0" applyBorder="1" applyAlignment="1">
      <alignment horizontal="left" wrapText="1"/>
    </xf>
    <xf numFmtId="166" fontId="0" fillId="5" borderId="1" xfId="0" applyNumberFormat="1" applyFill="1" applyBorder="1"/>
    <xf numFmtId="166" fontId="12" fillId="5" borderId="1" xfId="0" applyNumberFormat="1" applyFont="1" applyFill="1" applyBorder="1"/>
    <xf numFmtId="166" fontId="12" fillId="5" borderId="1" xfId="0" applyNumberFormat="1" applyFont="1" applyFill="1" applyBorder="1" applyProtection="1">
      <protection hidden="1"/>
    </xf>
    <xf numFmtId="166" fontId="10" fillId="0" borderId="6" xfId="0" applyNumberFormat="1" applyFont="1" applyBorder="1" applyAlignment="1">
      <alignment horizontal="center" vertical="center"/>
    </xf>
    <xf numFmtId="166" fontId="10" fillId="0" borderId="10" xfId="0" applyNumberFormat="1" applyFont="1" applyBorder="1" applyAlignment="1">
      <alignment horizontal="center" vertical="center"/>
    </xf>
    <xf numFmtId="166" fontId="10" fillId="0" borderId="7" xfId="0" applyNumberFormat="1" applyFont="1" applyBorder="1" applyAlignment="1">
      <alignment horizontal="center" vertical="center"/>
    </xf>
    <xf numFmtId="2" fontId="10" fillId="0" borderId="6" xfId="0" applyNumberFormat="1" applyFont="1" applyBorder="1" applyAlignment="1">
      <alignment horizontal="center" vertical="center"/>
    </xf>
    <xf numFmtId="2" fontId="10" fillId="0" borderId="7" xfId="0" applyNumberFormat="1" applyFont="1" applyBorder="1" applyAlignment="1">
      <alignment horizontal="center" vertical="center"/>
    </xf>
    <xf numFmtId="2" fontId="8" fillId="0" borderId="11" xfId="0" applyNumberFormat="1" applyFont="1" applyBorder="1"/>
    <xf numFmtId="0" fontId="9" fillId="0" borderId="0" xfId="0" applyFont="1"/>
    <xf numFmtId="0" fontId="23" fillId="3" borderId="1" xfId="0" applyFont="1" applyFill="1" applyBorder="1"/>
    <xf numFmtId="0" fontId="0" fillId="0" borderId="0" xfId="0" applyAlignment="1">
      <alignment horizontal="left"/>
    </xf>
    <xf numFmtId="0" fontId="0" fillId="0" borderId="0" xfId="0" applyAlignment="1">
      <alignment horizontal="left" wrapText="1"/>
    </xf>
    <xf numFmtId="9" fontId="0" fillId="0" borderId="0" xfId="0" applyNumberFormat="1"/>
    <xf numFmtId="9" fontId="0" fillId="5" borderId="1" xfId="2" applyFont="1" applyFill="1" applyBorder="1"/>
    <xf numFmtId="9" fontId="23" fillId="2" borderId="0" xfId="2" applyFont="1" applyFill="1" applyBorder="1"/>
    <xf numFmtId="0" fontId="23" fillId="2" borderId="0" xfId="0" applyFont="1" applyFill="1"/>
    <xf numFmtId="0" fontId="0" fillId="0" borderId="1" xfId="0" applyBorder="1" applyAlignment="1">
      <alignment horizontal="right"/>
    </xf>
    <xf numFmtId="0" fontId="0" fillId="0" borderId="33" xfId="0" applyBorder="1" applyAlignment="1">
      <alignment wrapText="1"/>
    </xf>
    <xf numFmtId="0" fontId="0" fillId="0" borderId="34" xfId="0" applyBorder="1" applyAlignment="1">
      <alignment wrapText="1"/>
    </xf>
    <xf numFmtId="0" fontId="0" fillId="5" borderId="34" xfId="0" applyFill="1" applyBorder="1"/>
    <xf numFmtId="0" fontId="0" fillId="0" borderId="34" xfId="0" applyBorder="1"/>
    <xf numFmtId="0" fontId="0" fillId="0" borderId="35" xfId="0" applyBorder="1"/>
    <xf numFmtId="0" fontId="0" fillId="0" borderId="36" xfId="0" applyBorder="1" applyAlignment="1">
      <alignment wrapText="1"/>
    </xf>
    <xf numFmtId="0" fontId="0" fillId="0" borderId="37" xfId="0" applyBorder="1" applyAlignment="1">
      <alignment wrapText="1"/>
    </xf>
    <xf numFmtId="0" fontId="0" fillId="5" borderId="37" xfId="0" applyFill="1" applyBorder="1"/>
    <xf numFmtId="0" fontId="0" fillId="0" borderId="37" xfId="0" applyBorder="1"/>
    <xf numFmtId="0" fontId="0" fillId="0" borderId="38" xfId="0" applyBorder="1"/>
    <xf numFmtId="0" fontId="0" fillId="0" borderId="40" xfId="0" applyBorder="1" applyAlignment="1">
      <alignment wrapText="1"/>
    </xf>
    <xf numFmtId="0" fontId="0" fillId="0" borderId="40" xfId="0" applyBorder="1"/>
    <xf numFmtId="0" fontId="0" fillId="0" borderId="41" xfId="0" applyBorder="1"/>
    <xf numFmtId="0" fontId="0" fillId="0" borderId="42" xfId="0" applyBorder="1" applyAlignment="1">
      <alignment wrapText="1"/>
    </xf>
    <xf numFmtId="0" fontId="0" fillId="0" borderId="43" xfId="0" applyBorder="1"/>
    <xf numFmtId="0" fontId="0" fillId="0" borderId="37" xfId="0" applyBorder="1" applyAlignment="1">
      <alignment horizontal="right"/>
    </xf>
    <xf numFmtId="0" fontId="0" fillId="0" borderId="39" xfId="0" applyBorder="1" applyAlignment="1">
      <alignment wrapText="1"/>
    </xf>
    <xf numFmtId="0" fontId="0" fillId="5" borderId="40" xfId="0" applyFill="1" applyBorder="1"/>
    <xf numFmtId="0" fontId="0" fillId="0" borderId="44" xfId="0" applyBorder="1"/>
    <xf numFmtId="0" fontId="0" fillId="0" borderId="45" xfId="0" applyBorder="1"/>
    <xf numFmtId="0" fontId="0" fillId="0" borderId="48" xfId="0" applyBorder="1"/>
    <xf numFmtId="0" fontId="0" fillId="0" borderId="49" xfId="0" applyBorder="1"/>
    <xf numFmtId="0" fontId="0" fillId="0" borderId="46" xfId="0" applyBorder="1"/>
    <xf numFmtId="0" fontId="0" fillId="0" borderId="47" xfId="0" applyBorder="1"/>
    <xf numFmtId="0" fontId="0" fillId="0" borderId="50" xfId="0" applyBorder="1"/>
    <xf numFmtId="0" fontId="0" fillId="0" borderId="51" xfId="0" applyBorder="1"/>
    <xf numFmtId="0" fontId="0" fillId="0" borderId="1" xfId="0" applyBorder="1" applyAlignment="1">
      <alignment vertical="top" wrapText="1"/>
    </xf>
    <xf numFmtId="0" fontId="0" fillId="0" borderId="37" xfId="0" applyBorder="1" applyAlignment="1">
      <alignment vertical="top" wrapText="1"/>
    </xf>
    <xf numFmtId="0" fontId="0" fillId="0" borderId="53" xfId="0" applyBorder="1"/>
    <xf numFmtId="0" fontId="0" fillId="0" borderId="54" xfId="0" applyBorder="1" applyAlignment="1">
      <alignment wrapText="1"/>
    </xf>
    <xf numFmtId="0" fontId="0" fillId="0" borderId="55" xfId="0" applyBorder="1" applyAlignment="1">
      <alignment wrapText="1"/>
    </xf>
    <xf numFmtId="169" fontId="0" fillId="5" borderId="55" xfId="0" applyNumberFormat="1" applyFill="1" applyBorder="1"/>
    <xf numFmtId="0" fontId="0" fillId="0" borderId="55" xfId="0" applyBorder="1" applyAlignment="1">
      <alignment vertical="top" wrapText="1"/>
    </xf>
    <xf numFmtId="164" fontId="0" fillId="0" borderId="55" xfId="1" applyFont="1" applyBorder="1"/>
    <xf numFmtId="0" fontId="0" fillId="0" borderId="56" xfId="0" applyBorder="1"/>
    <xf numFmtId="0" fontId="0" fillId="0" borderId="55" xfId="0" applyBorder="1"/>
    <xf numFmtId="0" fontId="0" fillId="0" borderId="57" xfId="0" applyBorder="1"/>
    <xf numFmtId="0" fontId="0" fillId="0" borderId="40" xfId="0" applyBorder="1" applyAlignment="1">
      <alignment vertical="top" wrapText="1"/>
    </xf>
    <xf numFmtId="0" fontId="0" fillId="0" borderId="39" xfId="0" applyBorder="1"/>
    <xf numFmtId="0" fontId="0" fillId="0" borderId="54" xfId="0" applyBorder="1"/>
    <xf numFmtId="0" fontId="0" fillId="5" borderId="55" xfId="0" applyFill="1" applyBorder="1"/>
    <xf numFmtId="0" fontId="0" fillId="0" borderId="52" xfId="0" applyBorder="1"/>
    <xf numFmtId="0" fontId="0" fillId="0" borderId="33" xfId="0" applyBorder="1"/>
    <xf numFmtId="0" fontId="0" fillId="0" borderId="36" xfId="0" applyBorder="1"/>
    <xf numFmtId="166" fontId="8" fillId="0" borderId="0" xfId="0" applyNumberFormat="1" applyFont="1"/>
    <xf numFmtId="2" fontId="8" fillId="0" borderId="27" xfId="0" applyNumberFormat="1" applyFont="1" applyBorder="1"/>
    <xf numFmtId="2" fontId="23" fillId="0" borderId="0" xfId="0" applyNumberFormat="1" applyFont="1"/>
    <xf numFmtId="2" fontId="23" fillId="0" borderId="27" xfId="0" applyNumberFormat="1" applyFont="1" applyBorder="1"/>
    <xf numFmtId="2" fontId="23" fillId="8" borderId="0" xfId="0" applyNumberFormat="1" applyFont="1" applyFill="1"/>
    <xf numFmtId="0" fontId="28" fillId="2" borderId="0" xfId="0" applyFont="1" applyFill="1"/>
    <xf numFmtId="0" fontId="28" fillId="2" borderId="0" xfId="0" applyFont="1" applyFill="1" applyAlignment="1">
      <alignment wrapText="1"/>
    </xf>
    <xf numFmtId="165" fontId="8" fillId="3" borderId="1" xfId="1" applyNumberFormat="1" applyFont="1" applyFill="1" applyBorder="1"/>
    <xf numFmtId="0" fontId="9" fillId="3" borderId="48" xfId="0" applyFont="1" applyFill="1" applyBorder="1"/>
    <xf numFmtId="2" fontId="9" fillId="3" borderId="0" xfId="0" applyNumberFormat="1" applyFont="1" applyFill="1" applyAlignment="1">
      <alignment horizontal="right"/>
    </xf>
    <xf numFmtId="165" fontId="9" fillId="3" borderId="0" xfId="0" applyNumberFormat="1" applyFont="1" applyFill="1" applyAlignment="1">
      <alignment horizontal="right"/>
    </xf>
    <xf numFmtId="165" fontId="9" fillId="3" borderId="49" xfId="0" applyNumberFormat="1" applyFont="1" applyFill="1" applyBorder="1" applyAlignment="1">
      <alignment horizontal="right"/>
    </xf>
    <xf numFmtId="0" fontId="9" fillId="3" borderId="46" xfId="0" applyFont="1" applyFill="1" applyBorder="1"/>
    <xf numFmtId="2" fontId="9" fillId="3" borderId="58" xfId="0" applyNumberFormat="1" applyFont="1" applyFill="1" applyBorder="1" applyAlignment="1">
      <alignment horizontal="right"/>
    </xf>
    <xf numFmtId="165" fontId="9" fillId="3" borderId="58" xfId="0" applyNumberFormat="1" applyFont="1" applyFill="1" applyBorder="1" applyAlignment="1">
      <alignment horizontal="right"/>
    </xf>
    <xf numFmtId="165" fontId="9" fillId="3" borderId="47" xfId="0" applyNumberFormat="1" applyFont="1" applyFill="1" applyBorder="1" applyAlignment="1">
      <alignment horizontal="right"/>
    </xf>
    <xf numFmtId="0" fontId="30" fillId="2" borderId="0" xfId="0" applyFont="1" applyFill="1"/>
    <xf numFmtId="0" fontId="31" fillId="2" borderId="0" xfId="0" applyFont="1" applyFill="1"/>
    <xf numFmtId="0" fontId="30" fillId="0" borderId="0" xfId="0" applyFont="1"/>
    <xf numFmtId="0" fontId="32" fillId="2" borderId="0" xfId="0" applyFont="1" applyFill="1"/>
    <xf numFmtId="0" fontId="30" fillId="3" borderId="0" xfId="0" applyFont="1" applyFill="1"/>
    <xf numFmtId="165" fontId="30" fillId="3" borderId="25" xfId="0" applyNumberFormat="1" applyFont="1" applyFill="1" applyBorder="1"/>
    <xf numFmtId="2" fontId="30" fillId="2" borderId="0" xfId="0" applyNumberFormat="1" applyFont="1" applyFill="1"/>
    <xf numFmtId="165" fontId="30" fillId="2" borderId="0" xfId="0" applyNumberFormat="1" applyFont="1" applyFill="1"/>
    <xf numFmtId="44" fontId="30" fillId="3" borderId="25" xfId="0" applyNumberFormat="1" applyFont="1" applyFill="1" applyBorder="1"/>
    <xf numFmtId="0" fontId="30" fillId="2" borderId="0" xfId="0" applyFont="1" applyFill="1" applyAlignment="1">
      <alignment horizontal="left"/>
    </xf>
    <xf numFmtId="9" fontId="30" fillId="2" borderId="0" xfId="2" applyFont="1" applyFill="1" applyBorder="1" applyAlignment="1">
      <alignment horizontal="left"/>
    </xf>
    <xf numFmtId="0" fontId="30" fillId="2" borderId="0" xfId="0" applyFont="1" applyFill="1" applyAlignment="1">
      <alignment horizontal="left" vertical="top" wrapText="1"/>
    </xf>
    <xf numFmtId="0" fontId="33" fillId="2" borderId="0" xfId="0" applyFont="1" applyFill="1" applyAlignment="1">
      <alignment horizontal="right"/>
    </xf>
    <xf numFmtId="9" fontId="30" fillId="2" borderId="0" xfId="2" applyFont="1" applyFill="1" applyBorder="1"/>
    <xf numFmtId="9" fontId="30" fillId="2" borderId="0" xfId="0" applyNumberFormat="1" applyFont="1" applyFill="1"/>
    <xf numFmtId="10" fontId="30" fillId="2" borderId="0" xfId="2" applyNumberFormat="1" applyFont="1" applyFill="1"/>
    <xf numFmtId="0" fontId="30" fillId="2" borderId="0" xfId="0" applyFont="1" applyFill="1" applyAlignment="1">
      <alignment horizontal="right"/>
    </xf>
    <xf numFmtId="0" fontId="35" fillId="2" borderId="0" xfId="0" applyFont="1" applyFill="1"/>
    <xf numFmtId="0" fontId="28" fillId="2" borderId="0" xfId="0" applyFont="1" applyFill="1" applyAlignment="1">
      <alignment horizontal="left"/>
    </xf>
    <xf numFmtId="0" fontId="36" fillId="2" borderId="0" xfId="0" applyFont="1" applyFill="1" applyAlignment="1">
      <alignment horizontal="left" wrapText="1"/>
    </xf>
    <xf numFmtId="165" fontId="36" fillId="2" borderId="0" xfId="0" applyNumberFormat="1" applyFont="1" applyFill="1"/>
    <xf numFmtId="0" fontId="30" fillId="2" borderId="0" xfId="0" applyFont="1" applyFill="1" applyProtection="1">
      <protection hidden="1"/>
    </xf>
    <xf numFmtId="166" fontId="30" fillId="2" borderId="0" xfId="0" applyNumberFormat="1" applyFont="1" applyFill="1" applyAlignment="1">
      <alignment horizontal="right"/>
    </xf>
    <xf numFmtId="164" fontId="30" fillId="2" borderId="0" xfId="1" applyFont="1" applyFill="1" applyAlignment="1">
      <alignment horizontal="right"/>
    </xf>
    <xf numFmtId="164" fontId="30" fillId="2" borderId="0" xfId="1" applyFont="1" applyFill="1" applyBorder="1" applyAlignment="1">
      <alignment horizontal="right"/>
    </xf>
    <xf numFmtId="2" fontId="30" fillId="2" borderId="0" xfId="1" applyNumberFormat="1" applyFont="1" applyFill="1" applyAlignment="1">
      <alignment horizontal="right"/>
    </xf>
    <xf numFmtId="0" fontId="31" fillId="2" borderId="0" xfId="0" applyFont="1" applyFill="1" applyAlignment="1">
      <alignment horizontal="center" vertical="center"/>
    </xf>
    <xf numFmtId="165" fontId="31" fillId="2" borderId="0" xfId="0" applyNumberFormat="1" applyFont="1" applyFill="1"/>
    <xf numFmtId="0" fontId="30" fillId="2" borderId="25" xfId="0" applyFont="1" applyFill="1" applyBorder="1" applyProtection="1">
      <protection hidden="1"/>
    </xf>
    <xf numFmtId="0" fontId="30" fillId="2" borderId="25" xfId="0" applyFont="1" applyFill="1" applyBorder="1"/>
    <xf numFmtId="164" fontId="30" fillId="2" borderId="25" xfId="1" applyFont="1" applyFill="1" applyBorder="1" applyAlignment="1">
      <alignment horizontal="right"/>
    </xf>
    <xf numFmtId="2" fontId="30" fillId="2" borderId="25" xfId="1" applyNumberFormat="1" applyFont="1" applyFill="1" applyBorder="1" applyAlignment="1">
      <alignment horizontal="right"/>
    </xf>
    <xf numFmtId="164" fontId="30" fillId="2" borderId="0" xfId="0" applyNumberFormat="1" applyFont="1" applyFill="1" applyAlignment="1">
      <alignment horizontal="right"/>
    </xf>
    <xf numFmtId="164" fontId="31" fillId="2" borderId="0" xfId="0" applyNumberFormat="1" applyFont="1" applyFill="1" applyAlignment="1">
      <alignment horizontal="right"/>
    </xf>
    <xf numFmtId="0" fontId="28" fillId="2" borderId="0" xfId="0" applyFont="1" applyFill="1" applyAlignment="1">
      <alignment horizontal="right"/>
    </xf>
    <xf numFmtId="164" fontId="28" fillId="2" borderId="0" xfId="1" applyFont="1" applyFill="1" applyAlignment="1">
      <alignment horizontal="left"/>
    </xf>
    <xf numFmtId="164" fontId="28" fillId="2" borderId="0" xfId="1" applyFont="1" applyFill="1" applyBorder="1" applyAlignment="1">
      <alignment horizontal="left"/>
    </xf>
    <xf numFmtId="0" fontId="36" fillId="2" borderId="0" xfId="0" applyFont="1" applyFill="1"/>
    <xf numFmtId="164" fontId="31" fillId="2" borderId="0" xfId="1" applyFont="1" applyFill="1" applyAlignment="1">
      <alignment horizontal="right"/>
    </xf>
    <xf numFmtId="164" fontId="37" fillId="2" borderId="0" xfId="0" applyNumberFormat="1" applyFont="1" applyFill="1" applyAlignment="1">
      <alignment horizontal="right"/>
    </xf>
    <xf numFmtId="164" fontId="28" fillId="2" borderId="0" xfId="1" applyFont="1" applyFill="1" applyAlignment="1">
      <alignment horizontal="right"/>
    </xf>
    <xf numFmtId="164" fontId="28" fillId="2" borderId="0" xfId="1" applyFont="1" applyFill="1" applyBorder="1" applyAlignment="1">
      <alignment horizontal="right"/>
    </xf>
    <xf numFmtId="166" fontId="30" fillId="2" borderId="0" xfId="0" applyNumberFormat="1" applyFont="1" applyFill="1"/>
    <xf numFmtId="166" fontId="30" fillId="2" borderId="25" xfId="0" applyNumberFormat="1" applyFont="1" applyFill="1" applyBorder="1"/>
    <xf numFmtId="166" fontId="30" fillId="2" borderId="25" xfId="0" applyNumberFormat="1" applyFont="1" applyFill="1" applyBorder="1" applyAlignment="1">
      <alignment horizontal="right"/>
    </xf>
    <xf numFmtId="0" fontId="37" fillId="2" borderId="0" xfId="0" applyFont="1" applyFill="1" applyAlignment="1">
      <alignment horizontal="right"/>
    </xf>
    <xf numFmtId="166" fontId="30" fillId="2" borderId="0" xfId="1" applyNumberFormat="1" applyFont="1" applyFill="1" applyAlignment="1">
      <alignment horizontal="right"/>
    </xf>
    <xf numFmtId="166" fontId="30" fillId="2" borderId="0" xfId="1" applyNumberFormat="1" applyFont="1" applyFill="1" applyBorder="1" applyAlignment="1">
      <alignment horizontal="right"/>
    </xf>
    <xf numFmtId="2" fontId="30" fillId="2" borderId="0" xfId="1" applyNumberFormat="1" applyFont="1" applyFill="1" applyBorder="1" applyAlignment="1">
      <alignment horizontal="right"/>
    </xf>
    <xf numFmtId="44" fontId="30" fillId="2" borderId="0" xfId="0" applyNumberFormat="1" applyFont="1" applyFill="1" applyAlignment="1">
      <alignment horizontal="right"/>
    </xf>
    <xf numFmtId="9" fontId="30" fillId="2" borderId="0" xfId="0" applyNumberFormat="1" applyFont="1" applyFill="1" applyAlignment="1">
      <alignment horizontal="center"/>
    </xf>
    <xf numFmtId="2" fontId="30" fillId="2" borderId="0" xfId="0" applyNumberFormat="1" applyFont="1" applyFill="1" applyAlignment="1">
      <alignment horizontal="right"/>
    </xf>
    <xf numFmtId="0" fontId="31" fillId="2" borderId="0" xfId="0" applyFont="1" applyFill="1" applyAlignment="1">
      <alignment horizontal="right"/>
    </xf>
    <xf numFmtId="2" fontId="31" fillId="2" borderId="0" xfId="0" applyNumberFormat="1" applyFont="1" applyFill="1" applyAlignment="1">
      <alignment horizontal="right"/>
    </xf>
    <xf numFmtId="44" fontId="31" fillId="2" borderId="0" xfId="0" applyNumberFormat="1" applyFont="1" applyFill="1" applyAlignment="1">
      <alignment horizontal="right"/>
    </xf>
    <xf numFmtId="9" fontId="30" fillId="2" borderId="25" xfId="0" applyNumberFormat="1" applyFont="1" applyFill="1" applyBorder="1" applyAlignment="1">
      <alignment horizontal="center"/>
    </xf>
    <xf numFmtId="2" fontId="28" fillId="2" borderId="25" xfId="0" applyNumberFormat="1" applyFont="1" applyFill="1" applyBorder="1" applyAlignment="1">
      <alignment horizontal="right"/>
    </xf>
    <xf numFmtId="0" fontId="31" fillId="2" borderId="0" xfId="0" applyFont="1" applyFill="1" applyAlignment="1">
      <alignment horizontal="left"/>
    </xf>
    <xf numFmtId="9" fontId="28" fillId="2" borderId="0" xfId="0" applyNumberFormat="1" applyFont="1" applyFill="1" applyAlignment="1">
      <alignment horizontal="right"/>
    </xf>
    <xf numFmtId="0" fontId="30" fillId="2" borderId="0" xfId="0" applyFont="1" applyFill="1" applyAlignment="1">
      <alignment horizontal="center"/>
    </xf>
    <xf numFmtId="167" fontId="30" fillId="2" borderId="0" xfId="0" applyNumberFormat="1" applyFont="1" applyFill="1"/>
    <xf numFmtId="167" fontId="30" fillId="2" borderId="0" xfId="0" applyNumberFormat="1" applyFont="1" applyFill="1" applyAlignment="1">
      <alignment horizontal="left"/>
    </xf>
    <xf numFmtId="168" fontId="30" fillId="2" borderId="0" xfId="2" applyNumberFormat="1" applyFont="1" applyFill="1" applyAlignment="1">
      <alignment horizontal="left"/>
    </xf>
    <xf numFmtId="166" fontId="30" fillId="2" borderId="0" xfId="0" applyNumberFormat="1" applyFont="1" applyFill="1" applyAlignment="1">
      <alignment horizontal="left"/>
    </xf>
    <xf numFmtId="166" fontId="30" fillId="2" borderId="0" xfId="0" applyNumberFormat="1" applyFont="1" applyFill="1" applyAlignment="1">
      <alignment horizontal="center"/>
    </xf>
    <xf numFmtId="2" fontId="30" fillId="0" borderId="0" xfId="0" applyNumberFormat="1" applyFont="1" applyAlignment="1">
      <alignment horizontal="center"/>
    </xf>
    <xf numFmtId="0" fontId="37" fillId="2" borderId="0" xfId="0" applyFont="1" applyFill="1"/>
    <xf numFmtId="0" fontId="28" fillId="2" borderId="25" xfId="0" applyFont="1" applyFill="1" applyBorder="1"/>
    <xf numFmtId="167" fontId="30" fillId="2" borderId="25" xfId="0" applyNumberFormat="1" applyFont="1" applyFill="1" applyBorder="1"/>
    <xf numFmtId="164" fontId="28" fillId="2" borderId="25" xfId="1" applyFont="1" applyFill="1" applyBorder="1" applyAlignment="1">
      <alignment horizontal="right"/>
    </xf>
    <xf numFmtId="0" fontId="30" fillId="2" borderId="26" xfId="0" applyFont="1" applyFill="1" applyBorder="1"/>
    <xf numFmtId="0" fontId="30" fillId="2" borderId="26" xfId="0" applyFont="1" applyFill="1" applyBorder="1" applyAlignment="1">
      <alignment horizontal="right"/>
    </xf>
    <xf numFmtId="164" fontId="30" fillId="2" borderId="26" xfId="1" applyFont="1" applyFill="1" applyBorder="1" applyAlignment="1">
      <alignment horizontal="right"/>
    </xf>
    <xf numFmtId="0" fontId="30" fillId="2" borderId="4" xfId="0" applyFont="1" applyFill="1" applyBorder="1" applyAlignment="1">
      <alignment horizontal="center"/>
    </xf>
    <xf numFmtId="0" fontId="30" fillId="2" borderId="17" xfId="0" applyFont="1" applyFill="1" applyBorder="1" applyAlignment="1">
      <alignment horizontal="center"/>
    </xf>
    <xf numFmtId="0" fontId="33" fillId="3" borderId="44" xfId="0" applyFont="1" applyFill="1" applyBorder="1"/>
    <xf numFmtId="0" fontId="20" fillId="3" borderId="59" xfId="0" applyFont="1" applyFill="1" applyBorder="1" applyAlignment="1">
      <alignment horizontal="right"/>
    </xf>
    <xf numFmtId="0" fontId="20" fillId="3" borderId="45" xfId="0" applyFont="1" applyFill="1" applyBorder="1" applyAlignment="1">
      <alignment horizontal="right"/>
    </xf>
    <xf numFmtId="0" fontId="28" fillId="0" borderId="0" xfId="0" applyFont="1"/>
    <xf numFmtId="0" fontId="9" fillId="2" borderId="44" xfId="0" applyFont="1" applyFill="1" applyBorder="1"/>
    <xf numFmtId="0" fontId="8" fillId="2" borderId="59" xfId="0" applyFont="1" applyFill="1" applyBorder="1"/>
    <xf numFmtId="0" fontId="9" fillId="2" borderId="48" xfId="0" applyFont="1" applyFill="1" applyBorder="1"/>
    <xf numFmtId="0" fontId="9" fillId="2" borderId="46" xfId="0" applyFont="1" applyFill="1" applyBorder="1"/>
    <xf numFmtId="0" fontId="30" fillId="0" borderId="0" xfId="0" applyFont="1" applyAlignment="1">
      <alignment horizontal="left" wrapText="1"/>
    </xf>
    <xf numFmtId="165" fontId="8" fillId="2" borderId="0" xfId="1" applyNumberFormat="1" applyFont="1" applyFill="1" applyBorder="1"/>
    <xf numFmtId="9" fontId="30" fillId="2" borderId="0" xfId="2" applyFont="1" applyFill="1"/>
    <xf numFmtId="0" fontId="8" fillId="2" borderId="0" xfId="0" applyFont="1" applyFill="1" applyAlignment="1">
      <alignment horizontal="right"/>
    </xf>
    <xf numFmtId="0" fontId="9" fillId="3" borderId="50" xfId="0" applyFont="1" applyFill="1" applyBorder="1"/>
    <xf numFmtId="0" fontId="0" fillId="0" borderId="65" xfId="0" applyBorder="1" applyAlignment="1">
      <alignment wrapText="1"/>
    </xf>
    <xf numFmtId="0" fontId="0" fillId="0" borderId="29" xfId="0" applyBorder="1" applyAlignment="1">
      <alignment wrapText="1"/>
    </xf>
    <xf numFmtId="2" fontId="0" fillId="5" borderId="29" xfId="0" applyNumberFormat="1" applyFill="1" applyBorder="1"/>
    <xf numFmtId="0" fontId="0" fillId="0" borderId="29" xfId="0" applyBorder="1"/>
    <xf numFmtId="0" fontId="0" fillId="0" borderId="66" xfId="0" applyBorder="1"/>
    <xf numFmtId="0" fontId="0" fillId="0" borderId="67" xfId="0" applyBorder="1" applyAlignment="1">
      <alignment wrapText="1"/>
    </xf>
    <xf numFmtId="0" fontId="0" fillId="0" borderId="20" xfId="0" applyBorder="1" applyAlignment="1">
      <alignment wrapText="1"/>
    </xf>
    <xf numFmtId="0" fontId="0" fillId="5" borderId="20" xfId="0" applyFill="1" applyBorder="1"/>
    <xf numFmtId="0" fontId="0" fillId="0" borderId="20" xfId="0" applyBorder="1"/>
    <xf numFmtId="0" fontId="0" fillId="0" borderId="20" xfId="0" applyBorder="1" applyAlignment="1">
      <alignment horizontal="right"/>
    </xf>
    <xf numFmtId="0" fontId="0" fillId="0" borderId="68" xfId="0" applyBorder="1"/>
    <xf numFmtId="2" fontId="0" fillId="5" borderId="1" xfId="0" applyNumberFormat="1" applyFill="1" applyBorder="1"/>
    <xf numFmtId="2" fontId="0" fillId="5" borderId="34" xfId="0" applyNumberFormat="1" applyFill="1" applyBorder="1"/>
    <xf numFmtId="0" fontId="0" fillId="0" borderId="8" xfId="0" applyBorder="1"/>
    <xf numFmtId="0" fontId="0" fillId="0" borderId="42" xfId="0" applyBorder="1"/>
    <xf numFmtId="165" fontId="9" fillId="3" borderId="64" xfId="0" applyNumberFormat="1" applyFont="1" applyFill="1" applyBorder="1" applyAlignment="1">
      <alignment horizontal="right"/>
    </xf>
    <xf numFmtId="14" fontId="8" fillId="2" borderId="0" xfId="0" applyNumberFormat="1" applyFont="1" applyFill="1" applyAlignment="1">
      <alignment horizontal="right"/>
    </xf>
    <xf numFmtId="0" fontId="12" fillId="10" borderId="1" xfId="0" applyFont="1" applyFill="1" applyBorder="1" applyAlignment="1" applyProtection="1">
      <alignment horizontal="right"/>
      <protection hidden="1"/>
    </xf>
    <xf numFmtId="0" fontId="14" fillId="0" borderId="0" xfId="0" applyFont="1"/>
    <xf numFmtId="0" fontId="8" fillId="4" borderId="1" xfId="0" applyFont="1" applyFill="1" applyBorder="1" applyAlignment="1" applyProtection="1">
      <alignment horizontal="right" wrapText="1"/>
      <protection locked="0"/>
    </xf>
    <xf numFmtId="0" fontId="8" fillId="4" borderId="1" xfId="0" applyFont="1" applyFill="1" applyBorder="1" applyProtection="1">
      <protection locked="0"/>
    </xf>
    <xf numFmtId="0" fontId="10" fillId="0" borderId="6" xfId="0" applyFont="1" applyBorder="1" applyAlignment="1" applyProtection="1">
      <alignment vertical="center"/>
      <protection locked="0"/>
    </xf>
    <xf numFmtId="0" fontId="10" fillId="0" borderId="12" xfId="0" applyFont="1" applyBorder="1" applyAlignment="1" applyProtection="1">
      <alignment vertical="center"/>
      <protection locked="0"/>
    </xf>
    <xf numFmtId="0" fontId="0" fillId="10" borderId="1" xfId="0" applyFill="1" applyBorder="1"/>
    <xf numFmtId="0" fontId="9" fillId="2" borderId="33" xfId="0" applyFont="1" applyFill="1" applyBorder="1" applyAlignment="1">
      <alignment wrapText="1"/>
    </xf>
    <xf numFmtId="0" fontId="18" fillId="2" borderId="45" xfId="0" applyFont="1" applyFill="1" applyBorder="1" applyAlignment="1">
      <alignment horizontal="center"/>
    </xf>
    <xf numFmtId="0" fontId="9" fillId="2" borderId="36" xfId="0" applyFont="1" applyFill="1" applyBorder="1" applyAlignment="1">
      <alignment wrapText="1"/>
    </xf>
    <xf numFmtId="0" fontId="40" fillId="2" borderId="0" xfId="0" applyFont="1" applyFill="1"/>
    <xf numFmtId="0" fontId="9" fillId="2" borderId="33" xfId="0" applyFont="1" applyFill="1" applyBorder="1"/>
    <xf numFmtId="0" fontId="8" fillId="4" borderId="34" xfId="0" applyFont="1" applyFill="1" applyBorder="1" applyAlignment="1" applyProtection="1">
      <alignment horizontal="right"/>
      <protection locked="0"/>
    </xf>
    <xf numFmtId="0" fontId="9" fillId="2" borderId="42" xfId="0" applyFont="1" applyFill="1" applyBorder="1"/>
    <xf numFmtId="0" fontId="18" fillId="2" borderId="49" xfId="0" applyFont="1" applyFill="1" applyBorder="1" applyAlignment="1">
      <alignment horizontal="center"/>
    </xf>
    <xf numFmtId="0" fontId="18" fillId="2" borderId="49" xfId="0" applyFont="1" applyFill="1" applyBorder="1" applyAlignment="1">
      <alignment horizontal="left"/>
    </xf>
    <xf numFmtId="0" fontId="9" fillId="2" borderId="36" xfId="0" applyFont="1" applyFill="1" applyBorder="1"/>
    <xf numFmtId="0" fontId="41" fillId="2" borderId="0" xfId="0" applyFont="1" applyFill="1"/>
    <xf numFmtId="0" fontId="42" fillId="2" borderId="0" xfId="0" applyFont="1" applyFill="1"/>
    <xf numFmtId="0" fontId="30" fillId="11" borderId="63" xfId="0" applyFont="1" applyFill="1" applyBorder="1" applyAlignment="1" applyProtection="1">
      <alignment vertical="top" wrapText="1"/>
      <protection locked="0"/>
    </xf>
    <xf numFmtId="165" fontId="10" fillId="0" borderId="6" xfId="1" applyNumberFormat="1" applyFont="1" applyFill="1" applyBorder="1" applyAlignment="1" applyProtection="1">
      <alignment vertical="center"/>
      <protection locked="0"/>
    </xf>
    <xf numFmtId="0" fontId="10" fillId="0" borderId="7" xfId="0" applyFont="1" applyBorder="1" applyAlignment="1" applyProtection="1">
      <alignment vertical="center"/>
      <protection locked="0"/>
    </xf>
    <xf numFmtId="165" fontId="10" fillId="0" borderId="7" xfId="1" applyNumberFormat="1" applyFont="1" applyFill="1" applyBorder="1" applyAlignment="1" applyProtection="1">
      <alignment vertical="center"/>
      <protection locked="0"/>
    </xf>
    <xf numFmtId="0" fontId="30" fillId="0" borderId="0" xfId="0" applyFont="1" applyProtection="1">
      <protection locked="0"/>
    </xf>
    <xf numFmtId="165" fontId="30" fillId="0" borderId="0" xfId="0" applyNumberFormat="1" applyFont="1"/>
    <xf numFmtId="0" fontId="43" fillId="2" borderId="0" xfId="0" applyFont="1" applyFill="1"/>
    <xf numFmtId="0" fontId="11" fillId="10" borderId="0" xfId="0" applyFont="1" applyFill="1" applyAlignment="1">
      <alignment horizontal="center" vertical="top" wrapText="1"/>
    </xf>
    <xf numFmtId="0" fontId="8" fillId="10" borderId="4" xfId="0" applyFont="1" applyFill="1" applyBorder="1" applyAlignment="1">
      <alignment vertical="top" wrapText="1"/>
    </xf>
    <xf numFmtId="0" fontId="8" fillId="10" borderId="0" xfId="0" applyFont="1" applyFill="1" applyAlignment="1">
      <alignment vertical="top" wrapText="1"/>
    </xf>
    <xf numFmtId="0" fontId="8" fillId="10" borderId="16" xfId="0" applyFont="1" applyFill="1" applyBorder="1" applyAlignment="1">
      <alignment vertical="top" wrapText="1"/>
    </xf>
    <xf numFmtId="0" fontId="8" fillId="10" borderId="21" xfId="0" applyFont="1" applyFill="1" applyBorder="1" applyAlignment="1">
      <alignment vertical="top" wrapText="1"/>
    </xf>
    <xf numFmtId="2" fontId="9" fillId="2" borderId="0" xfId="0" applyNumberFormat="1" applyFont="1" applyFill="1" applyAlignment="1">
      <alignment horizontal="right"/>
    </xf>
    <xf numFmtId="165" fontId="9" fillId="2" borderId="0" xfId="0" applyNumberFormat="1" applyFont="1" applyFill="1" applyAlignment="1">
      <alignment horizontal="right"/>
    </xf>
    <xf numFmtId="165" fontId="9" fillId="2" borderId="49" xfId="0" applyNumberFormat="1" applyFont="1" applyFill="1" applyBorder="1" applyAlignment="1">
      <alignment horizontal="right"/>
    </xf>
    <xf numFmtId="0" fontId="30" fillId="2" borderId="35" xfId="0" applyFont="1" applyFill="1" applyBorder="1" applyProtection="1">
      <protection locked="0"/>
    </xf>
    <xf numFmtId="0" fontId="30" fillId="2" borderId="43" xfId="0" applyFont="1" applyFill="1" applyBorder="1" applyProtection="1">
      <protection locked="0"/>
    </xf>
    <xf numFmtId="0" fontId="30" fillId="2" borderId="38" xfId="0" applyFont="1" applyFill="1" applyBorder="1" applyProtection="1">
      <protection locked="0"/>
    </xf>
    <xf numFmtId="0" fontId="10" fillId="0" borderId="13" xfId="0" applyFont="1" applyBorder="1" applyAlignment="1" applyProtection="1">
      <alignment vertical="center"/>
      <protection locked="0"/>
    </xf>
    <xf numFmtId="0" fontId="10" fillId="0" borderId="13" xfId="0" applyFont="1" applyBorder="1" applyAlignment="1">
      <alignment vertical="center"/>
    </xf>
    <xf numFmtId="0" fontId="18" fillId="0" borderId="0" xfId="0" applyFont="1" applyAlignment="1">
      <alignment horizontal="center"/>
    </xf>
    <xf numFmtId="164" fontId="8" fillId="0" borderId="0" xfId="1" applyFont="1" applyFill="1" applyBorder="1"/>
    <xf numFmtId="0" fontId="11" fillId="0" borderId="0" xfId="0" applyFont="1" applyAlignment="1">
      <alignment vertical="top" wrapText="1"/>
    </xf>
    <xf numFmtId="0" fontId="11" fillId="12" borderId="0" xfId="0" applyFont="1" applyFill="1" applyAlignment="1">
      <alignment vertical="top" wrapText="1"/>
    </xf>
    <xf numFmtId="0" fontId="11" fillId="0" borderId="4" xfId="0" applyFont="1" applyBorder="1" applyAlignment="1">
      <alignment vertical="top" wrapText="1"/>
    </xf>
    <xf numFmtId="0" fontId="11" fillId="0" borderId="4" xfId="0" applyFont="1" applyBorder="1" applyAlignment="1">
      <alignment horizontal="center" vertical="top" wrapText="1"/>
    </xf>
    <xf numFmtId="0" fontId="11" fillId="0" borderId="16" xfId="0" applyFont="1" applyBorder="1" applyAlignment="1">
      <alignment horizontal="center" vertical="top" wrapText="1"/>
    </xf>
    <xf numFmtId="0" fontId="11" fillId="10" borderId="0" xfId="0" applyFont="1" applyFill="1" applyAlignment="1">
      <alignment vertical="top" wrapText="1"/>
    </xf>
    <xf numFmtId="0" fontId="30" fillId="2" borderId="44" xfId="0" applyFont="1" applyFill="1" applyBorder="1"/>
    <xf numFmtId="0" fontId="9" fillId="2" borderId="59" xfId="0" applyFont="1" applyFill="1" applyBorder="1"/>
    <xf numFmtId="0" fontId="27" fillId="2" borderId="45" xfId="0" applyFont="1" applyFill="1" applyBorder="1" applyAlignment="1">
      <alignment horizontal="right"/>
    </xf>
    <xf numFmtId="0" fontId="18" fillId="2" borderId="49" xfId="0" applyFont="1" applyFill="1" applyBorder="1" applyAlignment="1">
      <alignment horizontal="right"/>
    </xf>
    <xf numFmtId="0" fontId="18" fillId="2" borderId="47" xfId="0" applyFont="1" applyFill="1" applyBorder="1" applyAlignment="1">
      <alignment horizontal="right"/>
    </xf>
    <xf numFmtId="0" fontId="30" fillId="2" borderId="46" xfId="0" applyFont="1" applyFill="1" applyBorder="1"/>
    <xf numFmtId="0" fontId="30" fillId="2" borderId="58" xfId="0" applyFont="1" applyFill="1" applyBorder="1"/>
    <xf numFmtId="0" fontId="30" fillId="2" borderId="47" xfId="0" applyFont="1" applyFill="1" applyBorder="1"/>
    <xf numFmtId="0" fontId="28" fillId="13" borderId="0" xfId="0" applyFont="1" applyFill="1"/>
    <xf numFmtId="0" fontId="30" fillId="13" borderId="0" xfId="0" applyFont="1" applyFill="1"/>
    <xf numFmtId="0" fontId="9" fillId="13" borderId="0" xfId="0" applyFont="1" applyFill="1"/>
    <xf numFmtId="165" fontId="30" fillId="13" borderId="0" xfId="0" applyNumberFormat="1" applyFont="1" applyFill="1"/>
    <xf numFmtId="0" fontId="10" fillId="0" borderId="70" xfId="0" applyFont="1" applyBorder="1" applyAlignment="1">
      <alignment vertical="center"/>
    </xf>
    <xf numFmtId="0" fontId="30" fillId="0" borderId="24" xfId="0" applyFont="1" applyBorder="1"/>
    <xf numFmtId="165" fontId="28" fillId="0" borderId="0" xfId="0" applyNumberFormat="1" applyFont="1"/>
    <xf numFmtId="9" fontId="0" fillId="10" borderId="1" xfId="0" applyNumberFormat="1" applyFill="1" applyBorder="1"/>
    <xf numFmtId="0" fontId="30" fillId="2" borderId="48" xfId="0" applyFont="1" applyFill="1" applyBorder="1"/>
    <xf numFmtId="0" fontId="30" fillId="2" borderId="49" xfId="0" applyFont="1" applyFill="1" applyBorder="1"/>
    <xf numFmtId="0" fontId="28" fillId="2" borderId="48" xfId="0" applyFont="1" applyFill="1" applyBorder="1" applyAlignment="1">
      <alignment horizontal="center"/>
    </xf>
    <xf numFmtId="0" fontId="8" fillId="2" borderId="58" xfId="0" applyFont="1" applyFill="1" applyBorder="1"/>
    <xf numFmtId="0" fontId="0" fillId="10" borderId="9" xfId="0" applyFill="1" applyBorder="1"/>
    <xf numFmtId="0" fontId="0" fillId="0" borderId="9" xfId="0" applyBorder="1"/>
    <xf numFmtId="9" fontId="0" fillId="0" borderId="1" xfId="0" applyNumberFormat="1" applyBorder="1"/>
    <xf numFmtId="0" fontId="12" fillId="7" borderId="1" xfId="0" applyFont="1" applyFill="1" applyBorder="1" applyAlignment="1">
      <alignment horizontal="right"/>
    </xf>
    <xf numFmtId="0" fontId="46" fillId="0" borderId="44" xfId="0" applyFont="1" applyBorder="1"/>
    <xf numFmtId="0" fontId="30" fillId="0" borderId="45" xfId="0" applyFont="1" applyBorder="1"/>
    <xf numFmtId="0" fontId="30" fillId="0" borderId="48" xfId="0" applyFont="1" applyBorder="1"/>
    <xf numFmtId="0" fontId="30" fillId="0" borderId="49" xfId="0" applyFont="1" applyBorder="1"/>
    <xf numFmtId="0" fontId="46" fillId="0" borderId="48" xfId="0" applyFont="1" applyBorder="1"/>
    <xf numFmtId="0" fontId="32" fillId="0" borderId="48" xfId="0" applyFont="1" applyBorder="1"/>
    <xf numFmtId="0" fontId="32" fillId="0" borderId="48" xfId="0" applyFont="1" applyBorder="1" applyAlignment="1">
      <alignment horizontal="right"/>
    </xf>
    <xf numFmtId="0" fontId="30" fillId="0" borderId="46" xfId="0" applyFont="1" applyBorder="1"/>
    <xf numFmtId="0" fontId="30" fillId="0" borderId="47" xfId="0" applyFont="1" applyBorder="1"/>
    <xf numFmtId="0" fontId="0" fillId="0" borderId="0" xfId="0" applyAlignment="1">
      <alignment horizontal="left" vertical="top"/>
    </xf>
    <xf numFmtId="0" fontId="11" fillId="10" borderId="4" xfId="0" applyFont="1" applyFill="1" applyBorder="1" applyAlignment="1">
      <alignment horizontal="center" vertical="top" wrapText="1"/>
    </xf>
    <xf numFmtId="0" fontId="11" fillId="10" borderId="21" xfId="0" applyFont="1" applyFill="1" applyBorder="1" applyAlignment="1">
      <alignment horizontal="center" vertical="top" wrapText="1"/>
    </xf>
    <xf numFmtId="0" fontId="11" fillId="10" borderId="48" xfId="0" applyFont="1" applyFill="1" applyBorder="1" applyAlignment="1">
      <alignment vertical="top" wrapText="1"/>
    </xf>
    <xf numFmtId="0" fontId="11" fillId="10" borderId="80" xfId="0" applyFont="1" applyFill="1" applyBorder="1" applyAlignment="1">
      <alignment vertical="top" wrapText="1"/>
    </xf>
    <xf numFmtId="0" fontId="11" fillId="10" borderId="49" xfId="0" applyFont="1" applyFill="1" applyBorder="1" applyAlignment="1">
      <alignment vertical="top" wrapText="1"/>
    </xf>
    <xf numFmtId="0" fontId="8" fillId="2" borderId="83" xfId="0" applyFont="1" applyFill="1" applyBorder="1" applyAlignment="1">
      <alignment horizontal="center"/>
    </xf>
    <xf numFmtId="0" fontId="8" fillId="2" borderId="56" xfId="0" applyFont="1" applyFill="1" applyBorder="1" applyAlignment="1">
      <alignment horizontal="center"/>
    </xf>
    <xf numFmtId="0" fontId="8" fillId="2" borderId="58" xfId="0" applyFont="1" applyFill="1" applyBorder="1" applyAlignment="1">
      <alignment horizontal="center"/>
    </xf>
    <xf numFmtId="0" fontId="8" fillId="2" borderId="73" xfId="0" applyFont="1" applyFill="1" applyBorder="1" applyAlignment="1">
      <alignment horizontal="center"/>
    </xf>
    <xf numFmtId="0" fontId="8" fillId="2" borderId="57" xfId="0" applyFont="1" applyFill="1" applyBorder="1" applyAlignment="1">
      <alignment horizontal="center"/>
    </xf>
    <xf numFmtId="0" fontId="30" fillId="0" borderId="0" xfId="0" applyFont="1" applyAlignment="1">
      <alignment horizontal="center"/>
    </xf>
    <xf numFmtId="0" fontId="11" fillId="7" borderId="0" xfId="0" applyFont="1" applyFill="1" applyAlignment="1">
      <alignment horizontal="center" vertical="top" wrapText="1"/>
    </xf>
    <xf numFmtId="0" fontId="11" fillId="0" borderId="16" xfId="0" applyFont="1" applyBorder="1" applyAlignment="1">
      <alignment vertical="top" wrapText="1"/>
    </xf>
    <xf numFmtId="0" fontId="18" fillId="2" borderId="45" xfId="0" applyFont="1" applyFill="1" applyBorder="1" applyAlignment="1">
      <alignment horizontal="center" vertical="center"/>
    </xf>
    <xf numFmtId="0" fontId="18" fillId="2" borderId="47" xfId="0" applyFont="1" applyFill="1" applyBorder="1" applyAlignment="1">
      <alignment horizontal="center" vertical="center"/>
    </xf>
    <xf numFmtId="0" fontId="35" fillId="2" borderId="84" xfId="0" applyFont="1" applyFill="1" applyBorder="1"/>
    <xf numFmtId="0" fontId="30" fillId="2" borderId="60" xfId="0" applyFont="1" applyFill="1" applyBorder="1"/>
    <xf numFmtId="0" fontId="28" fillId="2" borderId="61" xfId="0" applyFont="1" applyFill="1" applyBorder="1"/>
    <xf numFmtId="164" fontId="30" fillId="2" borderId="42" xfId="0" applyNumberFormat="1" applyFont="1" applyFill="1" applyBorder="1"/>
    <xf numFmtId="164" fontId="28" fillId="2" borderId="36" xfId="0" applyNumberFormat="1" applyFont="1" applyFill="1" applyBorder="1"/>
    <xf numFmtId="0" fontId="28" fillId="2" borderId="33" xfId="0" applyFont="1" applyFill="1" applyBorder="1" applyAlignment="1">
      <alignment horizontal="left"/>
    </xf>
    <xf numFmtId="166" fontId="30" fillId="4" borderId="31" xfId="0" applyNumberFormat="1" applyFont="1" applyFill="1" applyBorder="1" applyAlignment="1" applyProtection="1">
      <alignment horizontal="left"/>
      <protection locked="0"/>
    </xf>
    <xf numFmtId="10" fontId="30" fillId="4" borderId="0" xfId="2" applyNumberFormat="1" applyFont="1" applyFill="1" applyAlignment="1" applyProtection="1">
      <alignment horizontal="center" vertical="center"/>
      <protection locked="0"/>
    </xf>
    <xf numFmtId="44" fontId="32" fillId="4" borderId="16" xfId="0" applyNumberFormat="1" applyFont="1" applyFill="1" applyBorder="1" applyAlignment="1" applyProtection="1">
      <alignment horizontal="center"/>
      <protection locked="0"/>
    </xf>
    <xf numFmtId="0" fontId="8" fillId="9" borderId="1" xfId="0" applyFont="1" applyFill="1" applyBorder="1" applyProtection="1">
      <protection locked="0"/>
    </xf>
    <xf numFmtId="9" fontId="8" fillId="9" borderId="37" xfId="2" applyFont="1" applyFill="1" applyBorder="1" applyProtection="1">
      <protection locked="0"/>
    </xf>
    <xf numFmtId="0" fontId="12" fillId="0" borderId="0" xfId="0" applyFont="1" applyAlignment="1">
      <alignment horizontal="right"/>
    </xf>
    <xf numFmtId="14" fontId="30" fillId="0" borderId="49" xfId="0" applyNumberFormat="1" applyFont="1" applyBorder="1" applyAlignment="1" applyProtection="1">
      <alignment horizontal="right"/>
      <protection locked="0"/>
    </xf>
    <xf numFmtId="0" fontId="30" fillId="0" borderId="51" xfId="0" applyFont="1" applyBorder="1"/>
    <xf numFmtId="0" fontId="33" fillId="0" borderId="50" xfId="0" applyFont="1" applyBorder="1"/>
    <xf numFmtId="0" fontId="47" fillId="2" borderId="0" xfId="0" applyFont="1" applyFill="1"/>
    <xf numFmtId="0" fontId="30" fillId="4" borderId="0" xfId="0" applyFont="1" applyFill="1" applyAlignment="1" applyProtection="1">
      <alignment horizontal="center"/>
      <protection locked="0"/>
    </xf>
    <xf numFmtId="0" fontId="33" fillId="0" borderId="0" xfId="0" applyFont="1"/>
    <xf numFmtId="0" fontId="30" fillId="2" borderId="0" xfId="0" applyFont="1" applyFill="1" applyAlignment="1">
      <alignment wrapText="1"/>
    </xf>
    <xf numFmtId="0" fontId="49" fillId="0" borderId="0" xfId="0" applyFont="1" applyAlignment="1">
      <alignment horizontal="left" vertical="top" wrapText="1" indent="1"/>
    </xf>
    <xf numFmtId="0" fontId="48" fillId="14" borderId="0" xfId="0" applyFont="1" applyFill="1" applyAlignment="1">
      <alignment horizontal="left" vertical="top" wrapText="1" indent="1"/>
    </xf>
    <xf numFmtId="0" fontId="10" fillId="0" borderId="70" xfId="0" applyFont="1" applyBorder="1" applyAlignment="1" applyProtection="1">
      <alignment vertical="center"/>
      <protection locked="0"/>
    </xf>
    <xf numFmtId="0" fontId="10" fillId="0" borderId="0" xfId="0" applyFont="1" applyAlignment="1" applyProtection="1">
      <alignment vertical="center"/>
      <protection locked="0"/>
    </xf>
    <xf numFmtId="0" fontId="18" fillId="0" borderId="0" xfId="0" applyFont="1" applyAlignment="1">
      <alignment horizontal="center" vertical="center"/>
    </xf>
    <xf numFmtId="0" fontId="10" fillId="0" borderId="16" xfId="2" applyNumberFormat="1" applyFont="1" applyFill="1" applyBorder="1" applyAlignment="1" applyProtection="1">
      <alignment vertical="center"/>
      <protection locked="0"/>
    </xf>
    <xf numFmtId="0" fontId="10" fillId="0" borderId="4" xfId="2" applyNumberFormat="1" applyFont="1" applyFill="1" applyBorder="1" applyAlignment="1" applyProtection="1">
      <alignment vertical="center"/>
      <protection locked="0"/>
    </xf>
    <xf numFmtId="0" fontId="10" fillId="0" borderId="4" xfId="0" applyFont="1"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0" fillId="0" borderId="16" xfId="0" applyFont="1" applyBorder="1" applyAlignment="1" applyProtection="1">
      <alignment horizontal="center" vertical="center"/>
      <protection locked="0"/>
    </xf>
    <xf numFmtId="166" fontId="10" fillId="0" borderId="2" xfId="0" applyNumberFormat="1" applyFont="1" applyBorder="1" applyAlignment="1">
      <alignment horizontal="center" vertical="center"/>
    </xf>
    <xf numFmtId="166" fontId="10" fillId="0" borderId="5" xfId="0" applyNumberFormat="1" applyFont="1" applyBorder="1" applyAlignment="1">
      <alignment horizontal="center" vertical="center"/>
    </xf>
    <xf numFmtId="166" fontId="10" fillId="0" borderId="3" xfId="0" applyNumberFormat="1" applyFont="1" applyBorder="1" applyAlignment="1">
      <alignment horizontal="center" vertical="center"/>
    </xf>
    <xf numFmtId="166" fontId="10" fillId="0" borderId="0" xfId="0" applyNumberFormat="1" applyFont="1" applyAlignment="1">
      <alignment horizontal="center" vertical="center"/>
    </xf>
    <xf numFmtId="166" fontId="10" fillId="0" borderId="16" xfId="0" applyNumberFormat="1" applyFont="1" applyBorder="1" applyAlignment="1">
      <alignment horizontal="center" vertical="center"/>
    </xf>
    <xf numFmtId="165" fontId="10" fillId="0" borderId="79" xfId="0" applyNumberFormat="1" applyFont="1" applyBorder="1" applyAlignment="1">
      <alignment horizontal="center" vertical="center"/>
    </xf>
    <xf numFmtId="165" fontId="10" fillId="0" borderId="14" xfId="0" applyNumberFormat="1" applyFont="1" applyBorder="1" applyAlignment="1">
      <alignment horizontal="center" vertical="center"/>
    </xf>
    <xf numFmtId="165" fontId="10" fillId="0" borderId="69" xfId="0" applyNumberFormat="1" applyFont="1" applyBorder="1" applyAlignment="1">
      <alignment horizontal="center" vertical="center"/>
    </xf>
    <xf numFmtId="0" fontId="10" fillId="0" borderId="75" xfId="0" applyFont="1" applyBorder="1" applyAlignment="1">
      <alignment vertical="center"/>
    </xf>
    <xf numFmtId="0" fontId="10" fillId="0" borderId="77" xfId="0" applyFont="1" applyBorder="1" applyAlignment="1">
      <alignment vertical="center"/>
    </xf>
    <xf numFmtId="0" fontId="10" fillId="0" borderId="78" xfId="0" applyFont="1" applyBorder="1" applyAlignment="1">
      <alignment vertical="center"/>
    </xf>
    <xf numFmtId="0" fontId="10" fillId="0" borderId="74" xfId="0" applyFont="1" applyBorder="1" applyAlignment="1">
      <alignment vertical="center"/>
    </xf>
    <xf numFmtId="0" fontId="10" fillId="0" borderId="12" xfId="0" applyFont="1" applyBorder="1" applyAlignment="1">
      <alignment vertical="center"/>
    </xf>
    <xf numFmtId="0" fontId="10" fillId="0" borderId="30" xfId="0" applyFont="1" applyBorder="1" applyAlignment="1">
      <alignment horizontal="center" vertical="center"/>
    </xf>
    <xf numFmtId="0" fontId="10" fillId="0" borderId="12" xfId="0" applyFont="1" applyBorder="1" applyAlignment="1" applyProtection="1">
      <alignment vertical="center" wrapText="1"/>
      <protection locked="0"/>
    </xf>
    <xf numFmtId="0" fontId="38" fillId="7" borderId="50" xfId="0" applyFont="1" applyFill="1" applyBorder="1" applyAlignment="1">
      <alignment horizontal="left"/>
    </xf>
    <xf numFmtId="0" fontId="36" fillId="7" borderId="50" xfId="0" applyFont="1" applyFill="1" applyBorder="1"/>
    <xf numFmtId="0" fontId="43" fillId="2" borderId="0" xfId="0" applyFont="1" applyFill="1" applyAlignment="1">
      <alignment vertical="top" wrapText="1"/>
    </xf>
    <xf numFmtId="0" fontId="30" fillId="0" borderId="0" xfId="0" applyFont="1" applyAlignment="1" applyProtection="1">
      <alignment wrapText="1"/>
      <protection locked="0"/>
    </xf>
    <xf numFmtId="0" fontId="30" fillId="0" borderId="49" xfId="0" applyFont="1" applyBorder="1" applyAlignment="1" applyProtection="1">
      <alignment horizontal="right" wrapText="1"/>
      <protection locked="0"/>
    </xf>
    <xf numFmtId="0" fontId="30" fillId="0" borderId="49" xfId="0" applyFont="1" applyBorder="1" applyAlignment="1" applyProtection="1">
      <alignment horizontal="center" wrapText="1"/>
      <protection locked="0"/>
    </xf>
    <xf numFmtId="0" fontId="10" fillId="0" borderId="6" xfId="0" applyFont="1" applyBorder="1" applyAlignment="1" applyProtection="1">
      <alignment vertical="center" wrapText="1"/>
      <protection locked="0"/>
    </xf>
    <xf numFmtId="0" fontId="10" fillId="0" borderId="7" xfId="0" applyFont="1" applyBorder="1" applyAlignment="1" applyProtection="1">
      <alignment vertical="center" wrapText="1"/>
      <protection locked="0"/>
    </xf>
    <xf numFmtId="0" fontId="10" fillId="0" borderId="7" xfId="0" applyFont="1" applyBorder="1" applyAlignment="1">
      <alignment vertical="center" wrapText="1"/>
    </xf>
    <xf numFmtId="0" fontId="49" fillId="2" borderId="0" xfId="0" applyFont="1" applyFill="1"/>
    <xf numFmtId="9" fontId="49" fillId="2" borderId="0" xfId="2" applyFont="1" applyFill="1" applyAlignment="1">
      <alignment horizontal="left"/>
    </xf>
    <xf numFmtId="0" fontId="50" fillId="2" borderId="0" xfId="0" applyFont="1" applyFill="1"/>
    <xf numFmtId="0" fontId="31" fillId="2" borderId="0" xfId="0" applyFont="1" applyFill="1" applyAlignment="1">
      <alignment horizontal="center"/>
    </xf>
    <xf numFmtId="0" fontId="49" fillId="2" borderId="0" xfId="0" applyFont="1" applyFill="1" applyAlignment="1">
      <alignment horizontal="center"/>
    </xf>
    <xf numFmtId="0" fontId="50" fillId="2" borderId="0" xfId="0" applyFont="1" applyFill="1" applyAlignment="1">
      <alignment horizontal="center"/>
    </xf>
    <xf numFmtId="0" fontId="49" fillId="2" borderId="0" xfId="0" applyFont="1" applyFill="1" applyAlignment="1">
      <alignment horizontal="left"/>
    </xf>
    <xf numFmtId="0" fontId="35" fillId="0" borderId="0" xfId="0" applyFont="1"/>
    <xf numFmtId="0" fontId="43" fillId="2" borderId="0" xfId="0" applyFont="1" applyFill="1" applyAlignment="1">
      <alignment horizontal="left"/>
    </xf>
    <xf numFmtId="14" fontId="8" fillId="9" borderId="35" xfId="0" applyNumberFormat="1" applyFont="1" applyFill="1" applyBorder="1" applyAlignment="1" applyProtection="1">
      <alignment horizontal="right"/>
      <protection locked="0"/>
    </xf>
    <xf numFmtId="0" fontId="30" fillId="18" borderId="92" xfId="0" applyFont="1" applyFill="1" applyBorder="1"/>
    <xf numFmtId="0" fontId="30" fillId="17" borderId="92" xfId="0" applyFont="1" applyFill="1" applyBorder="1"/>
    <xf numFmtId="0" fontId="28" fillId="18" borderId="61" xfId="0" applyFont="1" applyFill="1" applyBorder="1"/>
    <xf numFmtId="0" fontId="30" fillId="17" borderId="48" xfId="0" applyFont="1" applyFill="1" applyBorder="1"/>
    <xf numFmtId="0" fontId="48" fillId="16" borderId="8" xfId="0" applyFont="1" applyFill="1" applyBorder="1"/>
    <xf numFmtId="0" fontId="48" fillId="16" borderId="95" xfId="0" applyFont="1" applyFill="1" applyBorder="1"/>
    <xf numFmtId="0" fontId="32" fillId="0" borderId="49" xfId="0" applyFont="1" applyBorder="1"/>
    <xf numFmtId="0" fontId="0" fillId="10" borderId="0" xfId="0" applyFill="1"/>
    <xf numFmtId="9" fontId="0" fillId="5" borderId="1" xfId="2" applyFont="1" applyFill="1" applyBorder="1" applyAlignment="1">
      <alignment wrapText="1"/>
    </xf>
    <xf numFmtId="0" fontId="0" fillId="5" borderId="1" xfId="0" applyFill="1" applyBorder="1" applyAlignment="1">
      <alignment wrapText="1"/>
    </xf>
    <xf numFmtId="0" fontId="55" fillId="0" borderId="0" xfId="0" applyFont="1"/>
    <xf numFmtId="0" fontId="57" fillId="0" borderId="0" xfId="0" applyFont="1" applyAlignment="1">
      <alignment horizontal="center"/>
    </xf>
    <xf numFmtId="0" fontId="56" fillId="2" borderId="0" xfId="0" applyFont="1" applyFill="1"/>
    <xf numFmtId="0" fontId="30" fillId="2" borderId="0" xfId="0" applyFont="1" applyFill="1" applyAlignment="1" applyProtection="1">
      <alignment horizontal="left"/>
      <protection locked="0"/>
    </xf>
    <xf numFmtId="0" fontId="30" fillId="2" borderId="0" xfId="0" applyFont="1" applyFill="1" applyProtection="1">
      <protection locked="0"/>
    </xf>
    <xf numFmtId="14" fontId="30" fillId="2" borderId="0" xfId="0" applyNumberFormat="1" applyFont="1" applyFill="1" applyProtection="1">
      <protection locked="0"/>
    </xf>
    <xf numFmtId="0" fontId="8" fillId="0" borderId="0" xfId="0" applyFont="1" applyAlignment="1">
      <alignment vertical="top" wrapText="1"/>
    </xf>
    <xf numFmtId="0" fontId="8" fillId="2" borderId="85" xfId="0" applyFont="1" applyFill="1" applyBorder="1" applyAlignment="1">
      <alignment horizontal="center"/>
    </xf>
    <xf numFmtId="0" fontId="8" fillId="2" borderId="86" xfId="0" applyFont="1" applyFill="1" applyBorder="1" applyAlignment="1">
      <alignment horizontal="center"/>
    </xf>
    <xf numFmtId="14" fontId="8" fillId="3" borderId="15" xfId="0" applyNumberFormat="1" applyFont="1" applyFill="1" applyBorder="1" applyAlignment="1">
      <alignment horizontal="right"/>
    </xf>
    <xf numFmtId="1" fontId="8" fillId="3" borderId="15" xfId="0" applyNumberFormat="1" applyFont="1" applyFill="1" applyBorder="1" applyAlignment="1">
      <alignment horizontal="right"/>
    </xf>
    <xf numFmtId="0" fontId="8" fillId="2" borderId="0" xfId="0" applyFont="1" applyFill="1" applyAlignment="1">
      <alignment wrapText="1"/>
    </xf>
    <xf numFmtId="0" fontId="32" fillId="0" borderId="48" xfId="0" applyFont="1" applyBorder="1" applyAlignment="1">
      <alignment horizontal="left"/>
    </xf>
    <xf numFmtId="0" fontId="29" fillId="2" borderId="0" xfId="0" applyFont="1" applyFill="1"/>
    <xf numFmtId="0" fontId="4" fillId="0" borderId="0" xfId="0" applyFont="1" applyAlignment="1">
      <alignment horizontal="left" vertical="top"/>
    </xf>
    <xf numFmtId="2" fontId="0" fillId="0" borderId="0" xfId="0" applyNumberFormat="1"/>
    <xf numFmtId="0" fontId="4" fillId="0" borderId="0" xfId="0" applyFont="1" applyAlignment="1">
      <alignment horizontal="right" vertical="top"/>
    </xf>
    <xf numFmtId="0" fontId="0" fillId="0" borderId="0" xfId="0" applyAlignment="1">
      <alignment horizontal="right" vertical="top"/>
    </xf>
    <xf numFmtId="14" fontId="0" fillId="0" borderId="0" xfId="0" applyNumberFormat="1" applyAlignment="1">
      <alignment horizontal="right" vertical="top"/>
    </xf>
    <xf numFmtId="0" fontId="58" fillId="0" borderId="0" xfId="0" applyFont="1" applyAlignment="1">
      <alignment horizontal="right" vertical="top"/>
    </xf>
    <xf numFmtId="9" fontId="0" fillId="0" borderId="0" xfId="0" applyNumberFormat="1" applyAlignment="1">
      <alignment horizontal="right" vertical="top"/>
    </xf>
    <xf numFmtId="14" fontId="8" fillId="4" borderId="1" xfId="0" applyNumberFormat="1" applyFont="1" applyFill="1" applyBorder="1" applyAlignment="1" applyProtection="1">
      <alignment horizontal="right"/>
      <protection locked="0"/>
    </xf>
    <xf numFmtId="2" fontId="0" fillId="0" borderId="0" xfId="0" applyNumberFormat="1" applyAlignment="1">
      <alignment horizontal="right" vertical="top"/>
    </xf>
    <xf numFmtId="10" fontId="0" fillId="0" borderId="0" xfId="2" applyNumberFormat="1" applyFont="1" applyBorder="1" applyAlignment="1" applyProtection="1">
      <alignment horizontal="right" vertical="top"/>
    </xf>
    <xf numFmtId="0" fontId="15" fillId="0" borderId="0" xfId="0" applyFont="1" applyAlignment="1">
      <alignment horizontal="right" vertical="top"/>
    </xf>
    <xf numFmtId="0" fontId="18" fillId="2" borderId="47" xfId="0" applyFont="1" applyFill="1" applyBorder="1" applyAlignment="1">
      <alignment horizontal="left"/>
    </xf>
    <xf numFmtId="0" fontId="59" fillId="0" borderId="0" xfId="0" applyFont="1" applyAlignment="1">
      <alignment horizontal="left" vertical="top"/>
    </xf>
    <xf numFmtId="0" fontId="0" fillId="3" borderId="0" xfId="0" applyFill="1"/>
    <xf numFmtId="2" fontId="0" fillId="3" borderId="0" xfId="0" applyNumberFormat="1" applyFill="1"/>
    <xf numFmtId="165" fontId="0" fillId="0" borderId="0" xfId="0" applyNumberFormat="1"/>
    <xf numFmtId="165" fontId="0" fillId="3" borderId="0" xfId="0" applyNumberFormat="1" applyFill="1"/>
    <xf numFmtId="0" fontId="0" fillId="3" borderId="0" xfId="0" applyFill="1" applyAlignment="1">
      <alignment horizontal="right"/>
    </xf>
    <xf numFmtId="165" fontId="0" fillId="3" borderId="0" xfId="0" applyNumberFormat="1" applyFill="1" applyAlignment="1">
      <alignment horizontal="right"/>
    </xf>
    <xf numFmtId="9" fontId="0" fillId="0" borderId="0" xfId="2" applyFont="1"/>
    <xf numFmtId="0" fontId="60" fillId="0" borderId="0" xfId="0" applyFont="1"/>
    <xf numFmtId="165" fontId="0" fillId="0" borderId="0" xfId="0" applyNumberFormat="1" applyProtection="1">
      <protection locked="0"/>
    </xf>
    <xf numFmtId="0" fontId="0" fillId="9" borderId="1" xfId="0" applyFill="1" applyBorder="1" applyProtection="1">
      <protection locked="0"/>
    </xf>
    <xf numFmtId="3" fontId="60" fillId="0" borderId="0" xfId="0" applyNumberFormat="1" applyFont="1"/>
    <xf numFmtId="165" fontId="8" fillId="4" borderId="1" xfId="0" applyNumberFormat="1" applyFont="1" applyFill="1" applyBorder="1" applyProtection="1">
      <protection locked="0"/>
    </xf>
    <xf numFmtId="0" fontId="8" fillId="4" borderId="29" xfId="0" applyFont="1" applyFill="1" applyBorder="1" applyAlignment="1" applyProtection="1">
      <alignment horizontal="left"/>
      <protection locked="0"/>
    </xf>
    <xf numFmtId="166" fontId="30" fillId="0" borderId="98" xfId="0" applyNumberFormat="1" applyFont="1" applyBorder="1" applyAlignment="1">
      <alignment horizontal="center"/>
    </xf>
    <xf numFmtId="166" fontId="30" fillId="4" borderId="99" xfId="0" applyNumberFormat="1" applyFont="1" applyFill="1" applyBorder="1" applyAlignment="1" applyProtection="1">
      <alignment horizontal="left"/>
      <protection locked="0"/>
    </xf>
    <xf numFmtId="0" fontId="9" fillId="2" borderId="44" xfId="0" applyFont="1" applyFill="1" applyBorder="1" applyAlignment="1">
      <alignment horizontal="left"/>
    </xf>
    <xf numFmtId="2" fontId="30" fillId="0" borderId="0" xfId="1" applyNumberFormat="1" applyFont="1" applyFill="1" applyBorder="1" applyAlignment="1">
      <alignment horizontal="right"/>
    </xf>
    <xf numFmtId="164" fontId="30" fillId="0" borderId="0" xfId="1" applyFont="1" applyFill="1" applyAlignment="1">
      <alignment horizontal="right"/>
    </xf>
    <xf numFmtId="0" fontId="28" fillId="0" borderId="0" xfId="0" applyFont="1" applyAlignment="1">
      <alignment horizontal="left"/>
    </xf>
    <xf numFmtId="2" fontId="30" fillId="0" borderId="0" xfId="1" applyNumberFormat="1" applyFont="1" applyFill="1" applyAlignment="1">
      <alignment horizontal="right"/>
    </xf>
    <xf numFmtId="164" fontId="28" fillId="0" borderId="0" xfId="1" applyFont="1" applyFill="1" applyAlignment="1">
      <alignment horizontal="left"/>
    </xf>
    <xf numFmtId="166" fontId="30" fillId="0" borderId="0" xfId="0" applyNumberFormat="1" applyFont="1" applyAlignment="1">
      <alignment horizontal="right"/>
    </xf>
    <xf numFmtId="166" fontId="30" fillId="0" borderId="0" xfId="1" applyNumberFormat="1" applyFont="1" applyFill="1" applyAlignment="1">
      <alignment horizontal="right"/>
    </xf>
    <xf numFmtId="164" fontId="32" fillId="7" borderId="19" xfId="2" applyNumberFormat="1" applyFont="1" applyFill="1" applyBorder="1" applyAlignment="1" applyProtection="1">
      <alignment horizontal="center"/>
      <protection locked="0"/>
    </xf>
    <xf numFmtId="0" fontId="30" fillId="0" borderId="0" xfId="0" applyFont="1" applyAlignment="1">
      <alignment horizontal="right"/>
    </xf>
    <xf numFmtId="164" fontId="30" fillId="0" borderId="0" xfId="1" applyFont="1" applyFill="1" applyBorder="1" applyAlignment="1">
      <alignment horizontal="right"/>
    </xf>
    <xf numFmtId="2" fontId="30" fillId="0" borderId="0" xfId="0" applyNumberFormat="1" applyFont="1" applyAlignment="1" applyProtection="1">
      <alignment horizontal="right"/>
      <protection locked="0"/>
    </xf>
    <xf numFmtId="2" fontId="28" fillId="0" borderId="0" xfId="1" applyNumberFormat="1" applyFont="1" applyFill="1" applyBorder="1" applyAlignment="1">
      <alignment horizontal="right"/>
    </xf>
    <xf numFmtId="168" fontId="30" fillId="0" borderId="0" xfId="2" applyNumberFormat="1" applyFont="1" applyFill="1" applyAlignment="1" applyProtection="1">
      <alignment horizontal="center" vertical="center"/>
      <protection locked="0"/>
    </xf>
    <xf numFmtId="165" fontId="15" fillId="0" borderId="0" xfId="0" applyNumberFormat="1" applyFont="1" applyAlignment="1">
      <alignment horizontal="right" vertical="top"/>
    </xf>
    <xf numFmtId="0" fontId="15" fillId="0" borderId="0" xfId="0" applyFont="1" applyAlignment="1">
      <alignment horizontal="left" vertical="top"/>
    </xf>
    <xf numFmtId="0" fontId="9" fillId="2" borderId="45" xfId="0" applyFont="1" applyFill="1" applyBorder="1"/>
    <xf numFmtId="0" fontId="9" fillId="2" borderId="59" xfId="0" applyFont="1" applyFill="1" applyBorder="1" applyAlignment="1">
      <alignment horizontal="left"/>
    </xf>
    <xf numFmtId="170" fontId="8" fillId="9" borderId="1" xfId="0" applyNumberFormat="1" applyFont="1" applyFill="1" applyBorder="1" applyAlignment="1" applyProtection="1">
      <alignment horizontal="right"/>
      <protection locked="0"/>
    </xf>
    <xf numFmtId="165" fontId="30" fillId="2" borderId="49" xfId="0" applyNumberFormat="1" applyFont="1" applyFill="1" applyBorder="1"/>
    <xf numFmtId="0" fontId="28" fillId="0" borderId="0" xfId="0" applyFont="1" applyAlignment="1">
      <alignment horizontal="center"/>
    </xf>
    <xf numFmtId="1" fontId="0" fillId="3" borderId="0" xfId="0" applyNumberFormat="1" applyFill="1"/>
    <xf numFmtId="0" fontId="61" fillId="2" borderId="0" xfId="0" applyFont="1" applyFill="1"/>
    <xf numFmtId="0" fontId="48" fillId="2" borderId="0" xfId="0" applyFont="1" applyFill="1"/>
    <xf numFmtId="9" fontId="10" fillId="0" borderId="6" xfId="2" applyFont="1" applyFill="1" applyBorder="1" applyAlignment="1" applyProtection="1">
      <alignment vertical="center"/>
      <protection locked="0"/>
    </xf>
    <xf numFmtId="9" fontId="10" fillId="0" borderId="7" xfId="2" applyFont="1" applyFill="1" applyBorder="1" applyAlignment="1" applyProtection="1">
      <alignment vertical="center"/>
      <protection locked="0"/>
    </xf>
    <xf numFmtId="165" fontId="10" fillId="0" borderId="6" xfId="1" applyNumberFormat="1" applyFont="1" applyFill="1" applyBorder="1" applyAlignment="1" applyProtection="1">
      <alignment vertical="center"/>
    </xf>
    <xf numFmtId="165" fontId="10" fillId="0" borderId="7" xfId="1" applyNumberFormat="1" applyFont="1" applyFill="1" applyBorder="1" applyAlignment="1" applyProtection="1">
      <alignment vertical="center"/>
    </xf>
    <xf numFmtId="0" fontId="8" fillId="6" borderId="0" xfId="0" applyFont="1" applyFill="1" applyAlignment="1" applyProtection="1">
      <alignment horizontal="right"/>
      <protection locked="0"/>
    </xf>
    <xf numFmtId="0" fontId="8" fillId="6" borderId="58" xfId="0" applyFont="1" applyFill="1" applyBorder="1" applyAlignment="1" applyProtection="1">
      <alignment horizontal="right"/>
      <protection locked="0"/>
    </xf>
    <xf numFmtId="0" fontId="8" fillId="19" borderId="0" xfId="0" applyFont="1" applyFill="1"/>
    <xf numFmtId="2" fontId="23" fillId="19" borderId="0" xfId="0" applyNumberFormat="1" applyFont="1" applyFill="1"/>
    <xf numFmtId="0" fontId="4" fillId="0" borderId="0" xfId="0" applyFont="1"/>
    <xf numFmtId="0" fontId="65" fillId="0" borderId="0" xfId="0" applyFont="1"/>
    <xf numFmtId="164" fontId="0" fillId="0" borderId="0" xfId="0" applyNumberFormat="1"/>
    <xf numFmtId="10" fontId="12" fillId="0" borderId="0" xfId="0" applyNumberFormat="1" applyFont="1"/>
    <xf numFmtId="0" fontId="30" fillId="2" borderId="100" xfId="0" applyFont="1" applyFill="1" applyBorder="1"/>
    <xf numFmtId="0" fontId="0" fillId="0" borderId="101" xfId="0" applyBorder="1"/>
    <xf numFmtId="0" fontId="8" fillId="8" borderId="0" xfId="0" applyFont="1" applyFill="1"/>
    <xf numFmtId="0" fontId="8" fillId="8" borderId="0" xfId="0" applyFont="1" applyFill="1" applyAlignment="1">
      <alignment vertical="top"/>
    </xf>
    <xf numFmtId="1" fontId="8" fillId="3" borderId="0" xfId="0" applyNumberFormat="1" applyFont="1" applyFill="1" applyAlignment="1">
      <alignment horizontal="right"/>
    </xf>
    <xf numFmtId="0" fontId="8" fillId="3" borderId="0" xfId="0" applyFont="1" applyFill="1"/>
    <xf numFmtId="0" fontId="4" fillId="9" borderId="0" xfId="0" applyFont="1" applyFill="1" applyAlignment="1">
      <alignment wrapText="1"/>
    </xf>
    <xf numFmtId="0" fontId="0" fillId="9" borderId="0" xfId="0" applyFill="1"/>
    <xf numFmtId="0" fontId="15" fillId="9" borderId="0" xfId="0" applyFont="1" applyFill="1"/>
    <xf numFmtId="0" fontId="0" fillId="9" borderId="0" xfId="0" applyFill="1" applyAlignment="1">
      <alignment wrapText="1"/>
    </xf>
    <xf numFmtId="0" fontId="26" fillId="9" borderId="0" xfId="0" applyFont="1" applyFill="1" applyAlignment="1" applyProtection="1">
      <alignment wrapText="1"/>
      <protection hidden="1"/>
    </xf>
    <xf numFmtId="0" fontId="26" fillId="9" borderId="0" xfId="0" applyFont="1" applyFill="1" applyAlignment="1">
      <alignment wrapText="1"/>
    </xf>
    <xf numFmtId="0" fontId="12" fillId="9" borderId="0" xfId="0" applyFont="1" applyFill="1"/>
    <xf numFmtId="164" fontId="12" fillId="9" borderId="0" xfId="1" applyFont="1" applyFill="1" applyProtection="1">
      <protection hidden="1"/>
    </xf>
    <xf numFmtId="164" fontId="12" fillId="9" borderId="0" xfId="1" applyFont="1" applyFill="1" applyBorder="1" applyProtection="1">
      <protection hidden="1"/>
    </xf>
    <xf numFmtId="0" fontId="30" fillId="0" borderId="0" xfId="0" applyFont="1" applyAlignment="1">
      <alignment horizontal="left"/>
    </xf>
    <xf numFmtId="0" fontId="16" fillId="2" borderId="0" xfId="0" applyFont="1" applyFill="1" applyAlignment="1">
      <alignment horizontal="left"/>
    </xf>
    <xf numFmtId="0" fontId="47" fillId="2" borderId="0" xfId="0" applyFont="1" applyFill="1" applyAlignment="1">
      <alignment horizontal="left"/>
    </xf>
    <xf numFmtId="0" fontId="30" fillId="2" borderId="0" xfId="0" applyFont="1" applyFill="1" applyAlignment="1" applyProtection="1">
      <alignment horizontal="left"/>
      <protection hidden="1"/>
    </xf>
    <xf numFmtId="0" fontId="30" fillId="2" borderId="25" xfId="0" applyFont="1" applyFill="1" applyBorder="1" applyAlignment="1" applyProtection="1">
      <alignment horizontal="left"/>
      <protection hidden="1"/>
    </xf>
    <xf numFmtId="0" fontId="35" fillId="2" borderId="0" xfId="0" applyFont="1" applyFill="1" applyAlignment="1">
      <alignment horizontal="left"/>
    </xf>
    <xf numFmtId="0" fontId="30" fillId="2" borderId="25" xfId="0" applyFont="1" applyFill="1" applyBorder="1" applyAlignment="1">
      <alignment horizontal="left"/>
    </xf>
    <xf numFmtId="0" fontId="28" fillId="2" borderId="25" xfId="0" applyFont="1" applyFill="1" applyBorder="1" applyAlignment="1">
      <alignment horizontal="left"/>
    </xf>
    <xf numFmtId="0" fontId="30" fillId="2" borderId="26" xfId="0" applyFont="1" applyFill="1" applyBorder="1" applyAlignment="1">
      <alignment horizontal="left"/>
    </xf>
    <xf numFmtId="0" fontId="43" fillId="2" borderId="0" xfId="0" applyFont="1" applyFill="1" applyAlignment="1">
      <alignment horizontal="right"/>
    </xf>
    <xf numFmtId="164" fontId="43" fillId="2" borderId="0" xfId="1" applyFont="1" applyFill="1" applyAlignment="1">
      <alignment horizontal="right"/>
    </xf>
    <xf numFmtId="164" fontId="43" fillId="2" borderId="0" xfId="1" applyFont="1" applyFill="1" applyBorder="1" applyAlignment="1">
      <alignment horizontal="right"/>
    </xf>
    <xf numFmtId="164" fontId="43" fillId="0" borderId="0" xfId="1" applyFont="1" applyFill="1" applyAlignment="1">
      <alignment horizontal="right"/>
    </xf>
    <xf numFmtId="164" fontId="43" fillId="2" borderId="0" xfId="0" applyNumberFormat="1" applyFont="1" applyFill="1" applyAlignment="1">
      <alignment horizontal="right"/>
    </xf>
    <xf numFmtId="0" fontId="68" fillId="2" borderId="0" xfId="0" applyFont="1" applyFill="1"/>
    <xf numFmtId="0" fontId="67" fillId="2" borderId="0" xfId="0" applyFont="1" applyFill="1"/>
    <xf numFmtId="2" fontId="12" fillId="0" borderId="0" xfId="1" applyNumberFormat="1" applyFont="1" applyFill="1" applyProtection="1">
      <protection hidden="1"/>
    </xf>
    <xf numFmtId="2" fontId="12" fillId="5" borderId="1" xfId="0" applyNumberFormat="1" applyFont="1" applyFill="1" applyBorder="1" applyProtection="1">
      <protection hidden="1"/>
    </xf>
    <xf numFmtId="0" fontId="4" fillId="9" borderId="0" xfId="0" applyFont="1" applyFill="1" applyAlignment="1">
      <alignment horizontal="left" wrapText="1"/>
    </xf>
    <xf numFmtId="0" fontId="0" fillId="9" borderId="0" xfId="0" applyFill="1" applyAlignment="1">
      <alignment horizontal="left" wrapText="1"/>
    </xf>
    <xf numFmtId="0" fontId="0" fillId="9" borderId="0" xfId="0" applyFill="1" applyAlignment="1">
      <alignment horizontal="left"/>
    </xf>
    <xf numFmtId="9" fontId="0" fillId="9" borderId="0" xfId="0" applyNumberFormat="1" applyFill="1"/>
    <xf numFmtId="0" fontId="14" fillId="9" borderId="0" xfId="0" applyFont="1" applyFill="1" applyAlignment="1">
      <alignment wrapText="1"/>
    </xf>
    <xf numFmtId="0" fontId="14" fillId="9" borderId="0" xfId="0" applyFont="1" applyFill="1"/>
    <xf numFmtId="171" fontId="30" fillId="2" borderId="0" xfId="0" applyNumberFormat="1" applyFont="1" applyFill="1"/>
    <xf numFmtId="172" fontId="30" fillId="2" borderId="0" xfId="0" applyNumberFormat="1" applyFont="1" applyFill="1"/>
    <xf numFmtId="173" fontId="30" fillId="2" borderId="0" xfId="0" applyNumberFormat="1" applyFont="1" applyFill="1"/>
    <xf numFmtId="174" fontId="30" fillId="2" borderId="0" xfId="0" applyNumberFormat="1" applyFont="1" applyFill="1"/>
    <xf numFmtId="0" fontId="0" fillId="21" borderId="102" xfId="0" applyFill="1" applyBorder="1"/>
    <xf numFmtId="0" fontId="66" fillId="20" borderId="103" xfId="0" applyFont="1" applyFill="1" applyBorder="1"/>
    <xf numFmtId="0" fontId="0" fillId="0" borderId="104" xfId="0" applyBorder="1"/>
    <xf numFmtId="0" fontId="30" fillId="22" borderId="1" xfId="0" applyFont="1" applyFill="1" applyBorder="1"/>
    <xf numFmtId="0" fontId="63" fillId="2" borderId="0" xfId="0" applyFont="1" applyFill="1" applyAlignment="1">
      <alignment horizontal="left" indent="1"/>
    </xf>
    <xf numFmtId="0" fontId="63" fillId="0" borderId="0" xfId="0" applyFont="1" applyAlignment="1">
      <alignment horizontal="left" indent="1"/>
    </xf>
    <xf numFmtId="0" fontId="4" fillId="15" borderId="0" xfId="0" applyFont="1" applyFill="1" applyAlignment="1">
      <alignment wrapText="1"/>
    </xf>
    <xf numFmtId="0" fontId="0" fillId="15" borderId="0" xfId="0" applyFill="1"/>
    <xf numFmtId="0" fontId="0" fillId="15" borderId="0" xfId="0" applyFill="1" applyAlignment="1">
      <alignment wrapText="1"/>
    </xf>
    <xf numFmtId="0" fontId="0" fillId="6" borderId="1" xfId="0" applyFill="1" applyBorder="1"/>
    <xf numFmtId="0" fontId="17" fillId="2" borderId="0" xfId="0" applyFont="1" applyFill="1" applyAlignment="1">
      <alignment vertical="center" wrapText="1"/>
    </xf>
    <xf numFmtId="0" fontId="17" fillId="2" borderId="0" xfId="0" applyFont="1" applyFill="1" applyAlignment="1">
      <alignment vertical="center"/>
    </xf>
    <xf numFmtId="1" fontId="8" fillId="5" borderId="37" xfId="0" applyNumberFormat="1" applyFont="1" applyFill="1" applyBorder="1" applyAlignment="1" applyProtection="1">
      <alignment horizontal="right"/>
      <protection locked="0"/>
    </xf>
    <xf numFmtId="0" fontId="30" fillId="23" borderId="1" xfId="0" applyFont="1" applyFill="1" applyBorder="1"/>
    <xf numFmtId="0" fontId="48" fillId="24" borderId="1" xfId="0" applyFont="1" applyFill="1" applyBorder="1"/>
    <xf numFmtId="0" fontId="48" fillId="24" borderId="1" xfId="0" applyFont="1" applyFill="1" applyBorder="1" applyAlignment="1">
      <alignment horizontal="right"/>
    </xf>
    <xf numFmtId="165" fontId="0" fillId="6" borderId="1" xfId="0" applyNumberFormat="1" applyFill="1" applyBorder="1"/>
    <xf numFmtId="2" fontId="30" fillId="23" borderId="1" xfId="0" applyNumberFormat="1" applyFont="1" applyFill="1" applyBorder="1" applyAlignment="1">
      <alignment horizontal="right"/>
    </xf>
    <xf numFmtId="165" fontId="30" fillId="17" borderId="105" xfId="0" applyNumberFormat="1" applyFont="1" applyFill="1" applyBorder="1" applyAlignment="1">
      <alignment horizontal="left"/>
    </xf>
    <xf numFmtId="165" fontId="30" fillId="17" borderId="106" xfId="0" applyNumberFormat="1" applyFont="1" applyFill="1" applyBorder="1" applyAlignment="1">
      <alignment horizontal="left"/>
    </xf>
    <xf numFmtId="170" fontId="8" fillId="2" borderId="58" xfId="0" applyNumberFormat="1" applyFont="1" applyFill="1" applyBorder="1" applyAlignment="1">
      <alignment horizontal="right"/>
    </xf>
    <xf numFmtId="170" fontId="8" fillId="9" borderId="37" xfId="0" applyNumberFormat="1" applyFont="1" applyFill="1" applyBorder="1" applyAlignment="1" applyProtection="1">
      <alignment horizontal="right"/>
      <protection locked="0"/>
    </xf>
    <xf numFmtId="9" fontId="8" fillId="2" borderId="58" xfId="0" applyNumberFormat="1" applyFont="1" applyFill="1" applyBorder="1" applyAlignment="1">
      <alignment horizontal="right"/>
    </xf>
    <xf numFmtId="165" fontId="30" fillId="2" borderId="58" xfId="0" applyNumberFormat="1" applyFont="1" applyFill="1" applyBorder="1"/>
    <xf numFmtId="165" fontId="30" fillId="2" borderId="47" xfId="0" applyNumberFormat="1" applyFont="1" applyFill="1" applyBorder="1"/>
    <xf numFmtId="0" fontId="5" fillId="0" borderId="0" xfId="565"/>
    <xf numFmtId="14" fontId="18" fillId="2" borderId="0" xfId="0" applyNumberFormat="1" applyFont="1" applyFill="1" applyAlignment="1">
      <alignment horizontal="center"/>
    </xf>
    <xf numFmtId="167" fontId="18" fillId="2" borderId="0" xfId="0" applyNumberFormat="1" applyFont="1" applyFill="1" applyAlignment="1">
      <alignment horizontal="center"/>
    </xf>
    <xf numFmtId="167" fontId="30" fillId="2" borderId="0" xfId="0" applyNumberFormat="1" applyFont="1" applyFill="1" applyAlignment="1">
      <alignment horizontal="left" vertical="top" wrapText="1" indent="1"/>
    </xf>
    <xf numFmtId="1" fontId="0" fillId="3" borderId="1" xfId="0" applyNumberFormat="1" applyFill="1" applyBorder="1" applyAlignment="1">
      <alignment horizontal="right"/>
    </xf>
    <xf numFmtId="0" fontId="4" fillId="15" borderId="0" xfId="0" applyFont="1" applyFill="1"/>
    <xf numFmtId="0" fontId="30" fillId="22" borderId="1" xfId="0" applyFont="1" applyFill="1" applyBorder="1" applyAlignment="1">
      <alignment horizontal="right"/>
    </xf>
    <xf numFmtId="167" fontId="28" fillId="22" borderId="1" xfId="0" applyNumberFormat="1" applyFont="1" applyFill="1" applyBorder="1" applyAlignment="1">
      <alignment horizontal="right"/>
    </xf>
    <xf numFmtId="167" fontId="30" fillId="18" borderId="89" xfId="0" applyNumberFormat="1" applyFont="1" applyFill="1" applyBorder="1" applyAlignment="1">
      <alignment horizontal="right"/>
    </xf>
    <xf numFmtId="167" fontId="30" fillId="17" borderId="94" xfId="0" applyNumberFormat="1" applyFont="1" applyFill="1" applyBorder="1" applyAlignment="1">
      <alignment horizontal="right"/>
    </xf>
    <xf numFmtId="167" fontId="30" fillId="17" borderId="89" xfId="0" applyNumberFormat="1" applyFont="1" applyFill="1" applyBorder="1" applyAlignment="1">
      <alignment horizontal="right"/>
    </xf>
    <xf numFmtId="167" fontId="28" fillId="18" borderId="93" xfId="0" applyNumberFormat="1" applyFont="1" applyFill="1" applyBorder="1" applyAlignment="1">
      <alignment horizontal="right"/>
    </xf>
    <xf numFmtId="165" fontId="30" fillId="18" borderId="89" xfId="0" applyNumberFormat="1" applyFont="1" applyFill="1" applyBorder="1" applyAlignment="1">
      <alignment horizontal="right"/>
    </xf>
    <xf numFmtId="165" fontId="30" fillId="17" borderId="94" xfId="0" applyNumberFormat="1" applyFont="1" applyFill="1" applyBorder="1" applyAlignment="1">
      <alignment horizontal="right"/>
    </xf>
    <xf numFmtId="165" fontId="30" fillId="17" borderId="89" xfId="0" applyNumberFormat="1" applyFont="1" applyFill="1" applyBorder="1" applyAlignment="1">
      <alignment horizontal="right"/>
    </xf>
    <xf numFmtId="165" fontId="28" fillId="18" borderId="93" xfId="0" applyNumberFormat="1" applyFont="1" applyFill="1" applyBorder="1" applyAlignment="1">
      <alignment horizontal="right"/>
    </xf>
    <xf numFmtId="170" fontId="30" fillId="23" borderId="1" xfId="0" applyNumberFormat="1" applyFont="1" applyFill="1" applyBorder="1" applyAlignment="1">
      <alignment horizontal="right"/>
    </xf>
    <xf numFmtId="9" fontId="30" fillId="23" borderId="1" xfId="2" applyFont="1" applyFill="1" applyBorder="1" applyAlignment="1">
      <alignment horizontal="right"/>
    </xf>
    <xf numFmtId="175" fontId="30" fillId="22" borderId="1" xfId="0" applyNumberFormat="1" applyFont="1" applyFill="1" applyBorder="1" applyAlignment="1">
      <alignment horizontal="right"/>
    </xf>
    <xf numFmtId="0" fontId="35" fillId="2" borderId="0" xfId="0" applyFont="1" applyFill="1" applyAlignment="1">
      <alignment horizontal="right"/>
    </xf>
    <xf numFmtId="165" fontId="43" fillId="0" borderId="0" xfId="0" applyNumberFormat="1" applyFont="1" applyAlignment="1">
      <alignment horizontal="right"/>
    </xf>
    <xf numFmtId="165" fontId="30" fillId="2" borderId="0" xfId="0" applyNumberFormat="1" applyFont="1" applyFill="1" applyAlignment="1">
      <alignment horizontal="right"/>
    </xf>
    <xf numFmtId="165" fontId="28" fillId="2" borderId="0" xfId="0" applyNumberFormat="1" applyFont="1" applyFill="1"/>
    <xf numFmtId="176" fontId="30" fillId="2" borderId="0" xfId="0" applyNumberFormat="1" applyFont="1" applyFill="1" applyAlignment="1">
      <alignment horizontal="right"/>
    </xf>
    <xf numFmtId="177" fontId="30" fillId="2" borderId="0" xfId="0" applyNumberFormat="1" applyFont="1" applyFill="1" applyAlignment="1">
      <alignment horizontal="right"/>
    </xf>
    <xf numFmtId="167" fontId="30" fillId="2" borderId="0" xfId="0" applyNumberFormat="1" applyFont="1" applyFill="1" applyAlignment="1">
      <alignment horizontal="right"/>
    </xf>
    <xf numFmtId="167" fontId="28" fillId="2" borderId="0" xfId="0" applyNumberFormat="1" applyFont="1" applyFill="1" applyAlignment="1">
      <alignment horizontal="left"/>
    </xf>
    <xf numFmtId="167" fontId="30" fillId="2" borderId="0" xfId="1" applyNumberFormat="1" applyFont="1" applyFill="1" applyAlignment="1">
      <alignment horizontal="right"/>
    </xf>
    <xf numFmtId="167" fontId="30" fillId="2" borderId="25" xfId="1" applyNumberFormat="1" applyFont="1" applyFill="1" applyBorder="1" applyAlignment="1">
      <alignment horizontal="right"/>
    </xf>
    <xf numFmtId="167" fontId="43" fillId="2" borderId="0" xfId="1" applyNumberFormat="1" applyFont="1" applyFill="1" applyAlignment="1">
      <alignment horizontal="right"/>
    </xf>
    <xf numFmtId="167" fontId="28" fillId="2" borderId="0" xfId="1" applyNumberFormat="1" applyFont="1" applyFill="1" applyAlignment="1">
      <alignment horizontal="left"/>
    </xf>
    <xf numFmtId="167" fontId="30" fillId="2" borderId="25" xfId="0" applyNumberFormat="1" applyFont="1" applyFill="1" applyBorder="1" applyAlignment="1">
      <alignment horizontal="right"/>
    </xf>
    <xf numFmtId="167" fontId="30" fillId="2" borderId="0" xfId="1" applyNumberFormat="1" applyFont="1" applyFill="1" applyBorder="1" applyAlignment="1">
      <alignment horizontal="right"/>
    </xf>
    <xf numFmtId="167" fontId="30" fillId="4" borderId="0" xfId="0" applyNumberFormat="1" applyFont="1" applyFill="1" applyAlignment="1" applyProtection="1">
      <alignment horizontal="right"/>
      <protection locked="0"/>
    </xf>
    <xf numFmtId="167" fontId="30" fillId="0" borderId="0" xfId="0" applyNumberFormat="1" applyFont="1" applyAlignment="1">
      <alignment horizontal="center"/>
    </xf>
    <xf numFmtId="167" fontId="28" fillId="2" borderId="32" xfId="1" applyNumberFormat="1" applyFont="1" applyFill="1" applyBorder="1" applyAlignment="1">
      <alignment horizontal="right"/>
    </xf>
    <xf numFmtId="177" fontId="28" fillId="2" borderId="0" xfId="0" applyNumberFormat="1" applyFont="1" applyFill="1" applyAlignment="1">
      <alignment horizontal="right"/>
    </xf>
    <xf numFmtId="9" fontId="28" fillId="2" borderId="0" xfId="0" applyNumberFormat="1" applyFont="1" applyFill="1"/>
    <xf numFmtId="170" fontId="8" fillId="2" borderId="59" xfId="0" applyNumberFormat="1" applyFont="1" applyFill="1" applyBorder="1" applyAlignment="1">
      <alignment horizontal="right"/>
    </xf>
    <xf numFmtId="170" fontId="8" fillId="9" borderId="34" xfId="0" applyNumberFormat="1" applyFont="1" applyFill="1" applyBorder="1" applyAlignment="1" applyProtection="1">
      <alignment horizontal="right"/>
      <protection locked="0"/>
    </xf>
    <xf numFmtId="9" fontId="8" fillId="2" borderId="59" xfId="0" applyNumberFormat="1" applyFont="1" applyFill="1" applyBorder="1" applyAlignment="1">
      <alignment horizontal="right"/>
    </xf>
    <xf numFmtId="165" fontId="30" fillId="2" borderId="59" xfId="0" applyNumberFormat="1" applyFont="1" applyFill="1" applyBorder="1"/>
    <xf numFmtId="165" fontId="30" fillId="2" borderId="45" xfId="0" applyNumberFormat="1" applyFont="1" applyFill="1" applyBorder="1"/>
    <xf numFmtId="0" fontId="8" fillId="25" borderId="0" xfId="0" applyFont="1" applyFill="1" applyAlignment="1">
      <alignment horizontal="left"/>
    </xf>
    <xf numFmtId="0" fontId="8" fillId="6" borderId="0" xfId="0" applyFont="1" applyFill="1" applyAlignment="1" applyProtection="1">
      <alignment horizontal="left"/>
      <protection locked="0"/>
    </xf>
    <xf numFmtId="0" fontId="8" fillId="5" borderId="0" xfId="0" applyFont="1" applyFill="1" applyAlignment="1" applyProtection="1">
      <alignment horizontal="left"/>
      <protection locked="0"/>
    </xf>
    <xf numFmtId="0" fontId="8" fillId="4" borderId="1" xfId="0" applyFont="1" applyFill="1" applyBorder="1" applyAlignment="1" applyProtection="1">
      <alignment horizontal="right"/>
      <protection locked="0"/>
    </xf>
    <xf numFmtId="0" fontId="8" fillId="5" borderId="1" xfId="0" applyFont="1" applyFill="1" applyBorder="1" applyAlignment="1" applyProtection="1">
      <alignment horizontal="right"/>
      <protection locked="0"/>
    </xf>
    <xf numFmtId="0" fontId="8" fillId="4" borderId="37" xfId="0" applyFont="1" applyFill="1" applyBorder="1" applyAlignment="1" applyProtection="1">
      <alignment horizontal="right"/>
      <protection locked="0"/>
    </xf>
    <xf numFmtId="0" fontId="23" fillId="7" borderId="38" xfId="0" applyFont="1" applyFill="1" applyBorder="1" applyAlignment="1" applyProtection="1">
      <alignment horizontal="right"/>
      <protection locked="0"/>
    </xf>
    <xf numFmtId="0" fontId="30" fillId="3" borderId="48" xfId="0" applyFont="1" applyFill="1" applyBorder="1"/>
    <xf numFmtId="44" fontId="30" fillId="3" borderId="0" xfId="0" applyNumberFormat="1" applyFont="1" applyFill="1"/>
    <xf numFmtId="44" fontId="30" fillId="3" borderId="49" xfId="0" applyNumberFormat="1" applyFont="1" applyFill="1" applyBorder="1"/>
    <xf numFmtId="0" fontId="30" fillId="3" borderId="61" xfId="0" applyFont="1" applyFill="1" applyBorder="1"/>
    <xf numFmtId="44" fontId="30" fillId="3" borderId="62" xfId="0" applyNumberFormat="1" applyFont="1" applyFill="1" applyBorder="1"/>
    <xf numFmtId="9" fontId="33" fillId="3" borderId="59" xfId="2" applyFont="1" applyFill="1" applyBorder="1" applyAlignment="1">
      <alignment horizontal="right"/>
    </xf>
    <xf numFmtId="167" fontId="30" fillId="3" borderId="0" xfId="2" applyNumberFormat="1" applyFont="1" applyFill="1" applyBorder="1" applyAlignment="1">
      <alignment horizontal="right"/>
    </xf>
    <xf numFmtId="167" fontId="30" fillId="3" borderId="25" xfId="2" applyNumberFormat="1" applyFont="1" applyFill="1" applyBorder="1" applyAlignment="1">
      <alignment horizontal="right"/>
    </xf>
    <xf numFmtId="167" fontId="30" fillId="3" borderId="25" xfId="0" applyNumberFormat="1" applyFont="1" applyFill="1" applyBorder="1"/>
    <xf numFmtId="0" fontId="33" fillId="3" borderId="59" xfId="0" applyFont="1" applyFill="1" applyBorder="1" applyAlignment="1">
      <alignment horizontal="right"/>
    </xf>
    <xf numFmtId="0" fontId="33" fillId="3" borderId="45" xfId="0" applyFont="1" applyFill="1" applyBorder="1" applyAlignment="1">
      <alignment horizontal="right"/>
    </xf>
    <xf numFmtId="167" fontId="30" fillId="3" borderId="0" xfId="0" applyNumberFormat="1" applyFont="1" applyFill="1"/>
    <xf numFmtId="165" fontId="30" fillId="3" borderId="0" xfId="0" applyNumberFormat="1" applyFont="1" applyFill="1"/>
    <xf numFmtId="165" fontId="30" fillId="3" borderId="49" xfId="0" applyNumberFormat="1" applyFont="1" applyFill="1" applyBorder="1"/>
    <xf numFmtId="165" fontId="30" fillId="3" borderId="62" xfId="0" applyNumberFormat="1" applyFont="1" applyFill="1" applyBorder="1"/>
    <xf numFmtId="0" fontId="30" fillId="0" borderId="49" xfId="0" applyFont="1" applyBorder="1" applyAlignment="1">
      <alignment horizontal="center"/>
    </xf>
    <xf numFmtId="0" fontId="10" fillId="0" borderId="0" xfId="0" applyFont="1" applyAlignment="1">
      <alignment horizontal="left" vertical="center"/>
    </xf>
    <xf numFmtId="0" fontId="0" fillId="2" borderId="0" xfId="0" applyFill="1" applyAlignment="1">
      <alignment vertical="top"/>
    </xf>
    <xf numFmtId="1" fontId="0" fillId="3" borderId="0" xfId="0" applyNumberFormat="1" applyFill="1" applyAlignment="1">
      <alignment horizontal="right"/>
    </xf>
    <xf numFmtId="0" fontId="4" fillId="26" borderId="48" xfId="0" applyFont="1" applyFill="1" applyBorder="1"/>
    <xf numFmtId="0" fontId="4" fillId="26" borderId="0" xfId="0" applyFont="1" applyFill="1"/>
    <xf numFmtId="0" fontId="4" fillId="26" borderId="46" xfId="0" applyFont="1" applyFill="1" applyBorder="1"/>
    <xf numFmtId="0" fontId="4" fillId="26" borderId="58" xfId="0" applyFont="1" applyFill="1" applyBorder="1"/>
    <xf numFmtId="0" fontId="4" fillId="26" borderId="50" xfId="0" applyFont="1" applyFill="1" applyBorder="1"/>
    <xf numFmtId="0" fontId="4" fillId="26" borderId="64" xfId="0" applyFont="1" applyFill="1" applyBorder="1"/>
    <xf numFmtId="0" fontId="0" fillId="0" borderId="59" xfId="0" applyBorder="1"/>
    <xf numFmtId="0" fontId="0" fillId="0" borderId="58" xfId="0" applyBorder="1"/>
    <xf numFmtId="0" fontId="15" fillId="0" borderId="0" xfId="0" applyFont="1"/>
    <xf numFmtId="0" fontId="0" fillId="26" borderId="0" xfId="0" applyFill="1"/>
    <xf numFmtId="0" fontId="0" fillId="26" borderId="64" xfId="0" applyFill="1" applyBorder="1"/>
    <xf numFmtId="0" fontId="65" fillId="0" borderId="0" xfId="0" applyFont="1" applyAlignment="1">
      <alignment wrapText="1"/>
    </xf>
    <xf numFmtId="0" fontId="0" fillId="26" borderId="50" xfId="0" applyFill="1" applyBorder="1"/>
    <xf numFmtId="0" fontId="0" fillId="26" borderId="44" xfId="0" applyFill="1" applyBorder="1"/>
    <xf numFmtId="0" fontId="0" fillId="26" borderId="59" xfId="0" applyFill="1" applyBorder="1"/>
    <xf numFmtId="0" fontId="0" fillId="26" borderId="51" xfId="0" applyFill="1" applyBorder="1"/>
    <xf numFmtId="0" fontId="0" fillId="26" borderId="48" xfId="0" applyFill="1" applyBorder="1"/>
    <xf numFmtId="0" fontId="0" fillId="26" borderId="49" xfId="0" applyFill="1" applyBorder="1"/>
    <xf numFmtId="0" fontId="0" fillId="26" borderId="45" xfId="0" applyFill="1" applyBorder="1"/>
    <xf numFmtId="0" fontId="4" fillId="26" borderId="49" xfId="0" applyFont="1" applyFill="1" applyBorder="1"/>
    <xf numFmtId="0" fontId="4" fillId="0" borderId="49" xfId="0" applyFont="1" applyBorder="1"/>
    <xf numFmtId="0" fontId="0" fillId="0" borderId="63" xfId="0" applyBorder="1" applyAlignment="1">
      <alignment wrapText="1"/>
    </xf>
    <xf numFmtId="165" fontId="0" fillId="26" borderId="64" xfId="0" applyNumberFormat="1" applyFill="1" applyBorder="1"/>
    <xf numFmtId="165" fontId="4" fillId="0" borderId="0" xfId="0" applyNumberFormat="1" applyFont="1"/>
    <xf numFmtId="165" fontId="0" fillId="26" borderId="0" xfId="0" applyNumberFormat="1" applyFill="1"/>
    <xf numFmtId="0" fontId="4" fillId="0" borderId="48" xfId="0" applyFont="1" applyBorder="1" applyAlignment="1">
      <alignment wrapText="1"/>
    </xf>
    <xf numFmtId="0" fontId="4" fillId="0" borderId="49" xfId="0" applyFont="1" applyBorder="1" applyAlignment="1">
      <alignment wrapText="1"/>
    </xf>
    <xf numFmtId="0" fontId="4" fillId="8" borderId="0" xfId="0" applyFont="1" applyFill="1" applyAlignment="1">
      <alignment wrapText="1"/>
    </xf>
    <xf numFmtId="0" fontId="0" fillId="8" borderId="0" xfId="0" applyFill="1" applyAlignment="1">
      <alignment wrapText="1"/>
    </xf>
    <xf numFmtId="10" fontId="0" fillId="0" borderId="0" xfId="0" applyNumberFormat="1"/>
    <xf numFmtId="0" fontId="4" fillId="27" borderId="0" xfId="0" applyFont="1" applyFill="1" applyAlignment="1">
      <alignment wrapText="1"/>
    </xf>
    <xf numFmtId="0" fontId="4" fillId="28" borderId="0" xfId="0" applyFont="1" applyFill="1" applyAlignment="1">
      <alignment wrapText="1"/>
    </xf>
    <xf numFmtId="2" fontId="0" fillId="26" borderId="64" xfId="0" applyNumberFormat="1" applyFill="1" applyBorder="1"/>
    <xf numFmtId="2" fontId="4" fillId="26" borderId="64" xfId="0" applyNumberFormat="1" applyFont="1" applyFill="1" applyBorder="1"/>
    <xf numFmtId="2" fontId="4" fillId="26" borderId="58" xfId="0" applyNumberFormat="1" applyFont="1" applyFill="1" applyBorder="1"/>
    <xf numFmtId="2" fontId="0" fillId="26" borderId="0" xfId="0" applyNumberFormat="1" applyFill="1"/>
    <xf numFmtId="2" fontId="4" fillId="28" borderId="0" xfId="0" applyNumberFormat="1" applyFont="1" applyFill="1" applyAlignment="1">
      <alignment wrapText="1"/>
    </xf>
    <xf numFmtId="0" fontId="2" fillId="0" borderId="0" xfId="0" applyFont="1" applyAlignment="1">
      <alignment horizontal="right"/>
    </xf>
    <xf numFmtId="165" fontId="0" fillId="0" borderId="49" xfId="0" applyNumberFormat="1" applyBorder="1"/>
    <xf numFmtId="0" fontId="2" fillId="0" borderId="58" xfId="0" applyFont="1" applyBorder="1" applyAlignment="1">
      <alignment horizontal="right"/>
    </xf>
    <xf numFmtId="165" fontId="0" fillId="0" borderId="58" xfId="0" applyNumberFormat="1" applyBorder="1"/>
    <xf numFmtId="165" fontId="0" fillId="0" borderId="47" xfId="0" applyNumberFormat="1" applyBorder="1"/>
    <xf numFmtId="0" fontId="0" fillId="0" borderId="0" xfId="0" applyAlignment="1">
      <alignment horizontal="right" vertical="top" wrapText="1"/>
    </xf>
    <xf numFmtId="0" fontId="0" fillId="0" borderId="0" xfId="0" applyAlignment="1">
      <alignment vertical="top"/>
    </xf>
    <xf numFmtId="0" fontId="66" fillId="11" borderId="1" xfId="0" applyFont="1" applyFill="1" applyBorder="1" applyAlignment="1">
      <alignment vertical="top" wrapText="1"/>
    </xf>
    <xf numFmtId="0" fontId="66" fillId="11" borderId="1" xfId="0" applyFont="1" applyFill="1" applyBorder="1" applyAlignment="1">
      <alignment horizontal="right" vertical="top" wrapText="1"/>
    </xf>
    <xf numFmtId="0" fontId="0" fillId="0" borderId="5" xfId="0" applyBorder="1"/>
    <xf numFmtId="0" fontId="4" fillId="0" borderId="5" xfId="0" applyFont="1" applyBorder="1"/>
    <xf numFmtId="0" fontId="0" fillId="0" borderId="0" xfId="0" applyAlignment="1">
      <alignment horizontal="right"/>
    </xf>
    <xf numFmtId="0" fontId="0" fillId="0" borderId="85" xfId="0" applyBorder="1"/>
    <xf numFmtId="0" fontId="0" fillId="0" borderId="80" xfId="0" applyBorder="1"/>
    <xf numFmtId="0" fontId="0" fillId="0" borderId="86" xfId="0" applyBorder="1"/>
    <xf numFmtId="0" fontId="8" fillId="2" borderId="16" xfId="0" applyFont="1" applyFill="1" applyBorder="1" applyAlignment="1">
      <alignment horizontal="center"/>
    </xf>
    <xf numFmtId="0" fontId="8" fillId="2" borderId="80" xfId="0" applyFont="1" applyFill="1" applyBorder="1" applyAlignment="1">
      <alignment horizontal="center"/>
    </xf>
    <xf numFmtId="0" fontId="71" fillId="7" borderId="1" xfId="0" applyFont="1" applyFill="1" applyBorder="1" applyAlignment="1">
      <alignment vertical="center" wrapText="1"/>
    </xf>
    <xf numFmtId="0" fontId="71" fillId="7" borderId="1" xfId="0" applyFont="1" applyFill="1" applyBorder="1" applyAlignment="1">
      <alignment horizontal="center" vertical="center" wrapText="1"/>
    </xf>
    <xf numFmtId="0" fontId="71" fillId="29" borderId="1" xfId="0" applyFont="1" applyFill="1" applyBorder="1" applyAlignment="1">
      <alignment horizontal="center" vertical="center" wrapText="1"/>
    </xf>
    <xf numFmtId="2" fontId="71" fillId="7" borderId="1" xfId="0" applyNumberFormat="1" applyFont="1" applyFill="1" applyBorder="1" applyAlignment="1">
      <alignment horizontal="center" vertical="center" wrapText="1"/>
    </xf>
    <xf numFmtId="0" fontId="0" fillId="0" borderId="1" xfId="0" applyBorder="1" applyAlignment="1">
      <alignment horizontal="center"/>
    </xf>
    <xf numFmtId="2" fontId="4" fillId="29" borderId="1" xfId="0" applyNumberFormat="1" applyFont="1" applyFill="1" applyBorder="1" applyAlignment="1">
      <alignment horizontal="center"/>
    </xf>
    <xf numFmtId="9" fontId="1" fillId="0" borderId="1" xfId="2" applyFont="1" applyFill="1" applyBorder="1" applyAlignment="1">
      <alignment horizontal="center"/>
    </xf>
    <xf numFmtId="168" fontId="0" fillId="0" borderId="1" xfId="2" applyNumberFormat="1" applyFont="1" applyFill="1" applyBorder="1" applyAlignment="1">
      <alignment horizontal="center"/>
    </xf>
    <xf numFmtId="2" fontId="1" fillId="0" borderId="1" xfId="566" applyNumberFormat="1" applyFont="1" applyFill="1" applyBorder="1" applyAlignment="1">
      <alignment horizontal="center"/>
    </xf>
    <xf numFmtId="166" fontId="0" fillId="30" borderId="1" xfId="0" applyNumberFormat="1" applyFill="1" applyBorder="1"/>
    <xf numFmtId="166" fontId="12" fillId="30" borderId="1" xfId="0" applyNumberFormat="1" applyFont="1" applyFill="1" applyBorder="1"/>
    <xf numFmtId="165" fontId="8" fillId="2" borderId="0" xfId="0" applyNumberFormat="1" applyFont="1" applyFill="1" applyAlignment="1">
      <alignment horizontal="center"/>
    </xf>
    <xf numFmtId="165" fontId="8" fillId="2" borderId="0" xfId="0" applyNumberFormat="1" applyFont="1" applyFill="1"/>
    <xf numFmtId="9" fontId="8" fillId="2" borderId="0" xfId="2" applyFont="1" applyFill="1" applyAlignment="1">
      <alignment horizontal="center"/>
    </xf>
    <xf numFmtId="178" fontId="8" fillId="2" borderId="0" xfId="0" applyNumberFormat="1" applyFont="1" applyFill="1" applyAlignment="1">
      <alignment horizontal="center"/>
    </xf>
    <xf numFmtId="0" fontId="23" fillId="31" borderId="46" xfId="0" applyFont="1" applyFill="1" applyBorder="1" applyAlignment="1">
      <alignment horizontal="center"/>
    </xf>
    <xf numFmtId="0" fontId="23" fillId="31" borderId="58" xfId="0" applyFont="1" applyFill="1" applyBorder="1" applyAlignment="1">
      <alignment horizontal="center"/>
    </xf>
    <xf numFmtId="0" fontId="23" fillId="31" borderId="56" xfId="0" applyFont="1" applyFill="1" applyBorder="1" applyAlignment="1">
      <alignment horizontal="center"/>
    </xf>
    <xf numFmtId="170" fontId="8" fillId="2" borderId="0" xfId="0" applyNumberFormat="1" applyFont="1" applyFill="1" applyAlignment="1">
      <alignment horizontal="right"/>
    </xf>
    <xf numFmtId="9" fontId="8" fillId="2" borderId="0" xfId="0" applyNumberFormat="1" applyFont="1" applyFill="1" applyAlignment="1">
      <alignment horizontal="right"/>
    </xf>
    <xf numFmtId="0" fontId="38" fillId="2" borderId="52" xfId="0" applyFont="1" applyFill="1" applyBorder="1" applyAlignment="1">
      <alignment horizontal="left"/>
    </xf>
    <xf numFmtId="168" fontId="32" fillId="2" borderId="8" xfId="2" applyNumberFormat="1" applyFont="1" applyFill="1" applyBorder="1" applyAlignment="1">
      <alignment horizontal="right"/>
    </xf>
    <xf numFmtId="9" fontId="36" fillId="2" borderId="53" xfId="2" applyFont="1" applyFill="1" applyBorder="1"/>
    <xf numFmtId="9" fontId="38" fillId="7" borderId="64" xfId="0" applyNumberFormat="1" applyFont="1" applyFill="1" applyBorder="1"/>
    <xf numFmtId="0" fontId="38" fillId="2" borderId="0" xfId="0" applyFont="1" applyFill="1" applyAlignment="1">
      <alignment horizontal="left"/>
    </xf>
    <xf numFmtId="44" fontId="32" fillId="2" borderId="0" xfId="0" applyNumberFormat="1" applyFont="1" applyFill="1" applyAlignment="1">
      <alignment horizontal="right" indent="3"/>
    </xf>
    <xf numFmtId="168" fontId="32" fillId="2" borderId="0" xfId="2" applyNumberFormat="1" applyFont="1" applyFill="1" applyBorder="1" applyAlignment="1">
      <alignment horizontal="right" indent="1"/>
    </xf>
    <xf numFmtId="168" fontId="32" fillId="10" borderId="0" xfId="2" applyNumberFormat="1" applyFont="1" applyFill="1" applyBorder="1" applyAlignment="1">
      <alignment horizontal="right" indent="1"/>
    </xf>
    <xf numFmtId="44" fontId="32" fillId="10" borderId="0" xfId="0" applyNumberFormat="1" applyFont="1" applyFill="1"/>
    <xf numFmtId="44" fontId="28" fillId="2" borderId="0" xfId="0" applyNumberFormat="1" applyFont="1" applyFill="1"/>
    <xf numFmtId="0" fontId="28" fillId="7" borderId="0" xfId="0" applyFont="1" applyFill="1"/>
    <xf numFmtId="9" fontId="28" fillId="7" borderId="0" xfId="0" applyNumberFormat="1" applyFont="1" applyFill="1" applyAlignment="1">
      <alignment horizontal="right"/>
    </xf>
    <xf numFmtId="0" fontId="43" fillId="2" borderId="0" xfId="0" applyFont="1" applyFill="1" applyAlignment="1">
      <alignment vertical="top"/>
    </xf>
    <xf numFmtId="0" fontId="30" fillId="2" borderId="0" xfId="0" applyFont="1" applyFill="1" applyAlignment="1">
      <alignment vertical="top" wrapText="1"/>
    </xf>
    <xf numFmtId="0" fontId="8" fillId="2" borderId="81" xfId="0" applyFont="1" applyFill="1" applyBorder="1" applyAlignment="1">
      <alignment horizontal="center"/>
    </xf>
    <xf numFmtId="0" fontId="8" fillId="2" borderId="82" xfId="0" applyFont="1" applyFill="1" applyBorder="1" applyAlignment="1">
      <alignment horizontal="center"/>
    </xf>
    <xf numFmtId="0" fontId="8" fillId="2" borderId="44" xfId="0" applyFont="1" applyFill="1" applyBorder="1" applyAlignment="1">
      <alignment horizontal="center"/>
    </xf>
    <xf numFmtId="0" fontId="8" fillId="2" borderId="59" xfId="0" applyFont="1" applyFill="1" applyBorder="1" applyAlignment="1">
      <alignment horizontal="center"/>
    </xf>
    <xf numFmtId="0" fontId="8" fillId="2" borderId="72" xfId="0" applyFont="1" applyFill="1" applyBorder="1" applyAlignment="1">
      <alignment horizontal="center"/>
    </xf>
    <xf numFmtId="0" fontId="8" fillId="2" borderId="71" xfId="0" applyFont="1" applyFill="1" applyBorder="1" applyAlignment="1">
      <alignment horizontal="center"/>
    </xf>
    <xf numFmtId="0" fontId="8" fillId="2" borderId="85" xfId="0" applyFont="1" applyFill="1" applyBorder="1" applyAlignment="1">
      <alignment horizontal="center"/>
    </xf>
    <xf numFmtId="0" fontId="8" fillId="2" borderId="80" xfId="0" applyFont="1" applyFill="1" applyBorder="1" applyAlignment="1">
      <alignment horizontal="center"/>
    </xf>
    <xf numFmtId="0" fontId="53" fillId="15" borderId="44" xfId="0" applyFont="1" applyFill="1" applyBorder="1" applyAlignment="1" applyProtection="1">
      <alignment horizontal="left" vertical="top" wrapText="1"/>
      <protection locked="0"/>
    </xf>
    <xf numFmtId="0" fontId="53" fillId="15" borderId="59" xfId="0" applyFont="1" applyFill="1" applyBorder="1" applyAlignment="1" applyProtection="1">
      <alignment horizontal="left" vertical="top" wrapText="1"/>
      <protection locked="0"/>
    </xf>
    <xf numFmtId="0" fontId="53" fillId="15" borderId="45" xfId="0" applyFont="1" applyFill="1" applyBorder="1" applyAlignment="1" applyProtection="1">
      <alignment horizontal="left" vertical="top" wrapText="1"/>
      <protection locked="0"/>
    </xf>
    <xf numFmtId="0" fontId="53" fillId="15" borderId="48" xfId="0" applyFont="1" applyFill="1" applyBorder="1" applyAlignment="1" applyProtection="1">
      <alignment horizontal="left" vertical="top" wrapText="1"/>
      <protection locked="0"/>
    </xf>
    <xf numFmtId="0" fontId="53" fillId="15" borderId="0" xfId="0" applyFont="1" applyFill="1" applyAlignment="1" applyProtection="1">
      <alignment horizontal="left" vertical="top" wrapText="1"/>
      <protection locked="0"/>
    </xf>
    <xf numFmtId="0" fontId="53" fillId="15" borderId="49" xfId="0" applyFont="1" applyFill="1" applyBorder="1" applyAlignment="1" applyProtection="1">
      <alignment horizontal="left" vertical="top" wrapText="1"/>
      <protection locked="0"/>
    </xf>
    <xf numFmtId="0" fontId="53" fillId="15" borderId="46" xfId="0" applyFont="1" applyFill="1" applyBorder="1" applyAlignment="1" applyProtection="1">
      <alignment horizontal="left" vertical="top" wrapText="1"/>
      <protection locked="0"/>
    </xf>
    <xf numFmtId="0" fontId="53" fillId="15" borderId="58" xfId="0" applyFont="1" applyFill="1" applyBorder="1" applyAlignment="1" applyProtection="1">
      <alignment horizontal="left" vertical="top" wrapText="1"/>
      <protection locked="0"/>
    </xf>
    <xf numFmtId="0" fontId="53" fillId="15" borderId="47" xfId="0" applyFont="1" applyFill="1" applyBorder="1" applyAlignment="1" applyProtection="1">
      <alignment horizontal="left" vertical="top" wrapText="1"/>
      <protection locked="0"/>
    </xf>
    <xf numFmtId="0" fontId="8" fillId="4" borderId="53" xfId="0" applyFont="1" applyFill="1" applyBorder="1" applyAlignment="1" applyProtection="1">
      <alignment horizontal="center"/>
      <protection locked="0"/>
    </xf>
    <xf numFmtId="0" fontId="8" fillId="4" borderId="25" xfId="0" applyFont="1" applyFill="1" applyBorder="1" applyAlignment="1" applyProtection="1">
      <alignment horizontal="center"/>
      <protection locked="0"/>
    </xf>
    <xf numFmtId="0" fontId="8" fillId="4" borderId="61" xfId="0" applyFont="1" applyFill="1" applyBorder="1" applyAlignment="1" applyProtection="1">
      <alignment horizontal="center"/>
      <protection locked="0"/>
    </xf>
    <xf numFmtId="0" fontId="8" fillId="4" borderId="76" xfId="0" applyFont="1" applyFill="1" applyBorder="1" applyAlignment="1" applyProtection="1">
      <alignment horizontal="center"/>
      <protection locked="0"/>
    </xf>
    <xf numFmtId="0" fontId="30" fillId="2" borderId="50" xfId="0" applyFont="1" applyFill="1" applyBorder="1" applyAlignment="1">
      <alignment horizontal="left" vertical="top" wrapText="1"/>
    </xf>
    <xf numFmtId="0" fontId="30" fillId="2" borderId="64" xfId="0" applyFont="1" applyFill="1" applyBorder="1" applyAlignment="1">
      <alignment horizontal="left" vertical="top" wrapText="1"/>
    </xf>
    <xf numFmtId="0" fontId="30" fillId="2" borderId="33" xfId="0" applyFont="1" applyFill="1" applyBorder="1" applyAlignment="1">
      <alignment horizontal="left" vertical="top" wrapText="1"/>
    </xf>
    <xf numFmtId="0" fontId="30" fillId="2" borderId="34" xfId="0" applyFont="1" applyFill="1" applyBorder="1" applyAlignment="1">
      <alignment horizontal="left" vertical="top" wrapText="1"/>
    </xf>
    <xf numFmtId="0" fontId="30" fillId="2" borderId="42" xfId="0" applyFont="1" applyFill="1" applyBorder="1" applyAlignment="1">
      <alignment horizontal="left" vertical="top" wrapText="1"/>
    </xf>
    <xf numFmtId="0" fontId="30" fillId="2" borderId="1" xfId="0" applyFont="1" applyFill="1" applyBorder="1" applyAlignment="1">
      <alignment horizontal="left" vertical="top" wrapText="1"/>
    </xf>
    <xf numFmtId="0" fontId="30" fillId="2" borderId="36" xfId="0" applyFont="1" applyFill="1" applyBorder="1" applyAlignment="1">
      <alignment horizontal="left" vertical="top" wrapText="1"/>
    </xf>
    <xf numFmtId="0" fontId="30" fillId="2" borderId="37" xfId="0" applyFont="1" applyFill="1" applyBorder="1" applyAlignment="1">
      <alignment horizontal="left" vertical="top" wrapText="1"/>
    </xf>
    <xf numFmtId="0" fontId="69" fillId="2" borderId="0" xfId="0" applyFont="1" applyFill="1" applyAlignment="1">
      <alignment horizontal="left" vertical="top" wrapText="1"/>
    </xf>
    <xf numFmtId="0" fontId="17" fillId="2" borderId="0" xfId="0" applyFont="1" applyFill="1" applyAlignment="1">
      <alignment horizontal="center" vertical="center" wrapText="1"/>
    </xf>
    <xf numFmtId="0" fontId="51" fillId="15" borderId="44" xfId="0" applyFont="1" applyFill="1" applyBorder="1" applyAlignment="1" applyProtection="1">
      <alignment horizontal="left" vertical="top" wrapText="1"/>
      <protection locked="0"/>
    </xf>
    <xf numFmtId="0" fontId="51" fillId="15" borderId="59" xfId="0" applyFont="1" applyFill="1" applyBorder="1" applyAlignment="1" applyProtection="1">
      <alignment horizontal="left" vertical="top" wrapText="1"/>
      <protection locked="0"/>
    </xf>
    <xf numFmtId="0" fontId="51" fillId="15" borderId="45" xfId="0" applyFont="1" applyFill="1" applyBorder="1" applyAlignment="1" applyProtection="1">
      <alignment horizontal="left" vertical="top" wrapText="1"/>
      <protection locked="0"/>
    </xf>
    <xf numFmtId="0" fontId="51" fillId="15" borderId="48" xfId="0" applyFont="1" applyFill="1" applyBorder="1" applyAlignment="1" applyProtection="1">
      <alignment horizontal="left" vertical="top" wrapText="1"/>
      <protection locked="0"/>
    </xf>
    <xf numFmtId="0" fontId="51" fillId="15" borderId="0" xfId="0" applyFont="1" applyFill="1" applyAlignment="1" applyProtection="1">
      <alignment horizontal="left" vertical="top" wrapText="1"/>
      <protection locked="0"/>
    </xf>
    <xf numFmtId="0" fontId="51" fillId="15" borderId="49" xfId="0" applyFont="1" applyFill="1" applyBorder="1" applyAlignment="1" applyProtection="1">
      <alignment horizontal="left" vertical="top" wrapText="1"/>
      <protection locked="0"/>
    </xf>
    <xf numFmtId="0" fontId="51" fillId="15" borderId="46" xfId="0" applyFont="1" applyFill="1" applyBorder="1" applyAlignment="1" applyProtection="1">
      <alignment horizontal="left" vertical="top" wrapText="1"/>
      <protection locked="0"/>
    </xf>
    <xf numFmtId="0" fontId="51" fillId="15" borderId="58" xfId="0" applyFont="1" applyFill="1" applyBorder="1" applyAlignment="1" applyProtection="1">
      <alignment horizontal="left" vertical="top" wrapText="1"/>
      <protection locked="0"/>
    </xf>
    <xf numFmtId="0" fontId="51" fillId="15" borderId="47" xfId="0" applyFont="1" applyFill="1" applyBorder="1" applyAlignment="1" applyProtection="1">
      <alignment horizontal="left" vertical="top" wrapText="1"/>
      <protection locked="0"/>
    </xf>
    <xf numFmtId="165" fontId="30" fillId="17" borderId="91" xfId="0" applyNumberFormat="1" applyFont="1" applyFill="1" applyBorder="1" applyAlignment="1">
      <alignment horizontal="left"/>
    </xf>
    <xf numFmtId="165" fontId="30" fillId="17" borderId="97" xfId="0" applyNumberFormat="1" applyFont="1" applyFill="1" applyBorder="1" applyAlignment="1">
      <alignment horizontal="left"/>
    </xf>
    <xf numFmtId="165" fontId="30" fillId="17" borderId="90" xfId="0" applyNumberFormat="1" applyFont="1" applyFill="1" applyBorder="1" applyAlignment="1">
      <alignment horizontal="left"/>
    </xf>
    <xf numFmtId="0" fontId="27" fillId="2" borderId="0" xfId="0" applyFont="1" applyFill="1" applyAlignment="1">
      <alignment horizontal="left"/>
    </xf>
    <xf numFmtId="0" fontId="48" fillId="16" borderId="95" xfId="0" applyFont="1" applyFill="1" applyBorder="1" applyAlignment="1">
      <alignment horizontal="left" wrapText="1"/>
    </xf>
    <xf numFmtId="0" fontId="48" fillId="16" borderId="15" xfId="0" applyFont="1" applyFill="1" applyBorder="1" applyAlignment="1">
      <alignment horizontal="left" wrapText="1"/>
    </xf>
    <xf numFmtId="0" fontId="48" fillId="16" borderId="9" xfId="0" applyFont="1" applyFill="1" applyBorder="1" applyAlignment="1">
      <alignment horizontal="left" wrapText="1"/>
    </xf>
    <xf numFmtId="165" fontId="30" fillId="18" borderId="88" xfId="0" applyNumberFormat="1" applyFont="1" applyFill="1" applyBorder="1" applyAlignment="1">
      <alignment horizontal="left"/>
    </xf>
    <xf numFmtId="165" fontId="30" fillId="18" borderId="96" xfId="0" applyNumberFormat="1" applyFont="1" applyFill="1" applyBorder="1" applyAlignment="1">
      <alignment horizontal="left"/>
    </xf>
    <xf numFmtId="165" fontId="30" fillId="18" borderId="87" xfId="0" applyNumberFormat="1" applyFont="1" applyFill="1" applyBorder="1" applyAlignment="1">
      <alignment horizontal="left"/>
    </xf>
    <xf numFmtId="165" fontId="28" fillId="18" borderId="93" xfId="0" applyNumberFormat="1" applyFont="1" applyFill="1" applyBorder="1" applyAlignment="1">
      <alignment horizontal="center"/>
    </xf>
    <xf numFmtId="165" fontId="28" fillId="18" borderId="25" xfId="0" applyNumberFormat="1" applyFont="1" applyFill="1" applyBorder="1" applyAlignment="1">
      <alignment horizontal="center"/>
    </xf>
    <xf numFmtId="0" fontId="30" fillId="2" borderId="0" xfId="0" applyFont="1" applyFill="1" applyAlignment="1">
      <alignment horizontal="left" vertical="top" wrapText="1"/>
    </xf>
    <xf numFmtId="0" fontId="30" fillId="2" borderId="44" xfId="0" applyFont="1" applyFill="1" applyBorder="1" applyAlignment="1">
      <alignment horizontal="left" vertical="top" wrapText="1"/>
    </xf>
    <xf numFmtId="0" fontId="30" fillId="2" borderId="59" xfId="0" applyFont="1" applyFill="1" applyBorder="1" applyAlignment="1">
      <alignment horizontal="left" vertical="top" wrapText="1"/>
    </xf>
    <xf numFmtId="0" fontId="30" fillId="2" borderId="71" xfId="0" applyFont="1" applyFill="1" applyBorder="1" applyAlignment="1">
      <alignment horizontal="left" vertical="top" wrapText="1"/>
    </xf>
    <xf numFmtId="0" fontId="8" fillId="9" borderId="34" xfId="0" applyFont="1" applyFill="1" applyBorder="1" applyAlignment="1" applyProtection="1">
      <alignment horizontal="center" vertical="center" wrapText="1"/>
      <protection locked="0"/>
    </xf>
    <xf numFmtId="0" fontId="8" fillId="9" borderId="35" xfId="0" applyFont="1" applyFill="1" applyBorder="1" applyAlignment="1" applyProtection="1">
      <alignment horizontal="center" vertical="center" wrapText="1"/>
      <protection locked="0"/>
    </xf>
    <xf numFmtId="0" fontId="43" fillId="2" borderId="58" xfId="0" applyFont="1" applyFill="1" applyBorder="1" applyAlignment="1">
      <alignment horizontal="left" vertical="top" wrapText="1"/>
    </xf>
    <xf numFmtId="0" fontId="43" fillId="2" borderId="0" xfId="0" applyFont="1" applyFill="1" applyAlignment="1">
      <alignment horizontal="left" vertical="top" wrapText="1"/>
    </xf>
    <xf numFmtId="0" fontId="34" fillId="2" borderId="0" xfId="0" applyFont="1" applyFill="1" applyAlignment="1">
      <alignment horizontal="center" wrapText="1"/>
    </xf>
    <xf numFmtId="0" fontId="35" fillId="2" borderId="2" xfId="0" applyFont="1" applyFill="1" applyBorder="1" applyAlignment="1">
      <alignment horizontal="left"/>
    </xf>
    <xf numFmtId="0" fontId="35" fillId="2" borderId="3" xfId="0" applyFont="1" applyFill="1" applyBorder="1" applyAlignment="1">
      <alignment horizontal="left"/>
    </xf>
    <xf numFmtId="167" fontId="62" fillId="2" borderId="0" xfId="0" applyNumberFormat="1" applyFont="1" applyFill="1" applyAlignment="1">
      <alignment horizontal="left" vertical="top" wrapText="1"/>
    </xf>
    <xf numFmtId="0" fontId="50" fillId="2" borderId="0" xfId="0" applyFont="1" applyFill="1" applyAlignment="1">
      <alignment horizontal="center"/>
    </xf>
    <xf numFmtId="0" fontId="30" fillId="2" borderId="0" xfId="0" applyFont="1" applyFill="1" applyAlignment="1">
      <alignment horizontal="left"/>
    </xf>
    <xf numFmtId="0" fontId="30" fillId="2" borderId="0" xfId="0" applyFont="1" applyFill="1" applyAlignment="1" applyProtection="1">
      <alignment horizontal="left"/>
      <protection hidden="1"/>
    </xf>
    <xf numFmtId="0" fontId="30" fillId="2" borderId="18" xfId="0" applyFont="1" applyFill="1" applyBorder="1" applyAlignment="1">
      <alignment horizontal="left"/>
    </xf>
    <xf numFmtId="0" fontId="4" fillId="0" borderId="50" xfId="0" applyFont="1" applyBorder="1" applyAlignment="1">
      <alignment horizontal="center"/>
    </xf>
    <xf numFmtId="0" fontId="4" fillId="0" borderId="64" xfId="0" applyFont="1" applyBorder="1" applyAlignment="1">
      <alignment horizontal="center"/>
    </xf>
    <xf numFmtId="0" fontId="4" fillId="0" borderId="51" xfId="0" applyFont="1" applyBorder="1" applyAlignment="1">
      <alignment horizontal="center"/>
    </xf>
    <xf numFmtId="0" fontId="0" fillId="15" borderId="1" xfId="0" applyFill="1" applyBorder="1" applyAlignment="1">
      <alignment horizontal="center"/>
    </xf>
    <xf numFmtId="0" fontId="0" fillId="0" borderId="0" xfId="0" applyAlignment="1">
      <alignment horizontal="left" vertical="top" wrapText="1"/>
    </xf>
    <xf numFmtId="0" fontId="0" fillId="5" borderId="1" xfId="0" applyFill="1" applyBorder="1" applyAlignment="1">
      <alignment vertical="top" wrapText="1"/>
    </xf>
    <xf numFmtId="2" fontId="0" fillId="0" borderId="0" xfId="1" applyNumberFormat="1" applyFont="1" applyBorder="1" applyAlignment="1" applyProtection="1">
      <alignment horizontal="right" vertical="top"/>
    </xf>
  </cellXfs>
  <cellStyles count="567">
    <cellStyle name="Comma" xfId="566" builtinId="3"/>
    <cellStyle name="Currency" xfId="1" builtinId="4"/>
    <cellStyle name="Followed Hyperlink" xfId="70" builtinId="9" hidden="1"/>
    <cellStyle name="Followed Hyperlink" xfId="74" builtinId="9" hidden="1"/>
    <cellStyle name="Followed Hyperlink" xfId="78" builtinId="9" hidden="1"/>
    <cellStyle name="Followed Hyperlink" xfId="82" builtinId="9" hidden="1"/>
    <cellStyle name="Followed Hyperlink" xfId="86" builtinId="9" hidden="1"/>
    <cellStyle name="Followed Hyperlink" xfId="90" builtinId="9" hidden="1"/>
    <cellStyle name="Followed Hyperlink" xfId="94" builtinId="9" hidden="1"/>
    <cellStyle name="Followed Hyperlink" xfId="98" builtinId="9" hidden="1"/>
    <cellStyle name="Followed Hyperlink" xfId="102" builtinId="9" hidden="1"/>
    <cellStyle name="Followed Hyperlink" xfId="106" builtinId="9" hidden="1"/>
    <cellStyle name="Followed Hyperlink" xfId="110" builtinId="9" hidden="1"/>
    <cellStyle name="Followed Hyperlink" xfId="114" builtinId="9" hidden="1"/>
    <cellStyle name="Followed Hyperlink" xfId="118" builtinId="9" hidden="1"/>
    <cellStyle name="Followed Hyperlink" xfId="122" builtinId="9" hidden="1"/>
    <cellStyle name="Followed Hyperlink" xfId="126" builtinId="9" hidden="1"/>
    <cellStyle name="Followed Hyperlink" xfId="130" builtinId="9" hidden="1"/>
    <cellStyle name="Followed Hyperlink" xfId="134" builtinId="9" hidden="1"/>
    <cellStyle name="Followed Hyperlink" xfId="138" builtinId="9" hidden="1"/>
    <cellStyle name="Followed Hyperlink" xfId="142" builtinId="9" hidden="1"/>
    <cellStyle name="Followed Hyperlink" xfId="146" builtinId="9" hidden="1"/>
    <cellStyle name="Followed Hyperlink" xfId="150" builtinId="9" hidden="1"/>
    <cellStyle name="Followed Hyperlink" xfId="154" builtinId="9" hidden="1"/>
    <cellStyle name="Followed Hyperlink" xfId="158" builtinId="9" hidden="1"/>
    <cellStyle name="Followed Hyperlink" xfId="162" builtinId="9" hidden="1"/>
    <cellStyle name="Followed Hyperlink" xfId="166" builtinId="9" hidden="1"/>
    <cellStyle name="Followed Hyperlink" xfId="170" builtinId="9" hidden="1"/>
    <cellStyle name="Followed Hyperlink" xfId="174" builtinId="9" hidden="1"/>
    <cellStyle name="Followed Hyperlink" xfId="178" builtinId="9" hidden="1"/>
    <cellStyle name="Followed Hyperlink" xfId="182" builtinId="9" hidden="1"/>
    <cellStyle name="Followed Hyperlink" xfId="186" builtinId="9" hidden="1"/>
    <cellStyle name="Followed Hyperlink" xfId="190" builtinId="9" hidden="1"/>
    <cellStyle name="Followed Hyperlink" xfId="194" builtinId="9" hidden="1"/>
    <cellStyle name="Followed Hyperlink" xfId="198" builtinId="9" hidden="1"/>
    <cellStyle name="Followed Hyperlink" xfId="202" builtinId="9" hidden="1"/>
    <cellStyle name="Followed Hyperlink" xfId="206" builtinId="9" hidden="1"/>
    <cellStyle name="Followed Hyperlink" xfId="210" builtinId="9" hidden="1"/>
    <cellStyle name="Followed Hyperlink" xfId="214" builtinId="9" hidden="1"/>
    <cellStyle name="Followed Hyperlink" xfId="218" builtinId="9" hidden="1"/>
    <cellStyle name="Followed Hyperlink" xfId="222" builtinId="9" hidden="1"/>
    <cellStyle name="Followed Hyperlink" xfId="226" builtinId="9" hidden="1"/>
    <cellStyle name="Followed Hyperlink" xfId="230" builtinId="9" hidden="1"/>
    <cellStyle name="Followed Hyperlink" xfId="234" builtinId="9" hidden="1"/>
    <cellStyle name="Followed Hyperlink" xfId="238" builtinId="9" hidden="1"/>
    <cellStyle name="Followed Hyperlink" xfId="242" builtinId="9" hidden="1"/>
    <cellStyle name="Followed Hyperlink" xfId="246" builtinId="9" hidden="1"/>
    <cellStyle name="Followed Hyperlink" xfId="250" builtinId="9" hidden="1"/>
    <cellStyle name="Followed Hyperlink" xfId="254" builtinId="9" hidden="1"/>
    <cellStyle name="Followed Hyperlink" xfId="258" builtinId="9" hidden="1"/>
    <cellStyle name="Followed Hyperlink" xfId="262" builtinId="9" hidden="1"/>
    <cellStyle name="Followed Hyperlink" xfId="266" builtinId="9" hidden="1"/>
    <cellStyle name="Followed Hyperlink" xfId="270" builtinId="9" hidden="1"/>
    <cellStyle name="Followed Hyperlink" xfId="274" builtinId="9" hidden="1"/>
    <cellStyle name="Followed Hyperlink" xfId="278" builtinId="9" hidden="1"/>
    <cellStyle name="Followed Hyperlink" xfId="282" builtinId="9" hidden="1"/>
    <cellStyle name="Followed Hyperlink" xfId="286" builtinId="9" hidden="1"/>
    <cellStyle name="Followed Hyperlink" xfId="290" builtinId="9" hidden="1"/>
    <cellStyle name="Followed Hyperlink" xfId="294" builtinId="9" hidden="1"/>
    <cellStyle name="Followed Hyperlink" xfId="298" builtinId="9" hidden="1"/>
    <cellStyle name="Followed Hyperlink" xfId="302" builtinId="9" hidden="1"/>
    <cellStyle name="Followed Hyperlink" xfId="306" builtinId="9" hidden="1"/>
    <cellStyle name="Followed Hyperlink" xfId="310" builtinId="9" hidden="1"/>
    <cellStyle name="Followed Hyperlink" xfId="314" builtinId="9" hidden="1"/>
    <cellStyle name="Followed Hyperlink" xfId="318" builtinId="9" hidden="1"/>
    <cellStyle name="Followed Hyperlink" xfId="322" builtinId="9" hidden="1"/>
    <cellStyle name="Followed Hyperlink" xfId="326" builtinId="9" hidden="1"/>
    <cellStyle name="Followed Hyperlink" xfId="330" builtinId="9" hidden="1"/>
    <cellStyle name="Followed Hyperlink" xfId="334" builtinId="9" hidden="1"/>
    <cellStyle name="Followed Hyperlink" xfId="338" builtinId="9" hidden="1"/>
    <cellStyle name="Followed Hyperlink" xfId="342" builtinId="9" hidden="1"/>
    <cellStyle name="Followed Hyperlink" xfId="346" builtinId="9" hidden="1"/>
    <cellStyle name="Followed Hyperlink" xfId="350" builtinId="9" hidden="1"/>
    <cellStyle name="Followed Hyperlink" xfId="354" builtinId="9" hidden="1"/>
    <cellStyle name="Followed Hyperlink" xfId="358" builtinId="9" hidden="1"/>
    <cellStyle name="Followed Hyperlink" xfId="362" builtinId="9" hidden="1"/>
    <cellStyle name="Followed Hyperlink" xfId="366" builtinId="9" hidden="1"/>
    <cellStyle name="Followed Hyperlink" xfId="370" builtinId="9" hidden="1"/>
    <cellStyle name="Followed Hyperlink" xfId="374" builtinId="9" hidden="1"/>
    <cellStyle name="Followed Hyperlink" xfId="378" builtinId="9" hidden="1"/>
    <cellStyle name="Followed Hyperlink" xfId="382" builtinId="9" hidden="1"/>
    <cellStyle name="Followed Hyperlink" xfId="386" builtinId="9" hidden="1"/>
    <cellStyle name="Followed Hyperlink" xfId="390" builtinId="9" hidden="1"/>
    <cellStyle name="Followed Hyperlink" xfId="394" builtinId="9" hidden="1"/>
    <cellStyle name="Followed Hyperlink" xfId="398" builtinId="9" hidden="1"/>
    <cellStyle name="Followed Hyperlink" xfId="402" builtinId="9" hidden="1"/>
    <cellStyle name="Followed Hyperlink" xfId="406" builtinId="9" hidden="1"/>
    <cellStyle name="Followed Hyperlink" xfId="410" builtinId="9" hidden="1"/>
    <cellStyle name="Followed Hyperlink" xfId="414" builtinId="9" hidden="1"/>
    <cellStyle name="Followed Hyperlink" xfId="418" builtinId="9" hidden="1"/>
    <cellStyle name="Followed Hyperlink" xfId="422" builtinId="9" hidden="1"/>
    <cellStyle name="Followed Hyperlink" xfId="426" builtinId="9" hidden="1"/>
    <cellStyle name="Followed Hyperlink" xfId="430" builtinId="9" hidden="1"/>
    <cellStyle name="Followed Hyperlink" xfId="434" builtinId="9" hidden="1"/>
    <cellStyle name="Followed Hyperlink" xfId="438" builtinId="9" hidden="1"/>
    <cellStyle name="Followed Hyperlink" xfId="442" builtinId="9" hidden="1"/>
    <cellStyle name="Followed Hyperlink" xfId="446" builtinId="9" hidden="1"/>
    <cellStyle name="Followed Hyperlink" xfId="450" builtinId="9" hidden="1"/>
    <cellStyle name="Followed Hyperlink" xfId="454" builtinId="9" hidden="1"/>
    <cellStyle name="Followed Hyperlink" xfId="458" builtinId="9" hidden="1"/>
    <cellStyle name="Followed Hyperlink" xfId="462" builtinId="9" hidden="1"/>
    <cellStyle name="Followed Hyperlink" xfId="466" builtinId="9" hidden="1"/>
    <cellStyle name="Followed Hyperlink" xfId="470" builtinId="9" hidden="1"/>
    <cellStyle name="Followed Hyperlink" xfId="474" builtinId="9" hidden="1"/>
    <cellStyle name="Followed Hyperlink" xfId="478" builtinId="9" hidden="1"/>
    <cellStyle name="Followed Hyperlink" xfId="482" builtinId="9" hidden="1"/>
    <cellStyle name="Followed Hyperlink" xfId="486" builtinId="9" hidden="1"/>
    <cellStyle name="Followed Hyperlink" xfId="490" builtinId="9" hidden="1"/>
    <cellStyle name="Followed Hyperlink" xfId="494" builtinId="9" hidden="1"/>
    <cellStyle name="Followed Hyperlink" xfId="498" builtinId="9" hidden="1"/>
    <cellStyle name="Followed Hyperlink" xfId="502" builtinId="9" hidden="1"/>
    <cellStyle name="Followed Hyperlink" xfId="506" builtinId="9" hidden="1"/>
    <cellStyle name="Followed Hyperlink" xfId="510" builtinId="9" hidden="1"/>
    <cellStyle name="Followed Hyperlink" xfId="514" builtinId="9" hidden="1"/>
    <cellStyle name="Followed Hyperlink" xfId="518" builtinId="9" hidden="1"/>
    <cellStyle name="Followed Hyperlink" xfId="522" builtinId="9" hidden="1"/>
    <cellStyle name="Followed Hyperlink" xfId="526" builtinId="9" hidden="1"/>
    <cellStyle name="Followed Hyperlink" xfId="530" builtinId="9" hidden="1"/>
    <cellStyle name="Followed Hyperlink" xfId="534" builtinId="9" hidden="1"/>
    <cellStyle name="Followed Hyperlink" xfId="538" builtinId="9" hidden="1"/>
    <cellStyle name="Followed Hyperlink" xfId="542" builtinId="9" hidden="1"/>
    <cellStyle name="Followed Hyperlink" xfId="546" builtinId="9" hidden="1"/>
    <cellStyle name="Followed Hyperlink" xfId="550" builtinId="9" hidden="1"/>
    <cellStyle name="Followed Hyperlink" xfId="554" builtinId="9" hidden="1"/>
    <cellStyle name="Followed Hyperlink" xfId="558" builtinId="9" hidden="1"/>
    <cellStyle name="Followed Hyperlink" xfId="562" builtinId="9" hidden="1"/>
    <cellStyle name="Followed Hyperlink" xfId="564" builtinId="9" hidden="1"/>
    <cellStyle name="Followed Hyperlink" xfId="560" builtinId="9" hidden="1"/>
    <cellStyle name="Followed Hyperlink" xfId="556" builtinId="9" hidden="1"/>
    <cellStyle name="Followed Hyperlink" xfId="552" builtinId="9" hidden="1"/>
    <cellStyle name="Followed Hyperlink" xfId="548" builtinId="9" hidden="1"/>
    <cellStyle name="Followed Hyperlink" xfId="544" builtinId="9" hidden="1"/>
    <cellStyle name="Followed Hyperlink" xfId="540" builtinId="9" hidden="1"/>
    <cellStyle name="Followed Hyperlink" xfId="536" builtinId="9" hidden="1"/>
    <cellStyle name="Followed Hyperlink" xfId="532" builtinId="9" hidden="1"/>
    <cellStyle name="Followed Hyperlink" xfId="528" builtinId="9" hidden="1"/>
    <cellStyle name="Followed Hyperlink" xfId="524" builtinId="9" hidden="1"/>
    <cellStyle name="Followed Hyperlink" xfId="520" builtinId="9" hidden="1"/>
    <cellStyle name="Followed Hyperlink" xfId="516" builtinId="9" hidden="1"/>
    <cellStyle name="Followed Hyperlink" xfId="512" builtinId="9" hidden="1"/>
    <cellStyle name="Followed Hyperlink" xfId="508" builtinId="9" hidden="1"/>
    <cellStyle name="Followed Hyperlink" xfId="504" builtinId="9" hidden="1"/>
    <cellStyle name="Followed Hyperlink" xfId="500" builtinId="9" hidden="1"/>
    <cellStyle name="Followed Hyperlink" xfId="496" builtinId="9" hidden="1"/>
    <cellStyle name="Followed Hyperlink" xfId="492" builtinId="9" hidden="1"/>
    <cellStyle name="Followed Hyperlink" xfId="488" builtinId="9" hidden="1"/>
    <cellStyle name="Followed Hyperlink" xfId="484" builtinId="9" hidden="1"/>
    <cellStyle name="Followed Hyperlink" xfId="480" builtinId="9" hidden="1"/>
    <cellStyle name="Followed Hyperlink" xfId="476" builtinId="9" hidden="1"/>
    <cellStyle name="Followed Hyperlink" xfId="472" builtinId="9" hidden="1"/>
    <cellStyle name="Followed Hyperlink" xfId="468" builtinId="9" hidden="1"/>
    <cellStyle name="Followed Hyperlink" xfId="464" builtinId="9" hidden="1"/>
    <cellStyle name="Followed Hyperlink" xfId="460" builtinId="9" hidden="1"/>
    <cellStyle name="Followed Hyperlink" xfId="456" builtinId="9" hidden="1"/>
    <cellStyle name="Followed Hyperlink" xfId="452" builtinId="9" hidden="1"/>
    <cellStyle name="Followed Hyperlink" xfId="448" builtinId="9" hidden="1"/>
    <cellStyle name="Followed Hyperlink" xfId="444" builtinId="9" hidden="1"/>
    <cellStyle name="Followed Hyperlink" xfId="440" builtinId="9" hidden="1"/>
    <cellStyle name="Followed Hyperlink" xfId="436" builtinId="9" hidden="1"/>
    <cellStyle name="Followed Hyperlink" xfId="432" builtinId="9" hidden="1"/>
    <cellStyle name="Followed Hyperlink" xfId="428" builtinId="9" hidden="1"/>
    <cellStyle name="Followed Hyperlink" xfId="424" builtinId="9" hidden="1"/>
    <cellStyle name="Followed Hyperlink" xfId="420" builtinId="9" hidden="1"/>
    <cellStyle name="Followed Hyperlink" xfId="416" builtinId="9" hidden="1"/>
    <cellStyle name="Followed Hyperlink" xfId="412" builtinId="9" hidden="1"/>
    <cellStyle name="Followed Hyperlink" xfId="408" builtinId="9" hidden="1"/>
    <cellStyle name="Followed Hyperlink" xfId="404" builtinId="9" hidden="1"/>
    <cellStyle name="Followed Hyperlink" xfId="400" builtinId="9" hidden="1"/>
    <cellStyle name="Followed Hyperlink" xfId="396" builtinId="9" hidden="1"/>
    <cellStyle name="Followed Hyperlink" xfId="392" builtinId="9" hidden="1"/>
    <cellStyle name="Followed Hyperlink" xfId="388" builtinId="9" hidden="1"/>
    <cellStyle name="Followed Hyperlink" xfId="384" builtinId="9" hidden="1"/>
    <cellStyle name="Followed Hyperlink" xfId="380" builtinId="9" hidden="1"/>
    <cellStyle name="Followed Hyperlink" xfId="376" builtinId="9" hidden="1"/>
    <cellStyle name="Followed Hyperlink" xfId="372" builtinId="9" hidden="1"/>
    <cellStyle name="Followed Hyperlink" xfId="368" builtinId="9" hidden="1"/>
    <cellStyle name="Followed Hyperlink" xfId="364" builtinId="9" hidden="1"/>
    <cellStyle name="Followed Hyperlink" xfId="360" builtinId="9" hidden="1"/>
    <cellStyle name="Followed Hyperlink" xfId="356" builtinId="9" hidden="1"/>
    <cellStyle name="Followed Hyperlink" xfId="352" builtinId="9" hidden="1"/>
    <cellStyle name="Followed Hyperlink" xfId="348" builtinId="9" hidden="1"/>
    <cellStyle name="Followed Hyperlink" xfId="344" builtinId="9" hidden="1"/>
    <cellStyle name="Followed Hyperlink" xfId="340" builtinId="9" hidden="1"/>
    <cellStyle name="Followed Hyperlink" xfId="336" builtinId="9" hidden="1"/>
    <cellStyle name="Followed Hyperlink" xfId="332" builtinId="9" hidden="1"/>
    <cellStyle name="Followed Hyperlink" xfId="328" builtinId="9" hidden="1"/>
    <cellStyle name="Followed Hyperlink" xfId="324" builtinId="9" hidden="1"/>
    <cellStyle name="Followed Hyperlink" xfId="320" builtinId="9" hidden="1"/>
    <cellStyle name="Followed Hyperlink" xfId="316" builtinId="9" hidden="1"/>
    <cellStyle name="Followed Hyperlink" xfId="312" builtinId="9" hidden="1"/>
    <cellStyle name="Followed Hyperlink" xfId="308" builtinId="9" hidden="1"/>
    <cellStyle name="Followed Hyperlink" xfId="304" builtinId="9" hidden="1"/>
    <cellStyle name="Followed Hyperlink" xfId="300" builtinId="9" hidden="1"/>
    <cellStyle name="Followed Hyperlink" xfId="296" builtinId="9" hidden="1"/>
    <cellStyle name="Followed Hyperlink" xfId="292" builtinId="9" hidden="1"/>
    <cellStyle name="Followed Hyperlink" xfId="288" builtinId="9" hidden="1"/>
    <cellStyle name="Followed Hyperlink" xfId="284" builtinId="9" hidden="1"/>
    <cellStyle name="Followed Hyperlink" xfId="280" builtinId="9" hidden="1"/>
    <cellStyle name="Followed Hyperlink" xfId="276" builtinId="9" hidden="1"/>
    <cellStyle name="Followed Hyperlink" xfId="272" builtinId="9" hidden="1"/>
    <cellStyle name="Followed Hyperlink" xfId="268" builtinId="9" hidden="1"/>
    <cellStyle name="Followed Hyperlink" xfId="264" builtinId="9" hidden="1"/>
    <cellStyle name="Followed Hyperlink" xfId="260" builtinId="9" hidden="1"/>
    <cellStyle name="Followed Hyperlink" xfId="256" builtinId="9" hidden="1"/>
    <cellStyle name="Followed Hyperlink" xfId="252" builtinId="9" hidden="1"/>
    <cellStyle name="Followed Hyperlink" xfId="248" builtinId="9" hidden="1"/>
    <cellStyle name="Followed Hyperlink" xfId="244" builtinId="9" hidden="1"/>
    <cellStyle name="Followed Hyperlink" xfId="240" builtinId="9" hidden="1"/>
    <cellStyle name="Followed Hyperlink" xfId="236" builtinId="9" hidden="1"/>
    <cellStyle name="Followed Hyperlink" xfId="232" builtinId="9" hidden="1"/>
    <cellStyle name="Followed Hyperlink" xfId="228" builtinId="9" hidden="1"/>
    <cellStyle name="Followed Hyperlink" xfId="224" builtinId="9" hidden="1"/>
    <cellStyle name="Followed Hyperlink" xfId="220" builtinId="9" hidden="1"/>
    <cellStyle name="Followed Hyperlink" xfId="216" builtinId="9" hidden="1"/>
    <cellStyle name="Followed Hyperlink" xfId="212" builtinId="9" hidden="1"/>
    <cellStyle name="Followed Hyperlink" xfId="208" builtinId="9" hidden="1"/>
    <cellStyle name="Followed Hyperlink" xfId="204" builtinId="9" hidden="1"/>
    <cellStyle name="Followed Hyperlink" xfId="200" builtinId="9" hidden="1"/>
    <cellStyle name="Followed Hyperlink" xfId="196" builtinId="9" hidden="1"/>
    <cellStyle name="Followed Hyperlink" xfId="192" builtinId="9" hidden="1"/>
    <cellStyle name="Followed Hyperlink" xfId="188" builtinId="9" hidden="1"/>
    <cellStyle name="Followed Hyperlink" xfId="184" builtinId="9" hidden="1"/>
    <cellStyle name="Followed Hyperlink" xfId="180" builtinId="9" hidden="1"/>
    <cellStyle name="Followed Hyperlink" xfId="176" builtinId="9" hidden="1"/>
    <cellStyle name="Followed Hyperlink" xfId="172" builtinId="9" hidden="1"/>
    <cellStyle name="Followed Hyperlink" xfId="168" builtinId="9" hidden="1"/>
    <cellStyle name="Followed Hyperlink" xfId="164" builtinId="9" hidden="1"/>
    <cellStyle name="Followed Hyperlink" xfId="160" builtinId="9" hidden="1"/>
    <cellStyle name="Followed Hyperlink" xfId="156" builtinId="9" hidden="1"/>
    <cellStyle name="Followed Hyperlink" xfId="152" builtinId="9" hidden="1"/>
    <cellStyle name="Followed Hyperlink" xfId="148" builtinId="9" hidden="1"/>
    <cellStyle name="Followed Hyperlink" xfId="144" builtinId="9" hidden="1"/>
    <cellStyle name="Followed Hyperlink" xfId="140" builtinId="9" hidden="1"/>
    <cellStyle name="Followed Hyperlink" xfId="136" builtinId="9" hidden="1"/>
    <cellStyle name="Followed Hyperlink" xfId="132" builtinId="9" hidden="1"/>
    <cellStyle name="Followed Hyperlink" xfId="128" builtinId="9" hidden="1"/>
    <cellStyle name="Followed Hyperlink" xfId="124" builtinId="9" hidden="1"/>
    <cellStyle name="Followed Hyperlink" xfId="120" builtinId="9" hidden="1"/>
    <cellStyle name="Followed Hyperlink" xfId="116" builtinId="9" hidden="1"/>
    <cellStyle name="Followed Hyperlink" xfId="112" builtinId="9" hidden="1"/>
    <cellStyle name="Followed Hyperlink" xfId="108" builtinId="9" hidden="1"/>
    <cellStyle name="Followed Hyperlink" xfId="104" builtinId="9" hidden="1"/>
    <cellStyle name="Followed Hyperlink" xfId="100" builtinId="9" hidden="1"/>
    <cellStyle name="Followed Hyperlink" xfId="96" builtinId="9" hidden="1"/>
    <cellStyle name="Followed Hyperlink" xfId="92" builtinId="9" hidden="1"/>
    <cellStyle name="Followed Hyperlink" xfId="88" builtinId="9" hidden="1"/>
    <cellStyle name="Followed Hyperlink" xfId="84" builtinId="9" hidden="1"/>
    <cellStyle name="Followed Hyperlink" xfId="80" builtinId="9" hidden="1"/>
    <cellStyle name="Followed Hyperlink" xfId="76" builtinId="9" hidden="1"/>
    <cellStyle name="Followed Hyperlink" xfId="72" builtinId="9" hidden="1"/>
    <cellStyle name="Followed Hyperlink" xfId="68" builtinId="9" hidden="1"/>
    <cellStyle name="Followed Hyperlink" xfId="26" builtinId="9" hidden="1"/>
    <cellStyle name="Followed Hyperlink" xfId="28" builtinId="9" hidden="1"/>
    <cellStyle name="Followed Hyperlink" xfId="30" builtinId="9" hidden="1"/>
    <cellStyle name="Followed Hyperlink" xfId="34" builtinId="9" hidden="1"/>
    <cellStyle name="Followed Hyperlink" xfId="36" builtinId="9" hidden="1"/>
    <cellStyle name="Followed Hyperlink" xfId="38" builtinId="9" hidden="1"/>
    <cellStyle name="Followed Hyperlink" xfId="42" builtinId="9" hidden="1"/>
    <cellStyle name="Followed Hyperlink" xfId="44" builtinId="9" hidden="1"/>
    <cellStyle name="Followed Hyperlink" xfId="46" builtinId="9" hidden="1"/>
    <cellStyle name="Followed Hyperlink" xfId="50" builtinId="9" hidden="1"/>
    <cellStyle name="Followed Hyperlink" xfId="52" builtinId="9" hidden="1"/>
    <cellStyle name="Followed Hyperlink" xfId="54" builtinId="9" hidden="1"/>
    <cellStyle name="Followed Hyperlink" xfId="58" builtinId="9" hidden="1"/>
    <cellStyle name="Followed Hyperlink" xfId="60" builtinId="9" hidden="1"/>
    <cellStyle name="Followed Hyperlink" xfId="62" builtinId="9" hidden="1"/>
    <cellStyle name="Followed Hyperlink" xfId="66" builtinId="9" hidden="1"/>
    <cellStyle name="Followed Hyperlink" xfId="64" builtinId="9" hidden="1"/>
    <cellStyle name="Followed Hyperlink" xfId="56" builtinId="9" hidden="1"/>
    <cellStyle name="Followed Hyperlink" xfId="48" builtinId="9" hidden="1"/>
    <cellStyle name="Followed Hyperlink" xfId="40" builtinId="9" hidden="1"/>
    <cellStyle name="Followed Hyperlink" xfId="32" builtinId="9" hidden="1"/>
    <cellStyle name="Followed Hyperlink" xfId="24" builtinId="9" hidden="1"/>
    <cellStyle name="Followed Hyperlink" xfId="12" builtinId="9" hidden="1"/>
    <cellStyle name="Followed Hyperlink" xfId="14" builtinId="9" hidden="1"/>
    <cellStyle name="Followed Hyperlink" xfId="18" builtinId="9" hidden="1"/>
    <cellStyle name="Followed Hyperlink" xfId="20" builtinId="9" hidden="1"/>
    <cellStyle name="Followed Hyperlink" xfId="22" builtinId="9" hidden="1"/>
    <cellStyle name="Followed Hyperlink" xfId="16" builtinId="9" hidden="1"/>
    <cellStyle name="Followed Hyperlink" xfId="8" builtinId="9" hidden="1"/>
    <cellStyle name="Followed Hyperlink" xfId="10" builtinId="9" hidden="1"/>
    <cellStyle name="Followed Hyperlink" xfId="6" builtinId="9" hidden="1"/>
    <cellStyle name="Followed Hyperlink" xfId="4" builtinId="9" hidden="1"/>
    <cellStyle name="Hyperlink" xfId="215" builtinId="8" hidden="1"/>
    <cellStyle name="Hyperlink" xfId="219" builtinId="8" hidden="1"/>
    <cellStyle name="Hyperlink" xfId="221" builtinId="8" hidden="1"/>
    <cellStyle name="Hyperlink" xfId="223" builtinId="8" hidden="1"/>
    <cellStyle name="Hyperlink" xfId="227" builtinId="8" hidden="1"/>
    <cellStyle name="Hyperlink" xfId="229" builtinId="8" hidden="1"/>
    <cellStyle name="Hyperlink" xfId="231" builtinId="8" hidden="1"/>
    <cellStyle name="Hyperlink" xfId="235" builtinId="8" hidden="1"/>
    <cellStyle name="Hyperlink" xfId="237" builtinId="8" hidden="1"/>
    <cellStyle name="Hyperlink" xfId="239" builtinId="8" hidden="1"/>
    <cellStyle name="Hyperlink" xfId="243" builtinId="8" hidden="1"/>
    <cellStyle name="Hyperlink" xfId="245" builtinId="8" hidden="1"/>
    <cellStyle name="Hyperlink" xfId="247" builtinId="8" hidden="1"/>
    <cellStyle name="Hyperlink" xfId="251" builtinId="8" hidden="1"/>
    <cellStyle name="Hyperlink" xfId="253" builtinId="8" hidden="1"/>
    <cellStyle name="Hyperlink" xfId="255" builtinId="8" hidden="1"/>
    <cellStyle name="Hyperlink" xfId="259" builtinId="8" hidden="1"/>
    <cellStyle name="Hyperlink" xfId="261" builtinId="8" hidden="1"/>
    <cellStyle name="Hyperlink" xfId="263" builtinId="8" hidden="1"/>
    <cellStyle name="Hyperlink" xfId="267" builtinId="8" hidden="1"/>
    <cellStyle name="Hyperlink" xfId="269" builtinId="8" hidden="1"/>
    <cellStyle name="Hyperlink" xfId="271" builtinId="8" hidden="1"/>
    <cellStyle name="Hyperlink" xfId="275" builtinId="8" hidden="1"/>
    <cellStyle name="Hyperlink" xfId="277" builtinId="8" hidden="1"/>
    <cellStyle name="Hyperlink" xfId="279" builtinId="8" hidden="1"/>
    <cellStyle name="Hyperlink" xfId="283" builtinId="8" hidden="1"/>
    <cellStyle name="Hyperlink" xfId="285" builtinId="8" hidden="1"/>
    <cellStyle name="Hyperlink" xfId="287" builtinId="8" hidden="1"/>
    <cellStyle name="Hyperlink" xfId="291" builtinId="8" hidden="1"/>
    <cellStyle name="Hyperlink" xfId="293" builtinId="8" hidden="1"/>
    <cellStyle name="Hyperlink" xfId="295" builtinId="8" hidden="1"/>
    <cellStyle name="Hyperlink" xfId="299" builtinId="8" hidden="1"/>
    <cellStyle name="Hyperlink" xfId="301" builtinId="8" hidden="1"/>
    <cellStyle name="Hyperlink" xfId="303" builtinId="8" hidden="1"/>
    <cellStyle name="Hyperlink" xfId="307" builtinId="8" hidden="1"/>
    <cellStyle name="Hyperlink" xfId="309" builtinId="8" hidden="1"/>
    <cellStyle name="Hyperlink" xfId="311" builtinId="8" hidden="1"/>
    <cellStyle name="Hyperlink" xfId="315" builtinId="8" hidden="1"/>
    <cellStyle name="Hyperlink" xfId="317" builtinId="8" hidden="1"/>
    <cellStyle name="Hyperlink" xfId="319" builtinId="8" hidden="1"/>
    <cellStyle name="Hyperlink" xfId="323" builtinId="8" hidden="1"/>
    <cellStyle name="Hyperlink" xfId="325" builtinId="8" hidden="1"/>
    <cellStyle name="Hyperlink" xfId="327" builtinId="8" hidden="1"/>
    <cellStyle name="Hyperlink" xfId="331" builtinId="8" hidden="1"/>
    <cellStyle name="Hyperlink" xfId="333" builtinId="8" hidden="1"/>
    <cellStyle name="Hyperlink" xfId="335" builtinId="8" hidden="1"/>
    <cellStyle name="Hyperlink" xfId="339" builtinId="8" hidden="1"/>
    <cellStyle name="Hyperlink" xfId="341" builtinId="8" hidden="1"/>
    <cellStyle name="Hyperlink" xfId="343" builtinId="8" hidden="1"/>
    <cellStyle name="Hyperlink" xfId="347" builtinId="8" hidden="1"/>
    <cellStyle name="Hyperlink" xfId="349" builtinId="8" hidden="1"/>
    <cellStyle name="Hyperlink" xfId="351" builtinId="8" hidden="1"/>
    <cellStyle name="Hyperlink" xfId="355" builtinId="8" hidden="1"/>
    <cellStyle name="Hyperlink" xfId="357" builtinId="8" hidden="1"/>
    <cellStyle name="Hyperlink" xfId="359" builtinId="8" hidden="1"/>
    <cellStyle name="Hyperlink" xfId="363" builtinId="8" hidden="1"/>
    <cellStyle name="Hyperlink" xfId="365" builtinId="8" hidden="1"/>
    <cellStyle name="Hyperlink" xfId="367" builtinId="8" hidden="1"/>
    <cellStyle name="Hyperlink" xfId="371" builtinId="8" hidden="1"/>
    <cellStyle name="Hyperlink" xfId="373" builtinId="8" hidden="1"/>
    <cellStyle name="Hyperlink" xfId="375" builtinId="8" hidden="1"/>
    <cellStyle name="Hyperlink" xfId="379" builtinId="8" hidden="1"/>
    <cellStyle name="Hyperlink" xfId="381" builtinId="8" hidden="1"/>
    <cellStyle name="Hyperlink" xfId="383" builtinId="8" hidden="1"/>
    <cellStyle name="Hyperlink" xfId="387" builtinId="8" hidden="1"/>
    <cellStyle name="Hyperlink" xfId="389" builtinId="8" hidden="1"/>
    <cellStyle name="Hyperlink" xfId="391" builtinId="8" hidden="1"/>
    <cellStyle name="Hyperlink" xfId="395" builtinId="8" hidden="1"/>
    <cellStyle name="Hyperlink" xfId="397" builtinId="8" hidden="1"/>
    <cellStyle name="Hyperlink" xfId="399" builtinId="8" hidden="1"/>
    <cellStyle name="Hyperlink" xfId="403" builtinId="8" hidden="1"/>
    <cellStyle name="Hyperlink" xfId="405" builtinId="8" hidden="1"/>
    <cellStyle name="Hyperlink" xfId="407" builtinId="8" hidden="1"/>
    <cellStyle name="Hyperlink" xfId="411" builtinId="8" hidden="1"/>
    <cellStyle name="Hyperlink" xfId="413" builtinId="8" hidden="1"/>
    <cellStyle name="Hyperlink" xfId="415" builtinId="8" hidden="1"/>
    <cellStyle name="Hyperlink" xfId="419" builtinId="8" hidden="1"/>
    <cellStyle name="Hyperlink" xfId="421" builtinId="8" hidden="1"/>
    <cellStyle name="Hyperlink" xfId="423" builtinId="8" hidden="1"/>
    <cellStyle name="Hyperlink" xfId="427" builtinId="8" hidden="1"/>
    <cellStyle name="Hyperlink" xfId="429" builtinId="8" hidden="1"/>
    <cellStyle name="Hyperlink" xfId="431" builtinId="8" hidden="1"/>
    <cellStyle name="Hyperlink" xfId="435" builtinId="8" hidden="1"/>
    <cellStyle name="Hyperlink" xfId="437" builtinId="8" hidden="1"/>
    <cellStyle name="Hyperlink" xfId="439" builtinId="8" hidden="1"/>
    <cellStyle name="Hyperlink" xfId="443" builtinId="8" hidden="1"/>
    <cellStyle name="Hyperlink" xfId="445" builtinId="8" hidden="1"/>
    <cellStyle name="Hyperlink" xfId="447" builtinId="8" hidden="1"/>
    <cellStyle name="Hyperlink" xfId="451" builtinId="8" hidden="1"/>
    <cellStyle name="Hyperlink" xfId="453" builtinId="8" hidden="1"/>
    <cellStyle name="Hyperlink" xfId="455" builtinId="8" hidden="1"/>
    <cellStyle name="Hyperlink" xfId="459" builtinId="8" hidden="1"/>
    <cellStyle name="Hyperlink" xfId="461" builtinId="8" hidden="1"/>
    <cellStyle name="Hyperlink" xfId="463" builtinId="8" hidden="1"/>
    <cellStyle name="Hyperlink" xfId="467" builtinId="8" hidden="1"/>
    <cellStyle name="Hyperlink" xfId="469" builtinId="8" hidden="1"/>
    <cellStyle name="Hyperlink" xfId="471" builtinId="8" hidden="1"/>
    <cellStyle name="Hyperlink" xfId="475" builtinId="8" hidden="1"/>
    <cellStyle name="Hyperlink" xfId="477" builtinId="8" hidden="1"/>
    <cellStyle name="Hyperlink" xfId="479" builtinId="8" hidden="1"/>
    <cellStyle name="Hyperlink" xfId="483" builtinId="8" hidden="1"/>
    <cellStyle name="Hyperlink" xfId="485" builtinId="8" hidden="1"/>
    <cellStyle name="Hyperlink" xfId="487" builtinId="8" hidden="1"/>
    <cellStyle name="Hyperlink" xfId="491" builtinId="8" hidden="1"/>
    <cellStyle name="Hyperlink" xfId="493" builtinId="8" hidden="1"/>
    <cellStyle name="Hyperlink" xfId="495" builtinId="8" hidden="1"/>
    <cellStyle name="Hyperlink" xfId="499" builtinId="8" hidden="1"/>
    <cellStyle name="Hyperlink" xfId="501" builtinId="8" hidden="1"/>
    <cellStyle name="Hyperlink" xfId="503" builtinId="8" hidden="1"/>
    <cellStyle name="Hyperlink" xfId="507" builtinId="8" hidden="1"/>
    <cellStyle name="Hyperlink" xfId="509" builtinId="8" hidden="1"/>
    <cellStyle name="Hyperlink" xfId="511" builtinId="8" hidden="1"/>
    <cellStyle name="Hyperlink" xfId="515" builtinId="8" hidden="1"/>
    <cellStyle name="Hyperlink" xfId="517" builtinId="8" hidden="1"/>
    <cellStyle name="Hyperlink" xfId="519" builtinId="8" hidden="1"/>
    <cellStyle name="Hyperlink" xfId="523" builtinId="8" hidden="1"/>
    <cellStyle name="Hyperlink" xfId="525" builtinId="8" hidden="1"/>
    <cellStyle name="Hyperlink" xfId="527" builtinId="8" hidden="1"/>
    <cellStyle name="Hyperlink" xfId="531" builtinId="8" hidden="1"/>
    <cellStyle name="Hyperlink" xfId="533" builtinId="8" hidden="1"/>
    <cellStyle name="Hyperlink" xfId="535" builtinId="8" hidden="1"/>
    <cellStyle name="Hyperlink" xfId="539" builtinId="8" hidden="1"/>
    <cellStyle name="Hyperlink" xfId="541" builtinId="8" hidden="1"/>
    <cellStyle name="Hyperlink" xfId="543" builtinId="8" hidden="1"/>
    <cellStyle name="Hyperlink" xfId="547" builtinId="8" hidden="1"/>
    <cellStyle name="Hyperlink" xfId="549" builtinId="8" hidden="1"/>
    <cellStyle name="Hyperlink" xfId="551" builtinId="8" hidden="1"/>
    <cellStyle name="Hyperlink" xfId="555" builtinId="8" hidden="1"/>
    <cellStyle name="Hyperlink" xfId="557" builtinId="8" hidden="1"/>
    <cellStyle name="Hyperlink" xfId="559" builtinId="8" hidden="1"/>
    <cellStyle name="Hyperlink" xfId="563" builtinId="8" hidden="1"/>
    <cellStyle name="Hyperlink" xfId="561" builtinId="8" hidden="1"/>
    <cellStyle name="Hyperlink" xfId="553" builtinId="8" hidden="1"/>
    <cellStyle name="Hyperlink" xfId="545" builtinId="8" hidden="1"/>
    <cellStyle name="Hyperlink" xfId="537" builtinId="8" hidden="1"/>
    <cellStyle name="Hyperlink" xfId="529" builtinId="8" hidden="1"/>
    <cellStyle name="Hyperlink" xfId="521" builtinId="8" hidden="1"/>
    <cellStyle name="Hyperlink" xfId="513" builtinId="8" hidden="1"/>
    <cellStyle name="Hyperlink" xfId="505" builtinId="8" hidden="1"/>
    <cellStyle name="Hyperlink" xfId="497" builtinId="8" hidden="1"/>
    <cellStyle name="Hyperlink" xfId="489" builtinId="8" hidden="1"/>
    <cellStyle name="Hyperlink" xfId="481" builtinId="8" hidden="1"/>
    <cellStyle name="Hyperlink" xfId="473" builtinId="8" hidden="1"/>
    <cellStyle name="Hyperlink" xfId="465" builtinId="8" hidden="1"/>
    <cellStyle name="Hyperlink" xfId="457" builtinId="8" hidden="1"/>
    <cellStyle name="Hyperlink" xfId="449" builtinId="8" hidden="1"/>
    <cellStyle name="Hyperlink" xfId="441" builtinId="8" hidden="1"/>
    <cellStyle name="Hyperlink" xfId="433" builtinId="8" hidden="1"/>
    <cellStyle name="Hyperlink" xfId="425" builtinId="8" hidden="1"/>
    <cellStyle name="Hyperlink" xfId="417" builtinId="8" hidden="1"/>
    <cellStyle name="Hyperlink" xfId="409" builtinId="8" hidden="1"/>
    <cellStyle name="Hyperlink" xfId="401" builtinId="8" hidden="1"/>
    <cellStyle name="Hyperlink" xfId="393" builtinId="8" hidden="1"/>
    <cellStyle name="Hyperlink" xfId="385" builtinId="8" hidden="1"/>
    <cellStyle name="Hyperlink" xfId="377" builtinId="8" hidden="1"/>
    <cellStyle name="Hyperlink" xfId="369" builtinId="8" hidden="1"/>
    <cellStyle name="Hyperlink" xfId="361" builtinId="8" hidden="1"/>
    <cellStyle name="Hyperlink" xfId="353" builtinId="8" hidden="1"/>
    <cellStyle name="Hyperlink" xfId="345" builtinId="8" hidden="1"/>
    <cellStyle name="Hyperlink" xfId="337" builtinId="8" hidden="1"/>
    <cellStyle name="Hyperlink" xfId="329" builtinId="8" hidden="1"/>
    <cellStyle name="Hyperlink" xfId="321" builtinId="8" hidden="1"/>
    <cellStyle name="Hyperlink" xfId="313" builtinId="8" hidden="1"/>
    <cellStyle name="Hyperlink" xfId="305" builtinId="8" hidden="1"/>
    <cellStyle name="Hyperlink" xfId="297" builtinId="8" hidden="1"/>
    <cellStyle name="Hyperlink" xfId="289" builtinId="8" hidden="1"/>
    <cellStyle name="Hyperlink" xfId="281" builtinId="8" hidden="1"/>
    <cellStyle name="Hyperlink" xfId="273" builtinId="8" hidden="1"/>
    <cellStyle name="Hyperlink" xfId="265" builtinId="8" hidden="1"/>
    <cellStyle name="Hyperlink" xfId="257" builtinId="8" hidden="1"/>
    <cellStyle name="Hyperlink" xfId="249" builtinId="8" hidden="1"/>
    <cellStyle name="Hyperlink" xfId="241" builtinId="8" hidden="1"/>
    <cellStyle name="Hyperlink" xfId="233" builtinId="8" hidden="1"/>
    <cellStyle name="Hyperlink" xfId="225" builtinId="8" hidden="1"/>
    <cellStyle name="Hyperlink" xfId="217" builtinId="8" hidden="1"/>
    <cellStyle name="Hyperlink" xfId="93" builtinId="8" hidden="1"/>
    <cellStyle name="Hyperlink" xfId="95"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11" builtinId="8" hidden="1"/>
    <cellStyle name="Hyperlink" xfId="213" builtinId="8" hidden="1"/>
    <cellStyle name="Hyperlink" xfId="209" builtinId="8" hidden="1"/>
    <cellStyle name="Hyperlink" xfId="193" builtinId="8" hidden="1"/>
    <cellStyle name="Hyperlink" xfId="177" builtinId="8" hidden="1"/>
    <cellStyle name="Hyperlink" xfId="161" builtinId="8" hidden="1"/>
    <cellStyle name="Hyperlink" xfId="145" builtinId="8" hidden="1"/>
    <cellStyle name="Hyperlink" xfId="129" builtinId="8" hidden="1"/>
    <cellStyle name="Hyperlink" xfId="113" builtinId="8" hidden="1"/>
    <cellStyle name="Hyperlink" xfId="97"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65"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7" builtinId="8" hidden="1"/>
    <cellStyle name="Hyperlink" xfId="9" builtinId="8" hidden="1"/>
    <cellStyle name="Hyperlink" xfId="11" builtinId="8" hidden="1"/>
    <cellStyle name="Hyperlink" xfId="5" builtinId="8" hidden="1"/>
    <cellStyle name="Hyperlink" xfId="3" builtinId="8" hidden="1"/>
    <cellStyle name="Hyperlink" xfId="565" builtinId="8"/>
    <cellStyle name="Normal" xfId="0" builtinId="0"/>
    <cellStyle name="Percent" xfId="2" builtinId="5"/>
  </cellStyles>
  <dxfs count="433">
    <dxf>
      <fill>
        <patternFill>
          <bgColor theme="2"/>
        </patternFill>
      </fill>
    </dxf>
    <dxf>
      <fill>
        <patternFill>
          <bgColor theme="2" tint="-9.9948118533890809E-2"/>
        </patternFill>
      </fill>
    </dxf>
    <dxf>
      <fill>
        <patternFill>
          <bgColor theme="2" tint="-0.499984740745262"/>
        </patternFill>
      </fill>
    </dxf>
    <dxf>
      <font>
        <color theme="2" tint="-0.24994659260841701"/>
      </font>
    </dxf>
    <dxf>
      <font>
        <color theme="2" tint="-0.24994659260841701"/>
      </font>
    </dxf>
    <dxf>
      <fill>
        <patternFill>
          <bgColor rgb="FFC00000"/>
        </patternFill>
      </fill>
    </dxf>
    <dxf>
      <font>
        <b val="0"/>
        <i/>
      </font>
    </dxf>
    <dxf>
      <font>
        <b val="0"/>
        <i/>
      </font>
    </dxf>
    <dxf>
      <font>
        <b val="0"/>
        <i/>
      </font>
    </dxf>
    <dxf>
      <font>
        <color theme="0"/>
      </font>
      <fill>
        <patternFill>
          <bgColor theme="0"/>
        </patternFill>
      </fill>
      <border>
        <left/>
        <right/>
        <top/>
        <bottom/>
        <vertical/>
        <horizontal/>
      </border>
    </dxf>
    <dxf>
      <font>
        <color theme="0"/>
      </font>
      <fill>
        <patternFill>
          <bgColor theme="0"/>
        </patternFill>
      </fill>
    </dxf>
    <dxf>
      <font>
        <color theme="0"/>
      </font>
      <fill>
        <patternFill>
          <bgColor theme="9"/>
        </patternFill>
      </fill>
    </dxf>
    <dxf>
      <font>
        <color theme="0"/>
      </font>
      <fill>
        <patternFill>
          <bgColor rgb="FFC00000"/>
        </patternFill>
      </fill>
    </dxf>
    <dxf>
      <fill>
        <patternFill>
          <bgColor theme="4" tint="0.79998168889431442"/>
        </patternFill>
      </fill>
      <border>
        <left style="thin">
          <color auto="1"/>
        </left>
        <right style="thin">
          <color auto="1"/>
        </right>
        <top style="thin">
          <color auto="1"/>
        </top>
        <bottom style="thin">
          <color auto="1"/>
        </bottom>
        <vertical/>
        <horizontal/>
      </border>
    </dxf>
    <dxf>
      <font>
        <color theme="5" tint="-0.499984740745262"/>
      </font>
      <fill>
        <patternFill>
          <bgColor theme="5" tint="0.79998168889431442"/>
        </patternFill>
      </fill>
    </dxf>
    <dxf>
      <fill>
        <patternFill>
          <bgColor theme="5" tint="0.79998168889431442"/>
        </patternFill>
      </fill>
    </dxf>
    <dxf>
      <font>
        <color theme="0"/>
      </font>
      <fill>
        <patternFill>
          <bgColor theme="0"/>
        </patternFill>
      </fill>
      <border>
        <left/>
        <right/>
        <top/>
        <bottom/>
        <vertical/>
        <horizontal/>
      </border>
    </dxf>
    <dxf>
      <font>
        <color theme="0"/>
      </font>
      <fill>
        <patternFill>
          <bgColor theme="0"/>
        </patternFill>
      </fill>
      <border>
        <left style="thin">
          <color auto="1"/>
        </left>
        <right/>
        <top/>
        <bottom/>
        <vertical/>
        <horizontal/>
      </border>
    </dxf>
    <dxf>
      <fill>
        <patternFill>
          <bgColor rgb="FFC00000"/>
        </patternFill>
      </fill>
      <border>
        <left style="thin">
          <color auto="1"/>
        </left>
        <right style="thin">
          <color auto="1"/>
        </right>
        <top style="thin">
          <color auto="1"/>
        </top>
        <bottom style="thin">
          <color auto="1"/>
        </bottom>
        <vertical/>
        <horizontal/>
      </border>
    </dxf>
    <dxf>
      <fill>
        <patternFill>
          <bgColor theme="4" tint="0.59996337778862885"/>
        </patternFill>
      </fill>
      <border>
        <left style="thin">
          <color auto="1"/>
        </left>
        <right style="thin">
          <color auto="1"/>
        </right>
        <top style="thin">
          <color auto="1"/>
        </top>
        <bottom style="thin">
          <color auto="1"/>
        </bottom>
        <vertical/>
        <horizontal/>
      </border>
    </dxf>
    <dxf>
      <font>
        <color theme="0"/>
      </font>
      <fill>
        <patternFill>
          <bgColor theme="0"/>
        </patternFill>
      </fill>
    </dxf>
    <dxf>
      <font>
        <color theme="0"/>
      </font>
      <fill>
        <patternFill>
          <bgColor theme="0"/>
        </patternFill>
      </fill>
    </dxf>
    <dxf>
      <fill>
        <patternFill>
          <bgColor rgb="FFC00000"/>
        </patternFill>
      </fill>
    </dxf>
    <dxf>
      <font>
        <color theme="0"/>
      </font>
      <fill>
        <patternFill>
          <bgColor theme="0"/>
        </patternFill>
      </fill>
    </dxf>
    <dxf>
      <fill>
        <patternFill>
          <bgColor rgb="FFC00000"/>
        </patternFill>
      </fill>
      <border>
        <left style="thin">
          <color auto="1"/>
        </left>
        <right style="thin">
          <color auto="1"/>
        </right>
        <top style="thin">
          <color auto="1"/>
        </top>
        <bottom style="thin">
          <color auto="1"/>
        </bottom>
        <vertical/>
        <horizontal/>
      </border>
    </dxf>
    <dxf>
      <font>
        <color rgb="FF9C0006"/>
      </font>
    </dxf>
    <dxf>
      <font>
        <color rgb="FF9C0006"/>
      </font>
    </dxf>
    <dxf>
      <font>
        <color theme="0"/>
      </font>
      <fill>
        <patternFill>
          <bgColor theme="0"/>
        </patternFill>
      </fill>
      <border>
        <left/>
        <right/>
        <top/>
        <bottom/>
        <vertical/>
        <horizontal/>
      </border>
    </dxf>
    <dxf>
      <font>
        <color theme="2" tint="-0.24994659260841701"/>
      </font>
      <fill>
        <patternFill>
          <bgColor theme="0"/>
        </patternFill>
      </fill>
    </dxf>
    <dxf>
      <font>
        <color theme="0"/>
      </font>
      <fill>
        <patternFill>
          <bgColor theme="0"/>
        </patternFill>
      </fill>
    </dxf>
    <dxf>
      <fill>
        <patternFill>
          <bgColor theme="9" tint="0.59996337778862885"/>
        </patternFill>
      </fill>
    </dxf>
    <dxf>
      <fill>
        <patternFill>
          <bgColor rgb="FFC00000"/>
        </patternFill>
      </fill>
    </dxf>
    <dxf>
      <font>
        <color theme="2" tint="-0.24994659260841701"/>
      </font>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4" tint="0.3999450666829432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rgb="FFC00000"/>
        </patternFill>
      </fill>
    </dxf>
    <dxf>
      <fill>
        <patternFill>
          <bgColor theme="4" tint="0.59996337778862885"/>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rgb="FFC00000"/>
        </patternFill>
      </fill>
    </dxf>
    <dxf>
      <fill>
        <patternFill>
          <bgColor rgb="FFC00000"/>
        </patternFill>
      </fill>
    </dxf>
    <dxf>
      <fill>
        <patternFill>
          <bgColor theme="9" tint="0.59996337778862885"/>
        </patternFill>
      </fill>
    </dxf>
    <dxf>
      <font>
        <color theme="0"/>
      </font>
      <fill>
        <patternFill>
          <bgColor theme="0"/>
        </patternFill>
      </fill>
    </dxf>
    <dxf>
      <font>
        <color theme="0"/>
      </font>
      <fill>
        <patternFill>
          <bgColor theme="0"/>
        </patternFill>
      </fill>
    </dxf>
    <dxf>
      <fill>
        <patternFill>
          <bgColor rgb="FFC00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ont>
        <color theme="2" tint="-0.24994659260841701"/>
      </font>
    </dxf>
    <dxf>
      <fill>
        <patternFill>
          <bgColor theme="9" tint="0.59996337778862885"/>
        </patternFill>
      </fill>
    </dxf>
    <dxf>
      <fill>
        <patternFill>
          <bgColor rgb="FFC00000"/>
        </patternFill>
      </fill>
    </dxf>
    <dxf>
      <font>
        <color theme="2" tint="-0.24994659260841701"/>
      </font>
      <fill>
        <patternFill>
          <bgColor theme="0"/>
        </patternFill>
      </fill>
    </dxf>
    <dxf>
      <font>
        <color theme="2" tint="-0.24994659260841701"/>
      </font>
      <fill>
        <patternFill>
          <bgColor theme="0"/>
        </patternFill>
      </fill>
    </dxf>
    <dxf>
      <font>
        <color theme="2" tint="-0.24994659260841701"/>
      </font>
      <fill>
        <patternFill>
          <bgColor theme="0"/>
        </patternFill>
      </fill>
    </dxf>
    <dxf>
      <font>
        <color theme="2" tint="-0.24994659260841701"/>
      </font>
      <fill>
        <patternFill>
          <bgColor theme="0"/>
        </patternFill>
      </fill>
    </dxf>
    <dxf>
      <fill>
        <patternFill>
          <bgColor rgb="FFC00000"/>
        </patternFill>
      </fill>
    </dxf>
    <dxf>
      <font>
        <color theme="0"/>
      </font>
      <fill>
        <patternFill patternType="none">
          <bgColor auto="1"/>
        </patternFill>
      </fill>
      <border>
        <left/>
        <right/>
        <top/>
        <bottom/>
        <vertical/>
        <horizontal/>
      </border>
    </dxf>
    <dxf>
      <fill>
        <patternFill>
          <bgColor theme="4" tint="0.59996337778862885"/>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C00000"/>
        </patternFill>
      </fill>
    </dxf>
    <dxf>
      <fill>
        <patternFill>
          <bgColor theme="2" tint="-0.24994659260841701"/>
        </patternFill>
      </fill>
    </dxf>
    <dxf>
      <fill>
        <patternFill>
          <bgColor rgb="FFC0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2" tint="-0.24994659260841701"/>
      </font>
    </dxf>
    <dxf>
      <fill>
        <patternFill>
          <fgColor auto="1"/>
          <bgColor theme="0" tint="-0.14996795556505021"/>
        </patternFill>
      </fill>
    </dxf>
    <dxf>
      <fill>
        <patternFill>
          <bgColor theme="0" tint="-4.9989318521683403E-2"/>
        </patternFill>
      </fill>
    </dxf>
    <dxf>
      <fill>
        <patternFill>
          <bgColor rgb="FFC00000"/>
        </patternFill>
      </fill>
    </dxf>
    <dxf>
      <fill>
        <patternFill>
          <bgColor rgb="FFC00000"/>
        </patternFill>
      </fill>
    </dxf>
    <dxf>
      <fill>
        <patternFill>
          <bgColor rgb="FFC00000"/>
        </patternFill>
      </fill>
    </dxf>
    <dxf>
      <fill>
        <patternFill>
          <bgColor rgb="FFC00000"/>
        </patternFill>
      </fill>
    </dxf>
    <dxf>
      <font>
        <b val="0"/>
        <i val="0"/>
        <strike val="0"/>
        <color theme="0"/>
      </font>
      <fill>
        <patternFill>
          <bgColor theme="0"/>
        </patternFill>
      </fill>
      <border>
        <left/>
        <right/>
        <top/>
        <bottom/>
      </border>
    </dxf>
    <dxf>
      <fill>
        <patternFill>
          <bgColor theme="0" tint="-4.9989318521683403E-2"/>
        </patternFill>
      </fill>
    </dxf>
    <dxf>
      <fill>
        <patternFill>
          <fgColor auto="1"/>
          <bgColor theme="0" tint="-0.14996795556505021"/>
        </patternFill>
      </fill>
    </dxf>
    <dxf>
      <fill>
        <patternFill>
          <bgColor rgb="FFC00000"/>
        </patternFill>
      </fill>
    </dxf>
    <dxf>
      <font>
        <color rgb="FF9C0006"/>
      </font>
      <fill>
        <patternFill>
          <bgColor rgb="FFFFC7CE"/>
        </patternFill>
      </fill>
    </dxf>
    <dxf>
      <font>
        <b/>
        <i val="0"/>
        <color theme="0"/>
      </font>
      <fill>
        <patternFill>
          <bgColor rgb="FFC00000"/>
        </patternFill>
      </fill>
    </dxf>
    <dxf>
      <font>
        <b/>
        <i val="0"/>
        <color theme="0"/>
      </font>
      <fill>
        <patternFill>
          <bgColor theme="5"/>
        </patternFill>
      </fill>
    </dxf>
    <dxf>
      <font>
        <b val="0"/>
        <i/>
        <color theme="0"/>
      </font>
      <fill>
        <patternFill>
          <bgColor theme="8" tint="0.79998168889431442"/>
        </patternFill>
      </fill>
    </dxf>
    <dxf>
      <fill>
        <patternFill>
          <bgColor rgb="FFC00000"/>
        </patternFill>
      </fill>
    </dxf>
    <dxf>
      <fill>
        <patternFill>
          <bgColor theme="9" tint="0.59996337778862885"/>
        </patternFill>
      </fill>
    </dxf>
    <dxf>
      <fill>
        <patternFill>
          <bgColor rgb="FFC00000"/>
        </patternFill>
      </fill>
    </dxf>
    <dxf>
      <fill>
        <patternFill>
          <bgColor rgb="FFC00000"/>
        </patternFill>
      </fill>
    </dxf>
    <dxf>
      <fill>
        <patternFill>
          <bgColor rgb="FFC00000"/>
        </patternFill>
      </fill>
    </dxf>
    <dxf>
      <fill>
        <patternFill>
          <bgColor theme="2" tint="-0.24994659260841701"/>
        </patternFill>
      </fill>
    </dxf>
    <dxf>
      <font>
        <color theme="2" tint="-0.499984740745262"/>
      </font>
    </dxf>
    <dxf>
      <font>
        <color auto="1"/>
      </font>
      <fill>
        <patternFill>
          <bgColor rgb="FFC00000"/>
        </patternFill>
      </fill>
    </dxf>
    <dxf>
      <font>
        <color auto="1"/>
      </font>
      <fill>
        <patternFill>
          <bgColor rgb="FFC00000"/>
        </patternFill>
      </fill>
    </dxf>
    <dxf>
      <font>
        <color auto="1"/>
      </font>
      <fill>
        <patternFill>
          <bgColor rgb="FFC00000"/>
        </patternFill>
      </fill>
    </dxf>
    <dxf>
      <font>
        <color auto="1"/>
      </font>
      <fill>
        <patternFill>
          <bgColor rgb="FFC00000"/>
        </patternFill>
      </fill>
    </dxf>
    <dxf>
      <fill>
        <patternFill>
          <bgColor theme="0" tint="-0.24994659260841701"/>
        </patternFill>
      </fill>
    </dxf>
    <dxf>
      <fill>
        <patternFill>
          <bgColor rgb="FFC00000"/>
        </patternFill>
      </fill>
    </dxf>
    <dxf>
      <font>
        <color auto="1"/>
      </font>
      <fill>
        <patternFill>
          <bgColor rgb="FFC00000"/>
        </patternFill>
      </fill>
    </dxf>
    <dxf>
      <border>
        <top style="thin">
          <color auto="1"/>
        </top>
        <bottom style="thin">
          <color auto="1"/>
        </bottom>
        <vertical/>
        <horizontal/>
      </border>
    </dxf>
    <dxf>
      <fill>
        <patternFill>
          <bgColor theme="0" tint="-0.24994659260841701"/>
        </patternFill>
      </fill>
    </dxf>
    <dxf>
      <fill>
        <patternFill>
          <bgColor theme="5"/>
        </patternFill>
      </fill>
    </dxf>
    <dxf>
      <fill>
        <patternFill>
          <bgColor theme="0" tint="-0.24994659260841701"/>
        </patternFill>
      </fill>
    </dxf>
    <dxf>
      <font>
        <color theme="0" tint="-0.24994659260841701"/>
      </font>
    </dxf>
    <dxf>
      <fill>
        <patternFill>
          <bgColor rgb="FFC00000"/>
        </patternFill>
      </fill>
    </dxf>
    <dxf>
      <fill>
        <patternFill>
          <bgColor theme="4" tint="0.59996337778862885"/>
        </patternFill>
      </fill>
    </dxf>
    <dxf>
      <fill>
        <patternFill>
          <bgColor rgb="FFC00000"/>
        </patternFill>
      </fill>
    </dxf>
    <dxf>
      <fill>
        <patternFill>
          <bgColor theme="7" tint="0.79998168889431442"/>
        </patternFill>
      </fill>
    </dxf>
    <dxf>
      <fill>
        <patternFill>
          <bgColor rgb="FFFFFAEB"/>
        </patternFill>
      </fill>
    </dxf>
    <dxf>
      <fill>
        <patternFill>
          <bgColor theme="0" tint="-0.14996795556505021"/>
        </patternFill>
      </fill>
    </dxf>
    <dxf>
      <fill>
        <patternFill>
          <bgColor theme="0" tint="-4.9989318521683403E-2"/>
        </patternFill>
      </fill>
    </dxf>
    <dxf>
      <fill>
        <patternFill>
          <bgColor rgb="FFC00000"/>
        </patternFill>
      </fill>
    </dxf>
    <dxf>
      <fill>
        <patternFill>
          <bgColor rgb="FFC00000"/>
        </patternFill>
      </fill>
    </dxf>
    <dxf>
      <font>
        <b val="0"/>
        <i val="0"/>
        <strike val="0"/>
        <condense val="0"/>
        <extend val="0"/>
        <outline val="0"/>
        <shadow val="0"/>
        <u val="none"/>
        <vertAlign val="baseline"/>
        <sz val="14"/>
        <color theme="1"/>
        <name val="Helvetica Neue Light"/>
        <scheme val="none"/>
      </font>
      <fill>
        <patternFill patternType="none">
          <fgColor indexed="64"/>
          <bgColor indexed="65"/>
        </patternFill>
      </fill>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4"/>
        <color rgb="FF000000"/>
        <name val="Helvetica Neue Light"/>
        <scheme val="none"/>
      </font>
      <numFmt numFmtId="166" formatCode="_-[$$-C09]* #,##0.00_-;\-[$$-C09]* #,##0.00_-;_-[$$-C09]* &quot;-&quot;??_-;_-@_-"/>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bottom/>
      </border>
    </dxf>
    <dxf>
      <font>
        <sz val="14"/>
        <color rgb="FF000000"/>
        <name val="Helvetica Neue Light"/>
        <scheme val="none"/>
      </font>
      <numFmt numFmtId="166" formatCode="_-[$$-C09]* #,##0.00_-;\-[$$-C09]* #,##0.00_-;_-[$$-C09]* &quot;-&quot;??_-;_-@_-"/>
      <fill>
        <patternFill patternType="none">
          <fgColor indexed="64"/>
          <bgColor auto="1"/>
        </patternFill>
      </fill>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6" formatCode="_-[$$-C09]* #,##0.00_-;\-[$$-C09]* #,##0.00_-;_-[$$-C09]* &quot;-&quot;??_-;_-@_-"/>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numFmt numFmtId="166" formatCode="_-[$$-C09]* #,##0.00_-;\-[$$-C09]* #,##0.00_-;_-[$$-C09]* &quot;-&quot;??_-;_-@_-"/>
      <fill>
        <patternFill patternType="none">
          <fgColor indexed="64"/>
          <bgColor indexed="65"/>
        </patternFill>
      </fill>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numFmt numFmtId="166" formatCode="_-[$$-C09]* #,##0.00_-;\-[$$-C09]* #,##0.00_-;_-[$$-C09]* &quot;-&quot;??_-;_-@_-"/>
      <border diagonalUp="0" diagonalDown="0" outline="0">
        <left style="thin">
          <color theme="2" tint="-9.9948118533890809E-2"/>
        </left>
        <right style="thin">
          <color theme="2" tint="-9.9948118533890809E-2"/>
        </right>
        <top/>
        <bottom/>
      </border>
    </dxf>
    <dxf>
      <font>
        <sz val="14"/>
        <color rgb="FF000000"/>
        <name val="Helvetica Neue Light"/>
        <scheme val="none"/>
      </font>
      <numFmt numFmtId="166" formatCode="_-[$$-C09]* #,##0.00_-;\-[$$-C09]* #,##0.00_-;_-[$$-C09]* &quot;-&quot;??_-;_-@_-"/>
      <fill>
        <patternFill patternType="none">
          <fgColor indexed="64"/>
          <bgColor auto="1"/>
        </patternFill>
      </fill>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numFmt numFmtId="166" formatCode="_-[$$-C09]* #,##0.00_-;\-[$$-C09]* #,##0.00_-;_-[$$-C09]* &quot;-&quot;??_-;_-@_-"/>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numFmt numFmtId="166" formatCode="_-[$$-C09]* #,##0.00_-;\-[$$-C09]* #,##0.00_-;_-[$$-C09]* &quot;-&quot;??_-;_-@_-"/>
      <fill>
        <patternFill patternType="none">
          <fgColor indexed="64"/>
          <bgColor indexed="65"/>
        </patternFill>
      </fill>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fill>
        <patternFill patternType="none">
          <fgColor indexed="64"/>
          <bgColor auto="1"/>
        </patternFill>
      </fill>
      <border diagonalUp="0" diagonalDown="0" outline="0">
        <left style="thin">
          <color theme="2" tint="-9.9948118533890809E-2"/>
        </left>
        <right style="thin">
          <color theme="2" tint="-9.9948118533890809E-2"/>
        </right>
        <top/>
        <bottom/>
      </border>
    </dxf>
    <dxf>
      <border outline="0">
        <top style="thin">
          <color theme="6" tint="0.39997558519241921"/>
        </top>
        <bottom style="thin">
          <color theme="2" tint="-9.9948118533890809E-2"/>
        </bottom>
      </border>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general" vertical="center"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4"/>
        <color theme="0"/>
        <name val="Helvetica Neue Light"/>
        <scheme val="none"/>
      </font>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Helvetica Neue Light"/>
        <scheme val="none"/>
      </font>
      <numFmt numFmtId="0" formatCode="General"/>
      <fill>
        <patternFill patternType="none">
          <fgColor indexed="64"/>
          <bgColor auto="1"/>
        </patternFill>
      </fill>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auto="1"/>
        </patternFill>
      </fill>
    </dxf>
    <dxf>
      <font>
        <b val="0"/>
        <i val="0"/>
        <strike val="0"/>
        <condense val="0"/>
        <extend val="0"/>
        <outline val="0"/>
        <shadow val="0"/>
        <u val="none"/>
        <vertAlign val="baseline"/>
        <sz val="14"/>
        <color theme="1"/>
        <name val="Helvetica Neue Light"/>
        <scheme val="none"/>
      </font>
      <numFmt numFmtId="2" formatCode="0.00"/>
      <fill>
        <patternFill patternType="none">
          <fgColor indexed="64"/>
          <bgColor auto="1"/>
        </patternFill>
      </fill>
    </dxf>
    <dxf>
      <font>
        <b val="0"/>
        <i val="0"/>
        <strike val="0"/>
        <condense val="0"/>
        <extend val="0"/>
        <outline val="0"/>
        <shadow val="0"/>
        <u val="none"/>
        <vertAlign val="baseline"/>
        <sz val="14"/>
        <color auto="1"/>
        <name val="Helvetica Neue Light"/>
        <scheme val="none"/>
      </font>
      <numFmt numFmtId="166" formatCode="_-[$$-C09]* #,##0.00_-;\-[$$-C09]* #,##0.00_-;_-[$$-C09]* &quot;-&quot;??_-;_-@_-"/>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bottom style="thin">
          <color theme="2" tint="-9.9948118533890809E-2"/>
        </bottom>
      </border>
    </dxf>
    <dxf>
      <font>
        <b val="0"/>
        <i val="0"/>
        <strike val="0"/>
        <condense val="0"/>
        <extend val="0"/>
        <outline val="0"/>
        <shadow val="0"/>
        <u val="none"/>
        <vertAlign val="baseline"/>
        <sz val="14"/>
        <color auto="1"/>
        <name val="Helvetica Neue Light"/>
        <scheme val="none"/>
      </font>
      <numFmt numFmtId="166" formatCode="_-[$$-C09]* #,##0.00_-;\-[$$-C09]* #,##0.00_-;_-[$$-C09]* &quot;-&quot;??_-;_-@_-"/>
      <fill>
        <patternFill patternType="none">
          <fgColor indexed="64"/>
          <bgColor auto="1"/>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auto="1"/>
        <name val="Helvetica Neue Light"/>
        <scheme val="none"/>
      </font>
      <numFmt numFmtId="166" formatCode="_-[$$-C09]* #,##0.00_-;\-[$$-C09]* #,##0.00_-;_-[$$-C09]* &quot;-&quot;??_-;_-@_-"/>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bottom style="thin">
          <color theme="2" tint="-9.9948118533890809E-2"/>
        </bottom>
      </border>
    </dxf>
    <dxf>
      <font>
        <b val="0"/>
        <i val="0"/>
        <strike val="0"/>
        <condense val="0"/>
        <extend val="0"/>
        <outline val="0"/>
        <shadow val="0"/>
        <u val="none"/>
        <vertAlign val="baseline"/>
        <sz val="14"/>
        <color auto="1"/>
        <name val="Helvetica Neue Light"/>
        <scheme val="none"/>
      </font>
      <numFmt numFmtId="166" formatCode="_-[$$-C09]* #,##0.00_-;\-[$$-C09]* #,##0.00_-;_-[$$-C09]* &quot;-&quot;??_-;_-@_-"/>
      <fill>
        <patternFill patternType="none">
          <fgColor indexed="64"/>
          <bgColor indexed="65"/>
        </patternFill>
      </fill>
    </dxf>
    <dxf>
      <font>
        <b val="0"/>
        <i val="0"/>
        <strike val="0"/>
        <condense val="0"/>
        <extend val="0"/>
        <outline val="0"/>
        <shadow val="0"/>
        <u val="none"/>
        <vertAlign val="baseline"/>
        <sz val="14"/>
        <color auto="1"/>
        <name val="Helvetica Neue Light"/>
        <scheme val="none"/>
      </font>
      <numFmt numFmtId="166" formatCode="_-[$$-C09]* #,##0.00_-;\-[$$-C09]* #,##0.00_-;_-[$$-C09]* &quot;-&quot;??_-;_-@_-"/>
    </dxf>
    <dxf>
      <font>
        <b val="0"/>
        <i val="0"/>
        <strike val="0"/>
        <condense val="0"/>
        <extend val="0"/>
        <outline val="0"/>
        <shadow val="0"/>
        <u val="none"/>
        <vertAlign val="baseline"/>
        <sz val="14"/>
        <color auto="1"/>
        <name val="Helvetica Neue Light"/>
        <scheme val="none"/>
      </font>
      <numFmt numFmtId="166" formatCode="_-[$$-C09]* #,##0.00_-;\-[$$-C09]* #,##0.00_-;_-[$$-C09]* &quot;-&quot;??_-;_-@_-"/>
      <fill>
        <patternFill patternType="none">
          <fgColor indexed="64"/>
          <bgColor indexed="65"/>
        </patternFill>
      </fill>
    </dxf>
    <dxf>
      <font>
        <b val="0"/>
        <i val="0"/>
        <strike val="0"/>
        <condense val="0"/>
        <extend val="0"/>
        <outline val="0"/>
        <shadow val="0"/>
        <u val="none"/>
        <vertAlign val="baseline"/>
        <sz val="14"/>
        <color auto="1"/>
        <name val="Helvetica Neue Light"/>
        <scheme val="none"/>
      </font>
      <numFmt numFmtId="166" formatCode="_-[$$-C09]* #,##0.00_-;\-[$$-C09]* #,##0.00_-;_-[$$-C09]* &quot;-&quot;??_-;_-@_-"/>
    </dxf>
    <dxf>
      <font>
        <b val="0"/>
        <i val="0"/>
        <strike val="0"/>
        <condense val="0"/>
        <extend val="0"/>
        <outline val="0"/>
        <shadow val="0"/>
        <u val="none"/>
        <vertAlign val="baseline"/>
        <sz val="14"/>
        <color auto="1"/>
        <name val="Helvetica Neue Light"/>
        <scheme val="none"/>
      </font>
      <numFmt numFmtId="166" formatCode="_-[$$-C09]* #,##0.00_-;\-[$$-C09]* #,##0.00_-;_-[$$-C09]* &quot;-&quot;??_-;_-@_-"/>
      <fill>
        <patternFill patternType="none">
          <fgColor indexed="64"/>
          <bgColor indexed="65"/>
        </patternFill>
      </fill>
    </dxf>
    <dxf>
      <font>
        <b val="0"/>
        <i val="0"/>
        <strike val="0"/>
        <condense val="0"/>
        <extend val="0"/>
        <outline val="0"/>
        <shadow val="0"/>
        <u val="none"/>
        <vertAlign val="baseline"/>
        <sz val="14"/>
        <color auto="1"/>
        <name val="Helvetica Neue Light"/>
        <scheme val="none"/>
      </font>
    </dxf>
    <dxf>
      <font>
        <b val="0"/>
        <i val="0"/>
        <strike val="0"/>
        <condense val="0"/>
        <extend val="0"/>
        <outline val="0"/>
        <shadow val="0"/>
        <u val="none"/>
        <vertAlign val="baseline"/>
        <sz val="14"/>
        <color auto="1"/>
        <name val="Helvetica Neue Light"/>
        <scheme val="none"/>
      </font>
      <numFmt numFmtId="2" formatCode="0.00"/>
      <fill>
        <patternFill patternType="none">
          <fgColor indexed="64"/>
          <bgColor auto="1"/>
        </patternFill>
      </fill>
    </dxf>
    <dxf>
      <font>
        <b val="0"/>
        <i val="0"/>
        <strike val="0"/>
        <condense val="0"/>
        <extend val="0"/>
        <outline val="0"/>
        <shadow val="0"/>
        <u val="none"/>
        <vertAlign val="baseline"/>
        <sz val="14"/>
        <color auto="1"/>
        <name val="Helvetica Neue Light"/>
        <scheme val="none"/>
      </font>
    </dxf>
    <dxf>
      <font>
        <b val="0"/>
        <i val="0"/>
        <strike val="0"/>
        <condense val="0"/>
        <extend val="0"/>
        <outline val="0"/>
        <shadow val="0"/>
        <u val="none"/>
        <vertAlign val="baseline"/>
        <sz val="14"/>
        <color auto="1"/>
        <name val="Helvetica Neue Light"/>
        <scheme val="none"/>
      </font>
      <numFmt numFmtId="2" formatCode="0.00"/>
      <fill>
        <patternFill patternType="none">
          <fgColor indexed="64"/>
          <bgColor auto="1"/>
        </patternFill>
      </fill>
    </dxf>
    <dxf>
      <font>
        <b val="0"/>
        <i val="0"/>
        <strike val="0"/>
        <condense val="0"/>
        <extend val="0"/>
        <outline val="0"/>
        <shadow val="0"/>
        <u val="none"/>
        <vertAlign val="baseline"/>
        <sz val="14"/>
        <color theme="1"/>
        <name val="Helvetica Neue Light"/>
        <scheme val="none"/>
      </font>
    </dxf>
    <dxf>
      <font>
        <b val="0"/>
        <i val="0"/>
        <strike val="0"/>
        <condense val="0"/>
        <extend val="0"/>
        <outline val="0"/>
        <shadow val="0"/>
        <u val="none"/>
        <vertAlign val="baseline"/>
        <sz val="14"/>
        <color theme="1"/>
        <name val="Helvetica Neue Light"/>
        <scheme val="none"/>
      </font>
      <numFmt numFmtId="2" formatCode="0.00"/>
      <fill>
        <patternFill patternType="none">
          <fgColor indexed="64"/>
          <bgColor indexed="65"/>
        </patternFill>
      </fill>
    </dxf>
    <dxf>
      <font>
        <b val="0"/>
        <i val="0"/>
        <strike val="0"/>
        <condense val="0"/>
        <extend val="0"/>
        <outline val="0"/>
        <shadow val="0"/>
        <u val="none"/>
        <vertAlign val="baseline"/>
        <sz val="14"/>
        <color theme="1"/>
        <name val="Helvetica Neue Light"/>
        <scheme val="none"/>
      </font>
    </dxf>
    <dxf>
      <font>
        <b val="0"/>
        <i val="0"/>
        <strike val="0"/>
        <condense val="0"/>
        <extend val="0"/>
        <outline val="0"/>
        <shadow val="0"/>
        <u val="none"/>
        <vertAlign val="baseline"/>
        <sz val="14"/>
        <color theme="1"/>
        <name val="Helvetica Neue Light"/>
        <scheme val="none"/>
      </font>
      <numFmt numFmtId="2" formatCode="0.00"/>
      <fill>
        <patternFill patternType="none">
          <fgColor indexed="64"/>
          <bgColor auto="1"/>
        </patternFill>
      </fill>
    </dxf>
    <dxf>
      <font>
        <b val="0"/>
        <i val="0"/>
        <strike val="0"/>
        <condense val="0"/>
        <extend val="0"/>
        <outline val="0"/>
        <shadow val="0"/>
        <u val="none"/>
        <vertAlign val="baseline"/>
        <sz val="14"/>
        <color theme="1"/>
        <name val="Helvetica Neue Light"/>
        <scheme val="none"/>
      </font>
    </dxf>
    <dxf>
      <font>
        <b val="0"/>
        <i val="0"/>
        <strike val="0"/>
        <condense val="0"/>
        <extend val="0"/>
        <outline val="0"/>
        <shadow val="0"/>
        <u val="none"/>
        <vertAlign val="baseline"/>
        <sz val="14"/>
        <color theme="1"/>
        <name val="Helvetica Neue Light"/>
        <scheme val="none"/>
      </font>
      <numFmt numFmtId="2" formatCode="0.00"/>
      <fill>
        <patternFill patternType="none">
          <fgColor indexed="64"/>
          <bgColor auto="1"/>
        </patternFill>
      </fill>
    </dxf>
    <dxf>
      <font>
        <b val="0"/>
        <i val="0"/>
        <strike val="0"/>
        <condense val="0"/>
        <extend val="0"/>
        <outline val="0"/>
        <shadow val="0"/>
        <u val="none"/>
        <vertAlign val="baseline"/>
        <sz val="14"/>
        <color theme="1"/>
        <name val="Helvetica Neue Light"/>
        <scheme val="none"/>
      </font>
    </dxf>
    <dxf>
      <font>
        <b val="0"/>
        <i val="0"/>
        <strike val="0"/>
        <condense val="0"/>
        <extend val="0"/>
        <outline val="0"/>
        <shadow val="0"/>
        <u val="none"/>
        <vertAlign val="baseline"/>
        <sz val="14"/>
        <color theme="1"/>
        <name val="Helvetica Neue Light"/>
        <scheme val="none"/>
      </font>
      <numFmt numFmtId="2" formatCode="0.00"/>
      <fill>
        <patternFill patternType="none">
          <fgColor indexed="64"/>
          <bgColor auto="1"/>
        </patternFill>
      </fill>
    </dxf>
    <dxf>
      <font>
        <b val="0"/>
        <i val="0"/>
        <strike val="0"/>
        <condense val="0"/>
        <extend val="0"/>
        <outline val="0"/>
        <shadow val="0"/>
        <u val="none"/>
        <vertAlign val="baseline"/>
        <sz val="14"/>
        <color theme="1"/>
        <name val="Helvetica Neue Light"/>
        <scheme val="none"/>
      </font>
    </dxf>
    <dxf>
      <font>
        <b val="0"/>
        <i val="0"/>
        <strike val="0"/>
        <condense val="0"/>
        <extend val="0"/>
        <outline val="0"/>
        <shadow val="0"/>
        <u val="none"/>
        <vertAlign val="baseline"/>
        <sz val="14"/>
        <color theme="1"/>
        <name val="Helvetica Neue Light"/>
        <scheme val="none"/>
      </font>
      <numFmt numFmtId="2" formatCode="0.00"/>
      <fill>
        <patternFill patternType="none">
          <fgColor indexed="64"/>
          <bgColor auto="1"/>
        </patternFill>
      </fill>
    </dxf>
    <dxf>
      <font>
        <b val="0"/>
        <i val="0"/>
        <strike val="0"/>
        <condense val="0"/>
        <extend val="0"/>
        <outline val="0"/>
        <shadow val="0"/>
        <u val="none"/>
        <vertAlign val="baseline"/>
        <sz val="14"/>
        <color theme="1"/>
        <name val="Helvetica Neue Light"/>
        <scheme val="none"/>
      </font>
    </dxf>
    <dxf>
      <font>
        <b val="0"/>
        <i val="0"/>
        <strike val="0"/>
        <condense val="0"/>
        <extend val="0"/>
        <outline val="0"/>
        <shadow val="0"/>
        <u val="none"/>
        <vertAlign val="baseline"/>
        <sz val="14"/>
        <color theme="1"/>
        <name val="Helvetica Neue Light"/>
        <scheme val="none"/>
      </font>
      <fill>
        <patternFill patternType="none">
          <fgColor indexed="64"/>
          <bgColor indexed="65"/>
        </patternFill>
      </fill>
    </dxf>
    <dxf>
      <font>
        <b val="0"/>
        <i val="0"/>
        <strike val="0"/>
        <condense val="0"/>
        <extend val="0"/>
        <outline val="0"/>
        <shadow val="0"/>
        <u val="none"/>
        <vertAlign val="baseline"/>
        <sz val="14"/>
        <color theme="1"/>
        <name val="Helvetica Neue Light"/>
        <scheme val="none"/>
      </font>
    </dxf>
    <dxf>
      <font>
        <b val="0"/>
        <i val="0"/>
        <strike val="0"/>
        <condense val="0"/>
        <extend val="0"/>
        <outline val="0"/>
        <shadow val="0"/>
        <u val="none"/>
        <vertAlign val="baseline"/>
        <sz val="14"/>
        <color theme="1"/>
        <name val="Helvetica Neue Light"/>
        <scheme val="none"/>
      </font>
      <fill>
        <patternFill patternType="none">
          <fgColor indexed="64"/>
          <bgColor auto="1"/>
        </patternFill>
      </fill>
    </dxf>
    <dxf>
      <font>
        <b val="0"/>
        <i val="0"/>
        <strike val="0"/>
        <condense val="0"/>
        <extend val="0"/>
        <outline val="0"/>
        <shadow val="0"/>
        <u val="none"/>
        <vertAlign val="baseline"/>
        <sz val="14"/>
        <color theme="1"/>
        <name val="Helvetica Neue Light"/>
        <scheme val="none"/>
      </font>
      <alignment horizontal="general" vertical="bottom" textRotation="0" wrapText="1" indent="0" justifyLastLine="0" shrinkToFit="0" readingOrder="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general" vertical="center" textRotation="0" wrapText="0" indent="0" justifyLastLine="0" shrinkToFit="0" readingOrder="0"/>
      <border diagonalUp="0" diagonalDown="0">
        <left style="thin">
          <color theme="2" tint="-9.9948118533890809E-2"/>
        </left>
        <right style="thin">
          <color theme="2" tint="-9.9948118533890809E-2"/>
        </right>
        <top style="thin">
          <color theme="2" tint="-9.9948118533890809E-2"/>
        </top>
        <bottom style="thin">
          <color theme="2" tint="-9.9948118533890809E-2"/>
        </bottom>
        <vertical/>
        <horizontal/>
      </border>
    </dxf>
    <dxf>
      <font>
        <b val="0"/>
        <i val="0"/>
        <strike val="0"/>
        <condense val="0"/>
        <extend val="0"/>
        <outline val="0"/>
        <shadow val="0"/>
        <u val="none"/>
        <vertAlign val="baseline"/>
        <sz val="14"/>
        <color theme="1"/>
        <name val="Helvetica Neue Light"/>
        <scheme val="none"/>
      </font>
      <alignment horizontal="general" vertical="bottom" textRotation="0" wrapText="1" indent="0" justifyLastLine="0" shrinkToFit="0" readingOrder="0"/>
    </dxf>
    <dxf>
      <font>
        <b val="0"/>
        <i val="0"/>
        <strike val="0"/>
        <condense val="0"/>
        <extend val="0"/>
        <outline val="0"/>
        <shadow val="0"/>
        <u val="none"/>
        <vertAlign val="baseline"/>
        <sz val="14"/>
        <color theme="1"/>
        <name val="Helvetica Neue Light"/>
        <scheme val="none"/>
      </font>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Helvetica Neue Light"/>
        <scheme val="none"/>
      </font>
    </dxf>
    <dxf>
      <font>
        <b val="0"/>
        <i val="0"/>
        <strike val="0"/>
        <condense val="0"/>
        <extend val="0"/>
        <outline val="0"/>
        <shadow val="0"/>
        <u val="none"/>
        <vertAlign val="baseline"/>
        <sz val="14"/>
        <color theme="1"/>
        <name val="Helvetica Neue Light"/>
        <scheme val="none"/>
      </font>
      <fill>
        <patternFill patternType="none">
          <fgColor indexed="64"/>
          <bgColor auto="1"/>
        </patternFill>
      </fill>
    </dxf>
    <dxf>
      <font>
        <b val="0"/>
        <i val="0"/>
        <strike val="0"/>
        <condense val="0"/>
        <extend val="0"/>
        <outline val="0"/>
        <shadow val="0"/>
        <u val="none"/>
        <vertAlign val="baseline"/>
        <sz val="14"/>
        <color theme="1"/>
        <name val="Helvetica Neue Light"/>
        <scheme val="none"/>
      </font>
      <fill>
        <patternFill patternType="none">
          <fgColor indexed="64"/>
          <bgColor auto="1"/>
        </patternFill>
      </fill>
    </dxf>
    <dxf>
      <font>
        <b val="0"/>
        <i val="0"/>
        <strike val="0"/>
        <condense val="0"/>
        <extend val="0"/>
        <outline val="0"/>
        <shadow val="0"/>
        <u val="none"/>
        <vertAlign val="baseline"/>
        <sz val="14"/>
        <color theme="1"/>
        <name val="Helvetica Neue Light"/>
        <scheme val="none"/>
      </font>
      <fill>
        <patternFill patternType="none">
          <fgColor indexed="64"/>
          <bgColor auto="1"/>
        </patternFill>
      </fill>
      <alignment horizontal="general" textRotation="0" wrapText="1" indent="0" justifyLastLine="0" shrinkToFit="0" readingOrder="0"/>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4"/>
        <color theme="1"/>
        <name val="Helvetica Neue Light"/>
        <scheme val="none"/>
      </font>
      <numFmt numFmtId="2" formatCode="0.00"/>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numFmt numFmtId="166" formatCode="_-[$$-C09]* #,##0.00_-;\-[$$-C09]* #,##0.00_-;_-[$$-C09]* &quot;-&quot;??_-;_-@_-"/>
      <fill>
        <patternFill patternType="none">
          <fgColor indexed="64"/>
          <bgColor auto="1"/>
        </patternFill>
      </fill>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4" formatCode="_(&quot;$&quot;* #,##0.00_);_(&quot;$&quot;* \(#,##0.00\);_(&quot;$&quot;* &quot;-&quot;??_);_(@_)"/>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numFmt numFmtId="164" formatCode="_(&quot;$&quot;* #,##0.00_);_(&quot;$&quot;* \(#,##0.00\);_(&quot;$&quot;* &quot;-&quot;??_);_(@_)"/>
      <fill>
        <patternFill patternType="none">
          <fgColor indexed="64"/>
          <bgColor auto="1"/>
        </patternFill>
      </fill>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4" formatCode="_(&quot;$&quot;* #,##0.00_);_(&quot;$&quot;* \(#,##0.00\);_(&quot;$&quot;* &quot;-&quot;??_);_(@_)"/>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numFmt numFmtId="166" formatCode="_-[$$-C09]* #,##0.00_-;\-[$$-C09]* #,##0.00_-;_-[$$-C09]* &quot;-&quot;??_-;_-@_-"/>
      <fill>
        <patternFill patternType="none">
          <fgColor indexed="64"/>
          <bgColor indexed="65"/>
        </patternFill>
      </fill>
      <alignment horizontal="general" vertical="center" textRotation="0" wrapText="0" indent="0" justifyLastLine="0" shrinkToFit="0" readingOrder="0"/>
      <border diagonalUp="0" diagonalDown="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numFmt numFmtId="166" formatCode="_-[$$-C09]* #,##0.00_-;\-[$$-C09]* #,##0.00_-;_-[$$-C09]* &quot;-&quot;??_-;_-@_-"/>
      <fill>
        <patternFill patternType="none">
          <fgColor indexed="64"/>
          <bgColor auto="1"/>
        </patternFill>
      </fill>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numFmt numFmtId="166" formatCode="_-[$$-C09]* #,##0.00_-;\-[$$-C09]* #,##0.00_-;_-[$$-C09]* &quot;-&quot;??_-;_-@_-"/>
      <fill>
        <patternFill patternType="none">
          <fgColor indexed="64"/>
          <bgColor indexed="65"/>
        </patternFill>
      </fill>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theme="1"/>
        <name val="Helvetica Neue Light"/>
        <scheme val="none"/>
      </font>
      <fill>
        <patternFill patternType="none">
          <fgColor indexed="64"/>
          <bgColor auto="1"/>
        </patternFill>
      </fill>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theme="1"/>
        <name val="Helvetica Neue Light"/>
        <scheme val="none"/>
      </font>
      <fill>
        <patternFill patternType="none">
          <fgColor indexed="64"/>
          <bgColor auto="1"/>
        </patternFill>
      </fill>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border diagonalUp="0" diagonalDown="0" outline="0">
        <left style="thin">
          <color theme="2" tint="-9.9948118533890809E-2"/>
        </left>
        <right style="thin">
          <color theme="2" tint="-9.9948118533890809E-2"/>
        </right>
        <top/>
        <bottom/>
      </border>
    </dxf>
    <dxf>
      <font>
        <b val="0"/>
        <i val="0"/>
        <strike val="0"/>
        <condense val="0"/>
        <extend val="0"/>
        <outline val="0"/>
        <shadow val="0"/>
        <u val="none"/>
        <vertAlign val="baseline"/>
        <sz val="14"/>
        <color theme="1"/>
        <name val="Helvetica Neue Light"/>
        <scheme val="none"/>
      </font>
      <fill>
        <patternFill patternType="none">
          <fgColor indexed="64"/>
          <bgColor auto="1"/>
        </patternFill>
      </fill>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ill>
        <patternFill patternType="none">
          <fgColor indexed="64"/>
          <bgColor auto="1"/>
        </patternFill>
      </fill>
    </dxf>
    <dxf>
      <border outline="0">
        <bottom style="thin">
          <color rgb="FFD0CECE"/>
        </bottom>
      </border>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vertical="top" textRotation="0" indent="0" justifyLastLine="0" shrinkToFit="0" readingOrder="0"/>
    </dxf>
    <dxf>
      <alignment horizontal="general" vertical="bottom" textRotation="0" wrapText="1" indent="0" justifyLastLine="0" shrinkToFit="0" readingOrder="0"/>
    </dxf>
    <dxf>
      <border outline="0">
        <top style="thin">
          <color theme="8" tint="0.39997558519241921"/>
        </top>
      </border>
    </dxf>
    <dxf>
      <border outline="0">
        <left style="thin">
          <color theme="8" tint="0.39997558519241921"/>
        </left>
        <right style="thin">
          <color theme="8" tint="0.39997558519241921"/>
        </right>
        <top style="thin">
          <color theme="8" tint="0.39997558519241921"/>
        </top>
        <bottom style="thin">
          <color theme="8" tint="0.39997558519241921"/>
        </bottom>
      </border>
    </dxf>
    <dxf>
      <border outline="0">
        <bottom style="thin">
          <color theme="8" tint="0.39997558519241921"/>
        </bottom>
      </border>
    </dxf>
    <dxf>
      <font>
        <b/>
        <i val="0"/>
        <strike val="0"/>
        <condense val="0"/>
        <extend val="0"/>
        <outline val="0"/>
        <shadow val="0"/>
        <u val="none"/>
        <vertAlign val="baseline"/>
        <sz val="12"/>
        <color theme="0"/>
        <name val="Calibri"/>
        <family val="2"/>
        <scheme val="minor"/>
      </font>
      <fill>
        <patternFill patternType="solid">
          <fgColor theme="8"/>
          <bgColor theme="8"/>
        </patternFill>
      </fill>
    </dxf>
    <dxf>
      <numFmt numFmtId="0" formatCode="General"/>
    </dxf>
    <dxf>
      <border outline="0">
        <top style="thin">
          <color theme="8" tint="0.39997558519241921"/>
        </top>
      </border>
    </dxf>
    <dxf>
      <border outline="0">
        <left style="thin">
          <color theme="8" tint="0.39997558519241921"/>
        </left>
        <right style="thin">
          <color theme="8" tint="0.39997558519241921"/>
        </right>
        <top style="thin">
          <color theme="8" tint="0.39997558519241921"/>
        </top>
        <bottom style="thin">
          <color theme="8" tint="0.39997558519241921"/>
        </bottom>
      </border>
    </dxf>
    <dxf>
      <border outline="0">
        <bottom style="thin">
          <color theme="8" tint="0.39997558519241921"/>
        </bottom>
      </border>
    </dxf>
    <dxf>
      <font>
        <b/>
        <i val="0"/>
        <strike val="0"/>
        <condense val="0"/>
        <extend val="0"/>
        <outline val="0"/>
        <shadow val="0"/>
        <u val="none"/>
        <vertAlign val="baseline"/>
        <sz val="12"/>
        <color theme="0"/>
        <name val="Calibri"/>
        <family val="2"/>
        <scheme val="minor"/>
      </font>
      <fill>
        <patternFill patternType="solid">
          <fgColor theme="8"/>
          <bgColor theme="8"/>
        </patternFill>
      </fill>
    </dxf>
    <dxf>
      <numFmt numFmtId="0" formatCode="General"/>
    </dxf>
    <dxf>
      <numFmt numFmtId="0" formatCode="General"/>
    </dxf>
    <dxf>
      <font>
        <b/>
        <i val="0"/>
        <strike val="0"/>
        <condense val="0"/>
        <extend val="0"/>
        <outline val="0"/>
        <shadow val="0"/>
        <u val="none"/>
        <vertAlign val="baseline"/>
        <sz val="12"/>
        <color theme="1"/>
        <name val="Calibri"/>
        <family val="2"/>
        <scheme val="minor"/>
      </font>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none">
          <fgColor indexed="64"/>
          <bgColor auto="1"/>
        </patternFill>
      </fill>
    </dxf>
    <dxf>
      <numFmt numFmtId="165" formatCode="&quot;$&quot;#,##0.00"/>
    </dxf>
    <dxf>
      <numFmt numFmtId="0" formatCode="General"/>
    </dxf>
    <dxf>
      <numFmt numFmtId="0" formatCode="General"/>
    </dxf>
    <dxf>
      <numFmt numFmtId="0" formatCode="General"/>
    </dxf>
    <dxf>
      <numFmt numFmtId="2" formatCode="0.00"/>
    </dxf>
    <dxf>
      <numFmt numFmtId="165" formatCode="&quot;$&quot;#,##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medium">
          <color indexed="64"/>
        </top>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2" tint="-0.749992370372631"/>
        <name val="Helvetica Neue Light"/>
        <scheme val="none"/>
      </font>
      <fill>
        <patternFill patternType="none">
          <fgColor indexed="64"/>
          <bgColor auto="1"/>
        </patternFill>
      </fill>
      <alignment horizontal="left" vertical="top" textRotation="0" wrapText="1" indent="1" justifyLastLine="0" shrinkToFit="0" readingOrder="0"/>
    </dxf>
    <dxf>
      <font>
        <b val="0"/>
        <i val="0"/>
        <strike val="0"/>
        <condense val="0"/>
        <extend val="0"/>
        <outline val="0"/>
        <shadow val="0"/>
        <u val="none"/>
        <vertAlign val="baseline"/>
        <sz val="12"/>
        <color theme="2" tint="-0.749992370372631"/>
        <name val="Helvetica Neue Light"/>
        <scheme val="none"/>
      </font>
      <fill>
        <patternFill patternType="none">
          <fgColor indexed="64"/>
          <bgColor auto="1"/>
        </patternFill>
      </fill>
      <alignment horizontal="left" vertical="top" textRotation="0" wrapText="1" indent="1" justifyLastLine="0" shrinkToFit="0" readingOrder="0"/>
    </dxf>
    <dxf>
      <font>
        <b val="0"/>
        <i val="0"/>
        <strike val="0"/>
        <condense val="0"/>
        <extend val="0"/>
        <outline val="0"/>
        <shadow val="0"/>
        <u val="none"/>
        <vertAlign val="baseline"/>
        <sz val="12"/>
        <color theme="2" tint="-0.749992370372631"/>
        <name val="Helvetica Neue Light"/>
        <scheme val="none"/>
      </font>
      <fill>
        <patternFill patternType="none">
          <fgColor indexed="64"/>
          <bgColor auto="1"/>
        </patternFill>
      </fill>
      <alignment horizontal="left" vertical="top" textRotation="0" wrapText="1" indent="1" justifyLastLine="0" shrinkToFit="0" readingOrder="0"/>
    </dxf>
    <dxf>
      <font>
        <b val="0"/>
        <i val="0"/>
        <strike val="0"/>
        <condense val="0"/>
        <extend val="0"/>
        <outline val="0"/>
        <shadow val="0"/>
        <u val="none"/>
        <vertAlign val="baseline"/>
        <sz val="12"/>
        <color theme="2" tint="-0.749992370372631"/>
        <name val="Helvetica Neue Light"/>
        <scheme val="none"/>
      </font>
      <fill>
        <patternFill patternType="none">
          <fgColor indexed="64"/>
          <bgColor auto="1"/>
        </patternFill>
      </fill>
      <alignment horizontal="left" vertical="top" textRotation="0" wrapText="1" indent="1" justifyLastLine="0" shrinkToFit="0" readingOrder="0"/>
    </dxf>
    <dxf>
      <font>
        <b val="0"/>
        <i val="0"/>
        <strike val="0"/>
        <condense val="0"/>
        <extend val="0"/>
        <outline val="0"/>
        <shadow val="0"/>
        <u val="none"/>
        <vertAlign val="baseline"/>
        <sz val="12"/>
        <color theme="2" tint="-0.749992370372631"/>
        <name val="Helvetica Neue Light"/>
        <scheme val="none"/>
      </font>
      <fill>
        <patternFill patternType="none">
          <fgColor indexed="64"/>
          <bgColor auto="1"/>
        </patternFill>
      </fill>
      <alignment horizontal="left" vertical="top" textRotation="0" wrapText="1" indent="1" justifyLastLine="0" shrinkToFit="0" readingOrder="0"/>
    </dxf>
    <dxf>
      <font>
        <b/>
        <i val="0"/>
        <strike val="0"/>
        <condense val="0"/>
        <extend val="0"/>
        <outline val="0"/>
        <shadow val="0"/>
        <u val="none"/>
        <vertAlign val="baseline"/>
        <sz val="12"/>
        <color theme="0"/>
        <name val="Helvetica Neue Light"/>
        <scheme val="none"/>
      </font>
      <fill>
        <patternFill patternType="solid">
          <fgColor indexed="64"/>
          <bgColor theme="9"/>
        </patternFill>
      </fill>
      <alignment horizontal="left" vertical="top" textRotation="0" wrapText="1" indent="1" justifyLastLine="0" shrinkToFit="0" readingOrder="0"/>
    </dxf>
    <dxf>
      <font>
        <b val="0"/>
        <i val="0"/>
        <strike val="0"/>
        <condense val="0"/>
        <extend val="0"/>
        <outline val="0"/>
        <shadow val="0"/>
        <u val="none"/>
        <vertAlign val="baseline"/>
        <sz val="12"/>
        <color theme="1"/>
        <name val="Helvetica Neue Light"/>
        <scheme val="none"/>
      </font>
      <fill>
        <patternFill patternType="none">
          <fgColor indexed="64"/>
          <bgColor auto="1"/>
        </patternFill>
      </fill>
      <alignment horizontal="left" vertical="top" textRotation="0" wrapText="1" indent="1" justifyLastLine="0" shrinkToFit="0" readingOrder="0"/>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2"/>
        <color theme="1"/>
        <name val="Helvetica Neue Light"/>
        <scheme val="none"/>
      </font>
      <numFmt numFmtId="165" formatCode="&quot;$&quot;#,##0.00"/>
      <fill>
        <patternFill patternType="solid">
          <fgColor indexed="64"/>
          <bgColor theme="0" tint="-0.34998626667073579"/>
        </patternFill>
      </fill>
    </dxf>
    <dxf>
      <font>
        <b val="0"/>
        <i val="0"/>
        <strike val="0"/>
        <condense val="0"/>
        <extend val="0"/>
        <outline val="0"/>
        <shadow val="0"/>
        <u val="none"/>
        <vertAlign val="baseline"/>
        <sz val="12"/>
        <color theme="1"/>
        <name val="Helvetica Neue Light"/>
        <scheme val="none"/>
      </font>
      <numFmt numFmtId="165" formatCode="&quot;$&quot;#,##0.00"/>
      <fill>
        <patternFill patternType="none">
          <fgColor indexed="64"/>
          <bgColor auto="1"/>
        </patternFill>
      </fill>
    </dxf>
    <dxf>
      <font>
        <b val="0"/>
        <i val="0"/>
        <strike val="0"/>
        <condense val="0"/>
        <extend val="0"/>
        <outline val="0"/>
        <shadow val="0"/>
        <u val="none"/>
        <vertAlign val="baseline"/>
        <sz val="12"/>
        <color theme="1"/>
        <name val="Helvetica Neue Light"/>
        <scheme val="none"/>
      </font>
      <numFmt numFmtId="165" formatCode="&quot;$&quot;#,##0.00"/>
      <fill>
        <patternFill patternType="solid">
          <fgColor indexed="64"/>
          <bgColor theme="0" tint="-0.34998626667073579"/>
        </patternFill>
      </fill>
    </dxf>
    <dxf>
      <font>
        <b val="0"/>
        <i val="0"/>
        <strike val="0"/>
        <condense val="0"/>
        <extend val="0"/>
        <outline val="0"/>
        <shadow val="0"/>
        <u val="none"/>
        <vertAlign val="baseline"/>
        <sz val="12"/>
        <color theme="1"/>
        <name val="Helvetica Neue Light"/>
        <scheme val="none"/>
      </font>
      <numFmt numFmtId="165" formatCode="&quot;$&quot;#,##0.00"/>
      <fill>
        <patternFill patternType="none">
          <fgColor indexed="64"/>
          <bgColor auto="1"/>
        </patternFill>
      </fill>
    </dxf>
    <dxf>
      <font>
        <b val="0"/>
        <i val="0"/>
        <strike val="0"/>
        <condense val="0"/>
        <extend val="0"/>
        <outline val="0"/>
        <shadow val="0"/>
        <u val="none"/>
        <vertAlign val="baseline"/>
        <sz val="12"/>
        <color theme="1"/>
        <name val="Helvetica Neue Light"/>
        <scheme val="none"/>
      </font>
    </dxf>
    <dxf>
      <font>
        <b val="0"/>
        <i val="0"/>
        <strike val="0"/>
        <condense val="0"/>
        <extend val="0"/>
        <outline val="0"/>
        <shadow val="0"/>
        <u val="none"/>
        <vertAlign val="baseline"/>
        <sz val="12"/>
        <color theme="1"/>
        <name val="Helvetica Neue Light"/>
        <scheme val="none"/>
      </font>
      <fill>
        <patternFill patternType="none">
          <fgColor indexed="64"/>
          <bgColor auto="1"/>
        </patternFill>
      </fill>
      <protection locked="0" hidden="0"/>
    </dxf>
    <dxf>
      <font>
        <b val="0"/>
        <i val="0"/>
        <strike val="0"/>
        <condense val="0"/>
        <extend val="0"/>
        <outline val="0"/>
        <shadow val="0"/>
        <u val="none"/>
        <vertAlign val="baseline"/>
        <sz val="12"/>
        <color theme="1"/>
        <name val="Helvetica Neue Light"/>
        <scheme val="none"/>
      </font>
      <fill>
        <patternFill patternType="solid">
          <fgColor indexed="64"/>
          <bgColor theme="0" tint="-0.34998626667073579"/>
        </patternFill>
      </fill>
    </dxf>
    <dxf>
      <font>
        <b val="0"/>
        <i val="0"/>
        <strike val="0"/>
        <condense val="0"/>
        <extend val="0"/>
        <outline val="0"/>
        <shadow val="0"/>
        <u val="none"/>
        <vertAlign val="baseline"/>
        <sz val="12"/>
        <color theme="1"/>
        <name val="Helvetica Neue Light"/>
        <scheme val="none"/>
      </font>
      <numFmt numFmtId="0" formatCode="General"/>
      <fill>
        <patternFill patternType="none">
          <fgColor indexed="64"/>
          <bgColor indexed="65"/>
        </patternFill>
      </fill>
    </dxf>
    <dxf>
      <font>
        <b val="0"/>
        <i val="0"/>
        <strike val="0"/>
        <condense val="0"/>
        <extend val="0"/>
        <outline val="0"/>
        <shadow val="0"/>
        <u val="none"/>
        <vertAlign val="baseline"/>
        <sz val="12"/>
        <color theme="1"/>
        <name val="Helvetica Neue Light"/>
        <scheme val="none"/>
      </font>
    </dxf>
    <dxf>
      <font>
        <b val="0"/>
        <i val="0"/>
        <strike val="0"/>
        <condense val="0"/>
        <extend val="0"/>
        <outline val="0"/>
        <shadow val="0"/>
        <u val="none"/>
        <vertAlign val="baseline"/>
        <sz val="12"/>
        <color theme="1"/>
        <name val="Helvetica Neue Light"/>
        <scheme val="none"/>
      </font>
      <fill>
        <patternFill patternType="none">
          <fgColor indexed="64"/>
          <bgColor auto="1"/>
        </patternFill>
      </fill>
      <alignment horizontal="general" vertical="bottom" textRotation="0" wrapText="1" indent="0" justifyLastLine="0" shrinkToFit="0" readingOrder="0"/>
      <protection locked="0" hidden="0"/>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2"/>
        <color theme="1"/>
        <name val="Helvetica Neue Light"/>
        <scheme val="none"/>
      </font>
      <numFmt numFmtId="165" formatCode="&quot;$&quot;#,##0.00"/>
    </dxf>
    <dxf>
      <font>
        <b val="0"/>
        <i val="0"/>
        <strike val="0"/>
        <condense val="0"/>
        <extend val="0"/>
        <outline val="0"/>
        <shadow val="0"/>
        <u val="none"/>
        <vertAlign val="baseline"/>
        <sz val="12"/>
        <color theme="1"/>
        <name val="Helvetica Neue Light"/>
        <scheme val="none"/>
      </font>
      <numFmt numFmtId="165" formatCode="&quot;$&quot;#,##0.00"/>
      <fill>
        <patternFill patternType="none">
          <fgColor indexed="64"/>
          <bgColor auto="1"/>
        </patternFill>
      </fill>
    </dxf>
    <dxf>
      <font>
        <b val="0"/>
        <i val="0"/>
        <strike val="0"/>
        <condense val="0"/>
        <extend val="0"/>
        <outline val="0"/>
        <shadow val="0"/>
        <u val="none"/>
        <vertAlign val="baseline"/>
        <sz val="12"/>
        <color theme="1"/>
        <name val="Helvetica Neue Light"/>
        <scheme val="none"/>
      </font>
      <numFmt numFmtId="165" formatCode="&quot;$&quot;#,##0.00"/>
    </dxf>
    <dxf>
      <font>
        <b val="0"/>
        <i val="0"/>
        <strike val="0"/>
        <condense val="0"/>
        <extend val="0"/>
        <outline val="0"/>
        <shadow val="0"/>
        <u val="none"/>
        <vertAlign val="baseline"/>
        <sz val="12"/>
        <color theme="1"/>
        <name val="Helvetica Neue Light"/>
        <scheme val="none"/>
      </font>
      <numFmt numFmtId="165" formatCode="&quot;$&quot;#,##0.00"/>
      <fill>
        <patternFill patternType="none">
          <fgColor indexed="64"/>
          <bgColor auto="1"/>
        </patternFill>
      </fill>
    </dxf>
    <dxf>
      <font>
        <b val="0"/>
        <i val="0"/>
        <strike val="0"/>
        <condense val="0"/>
        <extend val="0"/>
        <outline val="0"/>
        <shadow val="0"/>
        <u val="none"/>
        <vertAlign val="baseline"/>
        <sz val="12"/>
        <color theme="1"/>
        <name val="Helvetica Neue Light"/>
        <scheme val="none"/>
      </font>
    </dxf>
    <dxf>
      <font>
        <b val="0"/>
        <i val="0"/>
        <strike val="0"/>
        <condense val="0"/>
        <extend val="0"/>
        <outline val="0"/>
        <shadow val="0"/>
        <u val="none"/>
        <vertAlign val="baseline"/>
        <sz val="12"/>
        <color theme="1"/>
        <name val="Helvetica Neue Light"/>
        <scheme val="none"/>
      </font>
      <numFmt numFmtId="0" formatCode="General"/>
      <fill>
        <patternFill patternType="none">
          <fgColor indexed="64"/>
          <bgColor auto="1"/>
        </patternFill>
      </fill>
    </dxf>
    <dxf>
      <font>
        <b val="0"/>
        <i val="0"/>
        <strike val="0"/>
        <condense val="0"/>
        <extend val="0"/>
        <outline val="0"/>
        <shadow val="0"/>
        <u val="none"/>
        <vertAlign val="baseline"/>
        <sz val="12"/>
        <color theme="1"/>
        <name val="Helvetica Neue Light"/>
        <scheme val="none"/>
      </font>
    </dxf>
    <dxf>
      <font>
        <b val="0"/>
        <i val="0"/>
        <strike val="0"/>
        <condense val="0"/>
        <extend val="0"/>
        <outline val="0"/>
        <shadow val="0"/>
        <u val="none"/>
        <vertAlign val="baseline"/>
        <sz val="12"/>
        <color theme="1"/>
        <name val="Helvetica Neue Light"/>
        <scheme val="none"/>
      </font>
      <fill>
        <patternFill patternType="none">
          <fgColor indexed="64"/>
          <bgColor indexed="65"/>
        </patternFill>
      </fill>
    </dxf>
    <dxf>
      <font>
        <b val="0"/>
        <i val="0"/>
        <strike val="0"/>
        <condense val="0"/>
        <extend val="0"/>
        <outline val="0"/>
        <shadow val="0"/>
        <u val="none"/>
        <vertAlign val="baseline"/>
        <sz val="12"/>
        <color theme="1"/>
        <name val="Helvetica Neue Light"/>
        <scheme val="none"/>
      </font>
    </dxf>
    <dxf>
      <font>
        <b val="0"/>
        <i val="0"/>
        <strike val="0"/>
        <condense val="0"/>
        <extend val="0"/>
        <outline val="0"/>
        <shadow val="0"/>
        <u val="none"/>
        <vertAlign val="baseline"/>
        <sz val="12"/>
        <color theme="1"/>
        <name val="Helvetica Neue Light"/>
        <scheme val="none"/>
      </font>
      <numFmt numFmtId="0" formatCode="General"/>
      <fill>
        <patternFill patternType="none">
          <fgColor indexed="64"/>
          <bgColor indexed="65"/>
        </patternFill>
      </fill>
    </dxf>
    <dxf>
      <font>
        <b val="0"/>
        <i val="0"/>
        <strike val="0"/>
        <condense val="0"/>
        <extend val="0"/>
        <outline val="0"/>
        <shadow val="0"/>
        <u val="none"/>
        <vertAlign val="baseline"/>
        <sz val="12"/>
        <color theme="1"/>
        <name val="Helvetica Neue Light"/>
        <scheme val="none"/>
      </font>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2"/>
        <color theme="1"/>
        <name val="Helvetica Neue Light"/>
        <scheme val="none"/>
      </font>
      <numFmt numFmtId="165" formatCode="&quot;$&quot;#,##0.00"/>
      <fill>
        <patternFill patternType="solid">
          <fgColor indexed="64"/>
          <bgColor theme="0" tint="-0.34998626667073579"/>
        </patternFill>
      </fill>
    </dxf>
    <dxf>
      <font>
        <b val="0"/>
        <i val="0"/>
        <strike val="0"/>
        <condense val="0"/>
        <extend val="0"/>
        <outline val="0"/>
        <shadow val="0"/>
        <u val="none"/>
        <vertAlign val="baseline"/>
        <sz val="12"/>
        <color theme="1"/>
        <name val="Helvetica Neue Light"/>
        <scheme val="none"/>
      </font>
      <numFmt numFmtId="165" formatCode="&quot;$&quot;#,##0.00"/>
      <fill>
        <patternFill patternType="none">
          <fgColor indexed="64"/>
          <bgColor auto="1"/>
        </patternFill>
      </fill>
    </dxf>
    <dxf>
      <font>
        <b val="0"/>
        <i val="0"/>
        <strike val="0"/>
        <condense val="0"/>
        <extend val="0"/>
        <outline val="0"/>
        <shadow val="0"/>
        <u val="none"/>
        <vertAlign val="baseline"/>
        <sz val="12"/>
        <color theme="1"/>
        <name val="Helvetica Neue Light"/>
        <scheme val="none"/>
      </font>
      <numFmt numFmtId="165" formatCode="&quot;$&quot;#,##0.00"/>
      <fill>
        <patternFill patternType="solid">
          <fgColor indexed="64"/>
          <bgColor theme="0" tint="-0.34998626667073579"/>
        </patternFill>
      </fill>
    </dxf>
    <dxf>
      <font>
        <b val="0"/>
        <i val="0"/>
        <strike val="0"/>
        <condense val="0"/>
        <extend val="0"/>
        <outline val="0"/>
        <shadow val="0"/>
        <u val="none"/>
        <vertAlign val="baseline"/>
        <sz val="12"/>
        <color theme="1"/>
        <name val="Helvetica Neue Light"/>
        <scheme val="none"/>
      </font>
      <numFmt numFmtId="165" formatCode="&quot;$&quot;#,##0.00"/>
      <fill>
        <patternFill patternType="none">
          <fgColor indexed="64"/>
          <bgColor auto="1"/>
        </patternFill>
      </fill>
    </dxf>
    <dxf>
      <font>
        <b/>
        <i val="0"/>
        <strike val="0"/>
        <condense val="0"/>
        <extend val="0"/>
        <outline val="0"/>
        <shadow val="0"/>
        <u val="none"/>
        <vertAlign val="baseline"/>
        <sz val="14"/>
        <color theme="1"/>
        <name val="Helvetica Neue Light"/>
        <scheme val="none"/>
      </font>
      <fill>
        <patternFill patternType="solid">
          <fgColor indexed="64"/>
          <bgColor theme="0" tint="-0.34998626667073579"/>
        </patternFill>
      </fill>
    </dxf>
    <dxf>
      <font>
        <b/>
        <i val="0"/>
        <strike val="0"/>
        <condense val="0"/>
        <extend val="0"/>
        <outline val="0"/>
        <shadow val="0"/>
        <u val="none"/>
        <vertAlign val="baseline"/>
        <sz val="14"/>
        <color theme="1"/>
        <name val="Helvetica Neue Light"/>
        <scheme val="none"/>
      </font>
      <numFmt numFmtId="0" formatCode="General"/>
      <fill>
        <patternFill patternType="none">
          <fgColor indexed="64"/>
          <bgColor auto="1"/>
        </patternFill>
      </fill>
    </dxf>
    <dxf>
      <font>
        <b val="0"/>
        <i val="0"/>
        <strike val="0"/>
        <condense val="0"/>
        <extend val="0"/>
        <outline val="0"/>
        <shadow val="0"/>
        <u val="none"/>
        <vertAlign val="baseline"/>
        <sz val="12"/>
        <color theme="1"/>
        <name val="Helvetica Neue Light"/>
        <scheme val="none"/>
      </font>
      <fill>
        <patternFill patternType="solid">
          <fgColor indexed="64"/>
          <bgColor theme="0" tint="-0.34998626667073579"/>
        </patternFill>
      </fill>
    </dxf>
    <dxf>
      <font>
        <b val="0"/>
        <i val="0"/>
        <strike val="0"/>
        <condense val="0"/>
        <extend val="0"/>
        <outline val="0"/>
        <shadow val="0"/>
        <u val="none"/>
        <vertAlign val="baseline"/>
        <sz val="12"/>
        <color theme="1"/>
        <name val="Helvetica Neue Light"/>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12"/>
        <color theme="1"/>
        <name val="Helvetica Neue Light"/>
        <scheme val="none"/>
      </font>
    </dxf>
    <dxf>
      <font>
        <b val="0"/>
        <i val="0"/>
        <strike val="0"/>
        <condense val="0"/>
        <extend val="0"/>
        <outline val="0"/>
        <shadow val="0"/>
        <u val="none"/>
        <vertAlign val="baseline"/>
        <sz val="12"/>
        <color theme="1"/>
        <name val="Helvetica Neue Light"/>
        <scheme val="none"/>
      </font>
      <fill>
        <patternFill patternType="none">
          <fgColor indexed="64"/>
          <bgColor indexed="65"/>
        </patternFill>
      </fill>
      <protection locked="0" hidden="0"/>
    </dxf>
    <dxf>
      <font>
        <b val="0"/>
        <i val="0"/>
        <strike val="0"/>
        <condense val="0"/>
        <extend val="0"/>
        <outline val="0"/>
        <shadow val="0"/>
        <u val="none"/>
        <vertAlign val="baseline"/>
        <sz val="12"/>
        <color theme="1"/>
        <name val="Helvetica Neue Light"/>
        <scheme val="none"/>
      </font>
      <fill>
        <patternFill patternType="solid">
          <fgColor indexed="64"/>
          <bgColor theme="0" tint="-0.34998626667073579"/>
        </patternFill>
      </fill>
    </dxf>
    <dxf>
      <font>
        <b val="0"/>
        <i val="0"/>
        <strike val="0"/>
        <condense val="0"/>
        <extend val="0"/>
        <outline val="0"/>
        <shadow val="0"/>
        <u val="none"/>
        <vertAlign val="baseline"/>
        <sz val="12"/>
        <color theme="1"/>
        <name val="Helvetica Neue Light"/>
        <scheme val="none"/>
      </font>
      <numFmt numFmtId="0" formatCode="General"/>
      <fill>
        <patternFill patternType="none">
          <fgColor indexed="64"/>
          <bgColor auto="1"/>
        </patternFill>
      </fill>
    </dxf>
    <dxf>
      <font>
        <b val="0"/>
        <i val="0"/>
        <strike val="0"/>
        <condense val="0"/>
        <extend val="0"/>
        <outline val="0"/>
        <shadow val="0"/>
        <u val="none"/>
        <vertAlign val="baseline"/>
        <sz val="12"/>
        <color theme="1"/>
        <name val="Helvetica Neue Light"/>
        <scheme val="none"/>
      </font>
      <fill>
        <patternFill patternType="solid">
          <fgColor indexed="64"/>
          <bgColor theme="0" tint="-0.34998626667073579"/>
        </patternFill>
      </fill>
    </dxf>
    <dxf>
      <font>
        <b val="0"/>
        <i val="0"/>
        <strike val="0"/>
        <condense val="0"/>
        <extend val="0"/>
        <outline val="0"/>
        <shadow val="0"/>
        <u val="none"/>
        <vertAlign val="baseline"/>
        <sz val="12"/>
        <color theme="1"/>
        <name val="Helvetica Neue Light"/>
        <scheme val="none"/>
      </font>
      <fill>
        <patternFill patternType="none">
          <fgColor indexed="64"/>
          <bgColor indexed="65"/>
        </patternFill>
      </fill>
    </dxf>
    <dxf>
      <font>
        <b val="0"/>
        <i val="0"/>
        <strike val="0"/>
        <condense val="0"/>
        <extend val="0"/>
        <outline val="0"/>
        <shadow val="0"/>
        <u val="none"/>
        <vertAlign val="baseline"/>
        <sz val="12"/>
        <color theme="1"/>
        <name val="Helvetica Neue Light"/>
        <scheme val="none"/>
      </font>
      <fill>
        <patternFill patternType="solid">
          <fgColor indexed="64"/>
          <bgColor theme="0" tint="-0.34998626667073579"/>
        </patternFill>
      </fill>
    </dxf>
    <dxf>
      <font>
        <b val="0"/>
        <i val="0"/>
        <strike val="0"/>
        <condense val="0"/>
        <extend val="0"/>
        <outline val="0"/>
        <shadow val="0"/>
        <u val="none"/>
        <vertAlign val="baseline"/>
        <sz val="12"/>
        <color theme="1"/>
        <name val="Helvetica Neue Light"/>
        <scheme val="none"/>
      </font>
      <numFmt numFmtId="0" formatCode="General"/>
      <fill>
        <patternFill patternType="none">
          <fgColor indexed="64"/>
          <bgColor indexed="65"/>
        </patternFill>
      </fill>
    </dxf>
    <dxf>
      <font>
        <b val="0"/>
        <i val="0"/>
        <strike val="0"/>
        <condense val="0"/>
        <extend val="0"/>
        <outline val="0"/>
        <shadow val="0"/>
        <u val="none"/>
        <vertAlign val="baseline"/>
        <sz val="12"/>
        <color theme="1"/>
        <name val="Helvetica Neue Light"/>
        <scheme val="none"/>
      </font>
      <fill>
        <patternFill patternType="solid">
          <fgColor indexed="64"/>
          <bgColor theme="0" tint="-0.34998626667073579"/>
        </patternFill>
      </fill>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2"/>
        <color theme="1"/>
        <name val="Helvetica Neue Light"/>
        <scheme val="none"/>
      </font>
      <fill>
        <patternFill patternType="none">
          <fgColor indexed="64"/>
          <bgColor auto="1"/>
        </patternFill>
      </fill>
    </dxf>
    <dxf>
      <font>
        <b/>
        <i val="0"/>
        <strike val="0"/>
        <condense val="0"/>
        <extend val="0"/>
        <outline val="0"/>
        <shadow val="0"/>
        <u val="none"/>
        <vertAlign val="baseline"/>
        <sz val="12"/>
        <color theme="1"/>
        <name val="Helvetica Neue Light"/>
        <scheme val="none"/>
      </font>
      <fill>
        <patternFill patternType="none">
          <fgColor indexed="64"/>
          <bgColor auto="1"/>
        </patternFill>
      </fill>
    </dxf>
    <dxf>
      <font>
        <b val="0"/>
        <i val="0"/>
        <strike val="0"/>
        <condense val="0"/>
        <extend val="0"/>
        <outline val="0"/>
        <shadow val="0"/>
        <u val="none"/>
        <vertAlign val="baseline"/>
        <sz val="14"/>
        <color rgb="FF000000"/>
        <name val="Helvetica Neue Light"/>
        <scheme val="none"/>
      </font>
      <alignment horizontal="general" vertical="center" textRotation="0" wrapText="0" indent="0" justifyLastLine="0" shrinkToFit="0" readingOrder="0"/>
      <border diagonalUp="0" diagonalDown="0" outline="0">
        <left style="thin">
          <color theme="2" tint="-9.9948118533890809E-2"/>
        </left>
        <right/>
        <top style="thin">
          <color theme="2" tint="-9.9948118533890809E-2"/>
        </top>
        <bottom/>
      </border>
    </dxf>
    <dxf>
      <font>
        <b val="0"/>
        <i val="0"/>
        <strike val="0"/>
        <condense val="0"/>
        <extend val="0"/>
        <outline val="0"/>
        <shadow val="0"/>
        <u val="none"/>
        <vertAlign val="baseline"/>
        <sz val="14"/>
        <color rgb="FF000000"/>
        <name val="Helvetica Neue Light"/>
        <scheme val="none"/>
      </font>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border>
    </dxf>
    <dxf>
      <font>
        <b val="0"/>
        <i val="0"/>
        <strike val="0"/>
        <condense val="0"/>
        <extend val="0"/>
        <outline val="0"/>
        <shadow val="0"/>
        <u val="none"/>
        <vertAlign val="baseline"/>
        <sz val="14"/>
        <color rgb="FF000000"/>
        <name val="Helvetica Neue Light"/>
        <scheme val="none"/>
      </font>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border>
    </dxf>
    <dxf>
      <font>
        <b val="0"/>
        <i val="0"/>
        <strike val="0"/>
        <condense val="0"/>
        <extend val="0"/>
        <outline val="0"/>
        <shadow val="0"/>
        <u val="none"/>
        <vertAlign val="baseline"/>
        <sz val="14"/>
        <color rgb="FF000000"/>
        <name val="Helvetica Neue Light"/>
        <scheme val="none"/>
      </font>
      <numFmt numFmtId="166" formatCode="_-[$$-C09]* #,##0.00_-;\-[$$-C09]* #,##0.00_-;_-[$$-C09]* &quot;-&quot;??_-;_-@_-"/>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border>
    </dxf>
    <dxf>
      <numFmt numFmtId="165" formatCode="&quot;$&quot;#,##0.00"/>
      <protection locked="1" hidden="0"/>
    </dxf>
    <dxf>
      <font>
        <b val="0"/>
        <i val="0"/>
        <strike val="0"/>
        <condense val="0"/>
        <extend val="0"/>
        <outline val="0"/>
        <shadow val="0"/>
        <u val="none"/>
        <vertAlign val="baseline"/>
        <sz val="14"/>
        <color rgb="FF000000"/>
        <name val="Helvetica Neue Light"/>
        <scheme val="none"/>
      </font>
      <numFmt numFmtId="166" formatCode="_-[$$-C09]* #,##0.00_-;\-[$$-C09]* #,##0.00_-;_-[$$-C09]* &quot;-&quot;??_-;_-@_-"/>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border>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general" vertical="center" textRotation="0" wrapText="0" indent="0" justifyLastLine="0" shrinkToFit="0" readingOrder="0"/>
      <border diagonalUp="0" diagonalDown="0">
        <left style="thin">
          <color theme="2" tint="-9.9948118533890809E-2"/>
        </left>
        <right style="thin">
          <color theme="2" tint="-9.9948118533890809E-2"/>
        </right>
        <top style="thin">
          <color theme="2" tint="-9.9948118533890809E-2"/>
        </top>
        <bottom/>
        <vertical/>
        <horizontal/>
      </border>
      <protection locked="0" hidden="0"/>
    </dxf>
    <dxf>
      <font>
        <b val="0"/>
        <i val="0"/>
        <strike val="0"/>
        <condense val="0"/>
        <extend val="0"/>
        <outline val="0"/>
        <shadow val="0"/>
        <u val="none"/>
        <vertAlign val="baseline"/>
        <sz val="14"/>
        <color rgb="FF000000"/>
        <name val="Helvetica Neue Light"/>
        <scheme val="none"/>
      </font>
      <numFmt numFmtId="166" formatCode="_-[$$-C09]* #,##0.00_-;\-[$$-C09]* #,##0.00_-;_-[$$-C09]* &quot;-&quot;??_-;_-@_-"/>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border>
    </dxf>
    <dxf>
      <font>
        <b val="0"/>
        <i val="0"/>
        <strike val="0"/>
        <condense val="0"/>
        <extend val="0"/>
        <outline val="0"/>
        <shadow val="0"/>
        <u val="none"/>
        <vertAlign val="baseline"/>
        <sz val="14"/>
        <color rgb="FF000000"/>
        <name val="Helvetica Neue Light"/>
        <scheme val="none"/>
      </font>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border>
    </dxf>
    <dxf>
      <font>
        <b val="0"/>
        <i val="0"/>
        <strike val="0"/>
        <condense val="0"/>
        <extend val="0"/>
        <outline val="0"/>
        <shadow val="0"/>
        <u val="none"/>
        <vertAlign val="baseline"/>
        <sz val="14"/>
        <color rgb="FF000000"/>
        <name val="Helvetica Neue Light"/>
        <scheme val="none"/>
      </font>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border>
    </dxf>
    <dxf>
      <font>
        <b val="0"/>
        <i val="0"/>
        <strike val="0"/>
        <condense val="0"/>
        <extend val="0"/>
        <outline val="0"/>
        <shadow val="0"/>
        <u val="none"/>
        <vertAlign val="baseline"/>
        <sz val="14"/>
        <color rgb="FF000000"/>
        <name val="Helvetica Neue Light"/>
        <scheme val="none"/>
      </font>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border>
    </dxf>
    <dxf>
      <border outline="0">
        <left style="thin">
          <color theme="2" tint="-9.9948118533890809E-2"/>
        </left>
      </border>
    </dxf>
    <dxf>
      <font>
        <b val="0"/>
        <i val="0"/>
        <strike val="0"/>
        <condense val="0"/>
        <extend val="0"/>
        <outline val="0"/>
        <shadow val="0"/>
        <u val="none"/>
        <vertAlign val="baseline"/>
        <sz val="14"/>
        <color rgb="FF000000"/>
        <name val="Helvetica Neue Light"/>
        <scheme val="none"/>
      </font>
      <alignment horizontal="general" vertical="center" textRotation="0" wrapText="1" indent="0" justifyLastLine="0" shrinkToFit="0" readingOrder="0"/>
      <border diagonalUp="0" diagonalDown="0" outline="0">
        <left style="thin">
          <color theme="2" tint="-9.9948118533890809E-2"/>
        </left>
        <right style="thin">
          <color theme="2" tint="-9.9948118533890809E-2"/>
        </right>
        <top style="thin">
          <color theme="2" tint="-9.9948118533890809E-2"/>
        </top>
        <bottom/>
      </border>
    </dxf>
    <dxf>
      <alignment horizontal="general" vertical="center" textRotation="0" wrapText="1" indent="0" justifyLastLine="0" shrinkToFit="0" readingOrder="0"/>
    </dxf>
    <dxf>
      <font>
        <b val="0"/>
        <i val="0"/>
        <strike val="0"/>
        <condense val="0"/>
        <extend val="0"/>
        <outline val="0"/>
        <shadow val="0"/>
        <u val="none"/>
        <vertAlign val="baseline"/>
        <sz val="14"/>
        <color rgb="FF000000"/>
        <name val="Helvetica Neue Light"/>
        <scheme val="none"/>
      </font>
      <alignment horizontal="general"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border>
    </dxf>
    <dxf>
      <border outline="0">
        <right style="thin">
          <color theme="2" tint="-9.9948118533890809E-2"/>
        </right>
      </border>
    </dxf>
    <dxf>
      <font>
        <b val="0"/>
        <i val="0"/>
        <strike val="0"/>
        <condense val="0"/>
        <extend val="0"/>
        <outline val="0"/>
        <shadow val="0"/>
        <u val="none"/>
        <vertAlign val="baseline"/>
        <sz val="12"/>
        <color theme="1"/>
        <name val="Helvetica Neue Light"/>
        <scheme val="none"/>
      </font>
      <border diagonalUp="0" diagonalDown="0" outline="0">
        <left/>
        <right/>
        <top style="thin">
          <color theme="2" tint="-9.9948118533890809E-2"/>
        </top>
        <bottom/>
      </border>
    </dxf>
    <dxf>
      <border outline="0">
        <top style="thin">
          <color theme="2" tint="-9.9948118533890809E-2"/>
        </top>
      </border>
    </dxf>
    <dxf>
      <font>
        <strike val="0"/>
        <outline val="0"/>
        <shadow val="0"/>
        <u val="none"/>
        <vertAlign val="baseline"/>
        <name val="Helvetica Neue Light"/>
        <scheme val="none"/>
      </font>
    </dxf>
    <dxf>
      <border diagonalUp="0" diagonalDown="0">
        <left style="medium">
          <color indexed="64"/>
        </left>
        <right style="medium">
          <color indexed="64"/>
        </right>
        <top style="medium">
          <color indexed="64"/>
        </top>
        <bottom style="medium">
          <color indexed="64"/>
        </bottom>
      </border>
    </dxf>
    <dxf>
      <font>
        <b val="0"/>
        <strike val="0"/>
        <outline val="0"/>
        <shadow val="0"/>
        <u val="none"/>
        <vertAlign val="baseline"/>
        <name val="Helvetica Neue Light"/>
        <scheme val="none"/>
      </font>
      <fill>
        <patternFill patternType="none">
          <fgColor indexed="64"/>
          <bgColor auto="1"/>
        </patternFill>
      </fill>
    </dxf>
    <dxf>
      <border outline="0">
        <bottom style="thin">
          <color theme="6" tint="0.39997558519241921"/>
        </bottom>
      </border>
    </dxf>
    <dxf>
      <font>
        <b/>
        <i val="0"/>
        <strike val="0"/>
        <condense val="0"/>
        <extend val="0"/>
        <outline val="0"/>
        <shadow val="0"/>
        <u val="none"/>
        <vertAlign val="baseline"/>
        <sz val="14"/>
        <color theme="0"/>
        <name val="Helvetica Neue Light"/>
        <scheme val="none"/>
      </font>
      <fill>
        <patternFill patternType="solid">
          <fgColor indexed="64"/>
          <bgColor theme="1" tint="0.499984740745262"/>
        </patternFill>
      </fill>
      <alignment horizontal="general" vertical="top" textRotation="0" wrapText="1" indent="0" justifyLastLine="0" shrinkToFit="0" readingOrder="0"/>
    </dxf>
    <dxf>
      <font>
        <b val="0"/>
        <strike val="0"/>
        <outline val="0"/>
        <shadow val="0"/>
        <vertAlign val="baseline"/>
        <sz val="14"/>
        <name val="Helvetica Neue Light"/>
        <scheme val="none"/>
      </font>
      <fill>
        <patternFill patternType="none">
          <fgColor indexed="64"/>
          <bgColor indexed="65"/>
        </patternFill>
      </fill>
      <alignment horizontal="left" vertical="bottom" textRotation="0" wrapText="0" indent="0" justifyLastLine="0" shrinkToFit="0" readingOrder="0"/>
      <protection locked="0" hidden="0"/>
    </dxf>
    <dxf>
      <font>
        <b val="0"/>
        <strike val="0"/>
        <outline val="0"/>
        <shadow val="0"/>
        <vertAlign val="baseline"/>
        <name val="Helvetica Neue Light"/>
        <scheme val="none"/>
      </font>
      <numFmt numFmtId="164" formatCode="_(&quot;$&quot;* #,##0.00_);_(&quot;$&quot;* \(#,##0.00\);_(&quot;$&quot;* &quot;-&quot;??_);_(@_)"/>
      <fill>
        <patternFill patternType="none">
          <fgColor indexed="64"/>
          <bgColor auto="1"/>
        </patternFill>
      </fill>
    </dxf>
    <dxf>
      <font>
        <b val="0"/>
        <strike val="0"/>
        <outline val="0"/>
        <shadow val="0"/>
        <vertAlign val="baseline"/>
        <name val="Helvetica Neue Light"/>
        <scheme val="none"/>
      </font>
      <numFmt numFmtId="164" formatCode="_(&quot;$&quot;* #,##0.00_);_(&quot;$&quot;* \(#,##0.00\);_(&quot;$&quot;* &quot;-&quot;??_);_(@_)"/>
      <fill>
        <patternFill patternType="none">
          <fgColor indexed="64"/>
          <bgColor auto="1"/>
        </patternFill>
      </fill>
    </dxf>
    <dxf>
      <font>
        <b val="0"/>
        <i val="0"/>
        <strike val="0"/>
        <condense val="0"/>
        <extend val="0"/>
        <outline val="0"/>
        <shadow val="0"/>
        <u val="none"/>
        <vertAlign val="baseline"/>
        <sz val="14"/>
        <color theme="1"/>
        <name val="Helvetica Neue Light"/>
        <scheme val="none"/>
      </font>
      <numFmt numFmtId="0" formatCode="General"/>
      <fill>
        <patternFill patternType="none">
          <fgColor indexed="64"/>
          <bgColor auto="1"/>
        </patternFill>
      </fill>
    </dxf>
    <dxf>
      <font>
        <b val="0"/>
        <i val="0"/>
        <strike val="0"/>
        <condense val="0"/>
        <extend val="0"/>
        <outline val="0"/>
        <shadow val="0"/>
        <u val="none"/>
        <vertAlign val="baseline"/>
        <sz val="14"/>
        <color theme="2" tint="-0.249977111117893"/>
        <name val="Helvetica Neue Light"/>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4"/>
        <color theme="1"/>
        <name val="Helvetica Neue Light"/>
        <scheme val="none"/>
      </font>
      <numFmt numFmtId="0" formatCode="General"/>
      <fill>
        <patternFill patternType="none">
          <fgColor indexed="64"/>
          <bgColor auto="1"/>
        </patternFill>
      </fill>
    </dxf>
    <dxf>
      <font>
        <b val="0"/>
        <i val="0"/>
        <strike val="0"/>
        <condense val="0"/>
        <extend val="0"/>
        <outline val="0"/>
        <shadow val="0"/>
        <u val="none"/>
        <vertAlign val="baseline"/>
        <sz val="14"/>
        <color theme="1"/>
        <name val="Helvetica Neue Light"/>
        <scheme val="none"/>
      </font>
      <fill>
        <patternFill patternType="none">
          <fgColor indexed="64"/>
          <bgColor auto="1"/>
        </patternFill>
      </fill>
    </dxf>
    <dxf>
      <border diagonalUp="0" diagonalDown="0">
        <left style="medium">
          <color indexed="64"/>
        </left>
        <right style="medium">
          <color indexed="64"/>
        </right>
        <top style="medium">
          <color indexed="64"/>
        </top>
        <bottom style="medium">
          <color indexed="64"/>
        </bottom>
      </border>
    </dxf>
    <dxf>
      <font>
        <b val="0"/>
        <strike val="0"/>
        <outline val="0"/>
        <shadow val="0"/>
        <vertAlign val="baseline"/>
        <name val="Helvetica Neue Light"/>
        <scheme val="none"/>
      </font>
      <fill>
        <patternFill patternType="none">
          <fgColor indexed="64"/>
          <bgColor auto="1"/>
        </patternFill>
      </fill>
    </dxf>
    <dxf>
      <font>
        <strike val="0"/>
        <outline val="0"/>
        <shadow val="0"/>
        <vertAlign val="baseline"/>
        <name val="Helvetica Neue Light"/>
        <scheme val="none"/>
      </font>
      <fill>
        <patternFill patternType="none">
          <fgColor indexed="64"/>
          <bgColor auto="1"/>
        </patternFill>
      </fill>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numFmt numFmtId="0" formatCode="General"/>
      <fill>
        <patternFill patternType="none">
          <fgColor indexed="64"/>
          <bgColor indexed="65"/>
        </patternFill>
      </fill>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2" tint="-9.9948118533890809E-2"/>
        </top>
        <bottom style="thin">
          <color theme="2" tint="-9.9948118533890809E-2"/>
        </bottom>
        <vertical/>
        <horizontal/>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2" tint="-9.9948118533890809E-2"/>
        </top>
        <bottom style="thin">
          <color theme="2" tint="-9.9948118533890809E-2"/>
        </bottom>
        <vertical/>
        <horizontal/>
      </border>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2" tint="-9.9948118533890809E-2"/>
        </left>
        <right/>
        <top style="thin">
          <color theme="2" tint="-9.9948118533890809E-2"/>
        </top>
        <bottom style="thin">
          <color theme="2" tint="-9.9948118533890809E-2"/>
        </bottom>
      </border>
    </dxf>
    <dxf>
      <font>
        <b val="0"/>
        <i val="0"/>
        <strike val="0"/>
        <condense val="0"/>
        <extend val="0"/>
        <outline val="0"/>
        <shadow val="0"/>
        <u val="none"/>
        <vertAlign val="baseline"/>
        <sz val="14"/>
        <color theme="1"/>
        <name val="Helvetica Neue Light"/>
        <scheme val="none"/>
      </font>
      <numFmt numFmtId="0" formatCode="General"/>
      <fill>
        <patternFill patternType="none">
          <fgColor indexed="64"/>
          <bgColor indexed="65"/>
        </patternFill>
      </fill>
      <border diagonalUp="0" diagonalDown="0" outline="0">
        <left style="medium">
          <color indexed="64"/>
        </left>
        <right style="medium">
          <color indexed="64"/>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indexed="65"/>
        </patternFill>
      </fill>
      <alignment horizontal="center" vertical="center" textRotation="0" wrapText="0" indent="0" justifyLastLine="0" shrinkToFit="0" readingOrder="0"/>
      <border diagonalUp="0" diagonalDown="0" outline="0">
        <left/>
        <right/>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indexed="65"/>
        </patternFill>
      </fill>
      <alignment horizontal="center" vertical="center" textRotation="0" wrapText="0" indent="0" justifyLastLine="0" shrinkToFit="0" readingOrder="0"/>
      <border diagonalUp="0" diagonalDown="0" outline="0">
        <left/>
        <right/>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indexed="65"/>
        </patternFill>
      </fill>
      <alignment horizontal="center" vertical="center" textRotation="0" wrapText="0" indent="0" justifyLastLine="0" shrinkToFit="0" readingOrder="0"/>
      <border diagonalUp="0" diagonalDown="0" outline="0">
        <left/>
        <right/>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indexed="65"/>
        </patternFill>
      </fill>
      <alignment horizontal="center" vertical="center" textRotation="0" wrapText="0" indent="0" justifyLastLine="0" shrinkToFit="0" readingOrder="0"/>
      <border diagonalUp="0" diagonalDown="0" outline="0">
        <left/>
        <right/>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indexed="65"/>
        </patternFill>
      </fill>
      <alignment horizontal="center" vertical="center" textRotation="0" wrapText="0" indent="0" justifyLastLine="0" shrinkToFit="0" readingOrder="0"/>
      <border diagonalUp="0" diagonalDown="0" outline="0">
        <left/>
        <right/>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auto="1"/>
        </patternFill>
      </fill>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auto="1"/>
        </patternFill>
      </fill>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auto="1"/>
        </patternFill>
      </fill>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auto="1"/>
        </patternFill>
      </fill>
      <alignment horizontal="center" vertical="center" textRotation="0" wrapText="0"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5" formatCode="&quot;$&quot;#,##0.00"/>
      <fill>
        <patternFill patternType="none">
          <fgColor indexed="64"/>
          <bgColor auto="1"/>
        </patternFill>
      </fill>
      <alignment horizontal="center" vertical="center" textRotation="0" wrapText="0" indent="0" justifyLastLine="0" shrinkToFit="0" readingOrder="0"/>
      <border diagonalUp="0" diagonalDown="0" outline="0">
        <left/>
        <right style="thin">
          <color theme="2" tint="-9.9948118533890809E-2"/>
        </right>
        <top style="thin">
          <color theme="2" tint="-9.9948118533890809E-2"/>
        </top>
        <bottom style="thin">
          <color theme="2" tint="-9.9948118533890809E-2"/>
        </bottom>
      </border>
    </dxf>
    <dxf>
      <font>
        <b val="0"/>
        <i val="0"/>
        <strike val="0"/>
        <condense val="0"/>
        <extend val="0"/>
        <outline val="0"/>
        <shadow val="0"/>
        <u val="none"/>
        <vertAlign val="baseline"/>
        <sz val="14"/>
        <color rgb="FF000000"/>
        <name val="Helvetica Neue Light"/>
        <scheme val="none"/>
      </font>
      <numFmt numFmtId="166" formatCode="_-[$$-C09]* #,##0.00_-;\-[$$-C09]* #,##0.00_-;_-[$$-C09]*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4"/>
        <color theme="1"/>
        <name val="Helvetica Neue Light"/>
        <scheme val="none"/>
      </font>
      <numFmt numFmtId="166" formatCode="_-[$$-C09]* #,##0.00_-;\-[$$-C09]* #,##0.00_-;_-[$$-C09]*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4"/>
        <color theme="2" tint="-0.249977111117893"/>
        <name val="Helvetica Neue Light"/>
        <scheme val="none"/>
      </font>
      <numFmt numFmtId="0" formatCode="General"/>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4"/>
        <color theme="1"/>
        <name val="Helvetica Neue Light"/>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4"/>
        <color theme="1"/>
        <name val="Helvetica Neue Light"/>
        <scheme val="none"/>
      </font>
      <fill>
        <patternFill patternType="none">
          <fgColor indexed="64"/>
          <bgColor indexed="65"/>
        </patternFill>
      </fill>
      <alignment horizontal="center" vertical="bottom" textRotation="0" wrapText="0" indent="0" justifyLastLine="0" shrinkToFit="0" readingOrder="0"/>
      <border diagonalUp="0" diagonalDown="0" outline="0">
        <left/>
        <right style="thin">
          <color indexed="64"/>
        </right>
      </border>
      <protection locked="0" hidden="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top/>
        <bottom/>
      </border>
      <protection locked="0" hidden="0"/>
    </dxf>
    <dxf>
      <font>
        <b val="0"/>
        <i val="0"/>
        <strike val="0"/>
        <condense val="0"/>
        <extend val="0"/>
        <outline val="0"/>
        <shadow val="0"/>
        <u val="none"/>
        <vertAlign val="baseline"/>
        <sz val="14"/>
        <color theme="1"/>
        <name val="Helvetica Neue Light"/>
        <scheme val="none"/>
      </font>
      <fill>
        <patternFill patternType="none">
          <fgColor indexed="64"/>
          <bgColor indexed="65"/>
        </patternFill>
      </fill>
      <alignment horizontal="center" vertical="bottom" textRotation="0" wrapText="0" indent="0" justifyLastLine="0" shrinkToFit="0" readingOrder="0"/>
      <border diagonalUp="0" diagonalDown="0" outline="0">
        <left/>
        <right style="thin">
          <color indexed="64"/>
        </right>
      </border>
      <protection locked="0" hidden="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top/>
        <bottom/>
      </border>
      <protection locked="0" hidden="0"/>
    </dxf>
    <dxf>
      <font>
        <b val="0"/>
        <i val="0"/>
        <strike val="0"/>
        <condense val="0"/>
        <extend val="0"/>
        <outline val="0"/>
        <shadow val="0"/>
        <u val="none"/>
        <vertAlign val="baseline"/>
        <sz val="14"/>
        <color theme="1"/>
        <name val="Helvetica Neue Light"/>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top/>
        <bottom/>
      </border>
      <protection locked="0" hidden="0"/>
    </dxf>
    <dxf>
      <font>
        <b val="0"/>
        <i val="0"/>
        <strike val="0"/>
        <condense val="0"/>
        <extend val="0"/>
        <outline val="0"/>
        <shadow val="0"/>
        <u val="none"/>
        <vertAlign val="baseline"/>
        <sz val="14"/>
        <color theme="1"/>
        <name val="Helvetica Neue Light"/>
        <scheme val="none"/>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4"/>
        <color rgb="FF000000"/>
        <name val="Helvetica Neue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4"/>
        <color rgb="FF000000"/>
        <name val="Helvetica Neue Light"/>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auto="1"/>
        </left>
        <right/>
        <top/>
        <bottom/>
      </border>
      <protection locked="0" hidden="0"/>
    </dxf>
    <dxf>
      <font>
        <b val="0"/>
        <i val="0"/>
        <strike val="0"/>
        <condense val="0"/>
        <extend val="0"/>
        <outline val="0"/>
        <shadow val="0"/>
        <u val="none"/>
        <vertAlign val="baseline"/>
        <sz val="14"/>
        <color theme="1"/>
        <name val="Helvetica Neue Light"/>
        <scheme val="none"/>
      </font>
      <numFmt numFmtId="0" formatCode="General"/>
      <fill>
        <patternFill patternType="none">
          <fgColor indexed="64"/>
          <bgColor indexed="65"/>
        </patternFill>
      </fill>
      <border diagonalUp="0" diagonalDown="0" outline="0">
        <left/>
        <right style="thin">
          <color indexed="64"/>
        </right>
        <top/>
        <bottom/>
      </border>
      <protection locked="0" hidden="0"/>
    </dxf>
    <dxf>
      <font>
        <b val="0"/>
        <i val="0"/>
        <strike val="0"/>
        <condense val="0"/>
        <extend val="0"/>
        <outline val="0"/>
        <shadow val="0"/>
        <u val="none"/>
        <vertAlign val="baseline"/>
        <sz val="14"/>
        <color theme="1"/>
        <name val="Helvetica Neue Light"/>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4"/>
        <color theme="1"/>
        <name val="Helvetica Neue Light"/>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4"/>
        <color theme="1"/>
        <name val="Helvetica Neue Light"/>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4"/>
        <color theme="1"/>
        <name val="Helvetica Neue Light"/>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protection locked="0" hidden="0"/>
    </dxf>
    <dxf>
      <font>
        <b val="0"/>
        <i val="0"/>
        <strike val="0"/>
        <condense val="0"/>
        <extend val="0"/>
        <outline val="0"/>
        <shadow val="0"/>
        <u val="none"/>
        <vertAlign val="baseline"/>
        <sz val="14"/>
        <color theme="1"/>
        <name val="Helvetica Neue Light"/>
        <scheme val="none"/>
      </font>
      <fill>
        <patternFill patternType="none">
          <fgColor indexed="64"/>
          <bgColor indexed="65"/>
        </patternFill>
      </fill>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protection locked="0" hidden="0"/>
    </dxf>
    <dxf>
      <font>
        <b val="0"/>
        <i val="0"/>
        <strike val="0"/>
        <condense val="0"/>
        <extend val="0"/>
        <outline val="0"/>
        <shadow val="0"/>
        <u val="none"/>
        <vertAlign val="baseline"/>
        <sz val="14"/>
        <color theme="1"/>
        <name val="Helvetica Neue Light"/>
        <scheme val="none"/>
      </font>
      <numFmt numFmtId="0" formatCode="General"/>
      <fill>
        <patternFill patternType="none">
          <fgColor indexed="64"/>
          <bgColor indexed="65"/>
        </patternFill>
      </fill>
      <border diagonalUp="0" diagonalDown="0" outline="0">
        <left style="thin">
          <color theme="2" tint="-9.9948118533890809E-2"/>
        </left>
        <right style="thin">
          <color theme="2" tint="-9.9948118533890809E-2"/>
        </right>
        <top style="thin">
          <color theme="2" tint="-9.9948118533890809E-2"/>
        </top>
        <bottom style="thin">
          <color theme="2" tint="-9.9948118533890809E-2"/>
        </bottom>
      </border>
      <protection locked="0" hidden="0"/>
    </dxf>
    <dxf>
      <font>
        <b val="0"/>
        <i val="0"/>
        <strike val="0"/>
        <condense val="0"/>
        <extend val="0"/>
        <outline val="0"/>
        <shadow val="0"/>
        <u val="none"/>
        <vertAlign val="baseline"/>
        <sz val="14"/>
        <color theme="1"/>
        <name val="Helvetica Neue Light"/>
        <scheme val="none"/>
      </font>
      <fill>
        <patternFill patternType="none">
          <fgColor indexed="64"/>
          <bgColor auto="1"/>
        </patternFill>
      </fill>
      <border diagonalUp="0" diagonalDown="0" outline="0">
        <left/>
        <right style="thin">
          <color theme="2" tint="-9.9948118533890809E-2"/>
        </right>
        <top style="thin">
          <color theme="2" tint="-9.9948118533890809E-2"/>
        </top>
        <bottom style="thin">
          <color theme="2" tint="-9.9948118533890809E-2"/>
        </bottom>
      </border>
      <protection locked="0" hidden="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4"/>
        <color rgb="FF000000"/>
        <name val="Helvetica Neue Light"/>
        <scheme val="none"/>
      </font>
      <fill>
        <patternFill patternType="none">
          <fgColor indexed="64"/>
          <bgColor auto="1"/>
        </patternFill>
      </fill>
      <alignment horizontal="center" vertical="center" textRotation="0" wrapText="0" indent="0" justifyLastLine="0" shrinkToFit="0" readingOrder="0"/>
    </dxf>
    <dxf>
      <font>
        <strike val="0"/>
        <outline val="0"/>
        <shadow val="0"/>
        <vertAlign val="baseline"/>
        <name val="Helvetica Neue Light"/>
        <scheme val="none"/>
      </font>
      <fill>
        <patternFill patternType="none">
          <fgColor indexed="64"/>
          <bgColor auto="1"/>
        </patternFill>
      </fill>
      <alignment vertical="top" textRotation="0" wrapText="1" indent="0" justifyLastLine="0" shrinkToFit="0" readingOrder="0"/>
    </dxf>
  </dxfs>
  <tableStyles count="0" defaultTableStyle="TableStyleMedium9" defaultPivotStyle="PivotStyleMedium7"/>
  <colors>
    <mruColors>
      <color rgb="FFECF4FA"/>
      <color rgb="FFFFFAEB"/>
      <color rgb="FFFFFBEF"/>
      <color rgb="FF0536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7</xdr:row>
      <xdr:rowOff>106680</xdr:rowOff>
    </xdr:from>
    <xdr:to>
      <xdr:col>13</xdr:col>
      <xdr:colOff>30480</xdr:colOff>
      <xdr:row>75</xdr:row>
      <xdr:rowOff>167640</xdr:rowOff>
    </xdr:to>
    <xdr:sp macro="" textlink="">
      <xdr:nvSpPr>
        <xdr:cNvPr id="2" name="TextBox 1">
          <a:extLst>
            <a:ext uri="{FF2B5EF4-FFF2-40B4-BE49-F238E27FC236}">
              <a16:creationId xmlns:a16="http://schemas.microsoft.com/office/drawing/2014/main" id="{C9915EC0-3922-4B86-B87A-8111A7C640CE}"/>
            </a:ext>
          </a:extLst>
        </xdr:cNvPr>
        <xdr:cNvSpPr txBox="1"/>
      </xdr:nvSpPr>
      <xdr:spPr>
        <a:xfrm>
          <a:off x="0" y="1348740"/>
          <a:ext cx="8648700" cy="13014960"/>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800" b="1" u="sng" baseline="0">
              <a:solidFill>
                <a:sysClr val="windowText" lastClr="000000"/>
              </a:solidFill>
            </a:rPr>
            <a:t>Welcome!</a:t>
          </a:r>
        </a:p>
        <a:p>
          <a:r>
            <a:rPr lang="en-AU" sz="1600" baseline="0">
              <a:solidFill>
                <a:sysClr val="windowText" lastClr="000000"/>
              </a:solidFill>
            </a:rPr>
            <a:t>This ArchiTech Professional Services Estimate (PSE) Tool is designed to assist in producing pricing for professional services estimates on ArchiTech project service offerings. </a:t>
          </a:r>
        </a:p>
        <a:p>
          <a:endParaRPr lang="en-AU" sz="1600" baseline="0">
            <a:solidFill>
              <a:sysClr val="windowText" lastClr="000000"/>
            </a:solidFill>
          </a:endParaRPr>
        </a:p>
        <a:p>
          <a:r>
            <a:rPr lang="en-AU" sz="1600" baseline="0">
              <a:solidFill>
                <a:sysClr val="windowText" lastClr="000000"/>
              </a:solidFill>
            </a:rPr>
            <a:t>It's designed to be used for a</a:t>
          </a:r>
          <a:r>
            <a:rPr lang="en-AU" sz="1600" i="0" baseline="0">
              <a:solidFill>
                <a:sysClr val="windowText" lastClr="000000"/>
              </a:solidFill>
            </a:rPr>
            <a:t>ll estimates of professional services work that ArchiTech produce.</a:t>
          </a:r>
        </a:p>
        <a:p>
          <a:r>
            <a:rPr lang="en-AU" sz="1600" baseline="0">
              <a:solidFill>
                <a:sysClr val="windowText" lastClr="000000"/>
              </a:solidFill>
            </a:rPr>
            <a:t> </a:t>
          </a:r>
        </a:p>
        <a:p>
          <a:r>
            <a:rPr lang="en-AU" sz="1600" baseline="0">
              <a:solidFill>
                <a:sysClr val="windowText" lastClr="000000"/>
              </a:solidFill>
            </a:rPr>
            <a:t>The PSE is built around considering the technical tasks, subcontractor engagement, management overhead, and fixed price risks that are required to be factored into consideration when scoping project effort.</a:t>
          </a:r>
        </a:p>
        <a:p>
          <a:endParaRPr lang="en-AU" sz="1600" baseline="0">
            <a:solidFill>
              <a:sysClr val="windowText" lastClr="000000"/>
            </a:solidFill>
          </a:endParaRPr>
        </a:p>
        <a:p>
          <a:r>
            <a:rPr lang="en-AU" sz="1800" b="1" u="sng" baseline="0">
              <a:solidFill>
                <a:sysClr val="windowText" lastClr="000000"/>
              </a:solidFill>
            </a:rPr>
            <a:t>Colour Coding</a:t>
          </a:r>
        </a:p>
        <a:p>
          <a:r>
            <a:rPr lang="en-AU" sz="1600" baseline="0">
              <a:solidFill>
                <a:sysClr val="windowText" lastClr="000000"/>
              </a:solidFill>
            </a:rPr>
            <a:t>The cells in this form are colour coded to guide you around what you need to do with each.</a:t>
          </a:r>
        </a:p>
        <a:p>
          <a:endParaRPr lang="en-AU" sz="1600" baseline="0">
            <a:solidFill>
              <a:sysClr val="windowText" lastClr="000000"/>
            </a:solidFill>
          </a:endParaRPr>
        </a:p>
        <a:p>
          <a:r>
            <a:rPr lang="en-AU" sz="1600" baseline="0">
              <a:solidFill>
                <a:schemeClr val="bg2">
                  <a:lumMod val="50000"/>
                </a:schemeClr>
              </a:solidFill>
            </a:rPr>
            <a:t>Grey: this cell represents a calculated value that can't be selected, or changed. It is calculated from other data entered in elsewhere.</a:t>
          </a:r>
        </a:p>
        <a:p>
          <a:r>
            <a:rPr lang="en-AU" sz="1600" baseline="0">
              <a:solidFill>
                <a:schemeClr val="accent6"/>
              </a:solidFill>
            </a:rPr>
            <a:t>Green: This is an explanation of what the different options on a drop-down list mean</a:t>
          </a:r>
        </a:p>
        <a:p>
          <a:r>
            <a:rPr lang="en-AU" sz="1600" baseline="0">
              <a:solidFill>
                <a:srgbClr val="C00000"/>
              </a:solidFill>
            </a:rPr>
            <a:t>Red: If this cell isn't filled in, you won't be able to complete this PSE. Note that a cell may </a:t>
          </a:r>
          <a:r>
            <a:rPr lang="en-AU" sz="1600" i="1" baseline="0">
              <a:solidFill>
                <a:srgbClr val="C00000"/>
              </a:solidFill>
            </a:rPr>
            <a:t>turn</a:t>
          </a:r>
          <a:r>
            <a:rPr lang="en-AU" sz="1600" i="0" baseline="0">
              <a:solidFill>
                <a:srgbClr val="C00000"/>
              </a:solidFill>
            </a:rPr>
            <a:t> red when you make a decision nearby.</a:t>
          </a:r>
          <a:endParaRPr lang="en-AU" sz="1600" baseline="0">
            <a:solidFill>
              <a:srgbClr val="C00000"/>
            </a:solidFill>
          </a:endParaRPr>
        </a:p>
        <a:p>
          <a:r>
            <a:rPr lang="en-AU" sz="1600" baseline="0">
              <a:solidFill>
                <a:schemeClr val="accent1"/>
              </a:solidFill>
            </a:rPr>
            <a:t>Blue: This is a standard field into which you can enter data</a:t>
          </a:r>
        </a:p>
        <a:p>
          <a:r>
            <a:rPr lang="en-AU" sz="1600" baseline="0">
              <a:solidFill>
                <a:schemeClr val="accent4">
                  <a:lumMod val="75000"/>
                </a:schemeClr>
              </a:solidFill>
            </a:rPr>
            <a:t>Yellow: There is a formula producing a recommended figure for this cell, but you can override it. The recommended figure can typically still be seen to the right of the field.</a:t>
          </a:r>
        </a:p>
        <a:p>
          <a:endParaRPr lang="en-AU" sz="1600" baseline="0">
            <a:solidFill>
              <a:schemeClr val="accent4">
                <a:lumMod val="75000"/>
              </a:schemeClr>
            </a:solidFill>
          </a:endParaRPr>
        </a:p>
        <a:p>
          <a:r>
            <a:rPr lang="en-AU" sz="1800" b="1" u="sng" baseline="0">
              <a:solidFill>
                <a:sysClr val="windowText" lastClr="000000"/>
              </a:solidFill>
              <a:latin typeface="+mn-lt"/>
              <a:ea typeface="+mn-ea"/>
              <a:cs typeface="+mn-cs"/>
            </a:rPr>
            <a:t>Automatic Calculations &amp; Outputs</a:t>
          </a:r>
          <a:endParaRPr lang="en-AU" sz="1600">
            <a:effectLst/>
          </a:endParaRPr>
        </a:p>
        <a:p>
          <a:r>
            <a:rPr lang="en-AU" sz="1600" baseline="0">
              <a:solidFill>
                <a:sysClr val="windowText" lastClr="000000"/>
              </a:solidFill>
              <a:latin typeface="+mn-lt"/>
              <a:ea typeface="+mn-ea"/>
              <a:cs typeface="+mn-cs"/>
            </a:rPr>
            <a:t>In some places, this form will automatically calculate a value based on what you've entered so far, based on back-end calculations. In others, the PSE will make a suggestion for a given option, but you will have the chance to override it.</a:t>
          </a:r>
        </a:p>
        <a:p>
          <a:endParaRPr lang="en-AU" sz="1600" baseline="0">
            <a:solidFill>
              <a:sysClr val="windowText" lastClr="000000"/>
            </a:solidFill>
            <a:latin typeface="+mn-lt"/>
            <a:ea typeface="+mn-ea"/>
            <a:cs typeface="+mn-cs"/>
          </a:endParaRPr>
        </a:p>
        <a:p>
          <a:r>
            <a:rPr lang="en-AU" sz="1600" baseline="0">
              <a:solidFill>
                <a:sysClr val="windowText" lastClr="000000"/>
              </a:solidFill>
              <a:latin typeface="+mn-lt"/>
              <a:ea typeface="+mn-ea"/>
              <a:cs typeface="+mn-cs"/>
            </a:rPr>
            <a:t>This form outputs many calculated values, attempting to service the requirements of the company as a whole. Please keep this in mind when using it to prepare data. </a:t>
          </a:r>
        </a:p>
        <a:p>
          <a:endParaRPr lang="en-AU" sz="1600" baseline="0">
            <a:solidFill>
              <a:sysClr val="windowText" lastClr="000000"/>
            </a:solidFill>
            <a:latin typeface="+mn-lt"/>
            <a:ea typeface="+mn-ea"/>
            <a:cs typeface="+mn-cs"/>
          </a:endParaRPr>
        </a:p>
        <a:p>
          <a:r>
            <a:rPr lang="en-AU" sz="1600" baseline="0">
              <a:solidFill>
                <a:sysClr val="windowText" lastClr="000000"/>
              </a:solidFill>
              <a:latin typeface="+mn-lt"/>
              <a:ea typeface="+mn-ea"/>
              <a:cs typeface="+mn-cs"/>
            </a:rPr>
            <a:t>As a rule, where this form makes a recommendation but offers you a chance to override that recommendation, the figures relevant to that decision can be found nearby. Try to factor those numbers in to your override decisions</a:t>
          </a:r>
          <a:r>
            <a:rPr lang="en-AU" sz="1100" baseline="0">
              <a:solidFill>
                <a:schemeClr val="dk1"/>
              </a:solidFill>
              <a:effectLst/>
              <a:latin typeface="+mn-lt"/>
              <a:ea typeface="+mn-ea"/>
              <a:cs typeface="+mn-cs"/>
            </a:rPr>
            <a:t>.</a:t>
          </a:r>
          <a:endParaRPr lang="en-AU" sz="1600">
            <a:effectLst/>
          </a:endParaRPr>
        </a:p>
        <a:p>
          <a:endParaRPr lang="en-AU" sz="1600" baseline="0">
            <a:solidFill>
              <a:schemeClr val="accent4">
                <a:lumMod val="75000"/>
              </a:schemeClr>
            </a:solidFill>
          </a:endParaRPr>
        </a:p>
        <a:p>
          <a:r>
            <a:rPr lang="en-AU" sz="1600" b="1" u="sng" baseline="0">
              <a:solidFill>
                <a:sysClr val="windowText" lastClr="000000"/>
              </a:solidFill>
            </a:rPr>
            <a:t>Working Through this Form</a:t>
          </a:r>
          <a:endParaRPr lang="en-AU" sz="1600" b="1" u="sng" baseline="0">
            <a:solidFill>
              <a:sysClr val="windowText" lastClr="000000"/>
            </a:solidFill>
            <a:latin typeface="+mn-lt"/>
            <a:ea typeface="+mn-ea"/>
            <a:cs typeface="+mn-cs"/>
          </a:endParaRPr>
        </a:p>
        <a:p>
          <a:r>
            <a:rPr lang="en-AU" sz="1600" baseline="0">
              <a:solidFill>
                <a:sysClr val="windowText" lastClr="000000"/>
              </a:solidFill>
              <a:latin typeface="+mn-lt"/>
              <a:ea typeface="+mn-ea"/>
              <a:cs typeface="+mn-cs"/>
            </a:rPr>
            <a:t>This form is designed to be entered from left to right, and from top to bottom.</a:t>
          </a:r>
        </a:p>
        <a:p>
          <a:r>
            <a:rPr lang="en-AU" sz="1600" baseline="0">
              <a:solidFill>
                <a:sysClr val="windowText" lastClr="000000"/>
              </a:solidFill>
              <a:latin typeface="+mn-lt"/>
              <a:ea typeface="+mn-ea"/>
              <a:cs typeface="+mn-cs"/>
            </a:rPr>
            <a:t>So, start on the "Project Technical Tasks" tab, and move from top to bottom - filling in the </a:t>
          </a:r>
          <a:r>
            <a:rPr lang="en-AU" sz="1600" baseline="0">
              <a:solidFill>
                <a:srgbClr val="C00000"/>
              </a:solidFill>
              <a:latin typeface="+mn-lt"/>
              <a:ea typeface="+mn-ea"/>
              <a:cs typeface="+mn-cs"/>
            </a:rPr>
            <a:t>red</a:t>
          </a:r>
          <a:r>
            <a:rPr lang="en-AU" sz="1600" baseline="0">
              <a:solidFill>
                <a:sysClr val="windowText" lastClr="000000"/>
              </a:solidFill>
              <a:latin typeface="+mn-lt"/>
              <a:ea typeface="+mn-ea"/>
              <a:cs typeface="+mn-cs"/>
            </a:rPr>
            <a:t>, </a:t>
          </a:r>
          <a:r>
            <a:rPr lang="en-AU" sz="1600" baseline="0">
              <a:solidFill>
                <a:schemeClr val="accent1"/>
              </a:solidFill>
              <a:latin typeface="+mn-lt"/>
              <a:ea typeface="+mn-ea"/>
              <a:cs typeface="+mn-cs"/>
            </a:rPr>
            <a:t>blue</a:t>
          </a:r>
          <a:r>
            <a:rPr lang="en-AU" sz="1600" baseline="0">
              <a:solidFill>
                <a:sysClr val="windowText" lastClr="000000"/>
              </a:solidFill>
              <a:latin typeface="+mn-lt"/>
              <a:ea typeface="+mn-ea"/>
              <a:cs typeface="+mn-cs"/>
            </a:rPr>
            <a:t> and </a:t>
          </a:r>
          <a:r>
            <a:rPr lang="en-AU" sz="1600" baseline="0">
              <a:solidFill>
                <a:schemeClr val="accent4">
                  <a:lumMod val="75000"/>
                </a:schemeClr>
              </a:solidFill>
              <a:latin typeface="+mn-lt"/>
              <a:ea typeface="+mn-ea"/>
              <a:cs typeface="+mn-cs"/>
            </a:rPr>
            <a:t>yellow</a:t>
          </a:r>
          <a:r>
            <a:rPr lang="en-AU" sz="1600" baseline="0">
              <a:solidFill>
                <a:sysClr val="windowText" lastClr="000000"/>
              </a:solidFill>
              <a:latin typeface="+mn-lt"/>
              <a:ea typeface="+mn-ea"/>
              <a:cs typeface="+mn-cs"/>
            </a:rPr>
            <a:t> cells as you go.</a:t>
          </a:r>
        </a:p>
        <a:p>
          <a:endParaRPr lang="en-AU" sz="1600" b="1" u="sng" baseline="0">
            <a:solidFill>
              <a:sysClr val="windowText" lastClr="000000"/>
            </a:solidFill>
          </a:endParaRPr>
        </a:p>
        <a:p>
          <a:r>
            <a:rPr lang="en-AU" sz="1600" baseline="0">
              <a:solidFill>
                <a:sysClr val="windowText" lastClr="000000"/>
              </a:solidFill>
            </a:rPr>
            <a:t>When you're finished with the Project Technical Tasks Tab, move on to the 'Subcontractors' tab, the 'Management' Tab, the 'Project Risk' tab, the 'Milestones' tab and finally the 'Checklist' and 'Summary' tabs.</a:t>
          </a:r>
        </a:p>
        <a:p>
          <a:endParaRPr lang="en-AU" sz="1600" baseline="0">
            <a:solidFill>
              <a:sysClr val="windowText" lastClr="000000"/>
            </a:solidFill>
          </a:endParaRPr>
        </a:p>
        <a:p>
          <a:r>
            <a:rPr lang="en-AU" sz="1600" baseline="0">
              <a:solidFill>
                <a:sysClr val="windowText" lastClr="000000"/>
              </a:solidFill>
            </a:rPr>
            <a:t>The summary tab won't show you the final figures until all the critical data is entered - so, if you get there and nothing's showing up, check the Checklist tab for any </a:t>
          </a:r>
          <a:r>
            <a:rPr lang="en-AU" sz="1600" baseline="0">
              <a:solidFill>
                <a:srgbClr val="C00000"/>
              </a:solidFill>
            </a:rPr>
            <a:t>red </a:t>
          </a:r>
          <a:r>
            <a:rPr lang="en-AU" sz="1600" baseline="0">
              <a:solidFill>
                <a:sysClr val="windowText" lastClr="000000"/>
              </a:solidFill>
            </a:rPr>
            <a:t>alerts indicating something that needs to be finished.</a:t>
          </a:r>
        </a:p>
        <a:p>
          <a:endParaRPr lang="en-AU" sz="1600" b="0" u="none" baseline="0">
            <a:solidFill>
              <a:sysClr val="windowText" lastClr="000000"/>
            </a:solidFill>
            <a:latin typeface="+mn-lt"/>
            <a:ea typeface="+mn-ea"/>
            <a:cs typeface="+mn-cs"/>
          </a:endParaRPr>
        </a:p>
      </xdr:txBody>
    </xdr:sp>
    <xdr:clientData/>
  </xdr:twoCellAnchor>
  <xdr:twoCellAnchor editAs="oneCell">
    <xdr:from>
      <xdr:col>0</xdr:col>
      <xdr:colOff>0</xdr:colOff>
      <xdr:row>0</xdr:row>
      <xdr:rowOff>0</xdr:rowOff>
    </xdr:from>
    <xdr:to>
      <xdr:col>5</xdr:col>
      <xdr:colOff>634365</xdr:colOff>
      <xdr:row>5</xdr:row>
      <xdr:rowOff>16353</xdr:rowOff>
    </xdr:to>
    <xdr:pic>
      <xdr:nvPicPr>
        <xdr:cNvPr id="7" name="Picture 6">
          <a:extLst>
            <a:ext uri="{FF2B5EF4-FFF2-40B4-BE49-F238E27FC236}">
              <a16:creationId xmlns:a16="http://schemas.microsoft.com/office/drawing/2014/main" id="{341CE93D-2968-49CB-A3A5-FD619ED60F1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49065" cy="968853"/>
        </a:xfrm>
        <a:prstGeom prst="rect">
          <a:avLst/>
        </a:prstGeom>
      </xdr:spPr>
    </xdr:pic>
    <xdr:clientData/>
  </xdr:twoCellAnchor>
  <xdr:twoCellAnchor>
    <xdr:from>
      <xdr:col>13</xdr:col>
      <xdr:colOff>380999</xdr:colOff>
      <xdr:row>7</xdr:row>
      <xdr:rowOff>91440</xdr:rowOff>
    </xdr:from>
    <xdr:to>
      <xdr:col>28</xdr:col>
      <xdr:colOff>533399</xdr:colOff>
      <xdr:row>29</xdr:row>
      <xdr:rowOff>152400</xdr:rowOff>
    </xdr:to>
    <xdr:sp macro="" textlink="">
      <xdr:nvSpPr>
        <xdr:cNvPr id="4" name="TextBox 3">
          <a:extLst>
            <a:ext uri="{FF2B5EF4-FFF2-40B4-BE49-F238E27FC236}">
              <a16:creationId xmlns:a16="http://schemas.microsoft.com/office/drawing/2014/main" id="{FB27BEFF-0171-4F6D-8203-2440B561A511}"/>
            </a:ext>
          </a:extLst>
        </xdr:cNvPr>
        <xdr:cNvSpPr txBox="1"/>
      </xdr:nvSpPr>
      <xdr:spPr>
        <a:xfrm>
          <a:off x="9013370" y="1365069"/>
          <a:ext cx="10112829" cy="437170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600" b="1" u="sng" baseline="0">
              <a:solidFill>
                <a:sysClr val="windowText" lastClr="000000"/>
              </a:solidFill>
              <a:latin typeface="+mn-lt"/>
              <a:ea typeface="+mn-ea"/>
              <a:cs typeface="+mn-cs"/>
            </a:rPr>
            <a:t>Troubleshooting</a:t>
          </a:r>
        </a:p>
        <a:p>
          <a:r>
            <a:rPr lang="en-AU" sz="1600" b="0" u="none" baseline="0">
              <a:solidFill>
                <a:sysClr val="windowText" lastClr="000000"/>
              </a:solidFill>
              <a:latin typeface="+mn-lt"/>
              <a:ea typeface="+mn-ea"/>
              <a:cs typeface="+mn-cs"/>
            </a:rPr>
            <a:t>If you run into any problems with this form, please contact Evan Butcher (evan.butcher@architech.net.au; 0499</a:t>
          </a:r>
          <a:r>
            <a:rPr lang="en-AU" sz="1000" b="0" u="none" baseline="0">
              <a:solidFill>
                <a:schemeClr val="bg1"/>
              </a:solidFill>
              <a:latin typeface="+mn-lt"/>
              <a:ea typeface="+mn-ea"/>
              <a:cs typeface="+mn-cs"/>
            </a:rPr>
            <a:t>_</a:t>
          </a:r>
          <a:r>
            <a:rPr lang="en-AU" sz="1600" b="0" u="none" baseline="0">
              <a:solidFill>
                <a:sysClr val="windowText" lastClr="000000"/>
              </a:solidFill>
              <a:latin typeface="+mn-lt"/>
              <a:ea typeface="+mn-ea"/>
              <a:cs typeface="+mn-cs"/>
            </a:rPr>
            <a:t>555</a:t>
          </a:r>
          <a:r>
            <a:rPr lang="en-AU" sz="1050" b="0" u="none" baseline="0">
              <a:solidFill>
                <a:schemeClr val="bg1"/>
              </a:solidFill>
              <a:latin typeface="+mn-lt"/>
              <a:ea typeface="+mn-ea"/>
              <a:cs typeface="+mn-cs"/>
            </a:rPr>
            <a:t>_</a:t>
          </a:r>
          <a:r>
            <a:rPr lang="en-AU" sz="1600" b="0" u="none" baseline="0">
              <a:solidFill>
                <a:sysClr val="windowText" lastClr="000000"/>
              </a:solidFill>
              <a:latin typeface="+mn-lt"/>
              <a:ea typeface="+mn-ea"/>
              <a:cs typeface="+mn-cs"/>
            </a:rPr>
            <a:t>997) for assistance.</a:t>
          </a:r>
          <a:br>
            <a:rPr lang="en-AU" sz="1600" b="0" u="none" baseline="0">
              <a:solidFill>
                <a:sysClr val="windowText" lastClr="000000"/>
              </a:solidFill>
              <a:latin typeface="+mn-lt"/>
              <a:ea typeface="+mn-ea"/>
              <a:cs typeface="+mn-cs"/>
            </a:rPr>
          </a:br>
          <a:endParaRPr lang="en-AU" sz="1600" b="0" u="none" baseline="0">
            <a:solidFill>
              <a:sysClr val="windowText" lastClr="000000"/>
            </a:solidFill>
            <a:latin typeface="+mn-lt"/>
            <a:ea typeface="+mn-ea"/>
            <a:cs typeface="+mn-cs"/>
          </a:endParaRPr>
        </a:p>
        <a:p>
          <a:r>
            <a:rPr lang="en-AU" sz="1600" b="1" i="0" u="sng" baseline="0">
              <a:solidFill>
                <a:sysClr val="windowText" lastClr="000000"/>
              </a:solidFill>
              <a:latin typeface="+mn-lt"/>
              <a:ea typeface="+mn-ea"/>
              <a:cs typeface="+mn-cs"/>
            </a:rPr>
            <a:t>Suggestions &amp; Queries</a:t>
          </a:r>
        </a:p>
        <a:p>
          <a:endParaRPr lang="en-AU" sz="1600" b="0" u="none" baseline="0">
            <a:solidFill>
              <a:sysClr val="windowText" lastClr="000000"/>
            </a:solidFill>
            <a:latin typeface="+mn-lt"/>
            <a:ea typeface="+mn-ea"/>
            <a:cs typeface="+mn-cs"/>
          </a:endParaRPr>
        </a:p>
        <a:p>
          <a:r>
            <a:rPr lang="en-AU" sz="1600" b="0" u="none" baseline="0">
              <a:solidFill>
                <a:sysClr val="windowText" lastClr="000000"/>
              </a:solidFill>
              <a:latin typeface="+mn-lt"/>
              <a:ea typeface="+mn-ea"/>
              <a:cs typeface="+mn-cs"/>
            </a:rPr>
            <a:t>This PSE is open to feedback from all users. If you suspect that one of the automatic calculations is putting out results that don't make sense, please let us know. </a:t>
          </a:r>
        </a:p>
        <a:p>
          <a:endParaRPr lang="en-AU" sz="1600" b="0" u="none" baseline="0">
            <a:solidFill>
              <a:sysClr val="windowText" lastClr="000000"/>
            </a:solidFill>
            <a:latin typeface="+mn-lt"/>
            <a:ea typeface="+mn-ea"/>
            <a:cs typeface="+mn-cs"/>
          </a:endParaRPr>
        </a:p>
        <a:p>
          <a:r>
            <a:rPr lang="en-AU" sz="1600" b="0" u="none" baseline="0">
              <a:solidFill>
                <a:sysClr val="windowText" lastClr="000000"/>
              </a:solidFill>
              <a:latin typeface="+mn-lt"/>
              <a:ea typeface="+mn-ea"/>
              <a:cs typeface="+mn-cs"/>
            </a:rPr>
            <a:t>If you'd really like to see the next version give you a particular option, do a particular calculation, or incorporate a consideration it doesn't cover right now, please submit suggestions directly to Evan or Shane.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3945255</xdr:colOff>
      <xdr:row>5</xdr:row>
      <xdr:rowOff>20163</xdr:rowOff>
    </xdr:to>
    <xdr:pic>
      <xdr:nvPicPr>
        <xdr:cNvPr id="3" name="Picture 2">
          <a:extLst>
            <a:ext uri="{FF2B5EF4-FFF2-40B4-BE49-F238E27FC236}">
              <a16:creationId xmlns:a16="http://schemas.microsoft.com/office/drawing/2014/main" id="{33C949D5-B46B-4F4D-81F8-3A5232C493C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52875" cy="9699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93345</xdr:colOff>
      <xdr:row>5</xdr:row>
      <xdr:rowOff>16353</xdr:rowOff>
    </xdr:to>
    <xdr:pic>
      <xdr:nvPicPr>
        <xdr:cNvPr id="4" name="Picture 3">
          <a:extLst>
            <a:ext uri="{FF2B5EF4-FFF2-40B4-BE49-F238E27FC236}">
              <a16:creationId xmlns:a16="http://schemas.microsoft.com/office/drawing/2014/main" id="{2DF3BEC4-143E-4603-945E-E481E0A5C1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49065" cy="96885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451485</xdr:colOff>
      <xdr:row>5</xdr:row>
      <xdr:rowOff>1113</xdr:rowOff>
    </xdr:to>
    <xdr:pic>
      <xdr:nvPicPr>
        <xdr:cNvPr id="4" name="Picture 3">
          <a:extLst>
            <a:ext uri="{FF2B5EF4-FFF2-40B4-BE49-F238E27FC236}">
              <a16:creationId xmlns:a16="http://schemas.microsoft.com/office/drawing/2014/main" id="{3FD4A19A-7699-4D09-A35E-50625F0BC77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49065" cy="96885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3949065</xdr:colOff>
      <xdr:row>5</xdr:row>
      <xdr:rowOff>16353</xdr:rowOff>
    </xdr:to>
    <xdr:pic>
      <xdr:nvPicPr>
        <xdr:cNvPr id="4" name="Picture 3">
          <a:extLst>
            <a:ext uri="{FF2B5EF4-FFF2-40B4-BE49-F238E27FC236}">
              <a16:creationId xmlns:a16="http://schemas.microsoft.com/office/drawing/2014/main" id="{72E8AE21-BB88-484F-9727-4D49C45D11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49065" cy="96885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26670</xdr:colOff>
      <xdr:row>4</xdr:row>
      <xdr:rowOff>181135</xdr:rowOff>
    </xdr:to>
    <xdr:pic>
      <xdr:nvPicPr>
        <xdr:cNvPr id="2" name="Picture 1">
          <a:extLst>
            <a:ext uri="{FF2B5EF4-FFF2-40B4-BE49-F238E27FC236}">
              <a16:creationId xmlns:a16="http://schemas.microsoft.com/office/drawing/2014/main" id="{2F889975-2DFB-4910-BF05-E06639D2743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49065" cy="96885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3953827</xdr:colOff>
      <xdr:row>5</xdr:row>
      <xdr:rowOff>21115</xdr:rowOff>
    </xdr:to>
    <xdr:pic>
      <xdr:nvPicPr>
        <xdr:cNvPr id="4" name="Picture 3">
          <a:extLst>
            <a:ext uri="{FF2B5EF4-FFF2-40B4-BE49-F238E27FC236}">
              <a16:creationId xmlns:a16="http://schemas.microsoft.com/office/drawing/2014/main" id="{1CE152D1-05F6-42FF-A0A4-8BD354281F1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49065" cy="96885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719138</xdr:colOff>
      <xdr:row>5</xdr:row>
      <xdr:rowOff>20163</xdr:rowOff>
    </xdr:to>
    <xdr:pic>
      <xdr:nvPicPr>
        <xdr:cNvPr id="4" name="Picture 3">
          <a:extLst>
            <a:ext uri="{FF2B5EF4-FFF2-40B4-BE49-F238E27FC236}">
              <a16:creationId xmlns:a16="http://schemas.microsoft.com/office/drawing/2014/main" id="{BEF92F4B-2C41-4BAC-BCE6-A7B00DA2F9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49065" cy="96885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441813</xdr:colOff>
      <xdr:row>5</xdr:row>
      <xdr:rowOff>25061</xdr:rowOff>
    </xdr:to>
    <xdr:pic>
      <xdr:nvPicPr>
        <xdr:cNvPr id="2" name="Picture 1">
          <a:extLst>
            <a:ext uri="{FF2B5EF4-FFF2-40B4-BE49-F238E27FC236}">
              <a16:creationId xmlns:a16="http://schemas.microsoft.com/office/drawing/2014/main" id="{C6DDD0F1-EC87-4D9A-B697-B721453ED3B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52875" cy="977561"/>
        </a:xfrm>
        <a:prstGeom prst="rect">
          <a:avLst/>
        </a:prstGeom>
      </xdr:spPr>
    </xdr:pic>
    <xdr:clientData/>
  </xdr:twoCellAnchor>
  <xdr:twoCellAnchor>
    <xdr:from>
      <xdr:col>1</xdr:col>
      <xdr:colOff>41031</xdr:colOff>
      <xdr:row>6</xdr:row>
      <xdr:rowOff>181708</xdr:rowOff>
    </xdr:from>
    <xdr:to>
      <xdr:col>21</xdr:col>
      <xdr:colOff>398585</xdr:colOff>
      <xdr:row>73</xdr:row>
      <xdr:rowOff>64477</xdr:rowOff>
    </xdr:to>
    <xdr:sp macro="" textlink="">
      <xdr:nvSpPr>
        <xdr:cNvPr id="3" name="TextBox 2">
          <a:extLst>
            <a:ext uri="{FF2B5EF4-FFF2-40B4-BE49-F238E27FC236}">
              <a16:creationId xmlns:a16="http://schemas.microsoft.com/office/drawing/2014/main" id="{90F43384-5751-4285-820C-E6BA224FE1B0}"/>
            </a:ext>
          </a:extLst>
        </xdr:cNvPr>
        <xdr:cNvSpPr txBox="1"/>
      </xdr:nvSpPr>
      <xdr:spPr>
        <a:xfrm>
          <a:off x="240323" y="1436077"/>
          <a:ext cx="13604631" cy="1323535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i="1"/>
            <a:t>Insert</a:t>
          </a:r>
          <a:r>
            <a:rPr lang="en-AU" sz="1100" i="1" baseline="0"/>
            <a:t> Notes Here</a:t>
          </a:r>
        </a:p>
        <a:p>
          <a:endParaRPr lang="en-AU" sz="1100" i="1" baseline="0"/>
        </a:p>
        <a:p>
          <a:endParaRPr lang="en-AU" sz="1100" i="1" baseline="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132250</xdr:colOff>
      <xdr:row>4</xdr:row>
      <xdr:rowOff>167936</xdr:rowOff>
    </xdr:to>
    <xdr:pic>
      <xdr:nvPicPr>
        <xdr:cNvPr id="2" name="Picture 1">
          <a:extLst>
            <a:ext uri="{FF2B5EF4-FFF2-40B4-BE49-F238E27FC236}">
              <a16:creationId xmlns:a16="http://schemas.microsoft.com/office/drawing/2014/main" id="{8805D31F-CE66-47EC-AEC6-8E50FC64E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75588" cy="97756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1392160</xdr:colOff>
      <xdr:row>5</xdr:row>
      <xdr:rowOff>17441</xdr:rowOff>
    </xdr:to>
    <xdr:pic>
      <xdr:nvPicPr>
        <xdr:cNvPr id="2" name="Picture 1">
          <a:extLst>
            <a:ext uri="{FF2B5EF4-FFF2-40B4-BE49-F238E27FC236}">
              <a16:creationId xmlns:a16="http://schemas.microsoft.com/office/drawing/2014/main" id="{4957A708-B3A8-453B-BF7F-B773B20237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951776" cy="97756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34DEBE-3311-49EA-8EA6-83E6C4954296}" name="Input_Tasks" displayName="Input_Tasks" ref="A43:BM224" totalsRowShown="0" headerRowDxfId="432" dataDxfId="431" tableBorderDxfId="430">
  <autoFilter ref="A43:BM224" xr:uid="{053FFA29-6831-4E4F-8ACB-C37A751847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90E714-F4A7-43CD-BF8D-11EAB24B1A54}" name="Phase" dataDxfId="429"/>
    <tableColumn id="52" xr3:uid="{C87291E9-3E11-4E89-ADCE-6BF18CF4BE17}" name="Skill Required" dataDxfId="428"/>
    <tableColumn id="56" xr3:uid="{96F97D1C-B59F-4A7A-B5CC-A8391B240E37}" name="Task Type" dataDxfId="427"/>
    <tableColumn id="2" xr3:uid="{D0EFDD74-4BB2-4B47-9711-9DD20C649DE4}" name="Description" dataDxfId="426"/>
    <tableColumn id="18" xr3:uid="{BC974A4F-635F-4784-929F-BE1A5C4C537F}" name="Onsite Round Trips" dataDxfId="425">
      <calculatedColumnFormula>Input_Tasks[[#This Row],[Onsite Round Trips_Hidden]]</calculatedColumnFormula>
    </tableColumn>
    <tableColumn id="19" xr3:uid="{7BEA1E9E-5BB2-4350-9830-F7C140075205}" name="Overnight Stays" dataDxfId="424">
      <calculatedColumnFormula>Input_Tasks[[#This Row],[Overnight Stays_Hidden]]</calculatedColumnFormula>
    </tableColumn>
    <tableColumn id="20" xr3:uid="{AFC01A27-E6FE-42D5-92DF-16DBD2BCF6CC}" name="Finished Document Outputs" dataDxfId="423">
      <calculatedColumnFormula>Input_Tasks[[#This Row],[Documents_Hidden]]</calculatedColumnFormula>
    </tableColumn>
    <tableColumn id="22" xr3:uid="{2FE9C7FD-2301-44FB-892E-834D0248FACF}" name="Client Effort Estimate" dataDxfId="422"/>
    <tableColumn id="53" xr3:uid="{14759AA7-1A9E-419D-9AF1-E79C85342E76}" name="Subcontractor Effort Estimate" dataDxfId="421" dataCellStyle="Percent"/>
    <tableColumn id="4" xr3:uid="{4005AEFF-D384-40AD-B885-19E8ADB12413}" name="R1 Location" dataDxfId="420"/>
    <tableColumn id="3" xr3:uid="{3843FE5D-AB61-448A-A67E-98472A4B3C33}" name="R1 Business Hours" dataDxfId="419"/>
    <tableColumn id="5" xr3:uid="{4907E099-9351-41E6-9B0E-62DFDB30D6C9}" name="R1 After Hours" dataDxfId="418"/>
    <tableColumn id="7" xr3:uid="{FA3C1D90-14E2-4259-9E87-609F57208855}" name="R2 Location" dataDxfId="417"/>
    <tableColumn id="6" xr3:uid="{AD665417-6785-440B-AEFB-635FCC0CB96E}" name="R2 Business Hours" dataDxfId="416"/>
    <tableColumn id="8" xr3:uid="{AFC163C1-AD49-41E1-B39E-9D280492B611}" name="R2 After Hours" dataDxfId="415"/>
    <tableColumn id="10" xr3:uid="{3B1A2A47-C77C-45DB-814E-A404450D3EFB}" name="R3 Location" dataDxfId="414"/>
    <tableColumn id="9" xr3:uid="{CE3063F8-846F-4DA9-A356-2DD65AF64D66}" name="R3 Business Hours" dataDxfId="413"/>
    <tableColumn id="11" xr3:uid="{2DEBA6DD-86EC-4D27-A292-5F8BE53C8BA6}" name="R3 After Hours" dataDxfId="412"/>
    <tableColumn id="13" xr3:uid="{8A71CB99-3549-473C-B81A-4D91056F32A0}" name="R4 Location" dataDxfId="411"/>
    <tableColumn id="12" xr3:uid="{1F7F0AA4-1610-470B-980D-EA05CBF5E184}" name="R4 Business Hours" dataDxfId="410"/>
    <tableColumn id="14" xr3:uid="{4797C7BA-E7CB-4920-9AE6-E3BEA2EAF59C}" name="R4 After Hours" dataDxfId="409"/>
    <tableColumn id="16" xr3:uid="{7C50AC92-CCEC-4CB0-9FE2-93CD3F122BF1}" name="R5 Location" dataDxfId="408"/>
    <tableColumn id="15" xr3:uid="{5EFB64C2-2761-4DFF-87ED-DFA2DC602F7B}" name="R5 Business Hours" dataDxfId="407"/>
    <tableColumn id="17" xr3:uid="{D4AAD49D-A24D-49DF-93F1-2404A89D2E71}" name="R5 After Hours" dataDxfId="406"/>
    <tableColumn id="63" xr3:uid="{4E66CC20-9CDA-43F7-B91F-E47D0C390D01}" name="Recommended Trips/Stays/ Docs" dataDxfId="405">
      <calculatedColumnFormula>Input_Tasks[[#This Row],[Onsite Round Trips_Hidden]]&amp;"/"&amp;Input_Tasks[[#This Row],[Overnight Stays_Hidden]]&amp;"/"&amp;Input_Tasks[[#This Row],[Documents_Hidden]]</calculatedColumnFormula>
    </tableColumn>
    <tableColumn id="39" xr3:uid="{5625E784-6084-4352-BC25-AA3218008C07}" name="R1 Cost" dataDxfId="404">
      <calculatedColumnFormula>Input_Tasks[[#This Row],[R1 Cost_Hidden]]</calculatedColumnFormula>
    </tableColumn>
    <tableColumn id="40" xr3:uid="{1AFC5D97-F369-40FF-B4F5-F24E6BA87DB6}" name="R2 Cost" dataDxfId="403">
      <calculatedColumnFormula>Input_Tasks[[#This Row],[R2 Cost_Hidden]]</calculatedColumnFormula>
    </tableColumn>
    <tableColumn id="41" xr3:uid="{B2F7C119-4C30-4766-B264-FFDC5F6B46FC}" name="R3 Cost" dataDxfId="402">
      <calculatedColumnFormula>Input_Tasks[[#This Row],[R3 Cost_Hidden]]</calculatedColumnFormula>
    </tableColumn>
    <tableColumn id="48" xr3:uid="{336E09C0-071A-4F71-B741-6451DE609EA7}" name="R4 Cost" dataDxfId="401">
      <calculatedColumnFormula>Input_Tasks[[#This Row],[R4 Cost_Hidden]]</calculatedColumnFormula>
    </tableColumn>
    <tableColumn id="49" xr3:uid="{533F3AB0-FAD4-45C1-8D0B-52AE5159894C}" name="R5 Cost" dataDxfId="400">
      <calculatedColumnFormula>Input_Tasks[[#This Row],[R5 Cost_Hidden]]</calculatedColumnFormula>
    </tableColumn>
    <tableColumn id="50" xr3:uid="{FEF2DF63-0918-40CD-B088-AF52AB7DA273}" name="Cost - Line total" dataDxfId="399">
      <calculatedColumnFormula>SUM(Input_Tasks[[#This Row],[R1 Cost]:[R5 Cost]])</calculatedColumnFormula>
    </tableColumn>
    <tableColumn id="42" xr3:uid="{F3323D37-CE3A-49D3-89FE-DAD5ABE23D9B}" name="R1 Sell" dataDxfId="398">
      <calculatedColumnFormula>Input_Tasks[[#This Row],[R1 Sell_Hidden]]</calculatedColumnFormula>
    </tableColumn>
    <tableColumn id="43" xr3:uid="{24DFD283-7739-4505-8689-DDC7C71C7F70}" name="R2 Sell" dataDxfId="397">
      <calculatedColumnFormula>Input_Tasks[[#This Row],[R2 Sell_Hidden]]</calculatedColumnFormula>
    </tableColumn>
    <tableColumn id="44" xr3:uid="{AD002D8E-9F19-4DA0-8984-885C4F328964}" name="R3 Sell" dataDxfId="396">
      <calculatedColumnFormula>Input_Tasks[[#This Row],[R3 Sell_Hidden]]</calculatedColumnFormula>
    </tableColumn>
    <tableColumn id="45" xr3:uid="{AAE335CB-8604-4482-970B-73D049A76B06}" name="R4 Sell" dataDxfId="395">
      <calculatedColumnFormula>Input_Tasks[[#This Row],[R4 Sell_Hidden5]]</calculatedColumnFormula>
    </tableColumn>
    <tableColumn id="46" xr3:uid="{EEED3C05-0525-44B2-94DC-694274CB9E9D}" name="R5 Sell" dataDxfId="394">
      <calculatedColumnFormula>Input_Tasks[[#This Row],[R5 Sell_Hidden]]</calculatedColumnFormula>
    </tableColumn>
    <tableColumn id="47" xr3:uid="{54922889-DB58-442A-AD54-033BCBB36E1C}" name="Sell - Line Total" dataDxfId="393">
      <calculatedColumnFormula>SUM(Input_Tasks[[#This Row],[R1 Sell]:[R5 Sell]])</calculatedColumnFormula>
    </tableColumn>
    <tableColumn id="26" xr3:uid="{17DFDE2B-81FF-47B7-9F1D-8838836A74F8}" name="R1 Cost_Hidden" dataDxfId="392">
      <calculatedColumnFormula>IFERROR(VLOOKUP(RESOURCE_1_TYPE,COST_RATES,2,FALSE)*Input_Tasks[[#This Row],[R1 Business Hours]],0)+IFERROR(VLOOKUP(RESOURCE_1_TYPE,COST_RATES,3,FALSE)*Input_Tasks[[#This Row],[R1 After Hours]],0)</calculatedColumnFormula>
    </tableColumn>
    <tableColumn id="27" xr3:uid="{C36F8386-B6DE-40FA-B10A-CEE8258CF407}" name="R2 Cost_Hidden" dataDxfId="391">
      <calculatedColumnFormula>IFERROR(VLOOKUP(RESOURCE_2_TYPE,COST_RATES,2,FALSE)*Input_Tasks[[#This Row],[R2 Business Hours]],0)+IFERROR(VLOOKUP(RESOURCE_2_TYPE,COST_RATES,3,FALSE)*Input_Tasks[[#This Row],[R2 After Hours]],0)</calculatedColumnFormula>
    </tableColumn>
    <tableColumn id="28" xr3:uid="{CA9F3178-F2E6-467C-9C83-B951116F67FB}" name="R3 Cost_Hidden" dataDxfId="390">
      <calculatedColumnFormula>IFERROR(VLOOKUP(RESOURCE_3_TYPE,COST_RATES,2,FALSE)*Input_Tasks[[#This Row],[R3 Business Hours]],0)+IFERROR(VLOOKUP(RESOURCE_3_TYPE,COST_RATES,3,FALSE)*Input_Tasks[[#This Row],[R3 After Hours]],0)</calculatedColumnFormula>
    </tableColumn>
    <tableColumn id="29" xr3:uid="{C808F4C2-E7DD-4372-B5A9-C0C8F6FAD074}" name="R4 Cost_Hidden" dataDxfId="389">
      <calculatedColumnFormula>IFERROR(VLOOKUP(RESOURCE_4_TYPE,COST_RATES,2,FALSE)*Input_Tasks[[#This Row],[R4 Business Hours]],0)+IFERROR(VLOOKUP(RESOURCE_4_TYPE,COST_RATES,3,FALSE)*Input_Tasks[[#This Row],[R4 After Hours]],0)</calculatedColumnFormula>
    </tableColumn>
    <tableColumn id="30" xr3:uid="{07412389-A9D5-4634-AE64-6A3974FA1B3C}" name="R5 Cost_Hidden" dataDxfId="388">
      <calculatedColumnFormula>IFERROR(VLOOKUP(RESOURCE_5_TYPE,COST_RATES,2,FALSE)*Input_Tasks[[#This Row],[R5 Business Hours]],0)+IFERROR(VLOOKUP(RESOURCE_5_TYPE,COST_RATES,3,FALSE)*Input_Tasks[[#This Row],[R5 After Hours]],0)</calculatedColumnFormula>
    </tableColumn>
    <tableColumn id="54" xr3:uid="{915B2413-8AB9-401E-80CA-13349EDD421F}" name="R1 Sell_Hidden" dataDxfId="387">
      <calculatedColumnFormula>IFERROR(VLOOKUP(RESOURCE_1_TYPE,SELL_RATES,2,FALSE)*Input_Tasks[[#This Row],[R1 Business Hours]],0)+IFERROR(VLOOKUP(RESOURCE_1_TYPE,SELL_RATES,3,FALSE)*Input_Tasks[[#This Row],[R1 After Hours]],0)</calculatedColumnFormula>
    </tableColumn>
    <tableColumn id="55" xr3:uid="{D4BA6E48-3E5E-4483-B613-DDF4A302AAE3}" name="R2 Sell_Hidden" dataDxfId="386">
      <calculatedColumnFormula>IFERROR(VLOOKUP(RESOURCE_2_TYPE,SELL_RATES,2,FALSE)*Input_Tasks[[#This Row],[R2 Business Hours]],0)+IFERROR(VLOOKUP(RESOURCE_2_TYPE,SELL_RATES,3,FALSE)*Input_Tasks[[#This Row],[R2 After Hours]],0)</calculatedColumnFormula>
    </tableColumn>
    <tableColumn id="59" xr3:uid="{91ED13B9-054D-4302-9946-CD4EBD7E2CA4}" name="R3 Sell_Hidden" dataDxfId="385">
      <calculatedColumnFormula>IFERROR(VLOOKUP(RESOURCE_3_TYPE,SELL_RATES,2,FALSE)*Input_Tasks[[#This Row],[R3 Business Hours]],0)+IFERROR(VLOOKUP(RESOURCE_3_TYPE,SELL_RATES,3,FALSE)*Input_Tasks[[#This Row],[R3 After Hours]],0)</calculatedColumnFormula>
    </tableColumn>
    <tableColumn id="60" xr3:uid="{DB0ED64E-0897-4D98-830F-570CC087067A}" name="R4 Sell_Hidden5" dataDxfId="384">
      <calculatedColumnFormula>IFERROR(VLOOKUP(RESOURCE_4_TYPE,SELL_RATES,2,FALSE)*Input_Tasks[[#This Row],[R4 Business Hours]],0)+IFERROR(VLOOKUP(RESOURCE_4_TYPE,SELL_RATES,3,FALSE)*Input_Tasks[[#This Row],[R4 After Hours]],0)</calculatedColumnFormula>
    </tableColumn>
    <tableColumn id="61" xr3:uid="{260F42EE-2E3F-41D9-925B-46A2EC4D5443}" name="R5 Sell_Hidden" dataDxfId="383">
      <calculatedColumnFormula>IFERROR(VLOOKUP(RESOURCE_5_TYPE,SELL_RATES,2,FALSE)*Input_Tasks[[#This Row],[R5 Business Hours]],0)+IFERROR(VLOOKUP(RESOURCE_5_TYPE,SELL_RATES,3,FALSE)*Input_Tasks[[#This Row],[R5 After Hours]],0)</calculatedColumnFormula>
    </tableColumn>
    <tableColumn id="21" xr3:uid="{5FA7D775-5705-4826-9E22-15A1780035D5}" name="Onsite Round Trips_Hidden" dataDxfId="382">
      <calculatedColumnFormula>SUM(Input_Tasks[[#This Row],[Round Trips R1]:[Round Trips R5]])</calculatedColumnFormula>
    </tableColumn>
    <tableColumn id="23" xr3:uid="{111AB6EF-9EB2-4655-87E2-CB13831D4CBA}" name="Overnight Stays_Hidden" dataDxfId="381">
      <calculatedColumnFormula>SUM(Input_Tasks[[#This Row],[Overnight StaysR1]:[Overnight StaysR5]])</calculatedColumnFormula>
    </tableColumn>
    <tableColumn id="57" xr3:uid="{CFB81339-5686-4D9B-BDA3-E81BBE5F8987}" name="Data Missing - titles" dataDxfId="380">
      <calculatedColumnFormula>IF(AND(Input_Tasks[[#This Row],[Sell - Line Total]]&gt;0,OR(Input_Tasks[[#This Row],[Phase]]="",Input_Tasks[[#This Row],[Skill Required]]="",Input_Tasks[[#This Row],[Task Type]]="",Input_Tasks[[#This Row],[Description]]="")),1,0)</calculatedColumnFormula>
    </tableColumn>
    <tableColumn id="62" xr3:uid="{55FE5D71-4577-4285-803B-A55240C430DC}" name="Documents_Hidden" dataDxfId="379">
      <calculatedColumnFormula>IF(AND(Input_Tasks[[#This Row],[Task Type]]="ArchiTech Document Deliverable",Input_Tasks[[#This Row],[Hours]]&gt;0),1,0)</calculatedColumnFormula>
    </tableColumn>
    <tableColumn id="70" xr3:uid="{0C27E7EB-CABC-40A3-AC09-AD5C78280810}" name="Office Staging Tasks" dataDxfId="378">
      <calculatedColumnFormula>(IF(OR(Input_Tasks[[#This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calculatedColumnFormula>
    </tableColumn>
    <tableColumn id="71" xr3:uid="{AE158FFD-0A88-4069-80BF-F75E2A84F0D7}" name="Onsite Implementation Tasks" dataDxfId="377">
      <calculatedColumnFormula>(IF(OR(Input_Tasks[[#This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calculatedColumnFormula>
    </tableColumn>
    <tableColumn id="58" xr3:uid="{469339B1-F02E-49D7-844E-2EF37382D52C}" name="Data Missing - location" dataDxfId="376">
      <calculatedColumnFormula>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calculatedColumnFormula>
    </tableColumn>
    <tableColumn id="34" xr3:uid="{28440D3B-66EC-4F61-89E6-29B49972D928}" name="Round Trips R1" dataDxfId="375">
      <calculatedColumnFormula>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calculatedColumnFormula>
    </tableColumn>
    <tableColumn id="35" xr3:uid="{DB7252EC-9440-4820-A324-BEA7222A830D}" name="Round Trips R2" dataDxfId="374">
      <calculatedColumnFormula>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calculatedColumnFormula>
    </tableColumn>
    <tableColumn id="36" xr3:uid="{5D1BBB33-CFB3-4653-8FF4-35DA44DECAA6}" name="Round Trips R3" dataDxfId="373">
      <calculatedColumnFormula>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calculatedColumnFormula>
    </tableColumn>
    <tableColumn id="37" xr3:uid="{E001FCA5-2FE3-45E0-A8B0-33315CC605D8}" name="Round Trips R4" dataDxfId="372">
      <calculatedColumnFormula>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calculatedColumnFormula>
    </tableColumn>
    <tableColumn id="38" xr3:uid="{ED43E2AF-B7FE-4E8A-BE5D-997B6494A88F}" name="Round Trips R5" dataDxfId="371">
      <calculatedColumnFormula>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calculatedColumnFormula>
    </tableColumn>
    <tableColumn id="24" xr3:uid="{BFCE4E8B-9529-4457-BDD3-548CBF5F2343}" name="Overnight StaysR1" dataDxfId="370">
      <calculatedColumnFormula>IF(
Settings_Hidden!$C$116="No",
0,
IF(
Input_Tasks[[#This Row],[R1 Location]]=Settings_Hidden!$C$17,
(IF((SUM(Input_Tasks[[#This Row],[R1 Business Hours]:[R1 After Hours]])+Settings_Hidden!$C$115)&lt;Settings_Hidden!$C$122,0,
ROUNDDOWN((SUM(Input_Tasks[[#This Row],[R1 Business Hours]:[R1 After Hours]])+Settings_Hidden!$C$115)/Settings_Hidden!$C$122,0))),0))</calculatedColumnFormula>
    </tableColumn>
    <tableColumn id="25" xr3:uid="{71D89668-BDC0-45AC-9B7E-4068C405C0F4}" name="Overnight StaysR2" dataDxfId="369">
      <calculatedColumnFormula>IF(
Settings_Hidden!$C$116="No",
0,
IF(
Input_Tasks[[#This Row],[R2 Location]]=Settings_Hidden!$C$17,
(IF((SUM(Input_Tasks[[#This Row],[R2 Business Hours]:[R2 After Hours]])+Settings_Hidden!$C$115)&lt;Settings_Hidden!$C$122,0,
ROUNDDOWN((SUM(Input_Tasks[[#This Row],[R2 Business Hours]:[R2 After Hours]])+Settings_Hidden!$C$115)/Settings_Hidden!$C$122,0))),0))</calculatedColumnFormula>
    </tableColumn>
    <tableColumn id="31" xr3:uid="{41586961-A5D7-4293-A5F1-67814663F24F}" name="Overnight StaysR3" dataDxfId="368">
      <calculatedColumnFormula>IF(
Settings_Hidden!$C$116="No",
0,
IF(
Input_Tasks[[#This Row],[R3 Location]]=Settings_Hidden!$C$17,
(IF((SUM(Input_Tasks[[#This Row],[R3 Business Hours]:[R3 After Hours]])+Settings_Hidden!$C$115)&lt;Settings_Hidden!$C$122,0,
ROUNDDOWN((SUM(Input_Tasks[[#This Row],[R3 Business Hours]:[R3 After Hours]])+Settings_Hidden!$C$115)/Settings_Hidden!$C$122,0))),0))</calculatedColumnFormula>
    </tableColumn>
    <tableColumn id="32" xr3:uid="{6B407380-DE9C-43A4-A60C-54A8B949D9C0}" name="Overnight StaysR4" dataDxfId="367">
      <calculatedColumnFormula>IF(
Settings_Hidden!$C$116="No",
0,
IF(
Input_Tasks[[#This Row],[R4 Location]]=Settings_Hidden!$C$17,
(IF((SUM(Input_Tasks[[#This Row],[R4 Business Hours]:[R4 After Hours]])+Settings_Hidden!$C$115)&lt;Settings_Hidden!$C$122,0,
ROUNDDOWN((SUM(Input_Tasks[[#This Row],[R4 Business Hours]:[R4 After Hours]])+Settings_Hidden!$C$115)/Settings_Hidden!$C$122,0))),0))</calculatedColumnFormula>
    </tableColumn>
    <tableColumn id="33" xr3:uid="{0F6C3258-7B3B-4BD0-BEF5-A9509EAB04F9}" name="Overnight StaysR5" dataDxfId="366">
      <calculatedColumnFormula>IF(
Settings_Hidden!$C$116="No",
0,
IF(
Input_Tasks[[#This Row],[R5 Location]]=Settings_Hidden!$C$17,
(IF((SUM(Input_Tasks[[#This Row],[R5 Business Hours]:[R5 After Hours]])+Settings_Hidden!$C$115)&lt;Settings_Hidden!$C$122,0,
ROUNDDOWN((SUM(Input_Tasks[[#This Row],[R5 Business Hours]:[R5 After Hours]])+Settings_Hidden!$C$115)/Settings_Hidden!$C$122,0))),0))</calculatedColumnFormula>
    </tableColumn>
    <tableColumn id="51" xr3:uid="{2DCC3C05-D900-4CEA-9F56-6EC04E6CFF17}" name="Hours" dataDxfId="365">
      <calculatedColumnFormula>SUM(Input_Tasks[[#This Row],[R1 Business Hours]:[R1 After Hours]],Input_Tasks[[#This Row],[R2 Business Hours]:[R2 After Hours]],Input_Tasks[[#This Row],[R3 Business Hours]:[R3 After Hours]],Input_Tasks[[#This Row],[R4 Business Hours]:[R4 After Hours]],Input_Tasks[[#This Row],[R5 Business Hours]:[R5 After Hours]])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F0EF74-8A31-4B25-8B49-A3CB16529D62}" name="Table6" displayName="Table6" ref="A32:G37" totalsRowShown="0" headerRowDxfId="364" dataDxfId="363" tableBorderDxfId="362">
  <autoFilter ref="A32:G37" xr:uid="{E2BD42B1-CC8A-4FF4-AF6C-961D972E94C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AE04F671-8C78-427D-809B-D2E0B990804D}" name="Task" dataDxfId="361"/>
    <tableColumn id="2" xr3:uid="{3C0CD50C-9BAD-4F03-91A1-16B8B50D3D68}" name="Resource Assigned" dataDxfId="360">
      <calculatedColumnFormula>IF(SUM(Input_Tasks[R1 Sell])&gt;0,TRUE,FALSE)</calculatedColumnFormula>
    </tableColumn>
    <tableColumn id="3" xr3:uid="{A2AE82B4-DBED-4ECD-B7FB-601612C4E977}" name="Type" dataDxfId="359">
      <calculatedColumnFormula>J41</calculatedColumnFormula>
    </tableColumn>
    <tableColumn id="4" xr3:uid="{35D53412-21A2-4D08-8CB6-57ED80932D69}" name="Hours" dataDxfId="358">
      <calculatedColumnFormula>MAX(SUM(Input_Tasks[Hours])*Settings_Hidden!B44,Settings_Hidden!B43)</calculatedColumnFormula>
    </tableColumn>
    <tableColumn id="5" xr3:uid="{AFEE1FD2-B490-496C-877C-303F06625CDD}" name="Cost" dataDxfId="357" dataCellStyle="Currency">
      <calculatedColumnFormula>IFERROR(VLOOKUP(Table6[[#This Row],[Type]],Settings_Hidden!$B$102:$C$111,2,FALSE)*Table6[[#This Row],[Hours]],0)</calculatedColumnFormula>
    </tableColumn>
    <tableColumn id="6" xr3:uid="{571A59D7-E9FB-475E-AEE9-4B9BAA38617C}" name="Sell" dataDxfId="356" dataCellStyle="Currency">
      <calculatedColumnFormula>IFERROR(VLOOKUP(Table6[[#This Row],[Type]],Settings_Hidden!$B$88:$C$97,2,FALSE)*Table6[[#This Row],[Hours]],0)</calculatedColumnFormula>
    </tableColumn>
    <tableColumn id="7" xr3:uid="{4786938A-9439-4CEB-8582-F0532E4610E3}" name="Override" dataDxfId="355"/>
  </tableColumns>
  <tableStyleInfo name="TableStyleMedium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426C94D-1380-4AE2-B7C3-69EBB9E20233}" name="Table_Subcontractors" displayName="Table_Subcontractors" ref="A13:L19" totalsRowCount="1" headerRowDxfId="354" dataDxfId="352" totalsRowDxfId="350" headerRowBorderDxfId="353" tableBorderDxfId="351" totalsRowBorderDxfId="349">
  <autoFilter ref="A13:L18" xr:uid="{DAC21CBC-33BB-4A52-B074-CF45DA12790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9" xr3:uid="{43501E9B-6CD9-482D-82BD-139CC0A46249}" name="#" totalsRowLabel="Total" totalsRowDxfId="348"/>
    <tableColumn id="1" xr3:uid="{AE000AE5-396D-4914-AC92-C3EC2039202C}" name="Subcontractor" dataDxfId="347" totalsRowDxfId="346"/>
    <tableColumn id="2" xr3:uid="{7E227A51-7372-4171-8D13-AE385097997C}" name="Task Summary" dataDxfId="345" totalsRowDxfId="344"/>
    <tableColumn id="3" xr3:uid="{1A29FBFE-8607-45A1-BBFB-FB608D44457D}" name="Contractor Quote Number" dataDxfId="343" totalsRowDxfId="342"/>
    <tableColumn id="4" xr3:uid="{EC7B0430-1C4B-4A22-ADF8-29E2FB83AC33}" name="Quote Type" totalsRowDxfId="341"/>
    <tableColumn id="10" xr3:uid="{86126081-F7BF-4A18-B0B6-562F1FDA1DC3}" name="Includes PM + Direct Client &amp; Third party engagement" totalsRowDxfId="340"/>
    <tableColumn id="5" xr3:uid="{500DD84D-35F7-46E6-BD94-6308D0B46104}" name="Buy Price (ex. GST)" totalsRowFunction="sum" totalsRowDxfId="339" dataCellStyle="Currency"/>
    <tableColumn id="11" xr3:uid="{94CA224A-C671-4D4E-B925-A9D0B66D2529}" name="Margin" dataDxfId="338" totalsRowDxfId="337" dataCellStyle="Percent"/>
    <tableColumn id="13" xr3:uid="{9E03F015-0FA7-47AD-A438-8CACDE1D942C}" name="Sell Price (Ex. GST)" totalsRowFunction="sum" dataDxfId="336" totalsRowDxfId="335" dataCellStyle="Currency">
      <calculatedColumnFormula>IF(Table_Subcontractors[[#This Row],[Buy Price (ex. GST)]]&gt;0,Table_Subcontractors[[#This Row],[Buy Price (ex. GST)]]/(1-Table_Subcontractors[[#This Row],[Margin]]),"")</calculatedColumnFormula>
    </tableColumn>
    <tableColumn id="7" xr3:uid="{8CCCCA4A-1F02-4BC5-BCDE-1F11A6FDF0C4}" name="Subcontractor Sub-project duration estimate (weeks)" totalsRowFunction="sum" totalsRowDxfId="334"/>
    <tableColumn id="6" xr3:uid="{1F8C4EA9-3E06-4438-9D49-EBE597534820}" name="Document Output QTY" totalsRowFunction="sum" totalsRowDxfId="333"/>
    <tableColumn id="8" xr3:uid="{7D637545-5491-4942-B8F5-5444DB6B94BD}" name="Client/3rd Party Workshops" totalsRowFunction="sum" totalsRowDxfId="33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F8F4566-8190-4D81-A68A-A3D03335886E}" name="Table7" displayName="Table7" ref="A76:I88" totalsRowCount="1" headerRowDxfId="331" dataDxfId="330">
  <autoFilter ref="A76:I87" xr:uid="{64E5594C-7EA2-4FDC-8CD1-EACF56987E7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A55C1047-ECC3-4B94-9170-2DA5CA17E87E}" name="PM artefacts/Processes" totalsRowLabel="Total" dataDxfId="329" totalsRowDxfId="328"/>
    <tableColumn id="10" xr3:uid="{87F8CE4D-84CF-42E0-BCC4-195C647ACA3C}" name="Rate" dataDxfId="327" totalsRowDxfId="326">
      <calculatedColumnFormula>$B$13</calculatedColumnFormula>
    </tableColumn>
    <tableColumn id="3" xr3:uid="{4DCBFBAD-205F-4781-BD7E-04185841F1F7}" name="Type" dataDxfId="325" totalsRowDxfId="324"/>
    <tableColumn id="4" xr3:uid="{D9466C85-CA93-4390-9F23-1898536546B1}" name="Hours Required" totalsRowFunction="sum" dataDxfId="323" totalsRowDxfId="322">
      <calculatedColumnFormula>VLOOKUP(Table7[[#This Row],[PM artefacts/Processes]],PM_Levels[[Item]:[Effort (Hours)]],12,FALSE)</calculatedColumnFormula>
    </tableColumn>
    <tableColumn id="2" xr3:uid="{4C9E0385-7AAA-4D80-9A69-46F67AC8ADC9}" name="Included" dataDxfId="321" totalsRowDxfId="320">
      <calculatedColumnFormula>IF(D77=0,FALSE,TRUE)</calculatedColumnFormula>
    </tableColumn>
    <tableColumn id="5" xr3:uid="{42608DB2-C6B9-4E2B-B23B-39B18E9AA96E}" name="Adjustment" totalsRowFunction="sum" dataDxfId="319" totalsRowDxfId="318">
      <calculatedColumnFormula>IF(Table7[[#This Row],[Included]]=TRUE,0,-Table7[[#This Row],[Hours Required]])</calculatedColumnFormula>
    </tableColumn>
    <tableColumn id="6" xr3:uid="{297095AC-DE0D-4F93-AFEE-8C39DA7F8E29}" name="Allocation" totalsRowFunction="sum" dataDxfId="317" totalsRowDxfId="316">
      <calculatedColumnFormula>VALUE(Table7[[#This Row],[Hours Required]])+IF(ISNUMBER(Table7[[#This Row],[Adjustment]]),Table7[[#This Row],[Adjustment]],0)</calculatedColumnFormula>
    </tableColumn>
    <tableColumn id="8" xr3:uid="{6FE77BF1-1679-46D7-B55B-46CB443F9081}" name="Cost Price" totalsRowFunction="sum" dataDxfId="315" totalsRowDxfId="314">
      <calculatedColumnFormula>Table7[[#This Row],[Allocation]]*VLOOKUP(Table7[[#This Row],[Rate]],Settings_Hidden!$B$102:$C$111,2,FALSE)</calculatedColumnFormula>
    </tableColumn>
    <tableColumn id="9" xr3:uid="{B63DBF3E-9D55-4355-A2BC-9A5C664479C8}" name="Sell price" totalsRowFunction="sum" dataDxfId="313" totalsRowDxfId="312">
      <calculatedColumnFormula>Table7[[#This Row],[Allocation]]*VLOOKUP(Table7[[#This Row],[Rate]],Settings_Hidden!$B$88:$D$97,2,FALSE)</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BC92E8-A64E-4844-B129-70D9D92F0795}" name="Table79" displayName="Table79" ref="A62:F72" totalsRowCount="1" headerRowDxfId="311" dataDxfId="310">
  <autoFilter ref="A62:F71" xr:uid="{A62D925F-7013-4087-A7EE-D3DE6C1D01B4}">
    <filterColumn colId="0" hiddenButton="1"/>
    <filterColumn colId="1" hiddenButton="1"/>
    <filterColumn colId="2" hiddenButton="1"/>
    <filterColumn colId="3" hiddenButton="1"/>
    <filterColumn colId="4" hiddenButton="1"/>
    <filterColumn colId="5" hiddenButton="1"/>
  </autoFilter>
  <tableColumns count="6">
    <tableColumn id="1" xr3:uid="{156CE0CB-7C9E-4A29-A4CE-45177FF710A8}" name="PM artefacts/Processes" totalsRowLabel="Total" dataDxfId="309" totalsRowDxfId="308"/>
    <tableColumn id="10" xr3:uid="{01F50B15-406D-47DD-AE99-76D0688097B2}" name="Rate" dataDxfId="307" totalsRowDxfId="306">
      <calculatedColumnFormula>$B$13</calculatedColumnFormula>
    </tableColumn>
    <tableColumn id="3" xr3:uid="{4ED764C3-EE04-4F0B-A2F7-2985F83CB2B6}" name="Type" dataDxfId="305" totalsRowDxfId="304"/>
    <tableColumn id="4" xr3:uid="{CDC902F9-BFA0-4D55-89CE-F9A5836B030C}" name="Allocation" totalsRowFunction="sum" dataDxfId="303" totalsRowDxfId="302">
      <calculatedColumnFormula>VLOOKUP(Table79[[#This Row],[PM artefacts/Processes]],PM_Levels[[Item]:[Effort (Hours)]],12,FALSE)</calculatedColumnFormula>
    </tableColumn>
    <tableColumn id="8" xr3:uid="{726AF8A2-2239-4532-B5BD-33A4843864D6}" name="Cost Price" totalsRowFunction="sum" dataDxfId="301" totalsRowDxfId="300">
      <calculatedColumnFormula>Table79[[#This Row],[Allocation]]*VLOOKUP(Table79[[#This Row],[Rate]],Settings_Hidden!$B$102:$C$111,2,FALSE)</calculatedColumnFormula>
    </tableColumn>
    <tableColumn id="9" xr3:uid="{F16E847C-DF99-41B4-88FE-30D6E54FB096}" name="Sell price" totalsRowFunction="sum" dataDxfId="299" totalsRowDxfId="298">
      <calculatedColumnFormula>Table79[[#This Row],[Allocation]]*VLOOKUP(Table79[[#This Row],[Rate]],Settings_Hidden!$B$88:$D$97,2,FALSE)</calculatedColumnFormula>
    </tableColumn>
  </tableColumns>
  <tableStyleInfo name="TableStyleMedium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42AF3D-94C2-47C6-A785-66AA1ACA4D7A}" name="Table710" displayName="Table710" ref="A100:E124" totalsRowCount="1" headerRowDxfId="297" dataDxfId="296">
  <autoFilter ref="A100:E123" xr:uid="{DE86629E-8F83-4959-B116-10010665BFB0}">
    <filterColumn colId="0" hiddenButton="1"/>
    <filterColumn colId="1" hiddenButton="1"/>
    <filterColumn colId="2" hiddenButton="1"/>
    <filterColumn colId="3" hiddenButton="1"/>
    <filterColumn colId="4" hiddenButton="1"/>
  </autoFilter>
  <tableColumns count="5">
    <tableColumn id="1" xr3:uid="{998AA33F-8673-44E2-BA88-8261C37833BC}" name="Description" totalsRowLabel="Total" dataDxfId="295" totalsRowDxfId="294"/>
    <tableColumn id="11" xr3:uid="{7EED1EBF-948E-474B-A3EA-709F33D3AE93}" name="Resource Type" dataDxfId="293" totalsRowDxfId="292">
      <calculatedColumnFormula>$B$13</calculatedColumnFormula>
    </tableColumn>
    <tableColumn id="5" xr3:uid="{E6EF243A-7C11-4B76-A623-ED0948C6A4D3}" name="Hours Allocated" totalsRowFunction="sum" dataDxfId="291" totalsRowDxfId="290"/>
    <tableColumn id="8" xr3:uid="{5529EB63-FFC1-415F-9172-5FC48DF42230}" name="Cost Price" totalsRowFunction="sum" dataDxfId="289" totalsRowDxfId="288">
      <calculatedColumnFormula>Table710[[#This Row],[Hours Allocated]]*VLOOKUP(Table710[[#This Row],[Resource Type]],Settings_Hidden!$B$102:$C$111,2,FALSE)</calculatedColumnFormula>
    </tableColumn>
    <tableColumn id="9" xr3:uid="{F159A905-AFCC-471F-9D00-F0B6F4700F24}" name="Sell price" totalsRowFunction="sum" dataDxfId="287" totalsRowDxfId="286">
      <calculatedColumnFormula>Table710[[#This Row],[Hours Allocated]]*VLOOKUP(Table710[[#This Row],[Resource Type]],Settings_Hidden!$B$88:$D$97,2,FALSE)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6AB1CD-19A2-4FBF-8C3F-E720FDCD735F}" name="Table11" displayName="Table11" ref="A92:D96" totalsRowShown="0" headerRowDxfId="285" dataDxfId="284">
  <autoFilter ref="A92:D96" xr:uid="{226B839C-684E-4D33-A2C4-04C5E1F7C90F}">
    <filterColumn colId="0" hiddenButton="1"/>
    <filterColumn colId="1" hiddenButton="1"/>
    <filterColumn colId="2" hiddenButton="1"/>
    <filterColumn colId="3" hiddenButton="1"/>
  </autoFilter>
  <tableColumns count="4">
    <tableColumn id="1" xr3:uid="{48018DF0-5C2D-4709-BE4C-AC75244A7298}" name="Task" dataDxfId="283">
      <calculatedColumnFormula>Settings_Management_Hidden!A42</calculatedColumnFormula>
    </tableColumn>
    <tableColumn id="2" xr3:uid="{0D9C62AD-DDD8-4D0D-BC98-0923F40028A0}" name="Effort (Hours)" dataDxfId="282">
      <calculatedColumnFormula>Settings_Management_Hidden!C42</calculatedColumnFormula>
    </tableColumn>
    <tableColumn id="3" xr3:uid="{9F4ADCFF-0098-4CDC-94B4-98925E41CD3F}" name="Cost Price" dataDxfId="281">
      <calculatedColumnFormula>Settings_Management_Hidden!G42</calculatedColumnFormula>
    </tableColumn>
    <tableColumn id="4" xr3:uid="{2E1018E2-384C-496A-A724-B4A4B7C77113}" name="Sell Price" dataDxfId="280">
      <calculatedColumnFormula>Settings_Management_Hidden!H42</calculatedColumnFormula>
    </tableColumn>
  </tableColumns>
  <tableStyleInfo name="TableStyleMedium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E4447B-F80F-49E9-96FE-43D353E0FCAF}" name="Table10" displayName="Table10" ref="A50:F57" totalsRowShown="0" headerRowDxfId="279" dataDxfId="278">
  <autoFilter ref="A50:F57" xr:uid="{8AEDC70F-A0B9-4C1F-83CA-E555931F9B40}">
    <filterColumn colId="0" hiddenButton="1"/>
    <filterColumn colId="1" hiddenButton="1"/>
    <filterColumn colId="2" hiddenButton="1"/>
    <filterColumn colId="3" hiddenButton="1"/>
    <filterColumn colId="4" hiddenButton="1"/>
    <filterColumn colId="5" hiddenButton="1"/>
  </autoFilter>
  <tableColumns count="6">
    <tableColumn id="1" xr3:uid="{6C6E691A-D37A-4C67-A82B-DE8197FE1ECE}" name=" " dataDxfId="277"/>
    <tableColumn id="2" xr3:uid="{D670252B-B0FD-4EF0-8327-7635C99E82A8}" name="None" dataDxfId="276"/>
    <tableColumn id="3" xr3:uid="{A4227347-A140-4F3A-AEB6-E1DD276898F0}" name="Oversight" dataDxfId="275"/>
    <tableColumn id="4" xr3:uid="{169C62CE-31A7-458A-98B8-7CDA455B763B}" name="Small Project" dataDxfId="274"/>
    <tableColumn id="5" xr3:uid="{C4C1D999-66E0-4DE6-BB7D-A7D78514637B}" name="Medium Project" dataDxfId="273"/>
    <tableColumn id="6" xr3:uid="{E6959FDB-4430-40C3-BB32-548D74A23ABE}" name="Large Project" dataDxfId="272"/>
  </tableColumns>
  <tableStyleInfo name="TableStyleMedium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809A911-4D53-4434-8094-6A42AC42299E}" name="PART_NUMBER_GENERATOR_TABLE" displayName="PART_NUMBER_GENERATOR_TABLE" ref="C30:BS165" totalsRowShown="0" headerRowDxfId="271" tableBorderDxfId="270">
  <autoFilter ref="C30:BS165" xr:uid="{1747766C-BD45-4699-AA8E-75D4AF4F22E7}"/>
  <sortState xmlns:xlrd2="http://schemas.microsoft.com/office/spreadsheetml/2017/richdata2" ref="C31:BS165">
    <sortCondition descending="1" ref="F31:F165"/>
    <sortCondition descending="1" ref="G31:G165"/>
    <sortCondition ref="D31:D165"/>
    <sortCondition ref="H31:H165"/>
    <sortCondition ref="E31:E165"/>
  </sortState>
  <tableColumns count="69">
    <tableColumn id="1" xr3:uid="{93B3E33B-236D-42EB-9ADD-FFF729397D1A}" name="Part Number"/>
    <tableColumn id="2" xr3:uid="{2D45945E-0F4B-4D6F-941C-D2570CC9E50B}" name="Tech">
      <calculatedColumnFormula array="1">INDEX(Table.Settings_Skill.List[Skill Name],MATCH(INDEX(_xlfn.TEXTSPLIT(C31,"-",,TRUE),4),Table.Settings_Skill.List[Skill Code],0),1)</calculatedColumnFormula>
    </tableColumn>
    <tableColumn id="3" xr3:uid="{0232021E-ED39-4CC9-8CE9-B17C11DFAFAF}" name="Work Role">
      <calculatedColumnFormula array="1">INDEX(_xlfn.TEXTSPLIT(C31,"-",,TRUE),5)</calculatedColumnFormula>
    </tableColumn>
    <tableColumn id="42" xr3:uid="{2AE0FBB3-76AC-4965-B579-C93272511E70}" name="Department" dataDxfId="269">
      <calculatedColumnFormula>IFERROR(INDEX(settings.Table_Engineer.Roles[Department Code],MATCH(PART_NUMBER_GENERATOR_TABLE[[#This Row],[Work Role]],settings.Table_Engineer.Roles[ID],0),1),"PMO")</calculatedColumnFormula>
    </tableColumn>
    <tableColumn id="4" xr3:uid="{DD2B22DC-19D9-4D75-BC95-106495A11E39}" name="Work Type">
      <calculatedColumnFormula array="1">INDEX(_xlfn.TEXTSPLIT(C31,"-",,TRUE),6)</calculatedColumnFormula>
    </tableColumn>
    <tableColumn id="44" xr3:uid="{FDA08DA5-A9FD-4269-99A6-E9E5A558ECE7}" name="Sell Rate" dataDxfId="268">
      <calculatedColumnFormula>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calculatedColumnFormula>
    </tableColumn>
    <tableColumn id="43" xr3:uid="{69000976-D590-468D-B435-DDBA25EE887A}" name="Cost Rate" dataDxfId="267">
      <calculatedColumnFormula>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calculatedColumnFormula>
    </tableColumn>
    <tableColumn id="5" xr3:uid="{5A39BE08-7C24-4570-A38E-D3C1A1250E26}" name="Resource 1 BH" dataDxfId="266">
      <calculatedColumnFormula array="1">IF(J$1&lt;&gt;PART_NUMBER_GENERATOR_TABLE[[#This Row],[Work Role]:[Work Role]],0,
IF(RIGHT(J$30,2)&lt;&gt;PART_NUMBER_GENERATOR_TABLE[[#This Row],[Work Type]:[Work Type]],0,
SUMIFS(Input_Tasks[R1 Business Hours],Input_Tasks[[Skill Required]:[Skill Required]],PART_NUMBER_GENERATOR_TABLE[[#This Row],[Tech]:[Tech]])))</calculatedColumnFormula>
    </tableColumn>
    <tableColumn id="6" xr3:uid="{2F50142A-1C11-4616-A0A2-4575FF77296E}" name="Resource 1 AH">
      <calculatedColumnFormula array="1">IF(K$1&lt;&gt;PART_NUMBER_GENERATOR_TABLE[[#This Row],[Work Role]:[Work Role]],0,
IF(RIGHT(K$30,2)&lt;&gt;PART_NUMBER_GENERATOR_TABLE[[#This Row],[Work Type]:[Work Type]],0,
SUMIFS(Input_Tasks[R1 After Hours],Input_Tasks[[Skill Required]:[Skill Required]],PART_NUMBER_GENERATOR_TABLE[[#This Row],[Tech]:[Tech]])))</calculatedColumnFormula>
    </tableColumn>
    <tableColumn id="7" xr3:uid="{629A08E0-B2BF-4D20-81FB-166E7F9C40C3}" name="Resource 2 BH">
      <calculatedColumnFormula array="1">IF(L$1&lt;&gt;PART_NUMBER_GENERATOR_TABLE[[#This Row],[Work Role]:[Work Role]],0,
IF(RIGHT(L$30,2)&lt;&gt;PART_NUMBER_GENERATOR_TABLE[[#This Row],[Work Type]:[Work Type]],0,
SUMIFS(Input_Tasks[R2 Business Hours],Input_Tasks[[Skill Required]:[Skill Required]],PART_NUMBER_GENERATOR_TABLE[[#This Row],[Tech]:[Tech]])))</calculatedColumnFormula>
    </tableColumn>
    <tableColumn id="8" xr3:uid="{A758B8A0-D014-4EF8-B6EE-FB007DCA4200}" name="Resource 2 AH">
      <calculatedColumnFormula array="1">IF(M$1&lt;&gt;PART_NUMBER_GENERATOR_TABLE[[#This Row],[Work Role]:[Work Role]],0,
IF(RIGHT(M$30,2)&lt;&gt;PART_NUMBER_GENERATOR_TABLE[[#This Row],[Work Type]:[Work Type]],0,
SUMIFS(Input_Tasks[R2 After Hours],Input_Tasks[[Skill Required]:[Skill Required]],PART_NUMBER_GENERATOR_TABLE[[#This Row],[Tech]:[Tech]])))</calculatedColumnFormula>
    </tableColumn>
    <tableColumn id="9" xr3:uid="{7CB8D596-B9BB-424E-AA5A-BD84ABF913D7}" name="Resource 3 BH">
      <calculatedColumnFormula array="1">IF(N$1&lt;&gt;PART_NUMBER_GENERATOR_TABLE[[#This Row],[Work Role]:[Work Role]],0,
IF(RIGHT(N$30,2)&lt;&gt;PART_NUMBER_GENERATOR_TABLE[[#This Row],[Work Type]:[Work Type]],0,
SUMIFS(Input_Tasks[R3 Business Hours],Input_Tasks[[Skill Required]:[Skill Required]],PART_NUMBER_GENERATOR_TABLE[[#This Row],[Tech]:[Tech]])))</calculatedColumnFormula>
    </tableColumn>
    <tableColumn id="10" xr3:uid="{8165B173-0D70-4FB8-9B19-3C7B5371D3B0}" name="Resource 3 AH">
      <calculatedColumnFormula array="1">IF(O$1&lt;&gt;PART_NUMBER_GENERATOR_TABLE[[#This Row],[Work Role]:[Work Role]],0,
IF(RIGHT(O$30,2)&lt;&gt;PART_NUMBER_GENERATOR_TABLE[[#This Row],[Work Type]:[Work Type]],0,
SUMIFS(Input_Tasks[R3 After Hours],Input_Tasks[[Skill Required]:[Skill Required]],PART_NUMBER_GENERATOR_TABLE[[#This Row],[Tech]:[Tech]])))</calculatedColumnFormula>
    </tableColumn>
    <tableColumn id="11" xr3:uid="{FB5E2917-CEBE-45F2-B999-26715DFC6906}" name="Resource 4 BH">
      <calculatedColumnFormula array="1">IF(P$1&lt;&gt;PART_NUMBER_GENERATOR_TABLE[[#This Row],[Work Role]:[Work Role]],0,
IF(RIGHT(P$30,2)&lt;&gt;PART_NUMBER_GENERATOR_TABLE[[#This Row],[Work Type]:[Work Type]],0,
SUMIFS(Input_Tasks[R4 Business Hours],Input_Tasks[[Skill Required]:[Skill Required]],PART_NUMBER_GENERATOR_TABLE[[#This Row],[Tech]:[Tech]])))</calculatedColumnFormula>
    </tableColumn>
    <tableColumn id="12" xr3:uid="{C635C029-A425-4FAD-8F63-AC6C6691FB5B}" name="Resource 4 AH">
      <calculatedColumnFormula array="1">IF(Q$1&lt;&gt;PART_NUMBER_GENERATOR_TABLE[[#This Row],[Work Role]:[Work Role]],0,
IF(RIGHT(Q$30,2)&lt;&gt;PART_NUMBER_GENERATOR_TABLE[[#This Row],[Work Type]:[Work Type]],0,
SUMIFS(Input_Tasks[R4 After Hours],Input_Tasks[[Skill Required]:[Skill Required]],PART_NUMBER_GENERATOR_TABLE[[#This Row],[Tech]:[Tech]])))</calculatedColumnFormula>
    </tableColumn>
    <tableColumn id="13" xr3:uid="{B535647C-9F2D-4E31-AA72-CFA2BC3E08EC}" name="Resource 5 BH">
      <calculatedColumnFormula array="1">IF(R$1&lt;&gt;PART_NUMBER_GENERATOR_TABLE[[#This Row],[Work Role]:[Work Role]],0,
IF(RIGHT(R$30,2)&lt;&gt;PART_NUMBER_GENERATOR_TABLE[[#This Row],[Work Type]:[Work Type]],0,
SUMIFS(Input_Tasks[R5 Business Hours],Input_Tasks[[Skill Required]:[Skill Required]],PART_NUMBER_GENERATOR_TABLE[[#This Row],[Tech]:[Tech]])))</calculatedColumnFormula>
    </tableColumn>
    <tableColumn id="14" xr3:uid="{787D3FE5-48AF-4C87-88DA-9606B19A2819}" name="Resource 5 AH">
      <calculatedColumnFormula array="1">IF(S$1&lt;&gt;PART_NUMBER_GENERATOR_TABLE[[#This Row],[Work Role]:[Work Role]],0,
IF(RIGHT(S$30,2)&lt;&gt;PART_NUMBER_GENERATOR_TABLE[[#This Row],[Work Type]:[Work Type]],0,
SUMIFS(Input_Tasks[R5 After Hours],Input_Tasks[[Skill Required]:[Skill Required]],PART_NUMBER_GENERATOR_TABLE[[#This Row],[Tech]:[Tech]])))</calculatedColumnFormula>
    </tableColumn>
    <tableColumn id="15" xr3:uid="{6FA4F616-901A-4CCE-8B71-77F6861ACF3B}" name="PM Hours" dataDxfId="265">
      <calculatedColumnFormula array="1">IF(PART_NUMBER_GENERATOR_TABLE[[#This Row],[Work Role]:[Work Role]]&lt;&gt;T$1,0,
IF(PART_NUMBER_GENERATOR_TABLE[[#This Row],[Work Type]:[Work Type]]&lt;&gt;"BH",0,
SUMIFS(T$9:T$24,$M$9:$M$24,PART_NUMBER_GENERATOR_TABLE[[#This Row],[Tech]:[Tech]])))</calculatedColumnFormula>
    </tableColumn>
    <tableColumn id="16" xr3:uid="{E5CFDDF4-DC6B-4685-91CA-9870A062934A}" name="R1 Mandatory Tasks">
      <calculatedColumnFormula array="1">IF(PART_NUMBER_GENERATOR_TABLE[[#This Row],[Work Role]:[Work Role]]&lt;&gt;U$1,0,
IF(PART_NUMBER_GENERATOR_TABLE[[#This Row],[Work Type]:[Work Type]]&lt;&gt;"BH",0,
SUMIFS(U$9:U$24,$M$9:$M$24,PART_NUMBER_GENERATOR_TABLE[[#This Row],[Tech]:[Tech]])))</calculatedColumnFormula>
    </tableColumn>
    <tableColumn id="17" xr3:uid="{84F4877C-18A7-45DA-8477-48189CB3D10D}" name="R2 Mandatory Tasks">
      <calculatedColumnFormula array="1">IF(PART_NUMBER_GENERATOR_TABLE[[#This Row],[Work Role]:[Work Role]]&lt;&gt;V$1,0,
IF(PART_NUMBER_GENERATOR_TABLE[[#This Row],[Work Type]:[Work Type]]&lt;&gt;"BH",0,
SUMIFS(V$9:V$24,$M$9:$M$24,PART_NUMBER_GENERATOR_TABLE[[#This Row],[Tech]:[Tech]])))</calculatedColumnFormula>
    </tableColumn>
    <tableColumn id="18" xr3:uid="{8E875940-01E1-4FBF-85DA-7204CBD7D3F4}" name="R3 Mandatory Tasks">
      <calculatedColumnFormula array="1">IF(PART_NUMBER_GENERATOR_TABLE[[#This Row],[Work Role]:[Work Role]]&lt;&gt;W$1,0,
IF(PART_NUMBER_GENERATOR_TABLE[[#This Row],[Work Type]:[Work Type]]&lt;&gt;"BH",0,
SUMIFS(W$9:W$24,$M$9:$M$24,PART_NUMBER_GENERATOR_TABLE[[#This Row],[Tech]:[Tech]])))</calculatedColumnFormula>
    </tableColumn>
    <tableColumn id="19" xr3:uid="{68D4CF8A-4A08-4C7F-BCF1-5619BDE4DD57}" name="R4 Mandatory Tasks">
      <calculatedColumnFormula array="1">IF(PART_NUMBER_GENERATOR_TABLE[[#This Row],[Work Role]:[Work Role]]&lt;&gt;X$1,0,
IF(PART_NUMBER_GENERATOR_TABLE[[#This Row],[Work Type]:[Work Type]]&lt;&gt;"BH",0,
SUMIFS(X$9:X$24,$M$9:$M$24,PART_NUMBER_GENERATOR_TABLE[[#This Row],[Tech]:[Tech]])))</calculatedColumnFormula>
    </tableColumn>
    <tableColumn id="20" xr3:uid="{13A7B3E9-B51A-45DA-B42F-4D1E73A81948}" name="R5 Mandatory Tasks">
      <calculatedColumnFormula array="1">IF(PART_NUMBER_GENERATOR_TABLE[[#This Row],[Work Role]:[Work Role]]&lt;&gt;Y$1,0,
IF(PART_NUMBER_GENERATOR_TABLE[[#This Row],[Work Type]:[Work Type]]&lt;&gt;"BH",0,
SUMIFS(Y$9:Y$24,$M$9:$M$24,PART_NUMBER_GENERATOR_TABLE[[#This Row],[Tech]:[Tech]])))</calculatedColumnFormula>
    </tableColumn>
    <tableColumn id="21" xr3:uid="{F19CBD42-E603-4FA4-BEA8-0E8E901BC216}" name="PM Remainder">
      <calculatedColumnFormula array="1">IF(PART_NUMBER_GENERATOR_TABLE[[#This Row],[Work Role]:[Work Role]]&lt;&gt;Z$1,0,
IF(PART_NUMBER_GENERATOR_TABLE[[#This Row],[Work Type]:[Work Type]]&lt;&gt;"BH",0,
SUMIFS(Z$9:Z$24,$M$9:$M$24,PART_NUMBER_GENERATOR_TABLE[[#This Row],[Tech]:[Tech]])))</calculatedColumnFormula>
    </tableColumn>
    <tableColumn id="22" xr3:uid="{6DE682F4-5E3E-431F-9C85-9CCB97CFACEE}" name="R1 Remainder">
      <calculatedColumnFormula array="1">IF(PART_NUMBER_GENERATOR_TABLE[[#This Row],[Work Role]:[Work Role]]&lt;&gt;AA$1,0,
IF(PART_NUMBER_GENERATOR_TABLE[[#This Row],[Work Type]:[Work Type]]&lt;&gt;"BH",0,
SUMIFS(AA$9:AA$24,$M$9:$M$24,PART_NUMBER_GENERATOR_TABLE[[#This Row],[Tech]:[Tech]])))</calculatedColumnFormula>
    </tableColumn>
    <tableColumn id="23" xr3:uid="{DDD01AC5-FDE4-4D95-BDB4-2DD040553D44}" name="R2 Remainder">
      <calculatedColumnFormula array="1">IF(PART_NUMBER_GENERATOR_TABLE[[#This Row],[Work Role]:[Work Role]]&lt;&gt;AB$1,0,
IF(PART_NUMBER_GENERATOR_TABLE[[#This Row],[Work Type]:[Work Type]]&lt;&gt;"BH",0,
SUMIFS(AB$9:AB$24,$M$9:$M$24,PART_NUMBER_GENERATOR_TABLE[[#This Row],[Tech]:[Tech]])))</calculatedColumnFormula>
    </tableColumn>
    <tableColumn id="24" xr3:uid="{D713C34C-82BB-493D-A073-DE75D5A3F81E}" name="R3 Remainder">
      <calculatedColumnFormula array="1">IF(PART_NUMBER_GENERATOR_TABLE[[#This Row],[Work Role]:[Work Role]]&lt;&gt;AC$1,0,
IF(PART_NUMBER_GENERATOR_TABLE[[#This Row],[Work Type]:[Work Type]]&lt;&gt;"BH",0,
SUMIFS(AC$9:AC$24,$M$9:$M$24,PART_NUMBER_GENERATOR_TABLE[[#This Row],[Tech]:[Tech]])))</calculatedColumnFormula>
    </tableColumn>
    <tableColumn id="25" xr3:uid="{370B4305-0A41-49D1-8C67-5B00508616CF}" name="R4 Remainder">
      <calculatedColumnFormula array="1">IF(PART_NUMBER_GENERATOR_TABLE[[#This Row],[Work Role]:[Work Role]]&lt;&gt;AD$1,0,
IF(PART_NUMBER_GENERATOR_TABLE[[#This Row],[Work Type]:[Work Type]]&lt;&gt;"BH",0,
SUMIFS(AD$9:AD$24,$M$9:$M$24,PART_NUMBER_GENERATOR_TABLE[[#This Row],[Tech]:[Tech]])))</calculatedColumnFormula>
    </tableColumn>
    <tableColumn id="26" xr3:uid="{FB3ED269-A561-47B3-B0C8-9CEB3CE6B10A}" name="R5 Remainder">
      <calculatedColumnFormula array="1">IF(PART_NUMBER_GENERATOR_TABLE[[#This Row],[Work Role]:[Work Role]]&lt;&gt;AE$1,0,
IF(PART_NUMBER_GENERATOR_TABLE[[#This Row],[Work Type]:[Work Type]]&lt;&gt;"BH",0,
SUMIFS(AE$9:AE$24,$M$9:$M$24,PART_NUMBER_GENERATOR_TABLE[[#This Row],[Tech]:[Tech]])))</calculatedColumnFormula>
    </tableColumn>
    <tableColumn id="27" xr3:uid="{276EBC3B-1592-4206-AEB8-00B843407DFE}" name="SSE RISK BH" dataDxfId="264">
      <calculatedColumnFormula array="1">IF(PART_NUMBER_GENERATOR_TABLE[[#This Row],[Work Role]:[Work Role]]&lt;&gt;AF$1,0,
IF(PART_NUMBER_GENERATOR_TABLE[[#This Row],[Work Type]:[Work Type]]&lt;&gt;"BH",0,
SUMIFS(AF$9:AF$24,$M$9:$M$24,PART_NUMBER_GENERATOR_TABLE[[#This Row],[Tech]:[Tech]])))</calculatedColumnFormula>
    </tableColumn>
    <tableColumn id="28" xr3:uid="{AA45DF21-7B6F-43AF-BF81-DA9911C66149}" name="SSE RISK AH" dataDxfId="263">
      <calculatedColumnFormula array="1">IF(PART_NUMBER_GENERATOR_TABLE[[#This Row],[Work Role]:[Work Role]]&lt;&gt;AG$1,0,
IF(PART_NUMBER_GENERATOR_TABLE[[#This Row],[Work Type]:[Work Type]]&lt;&gt;"AH",0,
SUMIFS(AG$9:AG$24,$M$9:$M$24,PART_NUMBER_GENERATOR_TABLE[[#This Row],[Tech]:[Tech]])))</calculatedColumnFormula>
    </tableColumn>
    <tableColumn id="29" xr3:uid="{8779B599-396B-40BE-BAA8-942EBAEB3741}" name="PM RISK" dataDxfId="262">
      <calculatedColumnFormula array="1">IF(PART_NUMBER_GENERATOR_TABLE[[#This Row],[Work Role]:[Work Role]]&lt;&gt;AH$1,0,
IF(PART_NUMBER_GENERATOR_TABLE[[#This Row],[Work Type]:[Work Type]]&lt;&gt;"BH",0,
SUMIFS(AH$9:AH$24,$M$9:$M$24,PART_NUMBER_GENERATOR_TABLE[[#This Row],[Tech]:[Tech]])))</calculatedColumnFormula>
    </tableColumn>
    <tableColumn id="30" xr3:uid="{23DE7E85-63F0-46F1-BB7E-C540F5BF7DA2}" name="SSE RISK TRAVEL" dataDxfId="261">
      <calculatedColumnFormula array="1">IF(PART_NUMBER_GENERATOR_TABLE[[#This Row],[Work Role]:[Work Role]]&lt;&gt;AI$1,0,
IF(PART_NUMBER_GENERATOR_TABLE[[#This Row],[Work Type]:[Work Type]]&lt;&gt;"BH",0,
SUMIFS(AI$9:AI$24,$M$9:$M$24,PART_NUMBER_GENERATOR_TABLE[[#This Row],[Tech]:[Tech]])))</calculatedColumnFormula>
    </tableColumn>
    <tableColumn id="31" xr3:uid="{6A7D7EA1-5C2E-49EA-9226-2734367C0A22}" name="SSE Remainder RISK BH" dataDxfId="260">
      <calculatedColumnFormula array="1">IF(PART_NUMBER_GENERATOR_TABLE[[#This Row],[Work Role]:[Work Role]]&lt;&gt;AJ$1,0,
IF(PART_NUMBER_GENERATOR_TABLE[[#This Row],[Work Type]:[Work Type]]&lt;&gt;"BH",0,
SUMIFS(AJ$9:AJ$24,$M$9:$M$24,PART_NUMBER_GENERATOR_TABLE[[#This Row],[Tech]:[Tech]])))</calculatedColumnFormula>
    </tableColumn>
    <tableColumn id="32" xr3:uid="{0591CE1A-AD48-4405-A237-0BF6E9C436F6}" name="SSE Remainder RISK AH" dataDxfId="259">
      <calculatedColumnFormula array="1">IF(PART_NUMBER_GENERATOR_TABLE[[#This Row],[Work Role]:[Work Role]]&lt;&gt;AK$1,0,
IF(PART_NUMBER_GENERATOR_TABLE[[#This Row],[Work Type]:[Work Type]]&lt;&gt;"AH",0,
SUMIFS(AK$9:AK$24,$M$9:$M$24,PART_NUMBER_GENERATOR_TABLE[[#This Row],[Tech]:[Tech]])))</calculatedColumnFormula>
    </tableColumn>
    <tableColumn id="33" xr3:uid="{6A6DA01F-B2C3-46AE-B7EF-FA22F4A56892}" name="PM Remainder RISK" dataDxfId="258">
      <calculatedColumnFormula array="1">IF(PART_NUMBER_GENERATOR_TABLE[[#This Row],[Work Role]:[Work Role]]&lt;&gt;AL$1,0,
IF(PART_NUMBER_GENERATOR_TABLE[[#This Row],[Work Type]:[Work Type]]&lt;&gt;"BH",0,
SUMIFS(AL$9:AL$24,$M$9:$M$24,PART_NUMBER_GENERATOR_TABLE[[#This Row],[Tech]:[Tech]])))</calculatedColumnFormula>
    </tableColumn>
    <tableColumn id="34" xr3:uid="{B10CFD90-2D56-4557-A83A-5A9D1102DF65}" name=" -Space-" dataDxfId="257">
      <calculatedColumnFormula>0</calculatedColumnFormula>
    </tableColumn>
    <tableColumn id="35" xr3:uid="{FC07683C-22E6-49A9-9C3C-1A2A66C3230A}" name="PM Trips" dataDxfId="256">
      <calculatedColumnFormula array="1">IF(PART_NUMBER_GENERATOR_TABLE[[#This Row],[Work Role]:[Work Role]]&lt;&gt;AN$1,0,
IF(PART_NUMBER_GENERATOR_TABLE[[#This Row],[Work Type]:[Work Type]]&lt;&gt;"BH",0,
SUMIFS(AN$24,$AM$24,PART_NUMBER_GENERATOR_TABLE[[#This Row],[Tech]:[Tech]])))</calculatedColumnFormula>
    </tableColumn>
    <tableColumn id="36" xr3:uid="{82B45D67-826F-4B09-B246-69C9CF692F79}" name="R1 Trips" dataDxfId="255">
      <calculatedColumnFormula array="1">IF(PART_NUMBER_GENERATOR_TABLE[[#This Row],[Work Role]:[Work Role]]&lt;&gt;AO$1,0,
IF(PART_NUMBER_GENERATOR_TABLE[[#This Row],[Work Type]:[Work Type]]&lt;&gt;"BH",0,
SUMIFS(AO$24,$AM$24,PART_NUMBER_GENERATOR_TABLE[[#This Row],[Tech]:[Tech]])))</calculatedColumnFormula>
    </tableColumn>
    <tableColumn id="37" xr3:uid="{5B7F0A69-5E42-4940-84F9-1FAFC33193A1}" name="R2 Trips" dataDxfId="254">
      <calculatedColumnFormula array="1">IF(PART_NUMBER_GENERATOR_TABLE[[#This Row],[Work Role]:[Work Role]]&lt;&gt;AP$1,0,
IF(PART_NUMBER_GENERATOR_TABLE[[#This Row],[Work Type]:[Work Type]]&lt;&gt;"BH",0,
SUMIFS(AP$24,$AM$24,PART_NUMBER_GENERATOR_TABLE[[#This Row],[Tech]:[Tech]])))</calculatedColumnFormula>
    </tableColumn>
    <tableColumn id="38" xr3:uid="{54B2D6A4-0AD2-4390-80FE-8F6D6BA9E399}" name="R3 Trips" dataDxfId="253">
      <calculatedColumnFormula array="1">IF(PART_NUMBER_GENERATOR_TABLE[[#This Row],[Work Role]:[Work Role]]&lt;&gt;AQ$1,0,
IF(PART_NUMBER_GENERATOR_TABLE[[#This Row],[Work Type]:[Work Type]]&lt;&gt;"BH",0,
SUMIFS(AQ$24,$AM$24,PART_NUMBER_GENERATOR_TABLE[[#This Row],[Tech]:[Tech]])))</calculatedColumnFormula>
    </tableColumn>
    <tableColumn id="39" xr3:uid="{5D6C0831-930D-45C7-9004-76A7A6D6E121}" name="R4 Trips" dataDxfId="252">
      <calculatedColumnFormula array="1">IF(PART_NUMBER_GENERATOR_TABLE[[#This Row],[Work Role]:[Work Role]]&lt;&gt;AR$1,0,
IF(PART_NUMBER_GENERATOR_TABLE[[#This Row],[Work Type]:[Work Type]]&lt;&gt;"BH",0,
SUMIFS(AR$24,$AM$24,PART_NUMBER_GENERATOR_TABLE[[#This Row],[Tech]:[Tech]])))</calculatedColumnFormula>
    </tableColumn>
    <tableColumn id="40" xr3:uid="{C215A755-CA4F-45F6-A928-52BF21603EDD}" name="R5 Trips" dataDxfId="251">
      <calculatedColumnFormula array="1">IF(PART_NUMBER_GENERATOR_TABLE[[#This Row],[Work Role]:[Work Role]]&lt;&gt;AS$1,0,
IF(PART_NUMBER_GENERATOR_TABLE[[#This Row],[Work Type]:[Work Type]]&lt;&gt;"BH",0,
SUMIFS(AS$24,$AM$24,PART_NUMBER_GENERATOR_TABLE[[#This Row],[Tech]:[Tech]])))</calculatedColumnFormula>
    </tableColumn>
    <tableColumn id="58" xr3:uid="{4D14CBA3-B5C8-4611-A779-9002F4989378}" name="Additional Custom Trips" dataDxfId="250">
      <calculatedColumnFormula array="1">IF(PART_NUMBER_GENERATOR_TABLE[[#This Row],[Work Role]:[Work Role]]&lt;&gt;AS$1,0,
IF(PART_NUMBER_GENERATOR_TABLE[[#This Row],[Work Type]:[Work Type]]&lt;&gt;"BH",0,
SUMIFS(AT$24,$AM$24,PART_NUMBER_GENERATOR_TABLE[[#This Row],[Tech]:[Tech]])))</calculatedColumnFormula>
    </tableColumn>
    <tableColumn id="41" xr3:uid="{1763DDDF-FB69-4AA0-BE50-08648C7FF822}" name="Professional Engineering Hours" dataDxfId="249">
      <calculatedColumnFormula>SUM(PART_NUMBER_GENERATOR_TABLE[[#This Row],[Resource 1 BH]:[Resource 5 AH]],PART_NUMBER_GENERATOR_TABLE[[#This Row],[R1 Mandatory Tasks]:[R5 Mandatory Tasks]],PART_NUMBER_GENERATOR_TABLE[[#This Row],[R1 Remainder]:[R5 Remainder]])</calculatedColumnFormula>
    </tableColumn>
    <tableColumn id="46" xr3:uid="{13881080-207E-4A6C-8B7F-6575ED6D7537}" name="Professional Engineering Price" dataDxfId="248">
      <calculatedColumnFormula>PART_NUMBER_GENERATOR_TABLE[[#This Row],[Professional Engineering Hours]]*PART_NUMBER_GENERATOR_TABLE[[#This Row],[Sell Rate]]</calculatedColumnFormula>
    </tableColumn>
    <tableColumn id="67" xr3:uid="{669CF77C-5280-4DFD-A05B-06C4EE00A7A1}" name="Professional Engineering Costs" dataDxfId="247">
      <calculatedColumnFormula>PART_NUMBER_GENERATOR_TABLE[[#This Row],[Professional Engineering Hours]]*PART_NUMBER_GENERATOR_TABLE[[#This Row],[Cost Rate]]</calculatedColumnFormula>
    </tableColumn>
    <tableColumn id="45" xr3:uid="{D00CD0F3-9D46-453B-A249-A2A41058A52B}" name="Travel &amp; Accommodation Hours" dataDxfId="246">
      <calculatedColumnFormula>SUM(PART_NUMBER_GENERATOR_TABLE[[#This Row],[PM Trips]:[R5 Trips]])</calculatedColumnFormula>
    </tableColumn>
    <tableColumn id="47" xr3:uid="{EF98D479-6A7F-4704-8401-2C7E379582D0}" name="Travel &amp; Accommodation Price" dataDxfId="245">
      <calculatedColumnFormula>PART_NUMBER_GENERATOR_TABLE[[#This Row],[Travel &amp; Accommodation Hours]]*PART_NUMBER_GENERATOR_TABLE[[#This Row],[Sell Rate]]</calculatedColumnFormula>
    </tableColumn>
    <tableColumn id="68" xr3:uid="{B08A17C3-0BDB-445A-AC2B-2CB89D21ACC3}" name="Travel &amp; Accommodation Cost" dataDxfId="244">
      <calculatedColumnFormula>PART_NUMBER_GENERATOR_TABLE[[#This Row],[Travel &amp; Accommodation Hours]]*PART_NUMBER_GENERATOR_TABLE[[#This Row],[Cost Rate]]</calculatedColumnFormula>
    </tableColumn>
    <tableColumn id="48" xr3:uid="{09EE91B7-C2D7-4C08-B595-8B078E2B69D8}" name="Project Management Hours" dataDxfId="243">
      <calculatedColumnFormula>PART_NUMBER_GENERATOR_TABLE[[#This Row],[PM Hours]]+PART_NUMBER_GENERATOR_TABLE[[#This Row],[PM Remainder]]</calculatedColumnFormula>
    </tableColumn>
    <tableColumn id="49" xr3:uid="{58F82783-AC24-49A5-B5E2-ABC55E67D62A}" name="Project Management Price" dataDxfId="242">
      <calculatedColumnFormula>PART_NUMBER_GENERATOR_TABLE[[#This Row],[Project Management Hours]]*PART_NUMBER_GENERATOR_TABLE[[#This Row],[Sell Rate]]</calculatedColumnFormula>
    </tableColumn>
    <tableColumn id="69" xr3:uid="{4A659591-2D7D-4435-9841-8227F3191333}" name="Project Management Cost" dataDxfId="241">
      <calculatedColumnFormula>PART_NUMBER_GENERATOR_TABLE[[#This Row],[Project Management Hours]]*PART_NUMBER_GENERATOR_TABLE[[#This Row],[Cost Rate]]</calculatedColumnFormula>
    </tableColumn>
    <tableColumn id="50" xr3:uid="{7CE0FBA3-F1EC-44A3-B6BC-B729FB68DB24}" name="Project Risk Service Hours" dataDxfId="240">
      <calculatedColumnFormula>SUM(PART_NUMBER_GENERATOR_TABLE[[#This Row],[SSE RISK BH]:[PM RISK]],PART_NUMBER_GENERATOR_TABLE[[#This Row],[SSE Remainder RISK BH]:[PM Remainder RISK]])</calculatedColumnFormula>
    </tableColumn>
    <tableColumn id="51" xr3:uid="{B0283EEE-BC7E-4C16-98F5-72A145D7F5DD}" name="Project Risk Service Price" dataDxfId="239">
      <calculatedColumnFormula>PART_NUMBER_GENERATOR_TABLE[[#This Row],[Project Risk Service Hours]]*PART_NUMBER_GENERATOR_TABLE[[#This Row],[Sell Rate]]</calculatedColumnFormula>
    </tableColumn>
    <tableColumn id="70" xr3:uid="{B6C34916-61FD-47C3-9D12-04977227012C}" name="Project Risk Service Cost" dataDxfId="238">
      <calculatedColumnFormula>PART_NUMBER_GENERATOR_TABLE[[#This Row],[Project Risk Service Hours]]*PART_NUMBER_GENERATOR_TABLE[[#This Row],[Cost Rate]]</calculatedColumnFormula>
    </tableColumn>
    <tableColumn id="52" xr3:uid="{712C25D6-B3BA-47FF-BCBE-6970AAC8A785}" name="Project Risk Travel Hours" dataDxfId="237">
      <calculatedColumnFormula>PART_NUMBER_GENERATOR_TABLE[[#This Row],[SSE RISK TRAVEL]]</calculatedColumnFormula>
    </tableColumn>
    <tableColumn id="53" xr3:uid="{50055C15-0057-41AC-9147-3604521202F1}" name="Project Risk Travel Price" dataDxfId="236">
      <calculatedColumnFormula>PART_NUMBER_GENERATOR_TABLE[[#This Row],[Sell Rate]]*PART_NUMBER_GENERATOR_TABLE[[#This Row],[Project Risk Travel Hours]]</calculatedColumnFormula>
    </tableColumn>
    <tableColumn id="71" xr3:uid="{5431CEEC-A273-47AF-B7A5-DB254D55DC6A}" name="Project Risk Travel Cost" dataDxfId="235">
      <calculatedColumnFormula>PART_NUMBER_GENERATOR_TABLE[[#This Row],[Project Risk Travel Hours]]*PART_NUMBER_GENERATOR_TABLE[[#This Row],[Cost Rate]]</calculatedColumnFormula>
    </tableColumn>
    <tableColumn id="63" xr3:uid="{EFB9845B-5451-49D7-9C30-CC7C70E8E8D3}" name="Total Hours" dataDxfId="234">
      <calculatedColumnFormula>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calculatedColumnFormula>
    </tableColumn>
    <tableColumn id="60" xr3:uid="{AF2B4F0B-A4B1-46B5-886A-0D422E2CF217}" name="Total Base Price" dataDxfId="233">
      <calculatedColumnFormula>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calculatedColumnFormula>
    </tableColumn>
    <tableColumn id="59" xr3:uid="{E909EE4A-FE78-46D1-B94E-098CFA8A896A}" name="Rate Service Discount" dataDxfId="232">
      <calculatedColumnFormula>IFERROR(-VLOOKUP(INDEX(ENGINEER_ROLES,MATCH(PART_NUMBER_GENERATOR_TABLE[[#This Row],[Work Role]],settings.Table_Engineer.Roles[ID],0),1),Settings_Hidden!$H$359:$K$366,4,FALSE),0)</calculatedColumnFormula>
    </tableColumn>
    <tableColumn id="61" xr3:uid="{413D7ADF-9B86-4848-ADF2-35F326DA9351}" name="Flat Service Discount" dataDxfId="231">
      <calculatedColumnFormula>-Summary!$C$66</calculatedColumnFormula>
    </tableColumn>
    <tableColumn id="62" xr3:uid="{4EE49107-3474-436E-8F73-E55AF23312B3}" name="Effective Discount" dataDxfId="230">
      <calculatedColumnFormula>PART_NUMBER_GENERATOR_TABLE[[#This Row],[Total Base Price]]*MIN(PART_NUMBER_GENERATOR_TABLE[[#This Row],[Rate Service Discount]:[Flat Service Discount]])</calculatedColumnFormula>
    </tableColumn>
    <tableColumn id="72" xr3:uid="{0BB2BEC3-31F8-400F-8D8D-EAC61A1FBC4E}" name="ROW" dataDxfId="229">
      <calculatedColumnFormula>IF(PART_NUMBER_GENERATOR_TABLE[[#This Row],[Quantity]]&lt;&gt;0,MAX($BO$30:BO30)+1,"")</calculatedColumnFormula>
    </tableColumn>
    <tableColumn id="54" xr3:uid="{EA40450C-1290-49E8-8479-CE344AD627B0}" name="Manufacturer Part Number" dataDxfId="228">
      <calculatedColumnFormula>PART_NUMBER_GENERATOR_TABLE[[#This Row],[Part Number]]</calculatedColumnFormula>
    </tableColumn>
    <tableColumn id="55" xr3:uid="{8E830C07-30AB-419B-AA7C-2FAE4B887059}" name="Quantity" dataDxfId="227">
      <calculatedColumnFormula>PART_NUMBER_GENERATOR_TABLE[[#This Row],[Total Hours]]</calculatedColumnFormula>
    </tableColumn>
    <tableColumn id="56" xr3:uid="{B240352A-E5F2-4E8E-ABF0-C3A83FD663A5}" name="Cost" dataDxfId="226">
      <calculatedColumnFormula>PART_NUMBER_GENERATOR_TABLE[[#This Row],[Cost Rate]]</calculatedColumnFormula>
    </tableColumn>
    <tableColumn id="57" xr3:uid="{85BFBA92-0ED5-4CAA-9704-F0BB574CC84E}" name="Suggested Price" dataDxfId="225">
      <calculatedColumnFormula>PART_NUMBER_GENERATOR_TABLE[[#This Row],[Sell Rate]]+(PART_NUMBER_GENERATOR_TABLE[[#This Row],[Sell Rate]]*MIN(PART_NUMBER_GENERATOR_TABLE[[#This Row],[Rate Service Discount]:[Flat Service Discount]]))</calculatedColumnFormula>
    </tableColumn>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670871E-E9DE-4C84-B09B-2D5AC504F94D}" name="Table.Settings_Skill.List" displayName="Table.Settings_Skill.List" ref="A369:B377" totalsRowShown="0" dataDxfId="224">
  <autoFilter ref="A369:B377" xr:uid="{1670871E-E9DE-4C84-B09B-2D5AC504F94D}"/>
  <tableColumns count="2">
    <tableColumn id="1" xr3:uid="{B52C73BA-D043-41BA-9418-3ECA9FE5824B}" name="Skill Name" dataDxfId="223"/>
    <tableColumn id="2" xr3:uid="{88F186E3-FCA6-4DAA-8B9F-9FACCFC940E2}" name="Skill Code" dataDxfId="222"/>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8DC3DE1-CBEB-4CAC-8B31-CA1F7EBEAA53}" name="settings.Table_Engineer.Roles" displayName="settings.Table_Engineer.Roles" ref="B49:E56" totalsRowShown="0" headerRowDxfId="221">
  <autoFilter ref="B49:E56" xr:uid="{F8DC3DE1-CBEB-4CAC-8B31-CA1F7EBEAA53}"/>
  <tableColumns count="4">
    <tableColumn id="1" xr3:uid="{43ADCD60-3797-42F6-B997-3F10A62F7E82}" name="Role"/>
    <tableColumn id="2" xr3:uid="{189D25C9-06EF-4339-A345-CD929E07FC7B}" name="ID"/>
    <tableColumn id="3" xr3:uid="{99D9168F-8AB5-4423-A076-E64AA112A4B3}" name="Hours Sold" dataDxfId="220">
      <calculatedColumnFormula>SUMIFS(Table6[Hours],Table6[Type],settings.Table_Engineer.Roles[[#This Row],[Role]])
+IF(settings.Table_Engineer.Roles[[#This Row],[Role]]=RESOURCE_1_TYPE,SUM(Input_Tasks[[R1 Business Hours]:[R1 After Hours]]))
+IF(settings.Table_Engineer.Roles[[#This Row],[Role]]=RESOURCE_2_TYPE,SUM(Input_Tasks[[R2 Business Hours]:[R2 After Hours]]))
+IF(settings.Table_Engineer.Roles[[#This Row],[Role]]=RESOURCE_3_TYPE,SUM(Input_Tasks[[R3 Business Hours]:[R3 After Hours]]))
+IF(settings.Table_Engineer.Roles[[#This Row],[Role]]=RESOURCE_4_TYPE,SUM(Input_Tasks[[R4 Business Hours]:[R4 After Hours]]))
+IF(settings.Table_Engineer.Roles[[#This Row],[Role]]=RESOURCE_5_TYPE,SUM(Input_Tasks[[R5 Business Hours]:[R5 After Hours]]))</calculatedColumnFormula>
    </tableColumn>
    <tableColumn id="4" xr3:uid="{8F199967-0EF2-4C42-A41A-19D8197A6E9F}" name="Department Code"/>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353CADC-A970-49F7-B645-D6BB21155242}" name="Table.Settings_Role.Discounts" displayName="Table.Settings_Role.Discounts" ref="A359:F366" totalsRowShown="0">
  <autoFilter ref="A359:F366" xr:uid="{4353CADC-A970-49F7-B645-D6BB21155242}"/>
  <tableColumns count="6">
    <tableColumn id="1" xr3:uid="{E39C0A35-B424-479E-B1D4-44C3E574BEC5}" name="Work Role">
      <calculatedColumnFormula>B50</calculatedColumnFormula>
    </tableColumn>
    <tableColumn id="2" xr3:uid="{788D2F76-AE20-44D9-BBB4-EC9E86360E2D}" name="Corresponding Rate">
      <calculatedColumnFormula>Table.Settings_Role.Discounts[[#This Row],[Work Role]]</calculatedColumnFormula>
    </tableColumn>
    <tableColumn id="3" xr3:uid="{9DFCBF30-8A25-400E-81FE-2F616A27C0D3}" name="Base Rate">
      <calculatedColumnFormula>VLOOKUP(B360,$B$88:$C$97,2,FALSE)</calculatedColumnFormula>
    </tableColumn>
    <tableColumn id="4" xr3:uid="{31C9B4F5-7EFD-46F9-BC1A-744A8C19AFC1}" name="Discount Rate" dataDxfId="219">
      <calculatedColumnFormula>VLOOKUP(B360,Settings_Hidden!$H$360:$J$368,3,FALSE)</calculatedColumnFormula>
    </tableColumn>
    <tableColumn id="5" xr3:uid="{276AEAE8-EFA9-4486-951B-A15808238B8B}" name="Rate">
      <calculatedColumnFormula>D360</calculatedColumnFormula>
    </tableColumn>
    <tableColumn id="6" xr3:uid="{8D53AE1A-B2D3-48FA-BED7-A76B3A8BD1C4}" name="List Rank">
      <calculatedColumnFormula>IF(C360&lt;&gt;D360,MAX($F$359:F359)+1,"")</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354747-F688-4ACF-B308-2E91ABD7F59F}" name="Settings.Table_PM.Roles" displayName="Settings.Table_PM.Roles" ref="B58:E60" totalsRowShown="0" headerRowDxfId="218" headerRowBorderDxfId="217" tableBorderDxfId="216" totalsRowBorderDxfId="215">
  <autoFilter ref="B58:E60" xr:uid="{72354747-F688-4ACF-B308-2E91ABD7F59F}"/>
  <tableColumns count="4">
    <tableColumn id="1" xr3:uid="{0B9742C3-A812-4449-8C1E-AD80A834145A}" name="Role">
      <calculatedColumnFormula>B95</calculatedColumnFormula>
    </tableColumn>
    <tableColumn id="2" xr3:uid="{24D074A5-0DDC-4386-835F-250254139F17}" name="ID"/>
    <tableColumn id="3" xr3:uid="{E17FDC61-A7B9-448E-AC84-284A498FAEE3}" name="Hours Sold" dataDxfId="214">
      <calculatedColumnFormula>IF(Management!$B$13=Settings.Table_PM.Roles[[#This Row],[Role]],Summary!$D$46,0)</calculatedColumnFormula>
    </tableColumn>
    <tableColumn id="4" xr3:uid="{80C6548C-6227-428C-9787-291A66144400}" name="Department Code"/>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F52039C-DE74-4ECF-851E-790EB8F6B6FA}" name="Settings.Table_Other.Roles" displayName="Settings.Table_Other.Roles" ref="B65:D66" totalsRowShown="0" headerRowDxfId="213" headerRowBorderDxfId="212" tableBorderDxfId="211" totalsRowBorderDxfId="210">
  <autoFilter ref="B65:D66" xr:uid="{EF52039C-DE74-4ECF-851E-790EB8F6B6FA}"/>
  <tableColumns count="3">
    <tableColumn id="1" xr3:uid="{B37FEBE0-D79D-4272-9D82-22C27DCA7E43}" name="Role"/>
    <tableColumn id="2" xr3:uid="{0874AB9C-27BE-4C46-A6F1-3FD50B70FEA5}" name="ID"/>
    <tableColumn id="3" xr3:uid="{5455E35F-6D3F-4F05-8795-EB395A5AC66B}" name="Hours Sold"/>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0CCBFC3-176C-46AC-B913-92522591D794}" name="Table_PARTNUMBERLIST" displayName="Table_PARTNUMBERLIST" ref="A380:A648" totalsRowShown="0" headerRowDxfId="209">
  <autoFilter ref="A380:A648" xr:uid="{D0CCBFC3-176C-46AC-B913-92522591D794}"/>
  <tableColumns count="1">
    <tableColumn id="1" xr3:uid="{56F0749F-8EEB-4184-99DB-5558BE404E04}" name="Part Number List"/>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B8C0BD1-FC7A-49AC-881D-73E65752C990}" name="Management_Costs" displayName="Management_Costs" ref="A17:K29" totalsRowCount="1" headerRowDxfId="208" dataDxfId="207" totalsRowDxfId="205" tableBorderDxfId="206">
  <autoFilter ref="A17:K28" xr:uid="{053FFA29-6831-4E4F-8ACB-C37A751847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sortState xmlns:xlrd2="http://schemas.microsoft.com/office/spreadsheetml/2017/richdata2" ref="A18:J28">
    <sortCondition ref="J17:J28"/>
  </sortState>
  <tableColumns count="11">
    <tableColumn id="1" xr3:uid="{D5C650E4-284B-4FE0-8BA9-FCD171FF79F6}" name="Task" totalsRowLabel="Total" dataDxfId="204" totalsRowDxfId="203"/>
    <tableColumn id="3" xr3:uid="{459BBEBF-180A-472B-8EB3-0A933FD02155}" name="Rate Type" dataDxfId="202" totalsRowDxfId="201"/>
    <tableColumn id="2" xr3:uid="{064587ED-626E-4BC4-AE3B-DF6AB4A629B1}" name="Effort (Hours)" totalsRowFunction="sum" dataDxfId="200" totalsRowDxfId="199"/>
    <tableColumn id="5" xr3:uid="{82EBF2AF-D01E-43AF-839A-DD3520A09CC6}" name="Scales With" dataDxfId="198" totalsRowDxfId="197"/>
    <tableColumn id="7" xr3:uid="{12E42F0A-5B0A-4F78-B333-6FCCFEFF38DD}" name="Cost Rate" dataDxfId="196" totalsRowDxfId="195">
      <calculatedColumnFormula>IFERROR(VLOOKUP(Management_Costs[[#This Row],[Rate Type]],Settings_Hidden!$B$102:$D$111,2,FALSE),0)</calculatedColumnFormula>
    </tableColumn>
    <tableColumn id="4" xr3:uid="{B4B10307-446A-4A9D-B515-C401E8F65F68}" name="Sell Rate" dataDxfId="194" totalsRowDxfId="193">
      <calculatedColumnFormula>IFERROR(VLOOKUP(Management_Costs[[#This Row],[Rate Type]],Settings_Hidden!$B$88:$C$97,2,FALSE),0)</calculatedColumnFormula>
    </tableColumn>
    <tableColumn id="6" xr3:uid="{5DA049DF-8CD8-47B1-832A-48E956C0FD9D}" name="Cost Price" totalsRowFunction="sum" dataDxfId="192" totalsRowDxfId="191">
      <calculatedColumnFormula>Management_Costs[[#This Row],[Cost Rate]]*Management_Costs[[#This Row],[Effort (Hours)]]</calculatedColumnFormula>
    </tableColumn>
    <tableColumn id="20" xr3:uid="{E958796E-A485-4F2B-9D16-2DEF52FB4BEF}" name="Sell Price" totalsRowFunction="sum" dataDxfId="190" totalsRowDxfId="189" dataCellStyle="Currency">
      <calculatedColumnFormula>IFERROR(Management_Costs[[#This Row],[Effort (Hours)]]*Management_Costs[[#This Row],[Sell Rate]],"-")</calculatedColumnFormula>
    </tableColumn>
    <tableColumn id="8" xr3:uid="{37E720FE-F077-4695-BD60-A190243C8888}" name="Department" dataDxfId="188" totalsRowDxfId="187"/>
    <tableColumn id="9" xr3:uid="{B9B0AD58-8406-4784-A6F0-40982FF0B201}" name="Line" dataDxfId="186" totalsRowDxfId="185"/>
    <tableColumn id="10" xr3:uid="{DF1E59FF-8CA9-4AE0-8419-1C23472B54E4}" name="Output" dataDxfId="184"/>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A83D6A-7DF8-4290-8784-DAE934BA2D61}" name="PM_Levels" displayName="PM_Levels" ref="A71:S96" totalsRowCount="1" headerRowDxfId="183" dataDxfId="182">
  <autoFilter ref="A71:S95" xr:uid="{412A1F0D-5B53-4913-9629-142AF94A31E1}"/>
  <sortState xmlns:xlrd2="http://schemas.microsoft.com/office/spreadsheetml/2017/richdata2" ref="A72:Q95">
    <sortCondition ref="Q71:Q95"/>
  </sortState>
  <tableColumns count="19">
    <tableColumn id="1" xr3:uid="{5385B05F-64F3-48BD-830C-16FB6BD1D42E}" name="Item" totalsRowLabel="Total" dataDxfId="181" totalsRowDxfId="180"/>
    <tableColumn id="2" xr3:uid="{B9FAF9E7-5D50-40EA-8F4E-DF83DBEFF544}" name="Description" dataDxfId="179" totalsRowDxfId="178"/>
    <tableColumn id="12" xr3:uid="{21E382DD-50CA-4262-8C72-1F956682E798}" name="Rate Type" dataDxfId="177" totalsRowDxfId="176"/>
    <tableColumn id="3" xr3:uid="{062ADAEA-6510-4E3E-B8AF-10BC46574990}" name="Multiplier Type" dataDxfId="175" totalsRowDxfId="174"/>
    <tableColumn id="19" xr3:uid="{A94F59ED-B361-4EC3-BF1A-CBC65EDEC326}" name="None" dataDxfId="173" totalsRowDxfId="172"/>
    <tableColumn id="4" xr3:uid="{97D23ABF-93D8-4354-85EF-91BA9212C99C}" name="Oversight" dataDxfId="171" totalsRowDxfId="170"/>
    <tableColumn id="5" xr3:uid="{663EFD35-5647-4E52-A1E8-58B4409B75CC}" name="Small Project" dataDxfId="169" totalsRowDxfId="168"/>
    <tableColumn id="6" xr3:uid="{E71199B7-98DD-486C-92C5-362C75E17049}" name="Medium Project" dataDxfId="167" totalsRowDxfId="166"/>
    <tableColumn id="7" xr3:uid="{B431A70D-A9E5-42BF-AA16-94F9068EA439}" name="Large Project" dataDxfId="165" totalsRowDxfId="164"/>
    <tableColumn id="15" xr3:uid="{FD20FA48-B19D-441E-855F-9FD4AED81C16}" name="Variation Multiplier Applies" dataDxfId="163" totalsRowDxfId="162"/>
    <tableColumn id="10" xr3:uid="{37150739-FE62-4457-AC4D-9B0031615AD1}" name="Multiplier" dataDxfId="161" totalsRowDxfId="160">
      <calculatedColumnFormula>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calculatedColumnFormula>
    </tableColumn>
    <tableColumn id="9" xr3:uid="{B17FA99E-6C96-4C67-9AE7-D11A62AF976E}" name="Effort (Hours)" totalsRowFunction="sum" dataDxfId="159" totalsRowDxfId="158">
      <calculatedColumnFormula>IFERROR(ROUND(HLOOKUP($B$62,PM_Levels[[#Headers],[#Data],[Multiplier Type]:[Large Project]],MATCH(PM_Levels[[#This Row],[Item]],PM_Levels[[#Headers],[#Data],[Item]],0),FALSE)*PM_Levels[[#This Row],[Multiplier]],1),0)</calculatedColumnFormula>
    </tableColumn>
    <tableColumn id="13" xr3:uid="{E75B71DF-1D67-4C5F-A11C-5C39A29A69D6}" name="Cost Rate" dataDxfId="157" totalsRowDxfId="156">
      <calculatedColumnFormula>IFERROR(VLOOKUP(PM_Levels[[#This Row],[Rate Type]],Settings_Hidden!$B$102:$D$111,2,FALSE),0)</calculatedColumnFormula>
    </tableColumn>
    <tableColumn id="14" xr3:uid="{B5E4DF02-9D3B-4A0F-9E62-06CB7ECFC2F1}" name="Sell Rate" dataDxfId="155" totalsRowDxfId="154">
      <calculatedColumnFormula>IFERROR(VLOOKUP(PM_Levels[[#This Row],[Rate Type]],Settings_Hidden!$B$88:$C$97,2,FALSE),0)</calculatedColumnFormula>
    </tableColumn>
    <tableColumn id="11" xr3:uid="{43A3BCAC-B9EB-4690-8792-8A32D5E3A2E7}" name="Cost Price" totalsRowFunction="sum" dataDxfId="153" totalsRowDxfId="152">
      <calculatedColumnFormula>IFERROR(PM_Levels[[#This Row],[Cost Rate]]*PM_Levels[[#This Row],[Effort (Hours)]],0)</calculatedColumnFormula>
    </tableColumn>
    <tableColumn id="8" xr3:uid="{FF8A6C0B-37F0-4EAC-BEB9-9723E5C7DD51}" name="Sell Price" totalsRowFunction="sum" dataDxfId="151" totalsRowDxfId="150" dataCellStyle="Currency">
      <calculatedColumnFormula>IFERROR(PM_Levels[[#This Row],[Effort (Hours)]]*PM_Levels[[#This Row],[Sell Rate]],0)</calculatedColumnFormula>
    </tableColumn>
    <tableColumn id="16" xr3:uid="{97E4149D-D819-41C4-9BDB-CDB0D2C01310}" name="Line" dataDxfId="149"/>
    <tableColumn id="17" xr3:uid="{7610F7E2-CBB7-4620-A54D-D2F03DDE106A}" name="Total Type" dataDxfId="148"/>
    <tableColumn id="18" xr3:uid="{50FA183F-1B8F-4673-98FC-731477C4CA7C}" name="Output" dataDxfId="147">
      <calculatedColumnFormula>PM_Levels[[#This Row],[Item]]</calculatedColumnFormula>
    </tableColumn>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612289-4520-43CC-AA35-C1CDB9BFF433}" name="Subcontractor_Management_Costs" displayName="Subcontractor_Management_Costs" ref="A41:J50" totalsRowCount="1" headerRowDxfId="146" dataDxfId="144" totalsRowDxfId="142" headerRowBorderDxfId="145" tableBorderDxfId="143">
  <autoFilter ref="A41:J49" xr:uid="{D769AE5F-BA2F-45F5-B431-DE7B8FCA2D7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AD5DF044-3075-48F4-832D-904E23E1C22F}" name="Task" totalsRowLabel="Total" dataDxfId="141" totalsRowDxfId="140"/>
    <tableColumn id="2" xr3:uid="{93548004-7BB0-4FBE-849C-D07B017DDC4E}" name="Rate Type" dataDxfId="139" totalsRowDxfId="138"/>
    <tableColumn id="3" xr3:uid="{04D62B38-A6C4-4073-AFC6-9DA10985021B}" name="Effort (Hours)" totalsRowFunction="sum" dataDxfId="137" totalsRowDxfId="136"/>
    <tableColumn id="4" xr3:uid="{C559B1C1-02D3-4764-8321-A04044AC3EBA}" name="Scales With" dataDxfId="135" totalsRowDxfId="134"/>
    <tableColumn id="8" xr3:uid="{DF80B1F5-81D9-4FA8-A732-41975037A3E1}" name="Cost Rate" dataDxfId="133" totalsRowDxfId="132">
      <calculatedColumnFormula>IFERROR(VLOOKUP(Subcontractor_Management_Costs[[#This Row],[Rate Type]],Settings_Hidden!$B$102:$D$111,2,FALSE),0)</calculatedColumnFormula>
    </tableColumn>
    <tableColumn id="5" xr3:uid="{AC8243ED-4910-4D75-884B-C01C4A2FA5C4}" name="Sell Rate" dataDxfId="131" totalsRowDxfId="130">
      <calculatedColumnFormula>IFERROR(VLOOKUP(Subcontractor_Management_Costs[[#This Row],[Rate Type]],Settings_Hidden!$B$88:$C$97,2,FALSE),0)</calculatedColumnFormula>
    </tableColumn>
    <tableColumn id="7" xr3:uid="{1426DE09-E7DE-4A6A-9249-3BE8DC23276C}" name="Cost Price" totalsRowFunction="sum" dataDxfId="129" totalsRowDxfId="128">
      <calculatedColumnFormula>Subcontractor_Management_Costs[[#This Row],[Cost Rate]]*Subcontractor_Management_Costs[[#This Row],[Effort (Hours)]]</calculatedColumnFormula>
    </tableColumn>
    <tableColumn id="6" xr3:uid="{34C25106-DD96-4A44-AAB0-C9EF604BBDF9}" name="Sell Price" totalsRowFunction="sum" dataDxfId="127" totalsRowDxfId="126" dataCellStyle="Currency">
      <calculatedColumnFormula>IFERROR(Subcontractor_Management_Costs[[#This Row],[Effort (Hours)]]*Subcontractor_Management_Costs[[#This Row],[Sell Rate]],"-")</calculatedColumnFormula>
    </tableColumn>
    <tableColumn id="9" xr3:uid="{58079F3C-E948-4599-B9DF-C6918A7E6963}" name="Line" dataDxfId="125" totalsRowDxfId="124"/>
    <tableColumn id="10" xr3:uid="{08DC49DA-D361-43EC-83CD-A41A71F67D1F}" name="Output" dataDxfId="123" totalsRowDxfId="122"/>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hyperlink" Target="mailto:rob.russell@architech.net.au" TargetMode="Externa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hyperlink" Target="mailto:sujith.kumar@architech.net.au" TargetMode="External"/><Relationship Id="rId1" Type="http://schemas.openxmlformats.org/officeDocument/2006/relationships/hyperlink" Target="mailto:rob.russell@architech.net.au" TargetMode="External"/><Relationship Id="rId6" Type="http://schemas.openxmlformats.org/officeDocument/2006/relationships/printerSettings" Target="../printerSettings/printerSettings9.bin"/><Relationship Id="rId11" Type="http://schemas.openxmlformats.org/officeDocument/2006/relationships/table" Target="../tables/table14.xml"/><Relationship Id="rId5" Type="http://schemas.openxmlformats.org/officeDocument/2006/relationships/hyperlink" Target="mailto:steve.mccann@architech.net.au" TargetMode="External"/><Relationship Id="rId10" Type="http://schemas.openxmlformats.org/officeDocument/2006/relationships/table" Target="../tables/table13.xml"/><Relationship Id="rId4" Type="http://schemas.openxmlformats.org/officeDocument/2006/relationships/hyperlink" Target="mailto:stephen.mcdonald@architech.net.au" TargetMode="External"/><Relationship Id="rId9"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vmlDrawing" Target="../drawings/vmlDrawing3.vml"/><Relationship Id="rId1" Type="http://schemas.openxmlformats.org/officeDocument/2006/relationships/printerSettings" Target="../printerSettings/printerSettings10.bin"/><Relationship Id="rId6" Type="http://schemas.openxmlformats.org/officeDocument/2006/relationships/comments" Target="../comments3.xml"/><Relationship Id="rId5" Type="http://schemas.openxmlformats.org/officeDocument/2006/relationships/table" Target="../tables/table18.xml"/><Relationship Id="rId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12CF9-F39D-4211-AEE3-DCD6920ECD4B}">
  <sheetPr codeName="Sheet3">
    <tabColor theme="2" tint="-0.249977111117893"/>
  </sheetPr>
  <dimension ref="A1:P34"/>
  <sheetViews>
    <sheetView showGridLines="0" showRowColHeaders="0" tabSelected="1" zoomScale="63" zoomScaleNormal="100" workbookViewId="0"/>
  </sheetViews>
  <sheetFormatPr defaultColWidth="8.69921875" defaultRowHeight="15"/>
  <cols>
    <col min="1" max="16384" width="8.69921875" style="164"/>
  </cols>
  <sheetData>
    <row r="1" spans="1:11" s="162" customFormat="1">
      <c r="A1" s="164"/>
      <c r="D1" s="178"/>
      <c r="E1" s="178"/>
      <c r="F1" s="178"/>
      <c r="G1" s="178"/>
      <c r="H1" s="178"/>
      <c r="I1" s="178"/>
      <c r="J1" s="163"/>
      <c r="K1" s="163"/>
    </row>
    <row r="2" spans="1:11" s="162" customFormat="1">
      <c r="D2" s="178"/>
      <c r="E2" s="178"/>
      <c r="F2" s="178"/>
      <c r="G2" s="178"/>
      <c r="H2" s="178"/>
      <c r="I2" s="178"/>
      <c r="J2" s="163"/>
      <c r="K2" s="163"/>
    </row>
    <row r="3" spans="1:11" s="162" customFormat="1">
      <c r="D3" s="178"/>
      <c r="E3" s="178"/>
      <c r="F3" s="178"/>
      <c r="G3" s="178"/>
      <c r="H3" s="178"/>
      <c r="I3" s="178"/>
      <c r="J3" s="163"/>
      <c r="K3" s="163"/>
    </row>
    <row r="4" spans="1:11" s="162" customFormat="1">
      <c r="D4" s="178"/>
      <c r="E4" s="178"/>
      <c r="F4" s="178"/>
      <c r="G4" s="178"/>
      <c r="H4" s="178"/>
      <c r="I4" s="178"/>
      <c r="J4" s="163"/>
      <c r="K4" s="163"/>
    </row>
    <row r="5" spans="1:11" s="162" customFormat="1">
      <c r="D5" s="178"/>
      <c r="E5" s="178"/>
      <c r="F5" s="178"/>
      <c r="G5" s="178"/>
      <c r="H5" s="178"/>
      <c r="I5" s="178"/>
      <c r="J5" s="163"/>
      <c r="K5" s="163"/>
    </row>
    <row r="6" spans="1:11" ht="22.8">
      <c r="A6" s="20" t="s">
        <v>430</v>
      </c>
    </row>
    <row r="7" spans="1:11">
      <c r="A7" s="449" t="str">
        <f>Settings_Hidden!B3</f>
        <v>ArchiTech PSE V2027.1</v>
      </c>
    </row>
    <row r="34" spans="16:16" ht="15.6">
      <c r="P34" s="240"/>
    </row>
  </sheetData>
  <sheetProtection algorithmName="SHA-512" hashValue="ZNwfJg+vJh/0A5LiKcqDCWPKSHawKRRynSYUTSTASzcNRwwV+LS1QjYg7+m8/L2nAkhmrlzewiiIrHjfAJq+nQ==" saltValue="3oApS2xHd0LIHJivsoAICQ==" spinCount="100000" sheet="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5" tint="0.39997558519241921"/>
  </sheetPr>
  <dimension ref="A1:BM224"/>
  <sheetViews>
    <sheetView showGridLines="0" zoomScale="65" zoomScaleNormal="50" zoomScalePageLayoutView="90" workbookViewId="0"/>
  </sheetViews>
  <sheetFormatPr defaultColWidth="10.69921875" defaultRowHeight="17.399999999999999"/>
  <cols>
    <col min="1" max="1" width="62.8984375" style="3" customWidth="1"/>
    <col min="2" max="2" width="29.3984375" style="3" customWidth="1"/>
    <col min="3" max="3" width="59.3984375" style="3" customWidth="1"/>
    <col min="4" max="4" width="69.69921875" style="3" customWidth="1"/>
    <col min="5" max="7" width="16.59765625" style="164" customWidth="1"/>
    <col min="8" max="8" width="13.5" customWidth="1"/>
    <col min="9" max="9" width="17.3984375" style="164" customWidth="1"/>
    <col min="10" max="10" width="18.19921875" style="164" customWidth="1"/>
    <col min="11" max="11" width="17.5" style="164" bestFit="1" customWidth="1"/>
    <col min="12" max="12" width="14.59765625" style="164" bestFit="1" customWidth="1"/>
    <col min="13" max="13" width="15.3984375" style="164" bestFit="1" customWidth="1"/>
    <col min="14" max="14" width="17.5" style="164" bestFit="1" customWidth="1"/>
    <col min="15" max="15" width="14.59765625" style="164" bestFit="1" customWidth="1"/>
    <col min="16" max="16" width="15.3984375" style="164" bestFit="1" customWidth="1"/>
    <col min="17" max="17" width="17.5" style="164" bestFit="1" customWidth="1"/>
    <col min="18" max="18" width="14.59765625" style="164" bestFit="1" customWidth="1"/>
    <col min="19" max="19" width="15.3984375" style="164" bestFit="1" customWidth="1"/>
    <col min="20" max="20" width="17.5" style="3" bestFit="1" customWidth="1"/>
    <col min="21" max="21" width="14.59765625" style="3" bestFit="1" customWidth="1"/>
    <col min="22" max="22" width="15.3984375" style="3" bestFit="1" customWidth="1"/>
    <col min="23" max="23" width="17.5" style="3" bestFit="1" customWidth="1"/>
    <col min="24" max="24" width="16.5" style="3" customWidth="1"/>
    <col min="25" max="25" width="19" style="3" bestFit="1" customWidth="1"/>
    <col min="26" max="26" width="23.19921875" style="358" customWidth="1"/>
    <col min="27" max="36" width="16.5" style="3" customWidth="1"/>
    <col min="37" max="37" width="15.69921875" style="3" customWidth="1"/>
    <col min="38" max="38" width="13.8984375" style="3" hidden="1" customWidth="1"/>
    <col min="39" max="40" width="15.69921875" style="3" hidden="1" customWidth="1"/>
    <col min="41" max="41" width="14.19921875" style="3" hidden="1" customWidth="1"/>
    <col min="42" max="42" width="16.69921875" style="3" hidden="1" customWidth="1"/>
    <col min="43" max="48" width="16.5" style="3" hidden="1" customWidth="1"/>
    <col min="49" max="49" width="14.69921875" style="3" hidden="1" customWidth="1"/>
    <col min="50" max="55" width="15.09765625" style="3" hidden="1" customWidth="1"/>
    <col min="56" max="60" width="14" style="3" hidden="1" customWidth="1"/>
    <col min="61" max="64" width="16.69921875" style="3" hidden="1" customWidth="1"/>
    <col min="65" max="65" width="16.69921875" style="3" customWidth="1"/>
    <col min="66" max="75" width="14.19921875" style="3" customWidth="1"/>
    <col min="76" max="16384" width="10.69921875" style="3"/>
  </cols>
  <sheetData>
    <row r="1" spans="1:62" s="162" customFormat="1" ht="15">
      <c r="A1" s="164"/>
      <c r="D1" s="178"/>
      <c r="E1" s="178"/>
      <c r="F1" s="178"/>
      <c r="G1" s="178"/>
      <c r="H1" s="178"/>
      <c r="I1" s="163"/>
      <c r="J1" s="163"/>
      <c r="Y1" s="178"/>
    </row>
    <row r="2" spans="1:62" s="162" customFormat="1" ht="15">
      <c r="D2" s="178"/>
      <c r="E2" s="178"/>
      <c r="F2" s="178"/>
      <c r="G2" s="178"/>
      <c r="H2" s="178"/>
      <c r="I2" s="163"/>
      <c r="J2" s="163"/>
      <c r="Y2" s="178"/>
    </row>
    <row r="3" spans="1:62" s="162" customFormat="1" ht="15">
      <c r="D3" s="178"/>
      <c r="E3" s="178"/>
      <c r="F3" s="178"/>
      <c r="G3" s="178"/>
      <c r="H3" s="178"/>
      <c r="I3" s="163"/>
      <c r="J3" s="163"/>
      <c r="Y3" s="178"/>
    </row>
    <row r="4" spans="1:62" s="162" customFormat="1" ht="15">
      <c r="D4" s="178"/>
      <c r="E4" s="178"/>
      <c r="F4" s="178"/>
      <c r="G4" s="178"/>
      <c r="H4" s="178"/>
      <c r="I4" s="163"/>
      <c r="J4" s="163"/>
      <c r="Y4" s="178"/>
    </row>
    <row r="5" spans="1:62" s="162" customFormat="1" ht="15">
      <c r="D5" s="178"/>
      <c r="E5" s="178"/>
      <c r="F5" s="178"/>
      <c r="G5" s="178"/>
      <c r="H5" s="178"/>
      <c r="I5" s="163"/>
      <c r="J5" s="163"/>
      <c r="Y5" s="178"/>
    </row>
    <row r="6" spans="1:62" ht="22.8">
      <c r="A6" s="20" t="s">
        <v>142</v>
      </c>
      <c r="E6" s="3"/>
      <c r="F6" s="3"/>
      <c r="G6" s="3"/>
      <c r="H6" s="3"/>
      <c r="I6" s="3"/>
      <c r="J6" s="5"/>
      <c r="K6" s="5"/>
      <c r="L6" s="5"/>
      <c r="M6" s="5"/>
      <c r="N6" s="5"/>
      <c r="O6" s="5"/>
      <c r="P6" s="5"/>
      <c r="Q6" s="5"/>
      <c r="R6" s="5"/>
      <c r="S6" s="5"/>
      <c r="T6" s="5"/>
      <c r="U6" s="5"/>
      <c r="V6" s="5"/>
      <c r="W6" s="5"/>
      <c r="X6" s="5"/>
      <c r="Y6" s="5"/>
      <c r="Z6" s="5"/>
      <c r="AA6" s="5"/>
      <c r="AB6" s="5"/>
      <c r="AC6" s="5"/>
      <c r="AD6" s="5"/>
      <c r="AE6" s="5"/>
      <c r="AF6" s="5"/>
      <c r="AG6" s="5"/>
      <c r="AH6" s="5"/>
      <c r="AI6" s="5"/>
    </row>
    <row r="7" spans="1:62">
      <c r="C7" s="25"/>
      <c r="E7" s="3"/>
      <c r="G7" s="3"/>
      <c r="H7" s="24"/>
      <c r="I7" s="24"/>
      <c r="J7" s="25"/>
      <c r="K7" s="25"/>
      <c r="L7" s="5"/>
      <c r="M7" s="5"/>
      <c r="N7" s="5"/>
      <c r="O7" s="5"/>
      <c r="P7" s="5"/>
      <c r="Q7" s="5"/>
      <c r="R7" s="5"/>
      <c r="S7" s="5"/>
      <c r="T7" s="5"/>
      <c r="U7" s="5"/>
      <c r="V7" s="5"/>
      <c r="W7" s="5"/>
      <c r="X7" s="5"/>
      <c r="Y7" s="5"/>
      <c r="Z7" s="5"/>
      <c r="AA7" s="5"/>
      <c r="AB7" s="5"/>
      <c r="AC7" s="5"/>
      <c r="AD7" s="5"/>
      <c r="AE7" s="5"/>
      <c r="AF7" s="5"/>
      <c r="AG7" s="5"/>
      <c r="AH7" s="5"/>
      <c r="AI7" s="5"/>
    </row>
    <row r="8" spans="1:62" ht="21.6" thickBot="1">
      <c r="A8" s="277" t="s">
        <v>339</v>
      </c>
      <c r="C8" s="25"/>
      <c r="E8" s="3"/>
      <c r="G8" s="3"/>
      <c r="H8" s="24"/>
      <c r="I8" s="24"/>
      <c r="J8" s="25"/>
      <c r="K8" s="25"/>
      <c r="L8" s="5"/>
      <c r="M8" s="5"/>
      <c r="N8" s="5"/>
      <c r="O8" s="5"/>
      <c r="P8" s="5"/>
      <c r="Q8" s="5"/>
      <c r="R8" s="5"/>
      <c r="S8" s="5"/>
      <c r="T8" s="5"/>
      <c r="U8" s="5"/>
      <c r="V8" s="5"/>
      <c r="W8" s="5"/>
      <c r="X8" s="5"/>
      <c r="Y8" s="5"/>
      <c r="Z8" s="5"/>
      <c r="AA8" s="5"/>
      <c r="AB8" s="5"/>
      <c r="AC8" s="5"/>
      <c r="AD8" s="5"/>
      <c r="AE8" s="5"/>
      <c r="AF8" s="5"/>
      <c r="AG8" s="5"/>
      <c r="AH8" s="5"/>
      <c r="AI8" s="5"/>
    </row>
    <row r="9" spans="1:62">
      <c r="A9" s="278" t="s">
        <v>1</v>
      </c>
      <c r="B9" s="279"/>
      <c r="C9" s="275"/>
      <c r="E9" s="3"/>
      <c r="G9" s="3"/>
      <c r="H9" s="163"/>
      <c r="I9" s="163"/>
      <c r="J9" s="163"/>
      <c r="K9" s="24"/>
      <c r="L9" s="3"/>
      <c r="M9" s="5"/>
      <c r="N9" s="5"/>
      <c r="O9" s="5"/>
      <c r="P9" s="5"/>
      <c r="Q9" s="5"/>
      <c r="R9" s="5"/>
      <c r="S9" s="5"/>
      <c r="T9" s="5"/>
      <c r="U9" s="5"/>
      <c r="V9" s="5"/>
      <c r="W9" s="5"/>
      <c r="X9" s="5"/>
      <c r="Y9" s="5"/>
      <c r="Z9" s="5"/>
      <c r="AA9" s="5"/>
      <c r="AB9" s="5"/>
      <c r="AC9" s="5"/>
      <c r="AD9" s="5"/>
      <c r="AE9" s="5"/>
      <c r="AF9" s="5"/>
      <c r="AG9" s="5"/>
      <c r="AH9" s="5"/>
      <c r="AI9" s="5"/>
      <c r="AO9" s="4"/>
      <c r="AP9" s="4"/>
      <c r="AQ9" s="4"/>
      <c r="AR9" s="4"/>
      <c r="AS9" s="4"/>
      <c r="AT9" s="4"/>
      <c r="AU9" s="4"/>
      <c r="AV9" s="4"/>
      <c r="AW9" s="4"/>
      <c r="AX9" s="4"/>
      <c r="AY9" s="4"/>
      <c r="AZ9" s="4"/>
      <c r="BA9" s="4"/>
      <c r="BB9" s="4"/>
      <c r="BC9" s="4"/>
      <c r="BD9" s="4"/>
      <c r="BE9" s="4"/>
      <c r="BF9" s="4"/>
      <c r="BG9" s="4"/>
      <c r="BH9" s="4"/>
      <c r="BI9" s="4"/>
      <c r="BJ9" s="4"/>
    </row>
    <row r="10" spans="1:62">
      <c r="A10" s="280" t="s">
        <v>2</v>
      </c>
      <c r="B10" s="269"/>
      <c r="C10" s="281"/>
      <c r="E10" s="3"/>
      <c r="G10" s="3"/>
      <c r="H10" s="3"/>
      <c r="I10" s="3"/>
      <c r="J10" s="163"/>
      <c r="K10" s="24"/>
      <c r="L10" s="3"/>
      <c r="M10" s="5"/>
      <c r="N10" s="5"/>
      <c r="O10" s="5"/>
      <c r="P10" s="5"/>
      <c r="Q10" s="5"/>
      <c r="R10" s="5"/>
      <c r="S10" s="5"/>
      <c r="T10" s="5"/>
      <c r="U10" s="5"/>
      <c r="V10" s="5"/>
      <c r="W10" s="5"/>
      <c r="X10" s="5"/>
      <c r="Y10" s="5"/>
      <c r="Z10" s="5"/>
      <c r="AA10" s="5"/>
      <c r="AB10" s="5"/>
      <c r="AC10" s="5"/>
      <c r="AD10" s="5"/>
      <c r="AE10" s="5"/>
      <c r="AF10" s="5"/>
      <c r="AG10" s="5"/>
      <c r="AH10" s="5"/>
      <c r="AI10" s="5"/>
      <c r="AO10" s="4"/>
      <c r="AP10" s="4"/>
      <c r="AQ10" s="4"/>
      <c r="AR10" s="4"/>
      <c r="AS10" s="4"/>
      <c r="AT10" s="4"/>
      <c r="AU10" s="4"/>
      <c r="AV10" s="4"/>
      <c r="AW10" s="4"/>
      <c r="AX10" s="4"/>
      <c r="AY10" s="4"/>
      <c r="AZ10" s="4"/>
      <c r="BA10" s="4"/>
      <c r="BB10" s="4"/>
      <c r="BC10" s="4"/>
      <c r="BD10" s="4"/>
      <c r="BE10" s="4"/>
      <c r="BF10" s="4"/>
      <c r="BG10" s="4"/>
      <c r="BH10" s="4"/>
      <c r="BI10" s="4"/>
      <c r="BJ10" s="4"/>
    </row>
    <row r="11" spans="1:62">
      <c r="A11" s="280" t="s">
        <v>321</v>
      </c>
      <c r="B11" s="269"/>
      <c r="C11" s="281"/>
      <c r="E11" s="3"/>
      <c r="G11" s="3"/>
      <c r="H11" s="3"/>
      <c r="I11" s="3"/>
      <c r="J11" s="163"/>
      <c r="K11" s="24"/>
      <c r="L11" s="3"/>
      <c r="M11" s="5"/>
      <c r="N11" s="5"/>
      <c r="O11" s="5"/>
      <c r="P11" s="5"/>
      <c r="Q11" s="5"/>
      <c r="R11" s="5"/>
      <c r="S11" s="5"/>
      <c r="T11" s="5"/>
      <c r="U11" s="5"/>
      <c r="V11" s="5"/>
      <c r="W11" s="5"/>
      <c r="X11" s="5"/>
      <c r="Y11" s="5"/>
      <c r="Z11" s="5"/>
      <c r="AA11" s="5"/>
      <c r="AB11" s="5"/>
      <c r="AC11" s="5"/>
      <c r="AD11" s="5"/>
      <c r="AE11" s="5"/>
      <c r="AF11" s="5"/>
      <c r="AG11" s="5"/>
      <c r="AH11" s="5"/>
      <c r="AI11" s="5"/>
      <c r="AO11" s="4"/>
      <c r="AP11" s="4"/>
      <c r="AQ11" s="4"/>
      <c r="AR11" s="4"/>
      <c r="AS11" s="4"/>
      <c r="AT11" s="4"/>
      <c r="AU11" s="4"/>
      <c r="AV11" s="4"/>
      <c r="AW11" s="4"/>
      <c r="AX11" s="4"/>
      <c r="AY11" s="4"/>
      <c r="AZ11" s="4"/>
      <c r="BA11" s="4"/>
      <c r="BB11" s="4"/>
      <c r="BC11" s="4"/>
      <c r="BD11" s="4"/>
      <c r="BE11" s="4"/>
      <c r="BF11" s="4"/>
      <c r="BG11" s="4"/>
      <c r="BH11" s="4"/>
      <c r="BI11" s="4"/>
      <c r="BJ11" s="4"/>
    </row>
    <row r="12" spans="1:62">
      <c r="A12" s="280" t="s">
        <v>22</v>
      </c>
      <c r="B12" s="629" t="s">
        <v>58</v>
      </c>
      <c r="C12" s="282" t="s">
        <v>169</v>
      </c>
      <c r="E12" s="3"/>
      <c r="G12" s="3"/>
      <c r="H12" s="3"/>
      <c r="I12" s="3"/>
      <c r="J12" s="163"/>
      <c r="K12" s="24"/>
      <c r="L12" s="3"/>
      <c r="M12" s="5"/>
      <c r="N12" s="5"/>
      <c r="O12" s="5"/>
      <c r="P12" s="5"/>
      <c r="Q12" s="5"/>
      <c r="R12" s="5"/>
      <c r="S12" s="5"/>
      <c r="T12" s="5"/>
      <c r="U12" s="5"/>
      <c r="V12" s="5"/>
      <c r="W12" s="5"/>
      <c r="X12" s="5"/>
      <c r="Y12" s="5"/>
      <c r="Z12" s="5"/>
      <c r="AA12" s="5"/>
      <c r="AB12" s="5"/>
      <c r="AC12" s="5"/>
      <c r="AD12" s="5"/>
      <c r="AE12" s="5"/>
      <c r="AF12" s="5"/>
      <c r="AG12" s="5"/>
      <c r="AH12" s="5"/>
      <c r="AI12" s="5"/>
      <c r="AO12" s="4"/>
      <c r="AP12" s="4"/>
      <c r="AQ12" s="4"/>
      <c r="AR12" s="4"/>
      <c r="AS12" s="4"/>
      <c r="AT12" s="4"/>
      <c r="AU12" s="4"/>
      <c r="AV12" s="4"/>
      <c r="AW12" s="4"/>
      <c r="AX12" s="4"/>
      <c r="AY12" s="4"/>
      <c r="AZ12" s="4"/>
      <c r="BA12" s="4"/>
      <c r="BB12" s="4"/>
      <c r="BC12" s="4"/>
      <c r="BD12" s="4"/>
      <c r="BE12" s="4"/>
      <c r="BF12" s="4"/>
      <c r="BG12" s="4"/>
      <c r="BH12" s="4"/>
      <c r="BI12" s="4"/>
      <c r="BJ12" s="4"/>
    </row>
    <row r="13" spans="1:62">
      <c r="A13" s="280" t="s">
        <v>322</v>
      </c>
      <c r="B13" s="270"/>
      <c r="C13" s="281"/>
      <c r="E13" s="3"/>
      <c r="G13" s="3"/>
      <c r="H13" s="3"/>
      <c r="I13" s="3"/>
      <c r="J13" s="25"/>
      <c r="K13" s="25"/>
      <c r="L13" s="5"/>
      <c r="M13" s="5"/>
      <c r="N13" s="5"/>
      <c r="O13" s="5"/>
      <c r="P13" s="5"/>
      <c r="Q13" s="5"/>
      <c r="R13" s="5"/>
      <c r="S13" s="5"/>
      <c r="Y13" s="5"/>
      <c r="Z13" s="3"/>
    </row>
    <row r="14" spans="1:62">
      <c r="A14" s="280" t="s">
        <v>499</v>
      </c>
      <c r="B14" s="474"/>
      <c r="C14" s="281"/>
      <c r="E14" s="3"/>
      <c r="G14" s="3"/>
      <c r="H14" s="3"/>
      <c r="I14" s="3"/>
      <c r="J14" s="25"/>
      <c r="K14" s="25"/>
      <c r="L14" s="5"/>
      <c r="M14" s="5"/>
      <c r="N14" s="5"/>
      <c r="O14" s="5"/>
      <c r="P14" s="5"/>
      <c r="Q14" s="5"/>
      <c r="R14" s="5"/>
      <c r="S14" s="5"/>
      <c r="Y14" s="5"/>
      <c r="Z14" s="3"/>
    </row>
    <row r="15" spans="1:62">
      <c r="A15" s="280" t="s">
        <v>502</v>
      </c>
      <c r="B15" s="474"/>
      <c r="C15" s="281"/>
      <c r="E15" s="3"/>
      <c r="G15" s="3"/>
      <c r="H15" s="3"/>
      <c r="I15" s="3"/>
      <c r="J15" s="25"/>
      <c r="K15" s="25"/>
      <c r="L15" s="5"/>
      <c r="M15" s="5"/>
      <c r="N15" s="5"/>
      <c r="O15" s="5"/>
      <c r="P15" s="5"/>
      <c r="Q15" s="5"/>
      <c r="R15" s="5"/>
      <c r="S15" s="5"/>
      <c r="Y15" s="5"/>
      <c r="Z15" s="3"/>
    </row>
    <row r="16" spans="1:62">
      <c r="A16" s="280" t="s">
        <v>519</v>
      </c>
      <c r="B16" s="474"/>
      <c r="C16" s="282"/>
      <c r="E16" s="3"/>
      <c r="G16" s="3"/>
      <c r="H16" s="3"/>
      <c r="I16" s="3"/>
      <c r="J16" s="25"/>
      <c r="K16" s="25"/>
      <c r="L16" s="5"/>
      <c r="M16" s="5"/>
      <c r="N16" s="5"/>
      <c r="O16" s="5"/>
      <c r="P16" s="5"/>
      <c r="Q16" s="5"/>
      <c r="R16" s="5"/>
      <c r="S16" s="5"/>
      <c r="Y16" s="5"/>
      <c r="Z16" s="3"/>
    </row>
    <row r="17" spans="1:26">
      <c r="A17" s="280" t="s">
        <v>564</v>
      </c>
      <c r="B17" s="628"/>
      <c r="C17" s="282"/>
      <c r="E17" s="3"/>
      <c r="F17" s="3"/>
      <c r="G17" s="3"/>
      <c r="H17" s="3"/>
      <c r="I17" s="3"/>
      <c r="J17" s="5"/>
      <c r="K17" s="5"/>
      <c r="L17" s="5"/>
      <c r="M17" s="5"/>
      <c r="N17" s="5"/>
      <c r="O17" s="5"/>
      <c r="P17" s="5"/>
      <c r="Q17" s="5"/>
      <c r="R17" s="5"/>
      <c r="S17" s="5"/>
      <c r="Y17" s="5"/>
      <c r="Z17" s="3"/>
    </row>
    <row r="18" spans="1:26">
      <c r="C18" s="282"/>
      <c r="E18" s="3"/>
      <c r="F18" s="3"/>
      <c r="G18" s="3"/>
      <c r="H18" s="3"/>
      <c r="I18" s="3"/>
      <c r="J18" s="5"/>
      <c r="K18" s="5"/>
      <c r="L18" s="5"/>
      <c r="M18" s="5"/>
      <c r="N18" s="5"/>
      <c r="O18" s="5"/>
      <c r="P18" s="5"/>
      <c r="Q18" s="5"/>
      <c r="R18" s="5"/>
      <c r="S18" s="5"/>
      <c r="Y18" s="5"/>
      <c r="Z18" s="3"/>
    </row>
    <row r="19" spans="1:26" ht="18" thickBot="1">
      <c r="A19" s="283" t="s">
        <v>571</v>
      </c>
      <c r="B19" s="630"/>
      <c r="C19" s="461"/>
      <c r="E19" s="3"/>
      <c r="F19" s="3"/>
      <c r="G19" s="3"/>
      <c r="H19" s="3"/>
      <c r="I19" s="3"/>
      <c r="J19" s="5"/>
      <c r="K19" s="5"/>
      <c r="L19" s="5"/>
      <c r="M19" s="5"/>
      <c r="N19" s="5"/>
      <c r="O19" s="5"/>
      <c r="P19" s="5"/>
      <c r="Q19" s="5"/>
      <c r="R19" s="5"/>
      <c r="S19" s="5"/>
      <c r="Y19" s="5"/>
      <c r="Z19" s="3"/>
    </row>
    <row r="20" spans="1:26" ht="18" thickBot="1">
      <c r="A20" s="4"/>
      <c r="B20" s="266"/>
      <c r="C20" s="5"/>
      <c r="E20" s="3"/>
      <c r="F20" s="3"/>
      <c r="G20" s="3"/>
      <c r="H20" s="3"/>
      <c r="I20" s="3"/>
      <c r="J20" s="5"/>
      <c r="K20" s="5"/>
      <c r="L20" s="5"/>
      <c r="M20" s="5"/>
      <c r="N20" s="5"/>
      <c r="O20" s="5"/>
      <c r="P20" s="5"/>
      <c r="Q20" s="5"/>
      <c r="R20" s="5"/>
      <c r="S20" s="5"/>
      <c r="Y20" s="5"/>
      <c r="Z20" s="3"/>
    </row>
    <row r="21" spans="1:26" ht="21" customHeight="1" thickBot="1">
      <c r="A21" s="277" t="s">
        <v>529</v>
      </c>
      <c r="B21" s="266"/>
      <c r="C21" s="5"/>
      <c r="D21" s="747" t="s">
        <v>515</v>
      </c>
      <c r="E21" s="748"/>
      <c r="F21" s="748"/>
      <c r="G21" s="749"/>
      <c r="H21" s="3"/>
      <c r="I21" s="277" t="s">
        <v>1288</v>
      </c>
      <c r="J21" s="5"/>
      <c r="K21" s="5"/>
      <c r="L21" s="5"/>
      <c r="M21" s="5"/>
      <c r="N21" s="5"/>
      <c r="O21" s="5"/>
      <c r="P21" s="5"/>
      <c r="Q21" s="5"/>
      <c r="R21" s="5"/>
      <c r="S21" s="5"/>
      <c r="Y21" s="5"/>
      <c r="Z21" s="3"/>
    </row>
    <row r="22" spans="1:26">
      <c r="A22" s="241" t="s">
        <v>530</v>
      </c>
      <c r="B22" s="425"/>
      <c r="C22" s="5"/>
      <c r="D22" s="750"/>
      <c r="E22" s="751"/>
      <c r="F22" s="751"/>
      <c r="G22" s="752"/>
      <c r="H22" s="3"/>
      <c r="I22" s="4" t="s">
        <v>661</v>
      </c>
      <c r="L22" s="4" t="s">
        <v>166</v>
      </c>
      <c r="M22" s="4" t="s">
        <v>167</v>
      </c>
      <c r="N22" s="4" t="s">
        <v>1286</v>
      </c>
      <c r="O22" s="4" t="s">
        <v>1287</v>
      </c>
      <c r="P22" s="4" t="s">
        <v>1281</v>
      </c>
      <c r="Q22" s="5"/>
      <c r="R22" s="5"/>
      <c r="S22" s="5"/>
      <c r="Y22" s="5"/>
      <c r="Z22" s="3"/>
    </row>
    <row r="23" spans="1:26" ht="18" thickBot="1">
      <c r="A23" s="244" t="s">
        <v>531</v>
      </c>
      <c r="B23" s="631"/>
      <c r="C23" s="5"/>
      <c r="D23" s="750"/>
      <c r="E23" s="751"/>
      <c r="F23" s="751"/>
      <c r="G23" s="752"/>
      <c r="H23" s="3"/>
      <c r="I23" s="3" t="str" cm="1">
        <f t="array" ref="I23:I29">ENGINEER_ROLES</f>
        <v>Technical Assistant</v>
      </c>
      <c r="J23" s="5"/>
      <c r="K23" s="5"/>
      <c r="L23" s="716" cm="1">
        <f t="array" ref="L23:L29">_xlfn.BYROW(_xlfn.ANCHORARRAY(I23),_xlfn.LAMBDA(_xlpm.X,INDEX(Settings_Hidden!$C$88:$C$97,MATCH(_xlpm.X,Rate_Types,0),1)))</f>
        <v>155</v>
      </c>
      <c r="M23" s="716" cm="1">
        <f t="array" ref="M23:M29">_xlfn.BYROW(_xlfn.ANCHORARRAY(I23),_xlfn.LAMBDA(_xlpm.X,INDEX(Settings_Hidden!$C$102:$C$111,MATCH(_xlpm.X,Settings_Hidden!$B$102:$B$111,0),1)))</f>
        <v>81.346799080218702</v>
      </c>
      <c r="N23" s="716" cm="1">
        <f t="array" ref="N23:N29">_xlfn.ANCHORARRAY(L23)-_xlfn.ANCHORARRAY(M23)</f>
        <v>73.653200919781298</v>
      </c>
      <c r="O23" s="718" cm="1">
        <f t="array" ref="O23:O29">_xlfn.ANCHORARRAY(N23)/_xlfn.ANCHORARRAY(L23)</f>
        <v>0.47518194141794384</v>
      </c>
      <c r="P23" s="719" cm="1">
        <f t="array" ref="P23:P29">_xlfn.BYROW(_xlfn.ANCHORARRAY(I23),_xlfn.LAMBDA(_xlpm.X,INDEX(Settings_Hidden!$E$88:$E$97,MATCH(_xlpm.X,Rate_Types,0),1)))</f>
        <v>1.5</v>
      </c>
      <c r="Q23" s="5"/>
      <c r="R23" s="5"/>
      <c r="S23" s="5"/>
      <c r="Y23" s="5"/>
      <c r="Z23" s="3"/>
    </row>
    <row r="24" spans="1:26">
      <c r="A24" s="4"/>
      <c r="B24" s="5"/>
      <c r="C24" s="5"/>
      <c r="D24" s="750"/>
      <c r="E24" s="751"/>
      <c r="F24" s="751"/>
      <c r="G24" s="752"/>
      <c r="H24" s="3"/>
      <c r="I24" s="3" t="str">
        <v>Systems Engineer (Professional Services)</v>
      </c>
      <c r="J24" s="5"/>
      <c r="K24" s="5"/>
      <c r="L24" s="716">
        <v>235</v>
      </c>
      <c r="M24" s="716">
        <v>126.11855927829811</v>
      </c>
      <c r="N24" s="716">
        <v>108.88144072170189</v>
      </c>
      <c r="O24" s="718">
        <v>0.46332527966681658</v>
      </c>
      <c r="P24" s="719">
        <v>1.5</v>
      </c>
      <c r="Q24" s="5"/>
      <c r="R24" s="5"/>
      <c r="S24" s="5"/>
      <c r="Y24" s="5"/>
      <c r="Z24" s="3"/>
    </row>
    <row r="25" spans="1:26" ht="21">
      <c r="A25" s="277" t="s">
        <v>96</v>
      </c>
      <c r="B25" s="266"/>
      <c r="C25" s="5"/>
      <c r="D25" s="750"/>
      <c r="E25" s="751"/>
      <c r="F25" s="751"/>
      <c r="G25" s="752"/>
      <c r="H25" s="3"/>
      <c r="I25" s="3" t="str">
        <v>Senior Systems Engineer (Professional Services)</v>
      </c>
      <c r="J25" s="5"/>
      <c r="K25" s="5"/>
      <c r="L25" s="716">
        <v>280.5</v>
      </c>
      <c r="M25" s="716">
        <v>149.91839058446394</v>
      </c>
      <c r="N25" s="716">
        <v>130.58160941553606</v>
      </c>
      <c r="O25" s="718">
        <v>0.46553158436911252</v>
      </c>
      <c r="P25" s="719">
        <v>1.5</v>
      </c>
      <c r="Q25" s="5"/>
      <c r="R25" s="5"/>
      <c r="S25" s="5"/>
      <c r="Y25" s="5"/>
      <c r="Z25" s="3"/>
    </row>
    <row r="26" spans="1:26" ht="18.600000000000001" customHeight="1" thickBot="1">
      <c r="A26" s="284" t="s">
        <v>340</v>
      </c>
      <c r="B26" s="266"/>
      <c r="C26" s="5"/>
      <c r="D26" s="750"/>
      <c r="E26" s="751"/>
      <c r="F26" s="751"/>
      <c r="G26" s="752"/>
      <c r="H26" s="3"/>
      <c r="I26" s="3" t="str">
        <v>Security Engineer</v>
      </c>
      <c r="J26" s="5"/>
      <c r="K26" s="5"/>
      <c r="L26" s="716">
        <v>315</v>
      </c>
      <c r="M26" s="716">
        <v>167.61034913968996</v>
      </c>
      <c r="N26" s="716">
        <v>147.38965086031004</v>
      </c>
      <c r="O26" s="718">
        <v>0.46790365352479379</v>
      </c>
      <c r="P26" s="719">
        <v>1.5</v>
      </c>
      <c r="Q26" s="5"/>
      <c r="R26" s="5"/>
      <c r="S26" s="5"/>
      <c r="Y26" s="5"/>
      <c r="Z26" s="3"/>
    </row>
    <row r="27" spans="1:26" ht="18.600000000000001" customHeight="1">
      <c r="A27" s="274" t="s">
        <v>323</v>
      </c>
      <c r="B27" s="361">
        <f>Settings_Hidden!C115</f>
        <v>0</v>
      </c>
      <c r="C27" s="5"/>
      <c r="D27" s="750"/>
      <c r="E27" s="751"/>
      <c r="F27" s="751"/>
      <c r="G27" s="752"/>
      <c r="H27" s="3"/>
      <c r="I27" s="3" t="str">
        <v>Solution Architect</v>
      </c>
      <c r="J27" s="5"/>
      <c r="K27" s="5"/>
      <c r="L27" s="716">
        <v>315</v>
      </c>
      <c r="M27" s="716">
        <v>167.61034913968996</v>
      </c>
      <c r="N27" s="716">
        <v>147.38965086031004</v>
      </c>
      <c r="O27" s="718">
        <v>0.46790365352479379</v>
      </c>
      <c r="P27" s="719">
        <v>1.5</v>
      </c>
      <c r="Q27" s="5"/>
      <c r="R27" s="5"/>
      <c r="S27" s="5"/>
      <c r="Y27" s="5"/>
      <c r="Z27" s="3"/>
    </row>
    <row r="28" spans="1:26" ht="18.600000000000001" customHeight="1" thickBot="1">
      <c r="A28" s="276" t="s">
        <v>468</v>
      </c>
      <c r="B28" s="362" t="str">
        <f>Settings_Hidden!C116</f>
        <v>No</v>
      </c>
      <c r="C28" s="5"/>
      <c r="D28" s="750"/>
      <c r="E28" s="751"/>
      <c r="F28" s="751"/>
      <c r="G28" s="752"/>
      <c r="H28" s="3"/>
      <c r="I28" s="3" t="str">
        <v>Security Advisor / Consultant</v>
      </c>
      <c r="J28" s="5"/>
      <c r="K28" s="5"/>
      <c r="L28" s="716">
        <v>315</v>
      </c>
      <c r="M28" s="716">
        <v>167.61034913968996</v>
      </c>
      <c r="N28" s="716">
        <v>147.38965086031004</v>
      </c>
      <c r="O28" s="718">
        <v>0.46790365352479379</v>
      </c>
      <c r="P28" s="719">
        <v>1.5</v>
      </c>
      <c r="Q28" s="5"/>
      <c r="R28" s="5"/>
      <c r="S28" s="5"/>
      <c r="Y28" s="5"/>
      <c r="Z28" s="3"/>
    </row>
    <row r="29" spans="1:26" ht="18.600000000000001" customHeight="1">
      <c r="A29" s="4"/>
      <c r="C29" s="5"/>
      <c r="D29" s="750"/>
      <c r="E29" s="751"/>
      <c r="F29" s="751"/>
      <c r="G29" s="752"/>
      <c r="H29" s="3"/>
      <c r="I29" s="3" t="str">
        <v>Senior Consultant</v>
      </c>
      <c r="J29" s="5"/>
      <c r="K29" s="5"/>
      <c r="L29" s="716">
        <v>315</v>
      </c>
      <c r="M29" s="716">
        <v>167.61034913968996</v>
      </c>
      <c r="N29" s="716">
        <v>147.38965086031004</v>
      </c>
      <c r="O29" s="718">
        <v>0.46790365352479379</v>
      </c>
      <c r="P29" s="719">
        <v>1.5</v>
      </c>
      <c r="Q29" s="5"/>
      <c r="R29" s="5"/>
      <c r="S29" s="5"/>
      <c r="Y29" s="5"/>
      <c r="Z29" s="3"/>
    </row>
    <row r="30" spans="1:26" ht="21.6" thickBot="1">
      <c r="A30" s="277" t="s">
        <v>213</v>
      </c>
      <c r="C30" s="25"/>
      <c r="D30" s="753"/>
      <c r="E30" s="754"/>
      <c r="F30" s="754"/>
      <c r="G30" s="755"/>
      <c r="H30" s="6"/>
      <c r="I30" s="6"/>
      <c r="J30" s="3"/>
      <c r="K30" s="3"/>
      <c r="L30" s="717"/>
      <c r="M30" s="717"/>
      <c r="N30" s="717"/>
      <c r="O30" s="717"/>
      <c r="P30" s="719"/>
      <c r="Q30" s="3"/>
      <c r="R30" s="3"/>
      <c r="S30" s="3"/>
      <c r="Y30" s="5"/>
      <c r="Z30" s="3"/>
    </row>
    <row r="31" spans="1:26" ht="18">
      <c r="A31" s="285" t="s">
        <v>831</v>
      </c>
      <c r="C31" s="25"/>
      <c r="E31" s="3"/>
      <c r="F31" s="3"/>
      <c r="G31" s="6"/>
      <c r="H31" s="6"/>
      <c r="I31" s="6"/>
      <c r="J31" s="3"/>
      <c r="K31" s="3"/>
      <c r="L31" s="717"/>
      <c r="M31" s="717"/>
      <c r="N31" s="717"/>
      <c r="O31" s="717"/>
      <c r="P31" s="719"/>
      <c r="Q31" s="3"/>
      <c r="R31" s="3"/>
      <c r="S31" s="3"/>
      <c r="Y31" s="5"/>
      <c r="Z31" s="3"/>
    </row>
    <row r="32" spans="1:26">
      <c r="A32" s="93" t="s">
        <v>16</v>
      </c>
      <c r="B32" s="19" t="s">
        <v>240</v>
      </c>
      <c r="C32" s="19" t="s">
        <v>59</v>
      </c>
      <c r="D32" s="19" t="s">
        <v>115</v>
      </c>
      <c r="E32" s="19" t="s">
        <v>26</v>
      </c>
      <c r="F32" s="19" t="s">
        <v>154</v>
      </c>
      <c r="G32" s="625" t="s">
        <v>843</v>
      </c>
      <c r="H32" s="6"/>
      <c r="I32" s="3"/>
      <c r="J32" s="3"/>
      <c r="K32" s="3"/>
      <c r="L32" s="717"/>
      <c r="M32" s="717"/>
      <c r="N32" s="717"/>
      <c r="O32" s="717"/>
      <c r="P32" s="719"/>
      <c r="Q32" s="3"/>
      <c r="R32" s="3"/>
      <c r="S32" s="3"/>
      <c r="X32" s="5"/>
      <c r="Z32" s="3"/>
    </row>
    <row r="33" spans="1:65">
      <c r="A33" s="19" t="s">
        <v>212</v>
      </c>
      <c r="B33" s="19" t="b">
        <f>IF(SUM(Input_Tasks[R1 Sell])&gt;0,TRUE,FALSE)</f>
        <v>0</v>
      </c>
      <c r="C33" s="306" t="str">
        <f>J41</f>
        <v>Senior Systems Engineer (Professional Services)</v>
      </c>
      <c r="D33" s="19">
        <f>IF(Table6[[#This Row],[Override]]="REMOVE",0,
IF($B$22="Yes",0,(ROUNDUP(4*(MAX(SUM(Input_Tasks[Hours])*Settings_Hidden!B44,Settings_Hidden!B43)),0)/4)*Table6[[#This Row],[Resource Assigned]]))</f>
        <v>0</v>
      </c>
      <c r="E33" s="307">
        <f>IFERROR(VLOOKUP(Table6[[#This Row],[Type]],Settings_Hidden!$B$102:$C$111,2,FALSE)*Table6[[#This Row],[Hours]],0)</f>
        <v>0</v>
      </c>
      <c r="F33" s="307">
        <f>IFERROR(VLOOKUP(Table6[[#This Row],[Type]],Settings_Hidden!$B$88:$C$97,2,FALSE)*Table6[[#This Row],[Hours]],0)</f>
        <v>0</v>
      </c>
      <c r="G33" s="626"/>
      <c r="H33" s="6"/>
      <c r="I33" s="3"/>
      <c r="J33" s="3"/>
      <c r="K33" s="3"/>
      <c r="L33" s="717"/>
      <c r="M33" s="717"/>
      <c r="N33" s="717"/>
      <c r="O33" s="717"/>
      <c r="P33" s="719"/>
      <c r="Q33" s="3"/>
      <c r="R33" s="3"/>
      <c r="S33" s="3"/>
      <c r="X33" s="5"/>
      <c r="Z33" s="3"/>
    </row>
    <row r="34" spans="1:65">
      <c r="A34" s="19" t="s">
        <v>236</v>
      </c>
      <c r="B34" s="19" t="b">
        <f>IF(SUM(Input_Tasks[R2 Sell])&gt;0,TRUE,FALSE)</f>
        <v>0</v>
      </c>
      <c r="C34" s="306">
        <f>M41</f>
        <v>0</v>
      </c>
      <c r="D34" s="19">
        <f>IF(Table6[[#This Row],[Override]]="REMOVE",0,
IF(B22="Yes",0,(ROUNDUP(4*(MAX(SUM(Input_Tasks[Hours])*Settings_Hidden!$B$46,Settings_Hidden!$B$45)),0)/4)*Table6[[#This Row],[Resource Assigned]]))</f>
        <v>0</v>
      </c>
      <c r="E34" s="307">
        <f>IFERROR(VLOOKUP(Table6[[#This Row],[Type]],Settings_Hidden!$B$102:$C$111,2,FALSE)*Table6[[#This Row],[Hours]],0)</f>
        <v>0</v>
      </c>
      <c r="F34" s="307">
        <f>IFERROR(VLOOKUP(Table6[[#This Row],[Type]],Settings_Hidden!$B$88:$C$97,2,FALSE)*Table6[[#This Row],[Hours]],0)</f>
        <v>0</v>
      </c>
      <c r="G34" s="627"/>
      <c r="H34" s="6"/>
      <c r="I34" s="3"/>
      <c r="J34" s="3"/>
      <c r="K34" s="3"/>
      <c r="L34" s="717"/>
      <c r="M34" s="717"/>
      <c r="N34" s="717"/>
      <c r="O34" s="717"/>
      <c r="P34" s="719"/>
      <c r="Q34" s="3"/>
      <c r="R34" s="3"/>
      <c r="S34" s="3"/>
      <c r="X34" s="5"/>
      <c r="Z34" s="3"/>
    </row>
    <row r="35" spans="1:65">
      <c r="A35" s="19" t="s">
        <v>237</v>
      </c>
      <c r="B35" s="19" t="b">
        <f>IF(SUM(Input_Tasks[R3 Sell])&gt;0,TRUE,FALSE)</f>
        <v>0</v>
      </c>
      <c r="C35" s="306">
        <f>P41</f>
        <v>0</v>
      </c>
      <c r="D35" s="19">
        <f>IF(Table6[[#This Row],[Override]]="REMOVE",0,
IF(B22="Yes",0,(ROUNDUP(4*(MAX(SUM(Input_Tasks[Hours])*Settings_Hidden!$B$46,Settings_Hidden!$B$45)),0)/4)*Table6[[#This Row],[Resource Assigned]]))</f>
        <v>0</v>
      </c>
      <c r="E35" s="307">
        <f>IFERROR(VLOOKUP(Table6[[#This Row],[Type]],Settings_Hidden!$B$102:$C$111,2,FALSE)*Table6[[#This Row],[Hours]],0)</f>
        <v>0</v>
      </c>
      <c r="F35" s="307">
        <f>IFERROR(VLOOKUP(Table6[[#This Row],[Type]],Settings_Hidden!$B$88:$C$97,2,FALSE)*Table6[[#This Row],[Hours]],0)</f>
        <v>0</v>
      </c>
      <c r="G35" s="626"/>
      <c r="H35" s="6"/>
      <c r="I35" s="3"/>
      <c r="J35" s="3"/>
      <c r="K35" s="3"/>
      <c r="L35" s="717"/>
      <c r="M35" s="717"/>
      <c r="N35" s="717"/>
      <c r="O35" s="717"/>
      <c r="P35" s="719"/>
      <c r="Q35" s="3"/>
      <c r="R35" s="3"/>
      <c r="S35" s="3"/>
      <c r="X35" s="5"/>
      <c r="Z35" s="3"/>
    </row>
    <row r="36" spans="1:65">
      <c r="A36" s="19" t="s">
        <v>238</v>
      </c>
      <c r="B36" s="19" t="b">
        <f>IF(SUM(Input_Tasks[R4 Sell])&gt;0,TRUE,FALSE)</f>
        <v>0</v>
      </c>
      <c r="C36" s="306">
        <f>S41</f>
        <v>0</v>
      </c>
      <c r="D36" s="19">
        <f>IF(Table6[[#This Row],[Override]]="REMOVE",0,
IF(B22="Yes",0,(ROUNDUP(4*(MAX(SUM(Input_Tasks[Hours])*Settings_Hidden!$B$46,Settings_Hidden!$B$45)),0)/4)*Table6[[#This Row],[Resource Assigned]]))</f>
        <v>0</v>
      </c>
      <c r="E36" s="307">
        <f>IFERROR(VLOOKUP(Table6[[#This Row],[Type]],Settings_Hidden!$B$102:$C$111,2,FALSE)*Table6[[#This Row],[Hours]],0)</f>
        <v>0</v>
      </c>
      <c r="F36" s="307">
        <f>IFERROR(VLOOKUP(Table6[[#This Row],[Type]],Settings_Hidden!$B$88:$C$97,2,FALSE)*Table6[[#This Row],[Hours]],0)</f>
        <v>0</v>
      </c>
      <c r="G36" s="627"/>
      <c r="H36" s="6"/>
      <c r="I36" s="3"/>
      <c r="J36" s="3"/>
      <c r="K36" s="3"/>
      <c r="L36" s="717"/>
      <c r="M36" s="717"/>
      <c r="N36" s="717"/>
      <c r="O36" s="717"/>
      <c r="P36" s="719"/>
      <c r="Q36" s="3"/>
      <c r="R36" s="3"/>
      <c r="S36" s="3"/>
      <c r="X36" s="5"/>
      <c r="Z36" s="3"/>
    </row>
    <row r="37" spans="1:65">
      <c r="A37" s="19" t="s">
        <v>239</v>
      </c>
      <c r="B37" s="19" t="b">
        <f>IF(SUM(Input_Tasks[R5 Sell])&gt;0,TRUE,FALSE)</f>
        <v>0</v>
      </c>
      <c r="C37" s="306">
        <f>V41</f>
        <v>0</v>
      </c>
      <c r="D37" s="19">
        <f>IF(Table6[[#This Row],[Override]]="REMOVE",0,
IF(B22="Yes",0,(ROUNDUP(4*(MAX(SUM(Input_Tasks[Hours])*Settings_Hidden!$B$46,Settings_Hidden!$B$45)),0)/4)*Table6[[#This Row],[Resource Assigned]]))</f>
        <v>0</v>
      </c>
      <c r="E37" s="307">
        <f>IFERROR(VLOOKUP(Table6[[#This Row],[Type]],Settings_Hidden!$B$102:$C$111,2,FALSE)*Table6[[#This Row],[Hours]],0)</f>
        <v>0</v>
      </c>
      <c r="F37" s="307">
        <f>IFERROR(VLOOKUP(Table6[[#This Row],[Type]],Settings_Hidden!$B$88:$C$97,2,FALSE)*Table6[[#This Row],[Hours]],0)</f>
        <v>0</v>
      </c>
      <c r="G37" s="626"/>
      <c r="H37" s="6"/>
      <c r="I37" s="3"/>
      <c r="J37" s="3"/>
      <c r="K37" s="3"/>
      <c r="L37" s="717"/>
      <c r="M37" s="717"/>
      <c r="N37" s="717"/>
      <c r="O37" s="717"/>
      <c r="P37" s="719"/>
      <c r="Q37" s="3"/>
      <c r="R37" s="3"/>
      <c r="S37" s="3"/>
      <c r="X37" s="5"/>
      <c r="Z37" s="3"/>
    </row>
    <row r="38" spans="1:65">
      <c r="A38" s="19"/>
      <c r="B38" s="19"/>
      <c r="C38" s="306"/>
      <c r="D38" s="19"/>
      <c r="E38" s="307"/>
      <c r="F38" s="307"/>
      <c r="G38" s="6"/>
      <c r="H38" s="6"/>
      <c r="I38" s="6"/>
      <c r="J38" s="3"/>
      <c r="K38" s="3"/>
      <c r="L38" s="717"/>
      <c r="M38" s="717"/>
      <c r="N38" s="717"/>
      <c r="O38" s="717"/>
      <c r="P38" s="3"/>
      <c r="Q38" s="3"/>
      <c r="R38" s="3"/>
      <c r="S38" s="3"/>
      <c r="Y38" s="5"/>
      <c r="Z38" s="3"/>
    </row>
    <row r="39" spans="1:65" ht="18" thickBot="1">
      <c r="A39" s="4"/>
      <c r="C39" s="25"/>
      <c r="E39" s="3"/>
      <c r="F39" s="3"/>
      <c r="G39" s="6"/>
      <c r="H39" s="6"/>
      <c r="I39" s="6"/>
      <c r="J39" s="3"/>
      <c r="K39" s="3"/>
      <c r="L39" s="3"/>
      <c r="M39" s="3"/>
      <c r="N39" s="3"/>
      <c r="O39" s="3"/>
      <c r="P39" s="3"/>
      <c r="Q39" s="3"/>
      <c r="R39" s="3"/>
      <c r="S39" s="3"/>
      <c r="Y39" s="5"/>
      <c r="Z39" s="3"/>
    </row>
    <row r="40" spans="1:65" ht="21">
      <c r="A40" s="277" t="s">
        <v>306</v>
      </c>
      <c r="E40" s="3"/>
      <c r="F40" s="3"/>
      <c r="G40" s="3"/>
      <c r="H40" s="745" t="s">
        <v>321</v>
      </c>
      <c r="I40" s="745" t="s">
        <v>121</v>
      </c>
      <c r="J40" s="741" t="s">
        <v>62</v>
      </c>
      <c r="K40" s="742"/>
      <c r="L40" s="742"/>
      <c r="M40" s="743" t="s">
        <v>3</v>
      </c>
      <c r="N40" s="742"/>
      <c r="O40" s="742"/>
      <c r="P40" s="743" t="s">
        <v>4</v>
      </c>
      <c r="Q40" s="742"/>
      <c r="R40" s="744"/>
      <c r="S40" s="743" t="s">
        <v>5</v>
      </c>
      <c r="T40" s="742"/>
      <c r="U40" s="744"/>
      <c r="V40" s="743" t="s">
        <v>6</v>
      </c>
      <c r="W40" s="742"/>
      <c r="X40" s="742"/>
      <c r="Y40" s="443" t="s">
        <v>99</v>
      </c>
      <c r="Z40" s="742" t="s">
        <v>26</v>
      </c>
      <c r="AA40" s="742"/>
      <c r="AB40" s="742"/>
      <c r="AC40" s="742"/>
      <c r="AD40" s="742"/>
      <c r="AE40" s="744"/>
      <c r="AF40" s="743" t="s">
        <v>154</v>
      </c>
      <c r="AG40" s="742"/>
      <c r="AH40" s="742"/>
      <c r="AI40" s="742"/>
      <c r="AJ40" s="742"/>
      <c r="AK40" s="744"/>
      <c r="AL40" s="739" t="s">
        <v>417</v>
      </c>
      <c r="AM40" s="739"/>
      <c r="AN40" s="739"/>
      <c r="AO40" s="739"/>
      <c r="AP40" s="740"/>
      <c r="AQ40" s="739" t="s">
        <v>418</v>
      </c>
      <c r="AR40" s="739"/>
      <c r="AS40" s="739"/>
      <c r="AT40" s="739"/>
      <c r="AU40" s="740"/>
      <c r="AV40" s="242"/>
      <c r="AW40" s="242"/>
      <c r="AX40" s="242"/>
      <c r="AY40" s="242"/>
      <c r="AZ40" s="242"/>
      <c r="BA40" s="242"/>
      <c r="BB40" s="242"/>
      <c r="BC40" s="242"/>
      <c r="BD40" s="242"/>
      <c r="BE40" s="242"/>
      <c r="BF40" s="242"/>
      <c r="BG40" s="242"/>
      <c r="BH40" s="242"/>
      <c r="BI40" s="242"/>
      <c r="BJ40" s="242"/>
      <c r="BK40" s="242"/>
      <c r="BL40" s="242"/>
      <c r="BM40" s="353" t="s">
        <v>115</v>
      </c>
    </row>
    <row r="41" spans="1:65" ht="18.600000000000001" thickBot="1">
      <c r="A41" s="284" t="s">
        <v>434</v>
      </c>
      <c r="E41" s="3"/>
      <c r="F41" s="3"/>
      <c r="G41" s="3"/>
      <c r="H41" s="746"/>
      <c r="I41" s="746"/>
      <c r="J41" s="758" t="s">
        <v>1285</v>
      </c>
      <c r="K41" s="757"/>
      <c r="L41" s="759"/>
      <c r="M41" s="756"/>
      <c r="N41" s="757"/>
      <c r="O41" s="759"/>
      <c r="P41" s="756"/>
      <c r="Q41" s="757"/>
      <c r="R41" s="759"/>
      <c r="S41" s="756"/>
      <c r="T41" s="757"/>
      <c r="U41" s="759"/>
      <c r="V41" s="756"/>
      <c r="W41" s="757"/>
      <c r="X41" s="757"/>
      <c r="Y41" s="704"/>
      <c r="Z41" s="355"/>
      <c r="AA41" s="355"/>
      <c r="AB41" s="355"/>
      <c r="AC41" s="355"/>
      <c r="AD41" s="355"/>
      <c r="AE41" s="356"/>
      <c r="AF41" s="354"/>
      <c r="AG41" s="355"/>
      <c r="AH41" s="355"/>
      <c r="AI41" s="355"/>
      <c r="AJ41" s="355"/>
      <c r="AK41" s="356"/>
      <c r="AL41" s="355"/>
      <c r="AM41" s="355"/>
      <c r="AN41" s="355"/>
      <c r="AO41" s="355"/>
      <c r="AP41" s="356"/>
      <c r="AQ41" s="355"/>
      <c r="AR41" s="355"/>
      <c r="AS41" s="355"/>
      <c r="AT41" s="355"/>
      <c r="AU41" s="356"/>
      <c r="AV41" s="333"/>
      <c r="AW41" s="333"/>
      <c r="AX41" s="333"/>
      <c r="AY41" s="333"/>
      <c r="AZ41" s="333"/>
      <c r="BA41" s="333"/>
      <c r="BB41" s="333"/>
      <c r="BC41" s="333"/>
      <c r="BD41" s="333"/>
      <c r="BE41" s="333"/>
      <c r="BF41" s="333"/>
      <c r="BG41" s="333"/>
      <c r="BH41" s="333"/>
      <c r="BI41" s="333"/>
      <c r="BJ41" s="333"/>
      <c r="BK41" s="333"/>
      <c r="BL41" s="333"/>
      <c r="BM41" s="357"/>
    </row>
    <row r="42" spans="1:65" ht="18.600000000000001" thickBot="1">
      <c r="A42" s="284"/>
      <c r="E42" s="3"/>
      <c r="F42" s="3"/>
      <c r="G42" s="3"/>
      <c r="H42" s="444"/>
      <c r="I42" s="444"/>
      <c r="J42" s="720" t="str">
        <f>_xlfn.LET(
_xlpm.TARGET,J41,
_xlpm.ISDEFINED,_xlpm.TARGET&lt;&gt;"",
_xlpm.SELLRATE,INDEX(Settings_Hidden!$C$88:$C$97,MATCH(_xlpm.TARGET,Rate_Types,0),1),
_xlpm.COSTRATE,INDEX(Settings_Hidden!$C$102:$C$111,MATCH(_xlpm.TARGET,Settings_Hidden!$B$102:$B$111,0),1),
_xlpm.MARGIN,(_xlpm.SELLRATE-_xlpm.COSTRATE)/_xlpm.SELLRATE,
IF(NOT(_xlpm.ISDEFINED),"","Sell: "&amp;TEXT(_xlpm.SELLRATE,"$#,##0.00")))</f>
        <v>Sell: $280.50</v>
      </c>
      <c r="K42" s="721" t="str">
        <f>_xlfn.LET(
_xlpm.TARGET,J41,
_xlpm.ISDEFINED,_xlpm.TARGET&lt;&gt;"",
_xlpm.SELLRATE,INDEX(Settings_Hidden!$C$88:$C$97,MATCH(_xlpm.TARGET,Rate_Types,0),1),
_xlpm.COSTRATE,INDEX(Settings_Hidden!$C$102:$C$111,MATCH(_xlpm.TARGET,Settings_Hidden!$B$102:$B$111,0),1),
_xlpm.MARGIN,(_xlpm.SELLRATE-_xlpm.COSTRATE)/_xlpm.SELLRATE,
IF(NOT(_xlpm.ISDEFINED),"","Cost: "&amp;TEXT(_xlpm.COSTRATE,"$#,##0.00")))</f>
        <v>Cost: $149.92</v>
      </c>
      <c r="L42" s="721" t="str">
        <f>_xlfn.LET(
_xlpm.TARGET,J41,
_xlpm.ISDEFINED,_xlpm.TARGET&lt;&gt;"",
_xlpm.SELLRATE,INDEX(Settings_Hidden!$C$88:$C$97,MATCH(_xlpm.TARGET,Rate_Types,0),1),
_xlpm.COSTRATE,INDEX(Settings_Hidden!$C$102:$C$111,MATCH(_xlpm.TARGET,Settings_Hidden!$B$102:$B$111,0),1),
_xlpm.MARGIN,(_xlpm.SELLRATE-_xlpm.COSTRATE)/_xlpm.SELLRATE,
IF(NOT(_xlpm.ISDEFINED),"","Margin: "&amp;TEXT(_xlpm.MARGIN,"#0%")))</f>
        <v>Margin: 47%</v>
      </c>
      <c r="M42" s="722" t="str">
        <f>_xlfn.LET(
_xlpm.TARGET,M41,
_xlpm.ISDEFINED,_xlpm.TARGET&lt;&gt;"",
_xlpm.SELLRATE,INDEX(Settings_Hidden!$C$88:$C$97,MATCH(_xlpm.TARGET,Rate_Types,0),1),
_xlpm.COSTRATE,INDEX(Settings_Hidden!$C$102:$C$111,MATCH(_xlpm.TARGET,Settings_Hidden!$B$102:$B$111,0),1),
_xlpm.MARGIN,(_xlpm.SELLRATE-_xlpm.COSTRATE)/_xlpm.SELLRATE,
IF(NOT(_xlpm.ISDEFINED),"","Sell: "&amp;TEXT(_xlpm.SELLRATE,"$#,##0.00")))</f>
        <v/>
      </c>
      <c r="N42" s="721" t="str">
        <f>_xlfn.LET(
_xlpm.TARGET,M41,
_xlpm.ISDEFINED,_xlpm.TARGET&lt;&gt;"",
_xlpm.SELLRATE,INDEX(Settings_Hidden!$C$88:$C$97,MATCH(_xlpm.TARGET,Rate_Types,0),1),
_xlpm.COSTRATE,INDEX(Settings_Hidden!$C$102:$C$111,MATCH(_xlpm.TARGET,Settings_Hidden!$B$102:$B$111,0),1),
_xlpm.MARGIN,(_xlpm.SELLRATE-_xlpm.COSTRATE)/_xlpm.SELLRATE,
IF(NOT(_xlpm.ISDEFINED),"","Cost: "&amp;TEXT(_xlpm.COSTRATE,"$#,##0.00")))</f>
        <v/>
      </c>
      <c r="O42" s="721" t="str">
        <f>_xlfn.LET(
_xlpm.TARGET,M41,
_xlpm.ISDEFINED,_xlpm.TARGET&lt;&gt;"",
_xlpm.SELLRATE,INDEX(Settings_Hidden!$C$88:$C$97,MATCH(_xlpm.TARGET,Rate_Types,0),1),
_xlpm.COSTRATE,INDEX(Settings_Hidden!$C$102:$C$111,MATCH(_xlpm.TARGET,Settings_Hidden!$B$102:$B$111,0),1),
_xlpm.MARGIN,(_xlpm.SELLRATE-_xlpm.COSTRATE)/_xlpm.SELLRATE,
IF(NOT(_xlpm.ISDEFINED),"","Margin: "&amp;TEXT(_xlpm.MARGIN,"#0%")))</f>
        <v/>
      </c>
      <c r="P42" s="722" t="str">
        <f>_xlfn.LET(
_xlpm.TARGET,P41,
_xlpm.ISDEFINED,_xlpm.TARGET&lt;&gt;"",
_xlpm.SELLRATE,INDEX(Settings_Hidden!$C$88:$C$97,MATCH(_xlpm.TARGET,Rate_Types,0),1),
_xlpm.COSTRATE,INDEX(Settings_Hidden!$C$102:$C$111,MATCH(_xlpm.TARGET,Settings_Hidden!$B$102:$B$111,0),1),
_xlpm.MARGIN,(_xlpm.SELLRATE-_xlpm.COSTRATE)/_xlpm.SELLRATE,
IF(NOT(_xlpm.ISDEFINED),"","Sell: "&amp;TEXT(_xlpm.SELLRATE,"$#,##0.00")))</f>
        <v/>
      </c>
      <c r="Q42" s="721" t="str">
        <f>_xlfn.LET(
_xlpm.TARGET,P41,
_xlpm.ISDEFINED,_xlpm.TARGET&lt;&gt;"",
_xlpm.SELLRATE,INDEX(Settings_Hidden!$C$88:$C$97,MATCH(_xlpm.TARGET,Rate_Types,0),1),
_xlpm.COSTRATE,INDEX(Settings_Hidden!$C$102:$C$111,MATCH(_xlpm.TARGET,Settings_Hidden!$B$102:$B$111,0),1),
_xlpm.MARGIN,(_xlpm.SELLRATE-_xlpm.COSTRATE)/_xlpm.SELLRATE,
IF(NOT(_xlpm.ISDEFINED),"","Cost: "&amp;TEXT(_xlpm.COSTRATE,"$#,##0.00")))</f>
        <v/>
      </c>
      <c r="R42" s="721" t="str">
        <f>_xlfn.LET(
_xlpm.TARGET,P41,
_xlpm.ISDEFINED,_xlpm.TARGET&lt;&gt;"",
_xlpm.SELLRATE,INDEX(Settings_Hidden!$C$88:$C$97,MATCH(_xlpm.TARGET,Rate_Types,0),1),
_xlpm.COSTRATE,INDEX(Settings_Hidden!$C$102:$C$111,MATCH(_xlpm.TARGET,Settings_Hidden!$B$102:$B$111,0),1),
_xlpm.MARGIN,(_xlpm.SELLRATE-_xlpm.COSTRATE)/_xlpm.SELLRATE,
IF(NOT(_xlpm.ISDEFINED),"","Margin: "&amp;TEXT(_xlpm.MARGIN,"#0%")))</f>
        <v/>
      </c>
      <c r="S42" s="722" t="str">
        <f>_xlfn.LET(
_xlpm.TARGET,S41,
_xlpm.ISDEFINED,_xlpm.TARGET&lt;&gt;"",
_xlpm.SELLRATE,INDEX(Settings_Hidden!$C$88:$C$97,MATCH(_xlpm.TARGET,Rate_Types,0),1),
_xlpm.COSTRATE,INDEX(Settings_Hidden!$C$102:$C$111,MATCH(_xlpm.TARGET,Settings_Hidden!$B$102:$B$111,0),1),
_xlpm.MARGIN,(_xlpm.SELLRATE-_xlpm.COSTRATE)/_xlpm.SELLRATE,
IF(NOT(_xlpm.ISDEFINED),"","Sell: "&amp;TEXT(_xlpm.SELLRATE,"$#,##0.00")))</f>
        <v/>
      </c>
      <c r="T42" s="721" t="str">
        <f>_xlfn.LET(
_xlpm.TARGET,S41,
_xlpm.ISDEFINED,_xlpm.TARGET&lt;&gt;"",
_xlpm.SELLRATE,INDEX(Settings_Hidden!$C$88:$C$97,MATCH(_xlpm.TARGET,Rate_Types,0),1),
_xlpm.COSTRATE,INDEX(Settings_Hidden!$C$102:$C$111,MATCH(_xlpm.TARGET,Settings_Hidden!$B$102:$B$111,0),1),
_xlpm.MARGIN,(_xlpm.SELLRATE-_xlpm.COSTRATE)/_xlpm.SELLRATE,
IF(NOT(_xlpm.ISDEFINED),"","Cost: "&amp;TEXT(_xlpm.COSTRATE,"$#,##0.00")))</f>
        <v/>
      </c>
      <c r="U42" s="721" t="str">
        <f>_xlfn.LET(
_xlpm.TARGET,S41,
_xlpm.ISDEFINED,_xlpm.TARGET&lt;&gt;"",
_xlpm.SELLRATE,INDEX(Settings_Hidden!$C$88:$C$97,MATCH(_xlpm.TARGET,Rate_Types,0),1),
_xlpm.COSTRATE,INDEX(Settings_Hidden!$C$102:$C$111,MATCH(_xlpm.TARGET,Settings_Hidden!$B$102:$B$111,0),1),
_xlpm.MARGIN,(_xlpm.SELLRATE-_xlpm.COSTRATE)/_xlpm.SELLRATE,
IF(NOT(_xlpm.ISDEFINED),"","Margin: "&amp;TEXT(_xlpm.MARGIN,"#0%")))</f>
        <v/>
      </c>
      <c r="V42" s="722" t="str">
        <f>_xlfn.LET(
_xlpm.TARGET,V41,
_xlpm.ISDEFINED,_xlpm.TARGET&lt;&gt;"",
_xlpm.SELLRATE,INDEX(Settings_Hidden!$C$88:$C$97,MATCH(_xlpm.TARGET,Rate_Types,0),1),
_xlpm.COSTRATE,INDEX(Settings_Hidden!$C$102:$C$111,MATCH(_xlpm.TARGET,Settings_Hidden!$B$102:$B$111,0),1),
_xlpm.MARGIN,(_xlpm.SELLRATE-_xlpm.COSTRATE)/_xlpm.SELLRATE,
IF(NOT(_xlpm.ISDEFINED),"","Sell: "&amp;TEXT(_xlpm.SELLRATE,"$#,##0.00")))</f>
        <v/>
      </c>
      <c r="W42" s="721" t="str">
        <f>_xlfn.LET(
_xlpm.TARGET,V41,
_xlpm.ISDEFINED,_xlpm.TARGET&lt;&gt;"",
_xlpm.SELLRATE,INDEX(Settings_Hidden!$C$88:$C$97,MATCH(_xlpm.TARGET,Rate_Types,0),1),
_xlpm.COSTRATE,INDEX(Settings_Hidden!$C$102:$C$111,MATCH(_xlpm.TARGET,Settings_Hidden!$B$102:$B$111,0),1),
_xlpm.MARGIN,(_xlpm.SELLRATE-_xlpm.COSTRATE)/_xlpm.SELLRATE,
IF(NOT(_xlpm.ISDEFINED),"","Cost: "&amp;TEXT(_xlpm.COSTRATE,"$#,##0.00")))</f>
        <v/>
      </c>
      <c r="X42" s="721" t="str">
        <f>_xlfn.LET(
_xlpm.TARGET,V41,
_xlpm.ISDEFINED,_xlpm.TARGET&lt;&gt;"",
_xlpm.SELLRATE,INDEX(Settings_Hidden!$C$88:$C$97,MATCH(_xlpm.TARGET,Rate_Types,0),1),
_xlpm.COSTRATE,INDEX(Settings_Hidden!$C$102:$C$111,MATCH(_xlpm.TARGET,Settings_Hidden!$B$102:$B$111,0),1),
_xlpm.MARGIN,(_xlpm.SELLRATE-_xlpm.COSTRATE)/_xlpm.SELLRATE,
IF(NOT(_xlpm.ISDEFINED),"","Margin: "&amp;TEXT(_xlpm.MARGIN,"#0%")))</f>
        <v/>
      </c>
      <c r="Y42" s="444"/>
      <c r="Z42" s="5"/>
      <c r="AA42" s="5"/>
      <c r="AB42" s="5"/>
      <c r="AC42" s="5"/>
      <c r="AD42" s="5"/>
      <c r="AE42" s="703"/>
      <c r="AF42" s="5"/>
      <c r="AG42" s="5"/>
      <c r="AH42" s="5"/>
      <c r="AI42" s="5"/>
      <c r="AJ42" s="5"/>
      <c r="AK42" s="703"/>
      <c r="AL42" s="5"/>
      <c r="AM42" s="5"/>
      <c r="AN42" s="5"/>
      <c r="AO42" s="5"/>
      <c r="AP42" s="703"/>
      <c r="AQ42" s="5"/>
      <c r="AR42" s="5"/>
      <c r="AS42" s="5"/>
      <c r="AT42" s="5"/>
      <c r="AU42" s="5"/>
      <c r="BM42" s="5"/>
    </row>
    <row r="43" spans="1:65" s="22" customFormat="1" ht="52.2">
      <c r="A43" s="308" t="s">
        <v>15</v>
      </c>
      <c r="B43" s="308" t="s">
        <v>717</v>
      </c>
      <c r="C43" s="308" t="s">
        <v>207</v>
      </c>
      <c r="D43" s="308" t="s">
        <v>40</v>
      </c>
      <c r="E43" s="309" t="s">
        <v>23</v>
      </c>
      <c r="F43" s="309" t="s">
        <v>12</v>
      </c>
      <c r="G43" s="309" t="s">
        <v>120</v>
      </c>
      <c r="H43" s="360" t="s">
        <v>342</v>
      </c>
      <c r="I43" s="310" t="s">
        <v>354</v>
      </c>
      <c r="J43" s="311" t="s">
        <v>17</v>
      </c>
      <c r="K43" s="42" t="s">
        <v>63</v>
      </c>
      <c r="L43" s="42" t="s">
        <v>64</v>
      </c>
      <c r="M43" s="311" t="s">
        <v>18</v>
      </c>
      <c r="N43" s="42" t="s">
        <v>65</v>
      </c>
      <c r="O43" s="42" t="s">
        <v>66</v>
      </c>
      <c r="P43" s="311" t="s">
        <v>19</v>
      </c>
      <c r="Q43" s="42" t="s">
        <v>67</v>
      </c>
      <c r="R43" s="312" t="s">
        <v>68</v>
      </c>
      <c r="S43" s="311" t="s">
        <v>20</v>
      </c>
      <c r="T43" s="42" t="s">
        <v>69</v>
      </c>
      <c r="U43" s="312" t="s">
        <v>70</v>
      </c>
      <c r="V43" s="311" t="s">
        <v>21</v>
      </c>
      <c r="W43" s="42" t="s">
        <v>71</v>
      </c>
      <c r="X43" s="42" t="s">
        <v>72</v>
      </c>
      <c r="Y43" s="359" t="s">
        <v>532</v>
      </c>
      <c r="Z43" s="348" t="s">
        <v>32</v>
      </c>
      <c r="AA43" s="293" t="s">
        <v>33</v>
      </c>
      <c r="AB43" s="293" t="s">
        <v>34</v>
      </c>
      <c r="AC43" s="293" t="s">
        <v>36</v>
      </c>
      <c r="AD43" s="293" t="s">
        <v>35</v>
      </c>
      <c r="AE43" s="349" t="s">
        <v>165</v>
      </c>
      <c r="AF43" s="295" t="s">
        <v>155</v>
      </c>
      <c r="AG43" s="295" t="s">
        <v>156</v>
      </c>
      <c r="AH43" s="295" t="s">
        <v>157</v>
      </c>
      <c r="AI43" s="295" t="s">
        <v>158</v>
      </c>
      <c r="AJ43" s="295" t="s">
        <v>159</v>
      </c>
      <c r="AK43" s="297" t="s">
        <v>160</v>
      </c>
      <c r="AL43" s="295" t="s">
        <v>89</v>
      </c>
      <c r="AM43" s="295" t="s">
        <v>90</v>
      </c>
      <c r="AN43" s="295" t="s">
        <v>91</v>
      </c>
      <c r="AO43" s="295" t="s">
        <v>92</v>
      </c>
      <c r="AP43" s="296" t="s">
        <v>93</v>
      </c>
      <c r="AQ43" s="294" t="s">
        <v>411</v>
      </c>
      <c r="AR43" s="295" t="s">
        <v>412</v>
      </c>
      <c r="AS43" s="295" t="s">
        <v>413</v>
      </c>
      <c r="AT43" s="295" t="s">
        <v>414</v>
      </c>
      <c r="AU43" s="295" t="s">
        <v>415</v>
      </c>
      <c r="AV43" s="350" t="s">
        <v>78</v>
      </c>
      <c r="AW43" s="351" t="s">
        <v>79</v>
      </c>
      <c r="AX43" s="351" t="s">
        <v>221</v>
      </c>
      <c r="AY43" s="352" t="s">
        <v>416</v>
      </c>
      <c r="AZ43" s="313" t="s">
        <v>506</v>
      </c>
      <c r="BA43" s="313" t="s">
        <v>507</v>
      </c>
      <c r="BB43" s="313" t="s">
        <v>222</v>
      </c>
      <c r="BC43" s="313" t="s">
        <v>84</v>
      </c>
      <c r="BD43" s="313" t="s">
        <v>80</v>
      </c>
      <c r="BE43" s="313" t="s">
        <v>81</v>
      </c>
      <c r="BF43" s="313" t="s">
        <v>82</v>
      </c>
      <c r="BG43" s="313" t="s">
        <v>83</v>
      </c>
      <c r="BH43" s="313" t="s">
        <v>77</v>
      </c>
      <c r="BI43" s="313" t="s">
        <v>73</v>
      </c>
      <c r="BJ43" s="313" t="s">
        <v>74</v>
      </c>
      <c r="BK43" s="313" t="s">
        <v>75</v>
      </c>
      <c r="BL43" s="313" t="s">
        <v>76</v>
      </c>
      <c r="BM43" s="295" t="s">
        <v>115</v>
      </c>
    </row>
    <row r="44" spans="1:65">
      <c r="A44" s="384"/>
      <c r="B44" s="271"/>
      <c r="C44" s="271"/>
      <c r="D44" s="406"/>
      <c r="E44" s="385">
        <f>Input_Tasks[[#This Row],[Onsite Round Trips_Hidden]]</f>
        <v>0</v>
      </c>
      <c r="F44" s="385">
        <f>Input_Tasks[[#This Row],[Overnight Stays_Hidden]]</f>
        <v>0</v>
      </c>
      <c r="G44" s="385">
        <f>Input_Tasks[[#This Row],[Documents_Hidden]]</f>
        <v>0</v>
      </c>
      <c r="H44" s="387"/>
      <c r="I44" s="388"/>
      <c r="J44" s="389"/>
      <c r="K44" s="390"/>
      <c r="L44" s="390"/>
      <c r="M44" s="389"/>
      <c r="N44" s="390"/>
      <c r="O44" s="390"/>
      <c r="P44" s="389"/>
      <c r="Q44" s="390"/>
      <c r="R44" s="390"/>
      <c r="S44" s="389"/>
      <c r="T44" s="390"/>
      <c r="U44" s="390"/>
      <c r="V44" s="389"/>
      <c r="W44" s="390"/>
      <c r="X44" s="390"/>
      <c r="Y44" s="386" t="str">
        <f>Input_Tasks[[#This Row],[Onsite Round Trips_Hidden]]&amp;"/"&amp;Input_Tasks[[#This Row],[Overnight Stays_Hidden]]&amp;"/"&amp;Input_Tasks[[#This Row],[Documents_Hidden]]</f>
        <v>0/0/0</v>
      </c>
      <c r="Z44" s="392">
        <f>Input_Tasks[[#This Row],[R1 Cost_Hidden]]</f>
        <v>0</v>
      </c>
      <c r="AA44" s="393">
        <f>Input_Tasks[[#This Row],[R2 Cost_Hidden]]</f>
        <v>0</v>
      </c>
      <c r="AB44" s="393">
        <f>Input_Tasks[[#This Row],[R3 Cost_Hidden]]</f>
        <v>0</v>
      </c>
      <c r="AC44" s="393">
        <f>Input_Tasks[[#This Row],[R4 Cost_Hidden]]</f>
        <v>0</v>
      </c>
      <c r="AD44" s="394">
        <f>Input_Tasks[[#This Row],[R5 Cost_Hidden]]</f>
        <v>0</v>
      </c>
      <c r="AE44" s="395">
        <f>SUM(Input_Tasks[[#This Row],[R1 Cost]:[R5 Cost]])</f>
        <v>0</v>
      </c>
      <c r="AF44" s="392">
        <f>Input_Tasks[[#This Row],[R1 Sell_Hidden]]</f>
        <v>0</v>
      </c>
      <c r="AG44" s="393">
        <f>Input_Tasks[[#This Row],[R2 Sell_Hidden]]</f>
        <v>0</v>
      </c>
      <c r="AH44" s="393">
        <f>Input_Tasks[[#This Row],[R3 Sell_Hidden]]</f>
        <v>0</v>
      </c>
      <c r="AI44" s="393">
        <f>Input_Tasks[[#This Row],[R4 Sell_Hidden5]]</f>
        <v>0</v>
      </c>
      <c r="AJ44" s="394">
        <f>Input_Tasks[[#This Row],[R5 Sell_Hidden]]</f>
        <v>0</v>
      </c>
      <c r="AK44" s="396">
        <f>SUM(Input_Tasks[[#This Row],[R1 Sell]:[R5 Sell]])</f>
        <v>0</v>
      </c>
      <c r="AL44" s="397">
        <f>IFERROR(VLOOKUP(RESOURCE_1_TYPE,COST_RATES,2,FALSE)*Input_Tasks[[#This Row],[R1 Business Hours]],0)+IFERROR(VLOOKUP(RESOURCE_1_TYPE,COST_RATES,3,FALSE)*Input_Tasks[[#This Row],[R1 After Hours]],0)</f>
        <v>0</v>
      </c>
      <c r="AM44" s="398">
        <f>IFERROR(VLOOKUP(RESOURCE_2_TYPE,COST_RATES,2,FALSE)*Input_Tasks[[#This Row],[R2 Business Hours]],0)+IFERROR(VLOOKUP(RESOURCE_2_TYPE,COST_RATES,3,FALSE)*Input_Tasks[[#This Row],[R2 After Hours]],0)</f>
        <v>0</v>
      </c>
      <c r="AN44" s="398">
        <f>IFERROR(VLOOKUP(RESOURCE_3_TYPE,COST_RATES,2,FALSE)*Input_Tasks[[#This Row],[R3 Business Hours]],0)+IFERROR(VLOOKUP(RESOURCE_3_TYPE,COST_RATES,3,FALSE)*Input_Tasks[[#This Row],[R3 After Hours]],0)</f>
        <v>0</v>
      </c>
      <c r="AO44" s="398">
        <f>IFERROR(VLOOKUP(RESOURCE_4_TYPE,COST_RATES,2,FALSE)*Input_Tasks[[#This Row],[R4 Business Hours]],0)+IFERROR(VLOOKUP(RESOURCE_4_TYPE,COST_RATES,3,FALSE)*Input_Tasks[[#This Row],[R4 After Hours]],0)</f>
        <v>0</v>
      </c>
      <c r="AP44" s="398">
        <f>IFERROR(VLOOKUP(RESOURCE_5_TYPE,COST_RATES,2,FALSE)*Input_Tasks[[#This Row],[R5 Business Hours]],0)+IFERROR(VLOOKUP(RESOURCE_5_TYPE,COST_RATES,3,FALSE)*Input_Tasks[[#This Row],[R5 After Hours]],0)</f>
        <v>0</v>
      </c>
      <c r="AQ44" s="399">
        <f>IFERROR(VLOOKUP(RESOURCE_1_TYPE,SELL_RATES,2,FALSE)*Input_Tasks[[#This Row],[R1 Business Hours]],0)+IFERROR(VLOOKUP(RESOURCE_1_TYPE,SELL_RATES,3,FALSE)*Input_Tasks[[#This Row],[R1 After Hours]],0)</f>
        <v>0</v>
      </c>
      <c r="AR44" s="398">
        <f>IFERROR(VLOOKUP(RESOURCE_2_TYPE,SELL_RATES,2,FALSE)*Input_Tasks[[#This Row],[R2 Business Hours]],0)+IFERROR(VLOOKUP(RESOURCE_2_TYPE,SELL_RATES,3,FALSE)*Input_Tasks[[#This Row],[R2 After Hours]],0)</f>
        <v>0</v>
      </c>
      <c r="AS44" s="398">
        <f>IFERROR(VLOOKUP(RESOURCE_3_TYPE,SELL_RATES,2,FALSE)*Input_Tasks[[#This Row],[R3 Business Hours]],0)+IFERROR(VLOOKUP(RESOURCE_3_TYPE,SELL_RATES,3,FALSE)*Input_Tasks[[#This Row],[R3 After Hours]],0)</f>
        <v>0</v>
      </c>
      <c r="AT44" s="398">
        <f>IFERROR(VLOOKUP(RESOURCE_4_TYPE,SELL_RATES,2,FALSE)*Input_Tasks[[#This Row],[R4 Business Hours]],0)+IFERROR(VLOOKUP(RESOURCE_4_TYPE,SELL_RATES,3,FALSE)*Input_Tasks[[#This Row],[R4 After Hours]],0)</f>
        <v>0</v>
      </c>
      <c r="AU44" s="398">
        <f>IFERROR(VLOOKUP(RESOURCE_5_TYPE,SELL_RATES,2,FALSE)*Input_Tasks[[#This Row],[R5 Business Hours]],0)+IFERROR(VLOOKUP(RESOURCE_5_TYPE,SELL_RATES,3,FALSE)*Input_Tasks[[#This Row],[R5 After Hours]],0)</f>
        <v>0</v>
      </c>
      <c r="AV44" s="400">
        <f>SUM(Input_Tasks[[#This Row],[Round Trips R1]:[Round Trips R5]])</f>
        <v>0</v>
      </c>
      <c r="AW44" s="401">
        <f>SUM(Input_Tasks[[#This Row],[Overnight StaysR1]:[Overnight StaysR5]])</f>
        <v>0</v>
      </c>
      <c r="AX44" s="401">
        <f>IF(AND(Input_Tasks[[#This Row],[Sell - Line Total]]&gt;0,OR(Input_Tasks[[#This Row],[Phase]]="",Input_Tasks[[#This Row],[Skill Required]]="",Input_Tasks[[#This Row],[Task Type]]="",Input_Tasks[[#This Row],[Description]]="")),1,0)</f>
        <v>0</v>
      </c>
      <c r="AY44" s="402">
        <f>IF(AND(Input_Tasks[[#This Row],[Task Type]]="ArchiTech Document Deliverable",Input_Tasks[[#This Row],[Hours]]&gt;0),1,0)</f>
        <v>0</v>
      </c>
      <c r="AZ4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4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4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4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4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4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4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4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4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4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4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4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4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44" s="405">
        <f>SUM(Input_Tasks[[#This Row],[R1 Business Hours]:[R1 After Hours]],Input_Tasks[[#This Row],[R2 Business Hours]:[R2 After Hours]],Input_Tasks[[#This Row],[R3 Business Hours]:[R3 After Hours]],Input_Tasks[[#This Row],[R4 Business Hours]:[R4 After Hours]],Input_Tasks[[#This Row],[R5 Business Hours]:[R5 After Hours]])</f>
        <v>0</v>
      </c>
    </row>
    <row r="45" spans="1:65">
      <c r="A45" s="384"/>
      <c r="B45" s="271"/>
      <c r="C45" s="271"/>
      <c r="D45" s="406"/>
      <c r="E45" s="385">
        <f>Input_Tasks[[#This Row],[Onsite Round Trips_Hidden]]</f>
        <v>0</v>
      </c>
      <c r="F45" s="385">
        <f>Input_Tasks[[#This Row],[Overnight Stays_Hidden]]</f>
        <v>0</v>
      </c>
      <c r="G45" s="385">
        <f>Input_Tasks[[#This Row],[Documents_Hidden]]</f>
        <v>0</v>
      </c>
      <c r="H45" s="387"/>
      <c r="I45" s="388"/>
      <c r="J45" s="389"/>
      <c r="K45" s="390"/>
      <c r="L45" s="390"/>
      <c r="M45" s="389"/>
      <c r="N45" s="390"/>
      <c r="O45" s="390"/>
      <c r="P45" s="389"/>
      <c r="Q45" s="390"/>
      <c r="R45" s="390"/>
      <c r="S45" s="389"/>
      <c r="T45" s="390"/>
      <c r="U45" s="390"/>
      <c r="V45" s="389"/>
      <c r="W45" s="390"/>
      <c r="X45" s="390"/>
      <c r="Y45" s="386" t="str">
        <f>Input_Tasks[[#This Row],[Onsite Round Trips_Hidden]]&amp;"/"&amp;Input_Tasks[[#This Row],[Overnight Stays_Hidden]]&amp;"/"&amp;Input_Tasks[[#This Row],[Documents_Hidden]]</f>
        <v>0/0/0</v>
      </c>
      <c r="Z45" s="392">
        <f>Input_Tasks[[#This Row],[R1 Cost_Hidden]]</f>
        <v>0</v>
      </c>
      <c r="AA45" s="393">
        <f>Input_Tasks[[#This Row],[R2 Cost_Hidden]]</f>
        <v>0</v>
      </c>
      <c r="AB45" s="393">
        <f>Input_Tasks[[#This Row],[R3 Cost_Hidden]]</f>
        <v>0</v>
      </c>
      <c r="AC45" s="393">
        <f>Input_Tasks[[#This Row],[R4 Cost_Hidden]]</f>
        <v>0</v>
      </c>
      <c r="AD45" s="394">
        <f>Input_Tasks[[#This Row],[R5 Cost_Hidden]]</f>
        <v>0</v>
      </c>
      <c r="AE45" s="395">
        <f>SUM(Input_Tasks[[#This Row],[R1 Cost]:[R5 Cost]])</f>
        <v>0</v>
      </c>
      <c r="AF45" s="392">
        <f>Input_Tasks[[#This Row],[R1 Sell_Hidden]]</f>
        <v>0</v>
      </c>
      <c r="AG45" s="393">
        <f>Input_Tasks[[#This Row],[R2 Sell_Hidden]]</f>
        <v>0</v>
      </c>
      <c r="AH45" s="393">
        <f>Input_Tasks[[#This Row],[R3 Sell_Hidden]]</f>
        <v>0</v>
      </c>
      <c r="AI45" s="393">
        <f>Input_Tasks[[#This Row],[R4 Sell_Hidden5]]</f>
        <v>0</v>
      </c>
      <c r="AJ45" s="394">
        <f>Input_Tasks[[#This Row],[R5 Sell_Hidden]]</f>
        <v>0</v>
      </c>
      <c r="AK45" s="396">
        <f>SUM(Input_Tasks[[#This Row],[R1 Sell]:[R5 Sell]])</f>
        <v>0</v>
      </c>
      <c r="AL45" s="397">
        <f>IFERROR(VLOOKUP(RESOURCE_1_TYPE,COST_RATES,2,FALSE)*Input_Tasks[[#This Row],[R1 Business Hours]],0)+IFERROR(VLOOKUP(RESOURCE_1_TYPE,COST_RATES,3,FALSE)*Input_Tasks[[#This Row],[R1 After Hours]],0)</f>
        <v>0</v>
      </c>
      <c r="AM45" s="398">
        <f>IFERROR(VLOOKUP(RESOURCE_2_TYPE,COST_RATES,2,FALSE)*Input_Tasks[[#This Row],[R2 Business Hours]],0)+IFERROR(VLOOKUP(RESOURCE_2_TYPE,COST_RATES,3,FALSE)*Input_Tasks[[#This Row],[R2 After Hours]],0)</f>
        <v>0</v>
      </c>
      <c r="AN45" s="398">
        <f>IFERROR(VLOOKUP(RESOURCE_3_TYPE,COST_RATES,2,FALSE)*Input_Tasks[[#This Row],[R3 Business Hours]],0)+IFERROR(VLOOKUP(RESOURCE_3_TYPE,COST_RATES,3,FALSE)*Input_Tasks[[#This Row],[R3 After Hours]],0)</f>
        <v>0</v>
      </c>
      <c r="AO45" s="398">
        <f>IFERROR(VLOOKUP(RESOURCE_4_TYPE,COST_RATES,2,FALSE)*Input_Tasks[[#This Row],[R4 Business Hours]],0)+IFERROR(VLOOKUP(RESOURCE_4_TYPE,COST_RATES,3,FALSE)*Input_Tasks[[#This Row],[R4 After Hours]],0)</f>
        <v>0</v>
      </c>
      <c r="AP45" s="398">
        <f>IFERROR(VLOOKUP(RESOURCE_5_TYPE,COST_RATES,2,FALSE)*Input_Tasks[[#This Row],[R5 Business Hours]],0)+IFERROR(VLOOKUP(RESOURCE_5_TYPE,COST_RATES,3,FALSE)*Input_Tasks[[#This Row],[R5 After Hours]],0)</f>
        <v>0</v>
      </c>
      <c r="AQ45" s="399">
        <f>IFERROR(VLOOKUP(RESOURCE_1_TYPE,SELL_RATES,2,FALSE)*Input_Tasks[[#This Row],[R1 Business Hours]],0)+IFERROR(VLOOKUP(RESOURCE_1_TYPE,SELL_RATES,3,FALSE)*Input_Tasks[[#This Row],[R1 After Hours]],0)</f>
        <v>0</v>
      </c>
      <c r="AR45" s="398">
        <f>IFERROR(VLOOKUP(RESOURCE_2_TYPE,SELL_RATES,2,FALSE)*Input_Tasks[[#This Row],[R2 Business Hours]],0)+IFERROR(VLOOKUP(RESOURCE_2_TYPE,SELL_RATES,3,FALSE)*Input_Tasks[[#This Row],[R2 After Hours]],0)</f>
        <v>0</v>
      </c>
      <c r="AS45" s="398">
        <f>IFERROR(VLOOKUP(RESOURCE_3_TYPE,SELL_RATES,2,FALSE)*Input_Tasks[[#This Row],[R3 Business Hours]],0)+IFERROR(VLOOKUP(RESOURCE_3_TYPE,SELL_RATES,3,FALSE)*Input_Tasks[[#This Row],[R3 After Hours]],0)</f>
        <v>0</v>
      </c>
      <c r="AT45" s="398">
        <f>IFERROR(VLOOKUP(RESOURCE_4_TYPE,SELL_RATES,2,FALSE)*Input_Tasks[[#This Row],[R4 Business Hours]],0)+IFERROR(VLOOKUP(RESOURCE_4_TYPE,SELL_RATES,3,FALSE)*Input_Tasks[[#This Row],[R4 After Hours]],0)</f>
        <v>0</v>
      </c>
      <c r="AU45" s="398">
        <f>IFERROR(VLOOKUP(RESOURCE_5_TYPE,SELL_RATES,2,FALSE)*Input_Tasks[[#This Row],[R5 Business Hours]],0)+IFERROR(VLOOKUP(RESOURCE_5_TYPE,SELL_RATES,3,FALSE)*Input_Tasks[[#This Row],[R5 After Hours]],0)</f>
        <v>0</v>
      </c>
      <c r="AV45" s="400">
        <f>SUM(Input_Tasks[[#This Row],[Round Trips R1]:[Round Trips R5]])</f>
        <v>0</v>
      </c>
      <c r="AW45" s="401">
        <f>SUM(Input_Tasks[[#This Row],[Overnight StaysR1]:[Overnight StaysR5]])</f>
        <v>0</v>
      </c>
      <c r="AX45" s="401">
        <f>IF(AND(Input_Tasks[[#This Row],[Sell - Line Total]]&gt;0,OR(Input_Tasks[[#This Row],[Phase]]="",Input_Tasks[[#This Row],[Skill Required]]="",Input_Tasks[[#This Row],[Task Type]]="",Input_Tasks[[#This Row],[Description]]="")),1,0)</f>
        <v>0</v>
      </c>
      <c r="AY45" s="402">
        <f>IF(AND(Input_Tasks[[#This Row],[Task Type]]="ArchiTech Document Deliverable",Input_Tasks[[#This Row],[Hours]]&gt;0),1,0)</f>
        <v>0</v>
      </c>
      <c r="AZ4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4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4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4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4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4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4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4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4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4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4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4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4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45" s="405">
        <f>SUM(Input_Tasks[[#This Row],[R1 Business Hours]:[R1 After Hours]],Input_Tasks[[#This Row],[R2 Business Hours]:[R2 After Hours]],Input_Tasks[[#This Row],[R3 Business Hours]:[R3 After Hours]],Input_Tasks[[#This Row],[R4 Business Hours]:[R4 After Hours]],Input_Tasks[[#This Row],[R5 Business Hours]:[R5 After Hours]])</f>
        <v>0</v>
      </c>
    </row>
    <row r="46" spans="1:65">
      <c r="A46" s="384"/>
      <c r="B46" s="271"/>
      <c r="C46" s="271"/>
      <c r="D46" s="406"/>
      <c r="E46" s="385">
        <f>Input_Tasks[[#This Row],[Onsite Round Trips_Hidden]]</f>
        <v>0</v>
      </c>
      <c r="F46" s="385">
        <f>Input_Tasks[[#This Row],[Overnight Stays_Hidden]]</f>
        <v>0</v>
      </c>
      <c r="G46" s="385">
        <f>Input_Tasks[[#This Row],[Documents_Hidden]]</f>
        <v>0</v>
      </c>
      <c r="H46" s="387"/>
      <c r="I46" s="388"/>
      <c r="J46" s="389"/>
      <c r="K46" s="390"/>
      <c r="L46" s="390"/>
      <c r="M46" s="389"/>
      <c r="N46" s="390"/>
      <c r="O46" s="390"/>
      <c r="P46" s="389"/>
      <c r="Q46" s="390"/>
      <c r="R46" s="390"/>
      <c r="S46" s="389"/>
      <c r="T46" s="390"/>
      <c r="U46" s="390"/>
      <c r="V46" s="389"/>
      <c r="W46" s="390"/>
      <c r="X46" s="390"/>
      <c r="Y46" s="386" t="str">
        <f>Input_Tasks[[#This Row],[Onsite Round Trips_Hidden]]&amp;"/"&amp;Input_Tasks[[#This Row],[Overnight Stays_Hidden]]&amp;"/"&amp;Input_Tasks[[#This Row],[Documents_Hidden]]</f>
        <v>0/0/0</v>
      </c>
      <c r="Z46" s="392">
        <f>Input_Tasks[[#This Row],[R1 Cost_Hidden]]</f>
        <v>0</v>
      </c>
      <c r="AA46" s="393">
        <f>Input_Tasks[[#This Row],[R2 Cost_Hidden]]</f>
        <v>0</v>
      </c>
      <c r="AB46" s="393">
        <f>Input_Tasks[[#This Row],[R3 Cost_Hidden]]</f>
        <v>0</v>
      </c>
      <c r="AC46" s="393">
        <f>Input_Tasks[[#This Row],[R4 Cost_Hidden]]</f>
        <v>0</v>
      </c>
      <c r="AD46" s="394">
        <f>Input_Tasks[[#This Row],[R5 Cost_Hidden]]</f>
        <v>0</v>
      </c>
      <c r="AE46" s="395">
        <f>SUM(Input_Tasks[[#This Row],[R1 Cost]:[R5 Cost]])</f>
        <v>0</v>
      </c>
      <c r="AF46" s="392">
        <f>Input_Tasks[[#This Row],[R1 Sell_Hidden]]</f>
        <v>0</v>
      </c>
      <c r="AG46" s="393">
        <f>Input_Tasks[[#This Row],[R2 Sell_Hidden]]</f>
        <v>0</v>
      </c>
      <c r="AH46" s="393">
        <f>Input_Tasks[[#This Row],[R3 Sell_Hidden]]</f>
        <v>0</v>
      </c>
      <c r="AI46" s="393">
        <f>Input_Tasks[[#This Row],[R4 Sell_Hidden5]]</f>
        <v>0</v>
      </c>
      <c r="AJ46" s="394">
        <f>Input_Tasks[[#This Row],[R5 Sell_Hidden]]</f>
        <v>0</v>
      </c>
      <c r="AK46" s="396">
        <f>SUM(Input_Tasks[[#This Row],[R1 Sell]:[R5 Sell]])</f>
        <v>0</v>
      </c>
      <c r="AL46" s="397">
        <f>IFERROR(VLOOKUP(RESOURCE_1_TYPE,COST_RATES,2,FALSE)*Input_Tasks[[#This Row],[R1 Business Hours]],0)+IFERROR(VLOOKUP(RESOURCE_1_TYPE,COST_RATES,3,FALSE)*Input_Tasks[[#This Row],[R1 After Hours]],0)</f>
        <v>0</v>
      </c>
      <c r="AM46" s="398">
        <f>IFERROR(VLOOKUP(RESOURCE_2_TYPE,COST_RATES,2,FALSE)*Input_Tasks[[#This Row],[R2 Business Hours]],0)+IFERROR(VLOOKUP(RESOURCE_2_TYPE,COST_RATES,3,FALSE)*Input_Tasks[[#This Row],[R2 After Hours]],0)</f>
        <v>0</v>
      </c>
      <c r="AN46" s="398">
        <f>IFERROR(VLOOKUP(RESOURCE_3_TYPE,COST_RATES,2,FALSE)*Input_Tasks[[#This Row],[R3 Business Hours]],0)+IFERROR(VLOOKUP(RESOURCE_3_TYPE,COST_RATES,3,FALSE)*Input_Tasks[[#This Row],[R3 After Hours]],0)</f>
        <v>0</v>
      </c>
      <c r="AO46" s="398">
        <f>IFERROR(VLOOKUP(RESOURCE_4_TYPE,COST_RATES,2,FALSE)*Input_Tasks[[#This Row],[R4 Business Hours]],0)+IFERROR(VLOOKUP(RESOURCE_4_TYPE,COST_RATES,3,FALSE)*Input_Tasks[[#This Row],[R4 After Hours]],0)</f>
        <v>0</v>
      </c>
      <c r="AP46" s="398">
        <f>IFERROR(VLOOKUP(RESOURCE_5_TYPE,COST_RATES,2,FALSE)*Input_Tasks[[#This Row],[R5 Business Hours]],0)+IFERROR(VLOOKUP(RESOURCE_5_TYPE,COST_RATES,3,FALSE)*Input_Tasks[[#This Row],[R5 After Hours]],0)</f>
        <v>0</v>
      </c>
      <c r="AQ46" s="399">
        <f>IFERROR(VLOOKUP(RESOURCE_1_TYPE,SELL_RATES,2,FALSE)*Input_Tasks[[#This Row],[R1 Business Hours]],0)+IFERROR(VLOOKUP(RESOURCE_1_TYPE,SELL_RATES,3,FALSE)*Input_Tasks[[#This Row],[R1 After Hours]],0)</f>
        <v>0</v>
      </c>
      <c r="AR46" s="398">
        <f>IFERROR(VLOOKUP(RESOURCE_2_TYPE,SELL_RATES,2,FALSE)*Input_Tasks[[#This Row],[R2 Business Hours]],0)+IFERROR(VLOOKUP(RESOURCE_2_TYPE,SELL_RATES,3,FALSE)*Input_Tasks[[#This Row],[R2 After Hours]],0)</f>
        <v>0</v>
      </c>
      <c r="AS46" s="398">
        <f>IFERROR(VLOOKUP(RESOURCE_3_TYPE,SELL_RATES,2,FALSE)*Input_Tasks[[#This Row],[R3 Business Hours]],0)+IFERROR(VLOOKUP(RESOURCE_3_TYPE,SELL_RATES,3,FALSE)*Input_Tasks[[#This Row],[R3 After Hours]],0)</f>
        <v>0</v>
      </c>
      <c r="AT46" s="398">
        <f>IFERROR(VLOOKUP(RESOURCE_4_TYPE,SELL_RATES,2,FALSE)*Input_Tasks[[#This Row],[R4 Business Hours]],0)+IFERROR(VLOOKUP(RESOURCE_4_TYPE,SELL_RATES,3,FALSE)*Input_Tasks[[#This Row],[R4 After Hours]],0)</f>
        <v>0</v>
      </c>
      <c r="AU46" s="398">
        <f>IFERROR(VLOOKUP(RESOURCE_5_TYPE,SELL_RATES,2,FALSE)*Input_Tasks[[#This Row],[R5 Business Hours]],0)+IFERROR(VLOOKUP(RESOURCE_5_TYPE,SELL_RATES,3,FALSE)*Input_Tasks[[#This Row],[R5 After Hours]],0)</f>
        <v>0</v>
      </c>
      <c r="AV46" s="400">
        <f>SUM(Input_Tasks[[#This Row],[Round Trips R1]:[Round Trips R5]])</f>
        <v>0</v>
      </c>
      <c r="AW46" s="401">
        <f>SUM(Input_Tasks[[#This Row],[Overnight StaysR1]:[Overnight StaysR5]])</f>
        <v>0</v>
      </c>
      <c r="AX46" s="401">
        <f>IF(AND(Input_Tasks[[#This Row],[Sell - Line Total]]&gt;0,OR(Input_Tasks[[#This Row],[Phase]]="",Input_Tasks[[#This Row],[Skill Required]]="",Input_Tasks[[#This Row],[Task Type]]="",Input_Tasks[[#This Row],[Description]]="")),1,0)</f>
        <v>0</v>
      </c>
      <c r="AY46" s="402">
        <f>IF(AND(Input_Tasks[[#This Row],[Task Type]]="ArchiTech Document Deliverable",Input_Tasks[[#This Row],[Hours]]&gt;0),1,0)</f>
        <v>0</v>
      </c>
      <c r="AZ4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4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4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4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4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4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4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4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4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4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4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4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4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46" s="405">
        <f>SUM(Input_Tasks[[#This Row],[R1 Business Hours]:[R1 After Hours]],Input_Tasks[[#This Row],[R2 Business Hours]:[R2 After Hours]],Input_Tasks[[#This Row],[R3 Business Hours]:[R3 After Hours]],Input_Tasks[[#This Row],[R4 Business Hours]:[R4 After Hours]],Input_Tasks[[#This Row],[R5 Business Hours]:[R5 After Hours]])</f>
        <v>0</v>
      </c>
    </row>
    <row r="47" spans="1:65">
      <c r="A47" s="384"/>
      <c r="B47" s="271"/>
      <c r="C47" s="271"/>
      <c r="D47" s="406"/>
      <c r="E47" s="385">
        <f>Input_Tasks[[#This Row],[Onsite Round Trips_Hidden]]</f>
        <v>0</v>
      </c>
      <c r="F47" s="385">
        <f>Input_Tasks[[#This Row],[Overnight Stays_Hidden]]</f>
        <v>0</v>
      </c>
      <c r="G47" s="385">
        <f>Input_Tasks[[#This Row],[Documents_Hidden]]</f>
        <v>0</v>
      </c>
      <c r="H47" s="387"/>
      <c r="I47" s="388"/>
      <c r="J47" s="389"/>
      <c r="K47" s="390"/>
      <c r="L47" s="390"/>
      <c r="M47" s="389"/>
      <c r="N47" s="390"/>
      <c r="O47" s="390"/>
      <c r="P47" s="389"/>
      <c r="Q47" s="390"/>
      <c r="R47" s="390"/>
      <c r="S47" s="389"/>
      <c r="T47" s="390"/>
      <c r="U47" s="390"/>
      <c r="V47" s="389"/>
      <c r="W47" s="390"/>
      <c r="X47" s="390"/>
      <c r="Y47" s="386" t="str">
        <f>Input_Tasks[[#This Row],[Onsite Round Trips_Hidden]]&amp;"/"&amp;Input_Tasks[[#This Row],[Overnight Stays_Hidden]]&amp;"/"&amp;Input_Tasks[[#This Row],[Documents_Hidden]]</f>
        <v>0/0/0</v>
      </c>
      <c r="Z47" s="392">
        <f>Input_Tasks[[#This Row],[R1 Cost_Hidden]]</f>
        <v>0</v>
      </c>
      <c r="AA47" s="393">
        <f>Input_Tasks[[#This Row],[R2 Cost_Hidden]]</f>
        <v>0</v>
      </c>
      <c r="AB47" s="393">
        <f>Input_Tasks[[#This Row],[R3 Cost_Hidden]]</f>
        <v>0</v>
      </c>
      <c r="AC47" s="393">
        <f>Input_Tasks[[#This Row],[R4 Cost_Hidden]]</f>
        <v>0</v>
      </c>
      <c r="AD47" s="394">
        <f>Input_Tasks[[#This Row],[R5 Cost_Hidden]]</f>
        <v>0</v>
      </c>
      <c r="AE47" s="395">
        <f>SUM(Input_Tasks[[#This Row],[R1 Cost]:[R5 Cost]])</f>
        <v>0</v>
      </c>
      <c r="AF47" s="392">
        <f>Input_Tasks[[#This Row],[R1 Sell_Hidden]]</f>
        <v>0</v>
      </c>
      <c r="AG47" s="393">
        <f>Input_Tasks[[#This Row],[R2 Sell_Hidden]]</f>
        <v>0</v>
      </c>
      <c r="AH47" s="393">
        <f>Input_Tasks[[#This Row],[R3 Sell_Hidden]]</f>
        <v>0</v>
      </c>
      <c r="AI47" s="393">
        <f>Input_Tasks[[#This Row],[R4 Sell_Hidden5]]</f>
        <v>0</v>
      </c>
      <c r="AJ47" s="394">
        <f>Input_Tasks[[#This Row],[R5 Sell_Hidden]]</f>
        <v>0</v>
      </c>
      <c r="AK47" s="396">
        <f>SUM(Input_Tasks[[#This Row],[R1 Sell]:[R5 Sell]])</f>
        <v>0</v>
      </c>
      <c r="AL47" s="397">
        <f>IFERROR(VLOOKUP(RESOURCE_1_TYPE,COST_RATES,2,FALSE)*Input_Tasks[[#This Row],[R1 Business Hours]],0)+IFERROR(VLOOKUP(RESOURCE_1_TYPE,COST_RATES,3,FALSE)*Input_Tasks[[#This Row],[R1 After Hours]],0)</f>
        <v>0</v>
      </c>
      <c r="AM47" s="398">
        <f>IFERROR(VLOOKUP(RESOURCE_2_TYPE,COST_RATES,2,FALSE)*Input_Tasks[[#This Row],[R2 Business Hours]],0)+IFERROR(VLOOKUP(RESOURCE_2_TYPE,COST_RATES,3,FALSE)*Input_Tasks[[#This Row],[R2 After Hours]],0)</f>
        <v>0</v>
      </c>
      <c r="AN47" s="398">
        <f>IFERROR(VLOOKUP(RESOURCE_3_TYPE,COST_RATES,2,FALSE)*Input_Tasks[[#This Row],[R3 Business Hours]],0)+IFERROR(VLOOKUP(RESOURCE_3_TYPE,COST_RATES,3,FALSE)*Input_Tasks[[#This Row],[R3 After Hours]],0)</f>
        <v>0</v>
      </c>
      <c r="AO47" s="398">
        <f>IFERROR(VLOOKUP(RESOURCE_4_TYPE,COST_RATES,2,FALSE)*Input_Tasks[[#This Row],[R4 Business Hours]],0)+IFERROR(VLOOKUP(RESOURCE_4_TYPE,COST_RATES,3,FALSE)*Input_Tasks[[#This Row],[R4 After Hours]],0)</f>
        <v>0</v>
      </c>
      <c r="AP47" s="398">
        <f>IFERROR(VLOOKUP(RESOURCE_5_TYPE,COST_RATES,2,FALSE)*Input_Tasks[[#This Row],[R5 Business Hours]],0)+IFERROR(VLOOKUP(RESOURCE_5_TYPE,COST_RATES,3,FALSE)*Input_Tasks[[#This Row],[R5 After Hours]],0)</f>
        <v>0</v>
      </c>
      <c r="AQ47" s="399">
        <f>IFERROR(VLOOKUP(RESOURCE_1_TYPE,SELL_RATES,2,FALSE)*Input_Tasks[[#This Row],[R1 Business Hours]],0)+IFERROR(VLOOKUP(RESOURCE_1_TYPE,SELL_RATES,3,FALSE)*Input_Tasks[[#This Row],[R1 After Hours]],0)</f>
        <v>0</v>
      </c>
      <c r="AR47" s="398">
        <f>IFERROR(VLOOKUP(RESOURCE_2_TYPE,SELL_RATES,2,FALSE)*Input_Tasks[[#This Row],[R2 Business Hours]],0)+IFERROR(VLOOKUP(RESOURCE_2_TYPE,SELL_RATES,3,FALSE)*Input_Tasks[[#This Row],[R2 After Hours]],0)</f>
        <v>0</v>
      </c>
      <c r="AS47" s="398">
        <f>IFERROR(VLOOKUP(RESOURCE_3_TYPE,SELL_RATES,2,FALSE)*Input_Tasks[[#This Row],[R3 Business Hours]],0)+IFERROR(VLOOKUP(RESOURCE_3_TYPE,SELL_RATES,3,FALSE)*Input_Tasks[[#This Row],[R3 After Hours]],0)</f>
        <v>0</v>
      </c>
      <c r="AT47" s="398">
        <f>IFERROR(VLOOKUP(RESOURCE_4_TYPE,SELL_RATES,2,FALSE)*Input_Tasks[[#This Row],[R4 Business Hours]],0)+IFERROR(VLOOKUP(RESOURCE_4_TYPE,SELL_RATES,3,FALSE)*Input_Tasks[[#This Row],[R4 After Hours]],0)</f>
        <v>0</v>
      </c>
      <c r="AU47" s="398">
        <f>IFERROR(VLOOKUP(RESOURCE_5_TYPE,SELL_RATES,2,FALSE)*Input_Tasks[[#This Row],[R5 Business Hours]],0)+IFERROR(VLOOKUP(RESOURCE_5_TYPE,SELL_RATES,3,FALSE)*Input_Tasks[[#This Row],[R5 After Hours]],0)</f>
        <v>0</v>
      </c>
      <c r="AV47" s="400">
        <f>SUM(Input_Tasks[[#This Row],[Round Trips R1]:[Round Trips R5]])</f>
        <v>0</v>
      </c>
      <c r="AW47" s="401">
        <f>SUM(Input_Tasks[[#This Row],[Overnight StaysR1]:[Overnight StaysR5]])</f>
        <v>0</v>
      </c>
      <c r="AX47" s="401">
        <f>IF(AND(Input_Tasks[[#This Row],[Sell - Line Total]]&gt;0,OR(Input_Tasks[[#This Row],[Phase]]="",Input_Tasks[[#This Row],[Skill Required]]="",Input_Tasks[[#This Row],[Task Type]]="",Input_Tasks[[#This Row],[Description]]="")),1,0)</f>
        <v>0</v>
      </c>
      <c r="AY47" s="402">
        <f>IF(AND(Input_Tasks[[#This Row],[Task Type]]="ArchiTech Document Deliverable",Input_Tasks[[#This Row],[Hours]]&gt;0),1,0)</f>
        <v>0</v>
      </c>
      <c r="AZ4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4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4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4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4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4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4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4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4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4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4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4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4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47" s="405">
        <f>SUM(Input_Tasks[[#This Row],[R1 Business Hours]:[R1 After Hours]],Input_Tasks[[#This Row],[R2 Business Hours]:[R2 After Hours]],Input_Tasks[[#This Row],[R3 Business Hours]:[R3 After Hours]],Input_Tasks[[#This Row],[R4 Business Hours]:[R4 After Hours]],Input_Tasks[[#This Row],[R5 Business Hours]:[R5 After Hours]])</f>
        <v>0</v>
      </c>
    </row>
    <row r="48" spans="1:65">
      <c r="A48" s="384"/>
      <c r="B48" s="271"/>
      <c r="C48" s="271"/>
      <c r="D48" s="406"/>
      <c r="E48" s="385">
        <f>Input_Tasks[[#This Row],[Onsite Round Trips_Hidden]]</f>
        <v>0</v>
      </c>
      <c r="F48" s="385">
        <f>Input_Tasks[[#This Row],[Overnight Stays_Hidden]]</f>
        <v>0</v>
      </c>
      <c r="G48" s="385">
        <f>Input_Tasks[[#This Row],[Documents_Hidden]]</f>
        <v>0</v>
      </c>
      <c r="H48" s="387"/>
      <c r="I48" s="388"/>
      <c r="J48" s="389"/>
      <c r="K48" s="390"/>
      <c r="L48" s="390"/>
      <c r="M48" s="389"/>
      <c r="N48" s="390"/>
      <c r="O48" s="390"/>
      <c r="P48" s="389"/>
      <c r="Q48" s="390"/>
      <c r="R48" s="390"/>
      <c r="S48" s="389"/>
      <c r="T48" s="390"/>
      <c r="U48" s="390"/>
      <c r="V48" s="389"/>
      <c r="W48" s="390"/>
      <c r="X48" s="390"/>
      <c r="Y48" s="386" t="str">
        <f>Input_Tasks[[#This Row],[Onsite Round Trips_Hidden]]&amp;"/"&amp;Input_Tasks[[#This Row],[Overnight Stays_Hidden]]&amp;"/"&amp;Input_Tasks[[#This Row],[Documents_Hidden]]</f>
        <v>0/0/0</v>
      </c>
      <c r="Z48" s="392">
        <f>Input_Tasks[[#This Row],[R1 Cost_Hidden]]</f>
        <v>0</v>
      </c>
      <c r="AA48" s="393">
        <f>Input_Tasks[[#This Row],[R2 Cost_Hidden]]</f>
        <v>0</v>
      </c>
      <c r="AB48" s="393">
        <f>Input_Tasks[[#This Row],[R3 Cost_Hidden]]</f>
        <v>0</v>
      </c>
      <c r="AC48" s="393">
        <f>Input_Tasks[[#This Row],[R4 Cost_Hidden]]</f>
        <v>0</v>
      </c>
      <c r="AD48" s="394">
        <f>Input_Tasks[[#This Row],[R5 Cost_Hidden]]</f>
        <v>0</v>
      </c>
      <c r="AE48" s="395">
        <f>SUM(Input_Tasks[[#This Row],[R1 Cost]:[R5 Cost]])</f>
        <v>0</v>
      </c>
      <c r="AF48" s="392">
        <f>Input_Tasks[[#This Row],[R1 Sell_Hidden]]</f>
        <v>0</v>
      </c>
      <c r="AG48" s="393">
        <f>Input_Tasks[[#This Row],[R2 Sell_Hidden]]</f>
        <v>0</v>
      </c>
      <c r="AH48" s="393">
        <f>Input_Tasks[[#This Row],[R3 Sell_Hidden]]</f>
        <v>0</v>
      </c>
      <c r="AI48" s="393">
        <f>Input_Tasks[[#This Row],[R4 Sell_Hidden5]]</f>
        <v>0</v>
      </c>
      <c r="AJ48" s="394">
        <f>Input_Tasks[[#This Row],[R5 Sell_Hidden]]</f>
        <v>0</v>
      </c>
      <c r="AK48" s="396">
        <f>SUM(Input_Tasks[[#This Row],[R1 Sell]:[R5 Sell]])</f>
        <v>0</v>
      </c>
      <c r="AL48" s="397">
        <f>IFERROR(VLOOKUP(RESOURCE_1_TYPE,COST_RATES,2,FALSE)*Input_Tasks[[#This Row],[R1 Business Hours]],0)+IFERROR(VLOOKUP(RESOURCE_1_TYPE,COST_RATES,3,FALSE)*Input_Tasks[[#This Row],[R1 After Hours]],0)</f>
        <v>0</v>
      </c>
      <c r="AM48" s="398">
        <f>IFERROR(VLOOKUP(RESOURCE_2_TYPE,COST_RATES,2,FALSE)*Input_Tasks[[#This Row],[R2 Business Hours]],0)+IFERROR(VLOOKUP(RESOURCE_2_TYPE,COST_RATES,3,FALSE)*Input_Tasks[[#This Row],[R2 After Hours]],0)</f>
        <v>0</v>
      </c>
      <c r="AN48" s="398">
        <f>IFERROR(VLOOKUP(RESOURCE_3_TYPE,COST_RATES,2,FALSE)*Input_Tasks[[#This Row],[R3 Business Hours]],0)+IFERROR(VLOOKUP(RESOURCE_3_TYPE,COST_RATES,3,FALSE)*Input_Tasks[[#This Row],[R3 After Hours]],0)</f>
        <v>0</v>
      </c>
      <c r="AO48" s="398">
        <f>IFERROR(VLOOKUP(RESOURCE_4_TYPE,COST_RATES,2,FALSE)*Input_Tasks[[#This Row],[R4 Business Hours]],0)+IFERROR(VLOOKUP(RESOURCE_4_TYPE,COST_RATES,3,FALSE)*Input_Tasks[[#This Row],[R4 After Hours]],0)</f>
        <v>0</v>
      </c>
      <c r="AP48" s="398">
        <f>IFERROR(VLOOKUP(RESOURCE_5_TYPE,COST_RATES,2,FALSE)*Input_Tasks[[#This Row],[R5 Business Hours]],0)+IFERROR(VLOOKUP(RESOURCE_5_TYPE,COST_RATES,3,FALSE)*Input_Tasks[[#This Row],[R5 After Hours]],0)</f>
        <v>0</v>
      </c>
      <c r="AQ48" s="399">
        <f>IFERROR(VLOOKUP(RESOURCE_1_TYPE,SELL_RATES,2,FALSE)*Input_Tasks[[#This Row],[R1 Business Hours]],0)+IFERROR(VLOOKUP(RESOURCE_1_TYPE,SELL_RATES,3,FALSE)*Input_Tasks[[#This Row],[R1 After Hours]],0)</f>
        <v>0</v>
      </c>
      <c r="AR48" s="398">
        <f>IFERROR(VLOOKUP(RESOURCE_2_TYPE,SELL_RATES,2,FALSE)*Input_Tasks[[#This Row],[R2 Business Hours]],0)+IFERROR(VLOOKUP(RESOURCE_2_TYPE,SELL_RATES,3,FALSE)*Input_Tasks[[#This Row],[R2 After Hours]],0)</f>
        <v>0</v>
      </c>
      <c r="AS48" s="398">
        <f>IFERROR(VLOOKUP(RESOURCE_3_TYPE,SELL_RATES,2,FALSE)*Input_Tasks[[#This Row],[R3 Business Hours]],0)+IFERROR(VLOOKUP(RESOURCE_3_TYPE,SELL_RATES,3,FALSE)*Input_Tasks[[#This Row],[R3 After Hours]],0)</f>
        <v>0</v>
      </c>
      <c r="AT48" s="398">
        <f>IFERROR(VLOOKUP(RESOURCE_4_TYPE,SELL_RATES,2,FALSE)*Input_Tasks[[#This Row],[R4 Business Hours]],0)+IFERROR(VLOOKUP(RESOURCE_4_TYPE,SELL_RATES,3,FALSE)*Input_Tasks[[#This Row],[R4 After Hours]],0)</f>
        <v>0</v>
      </c>
      <c r="AU48" s="398">
        <f>IFERROR(VLOOKUP(RESOURCE_5_TYPE,SELL_RATES,2,FALSE)*Input_Tasks[[#This Row],[R5 Business Hours]],0)+IFERROR(VLOOKUP(RESOURCE_5_TYPE,SELL_RATES,3,FALSE)*Input_Tasks[[#This Row],[R5 After Hours]],0)</f>
        <v>0</v>
      </c>
      <c r="AV48" s="400">
        <f>SUM(Input_Tasks[[#This Row],[Round Trips R1]:[Round Trips R5]])</f>
        <v>0</v>
      </c>
      <c r="AW48" s="401">
        <f>SUM(Input_Tasks[[#This Row],[Overnight StaysR1]:[Overnight StaysR5]])</f>
        <v>0</v>
      </c>
      <c r="AX48" s="401">
        <f>IF(AND(Input_Tasks[[#This Row],[Sell - Line Total]]&gt;0,OR(Input_Tasks[[#This Row],[Phase]]="",Input_Tasks[[#This Row],[Skill Required]]="",Input_Tasks[[#This Row],[Task Type]]="",Input_Tasks[[#This Row],[Description]]="")),1,0)</f>
        <v>0</v>
      </c>
      <c r="AY48" s="402">
        <f>IF(AND(Input_Tasks[[#This Row],[Task Type]]="ArchiTech Document Deliverable",Input_Tasks[[#This Row],[Hours]]&gt;0),1,0)</f>
        <v>0</v>
      </c>
      <c r="AZ4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4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4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4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4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4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4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4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4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4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4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4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4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48" s="405">
        <f>SUM(Input_Tasks[[#This Row],[R1 Business Hours]:[R1 After Hours]],Input_Tasks[[#This Row],[R2 Business Hours]:[R2 After Hours]],Input_Tasks[[#This Row],[R3 Business Hours]:[R3 After Hours]],Input_Tasks[[#This Row],[R4 Business Hours]:[R4 After Hours]],Input_Tasks[[#This Row],[R5 Business Hours]:[R5 After Hours]])</f>
        <v>0</v>
      </c>
    </row>
    <row r="49" spans="1:65">
      <c r="A49" s="384"/>
      <c r="B49" s="271"/>
      <c r="C49" s="271"/>
      <c r="D49" s="406"/>
      <c r="E49" s="385">
        <f>Input_Tasks[[#This Row],[Onsite Round Trips_Hidden]]</f>
        <v>0</v>
      </c>
      <c r="F49" s="385">
        <f>Input_Tasks[[#This Row],[Overnight Stays_Hidden]]</f>
        <v>0</v>
      </c>
      <c r="G49" s="385">
        <f>Input_Tasks[[#This Row],[Documents_Hidden]]</f>
        <v>0</v>
      </c>
      <c r="H49" s="387"/>
      <c r="I49" s="388"/>
      <c r="J49" s="389"/>
      <c r="K49" s="390"/>
      <c r="L49" s="390"/>
      <c r="M49" s="389"/>
      <c r="N49" s="390"/>
      <c r="O49" s="390"/>
      <c r="P49" s="389"/>
      <c r="Q49" s="390"/>
      <c r="R49" s="390"/>
      <c r="S49" s="389"/>
      <c r="T49" s="390"/>
      <c r="U49" s="390"/>
      <c r="V49" s="389"/>
      <c r="W49" s="390"/>
      <c r="X49" s="390"/>
      <c r="Y49" s="386" t="str">
        <f>Input_Tasks[[#This Row],[Onsite Round Trips_Hidden]]&amp;"/"&amp;Input_Tasks[[#This Row],[Overnight Stays_Hidden]]&amp;"/"&amp;Input_Tasks[[#This Row],[Documents_Hidden]]</f>
        <v>0/0/0</v>
      </c>
      <c r="Z49" s="392">
        <f>Input_Tasks[[#This Row],[R1 Cost_Hidden]]</f>
        <v>0</v>
      </c>
      <c r="AA49" s="393">
        <f>Input_Tasks[[#This Row],[R2 Cost_Hidden]]</f>
        <v>0</v>
      </c>
      <c r="AB49" s="393">
        <f>Input_Tasks[[#This Row],[R3 Cost_Hidden]]</f>
        <v>0</v>
      </c>
      <c r="AC49" s="393">
        <f>Input_Tasks[[#This Row],[R4 Cost_Hidden]]</f>
        <v>0</v>
      </c>
      <c r="AD49" s="394">
        <f>Input_Tasks[[#This Row],[R5 Cost_Hidden]]</f>
        <v>0</v>
      </c>
      <c r="AE49" s="395">
        <f>SUM(Input_Tasks[[#This Row],[R1 Cost]:[R5 Cost]])</f>
        <v>0</v>
      </c>
      <c r="AF49" s="392">
        <f>Input_Tasks[[#This Row],[R1 Sell_Hidden]]</f>
        <v>0</v>
      </c>
      <c r="AG49" s="393">
        <f>Input_Tasks[[#This Row],[R2 Sell_Hidden]]</f>
        <v>0</v>
      </c>
      <c r="AH49" s="393">
        <f>Input_Tasks[[#This Row],[R3 Sell_Hidden]]</f>
        <v>0</v>
      </c>
      <c r="AI49" s="393">
        <f>Input_Tasks[[#This Row],[R4 Sell_Hidden5]]</f>
        <v>0</v>
      </c>
      <c r="AJ49" s="394">
        <f>Input_Tasks[[#This Row],[R5 Sell_Hidden]]</f>
        <v>0</v>
      </c>
      <c r="AK49" s="396">
        <f>SUM(Input_Tasks[[#This Row],[R1 Sell]:[R5 Sell]])</f>
        <v>0</v>
      </c>
      <c r="AL49" s="397">
        <f>IFERROR(VLOOKUP(RESOURCE_1_TYPE,COST_RATES,2,FALSE)*Input_Tasks[[#This Row],[R1 Business Hours]],0)+IFERROR(VLOOKUP(RESOURCE_1_TYPE,COST_RATES,3,FALSE)*Input_Tasks[[#This Row],[R1 After Hours]],0)</f>
        <v>0</v>
      </c>
      <c r="AM49" s="398">
        <f>IFERROR(VLOOKUP(RESOURCE_2_TYPE,COST_RATES,2,FALSE)*Input_Tasks[[#This Row],[R2 Business Hours]],0)+IFERROR(VLOOKUP(RESOURCE_2_TYPE,COST_RATES,3,FALSE)*Input_Tasks[[#This Row],[R2 After Hours]],0)</f>
        <v>0</v>
      </c>
      <c r="AN49" s="398">
        <f>IFERROR(VLOOKUP(RESOURCE_3_TYPE,COST_RATES,2,FALSE)*Input_Tasks[[#This Row],[R3 Business Hours]],0)+IFERROR(VLOOKUP(RESOURCE_3_TYPE,COST_RATES,3,FALSE)*Input_Tasks[[#This Row],[R3 After Hours]],0)</f>
        <v>0</v>
      </c>
      <c r="AO49" s="398">
        <f>IFERROR(VLOOKUP(RESOURCE_4_TYPE,COST_RATES,2,FALSE)*Input_Tasks[[#This Row],[R4 Business Hours]],0)+IFERROR(VLOOKUP(RESOURCE_4_TYPE,COST_RATES,3,FALSE)*Input_Tasks[[#This Row],[R4 After Hours]],0)</f>
        <v>0</v>
      </c>
      <c r="AP49" s="398">
        <f>IFERROR(VLOOKUP(RESOURCE_5_TYPE,COST_RATES,2,FALSE)*Input_Tasks[[#This Row],[R5 Business Hours]],0)+IFERROR(VLOOKUP(RESOURCE_5_TYPE,COST_RATES,3,FALSE)*Input_Tasks[[#This Row],[R5 After Hours]],0)</f>
        <v>0</v>
      </c>
      <c r="AQ49" s="399">
        <f>IFERROR(VLOOKUP(RESOURCE_1_TYPE,SELL_RATES,2,FALSE)*Input_Tasks[[#This Row],[R1 Business Hours]],0)+IFERROR(VLOOKUP(RESOURCE_1_TYPE,SELL_RATES,3,FALSE)*Input_Tasks[[#This Row],[R1 After Hours]],0)</f>
        <v>0</v>
      </c>
      <c r="AR49" s="398">
        <f>IFERROR(VLOOKUP(RESOURCE_2_TYPE,SELL_RATES,2,FALSE)*Input_Tasks[[#This Row],[R2 Business Hours]],0)+IFERROR(VLOOKUP(RESOURCE_2_TYPE,SELL_RATES,3,FALSE)*Input_Tasks[[#This Row],[R2 After Hours]],0)</f>
        <v>0</v>
      </c>
      <c r="AS49" s="398">
        <f>IFERROR(VLOOKUP(RESOURCE_3_TYPE,SELL_RATES,2,FALSE)*Input_Tasks[[#This Row],[R3 Business Hours]],0)+IFERROR(VLOOKUP(RESOURCE_3_TYPE,SELL_RATES,3,FALSE)*Input_Tasks[[#This Row],[R3 After Hours]],0)</f>
        <v>0</v>
      </c>
      <c r="AT49" s="398">
        <f>IFERROR(VLOOKUP(RESOURCE_4_TYPE,SELL_RATES,2,FALSE)*Input_Tasks[[#This Row],[R4 Business Hours]],0)+IFERROR(VLOOKUP(RESOURCE_4_TYPE,SELL_RATES,3,FALSE)*Input_Tasks[[#This Row],[R4 After Hours]],0)</f>
        <v>0</v>
      </c>
      <c r="AU49" s="398">
        <f>IFERROR(VLOOKUP(RESOURCE_5_TYPE,SELL_RATES,2,FALSE)*Input_Tasks[[#This Row],[R5 Business Hours]],0)+IFERROR(VLOOKUP(RESOURCE_5_TYPE,SELL_RATES,3,FALSE)*Input_Tasks[[#This Row],[R5 After Hours]],0)</f>
        <v>0</v>
      </c>
      <c r="AV49" s="400">
        <f>SUM(Input_Tasks[[#This Row],[Round Trips R1]:[Round Trips R5]])</f>
        <v>0</v>
      </c>
      <c r="AW49" s="401">
        <f>SUM(Input_Tasks[[#This Row],[Overnight StaysR1]:[Overnight StaysR5]])</f>
        <v>0</v>
      </c>
      <c r="AX49" s="401">
        <f>IF(AND(Input_Tasks[[#This Row],[Sell - Line Total]]&gt;0,OR(Input_Tasks[[#This Row],[Phase]]="",Input_Tasks[[#This Row],[Skill Required]]="",Input_Tasks[[#This Row],[Task Type]]="",Input_Tasks[[#This Row],[Description]]="")),1,0)</f>
        <v>0</v>
      </c>
      <c r="AY49" s="402">
        <f>IF(AND(Input_Tasks[[#This Row],[Task Type]]="ArchiTech Document Deliverable",Input_Tasks[[#This Row],[Hours]]&gt;0),1,0)</f>
        <v>0</v>
      </c>
      <c r="AZ4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4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4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4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4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4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4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4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4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4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4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4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4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49" s="405">
        <f>SUM(Input_Tasks[[#This Row],[R1 Business Hours]:[R1 After Hours]],Input_Tasks[[#This Row],[R2 Business Hours]:[R2 After Hours]],Input_Tasks[[#This Row],[R3 Business Hours]:[R3 After Hours]],Input_Tasks[[#This Row],[R4 Business Hours]:[R4 After Hours]],Input_Tasks[[#This Row],[R5 Business Hours]:[R5 After Hours]])</f>
        <v>0</v>
      </c>
    </row>
    <row r="50" spans="1:65">
      <c r="A50" s="384"/>
      <c r="B50" s="271"/>
      <c r="C50" s="271"/>
      <c r="D50" s="406"/>
      <c r="E50" s="385">
        <f>Input_Tasks[[#This Row],[Onsite Round Trips_Hidden]]</f>
        <v>0</v>
      </c>
      <c r="F50" s="385">
        <f>Input_Tasks[[#This Row],[Overnight Stays_Hidden]]</f>
        <v>0</v>
      </c>
      <c r="G50" s="385">
        <f>Input_Tasks[[#This Row],[Documents_Hidden]]</f>
        <v>0</v>
      </c>
      <c r="H50" s="387"/>
      <c r="I50" s="388"/>
      <c r="J50" s="389"/>
      <c r="K50" s="390"/>
      <c r="L50" s="390"/>
      <c r="M50" s="389"/>
      <c r="N50" s="390"/>
      <c r="O50" s="390"/>
      <c r="P50" s="389"/>
      <c r="Q50" s="390"/>
      <c r="R50" s="390"/>
      <c r="S50" s="389"/>
      <c r="T50" s="390"/>
      <c r="U50" s="390"/>
      <c r="V50" s="389"/>
      <c r="W50" s="390"/>
      <c r="X50" s="390"/>
      <c r="Y50" s="386" t="str">
        <f>Input_Tasks[[#This Row],[Onsite Round Trips_Hidden]]&amp;"/"&amp;Input_Tasks[[#This Row],[Overnight Stays_Hidden]]&amp;"/"&amp;Input_Tasks[[#This Row],[Documents_Hidden]]</f>
        <v>0/0/0</v>
      </c>
      <c r="Z50" s="392">
        <f>Input_Tasks[[#This Row],[R1 Cost_Hidden]]</f>
        <v>0</v>
      </c>
      <c r="AA50" s="393">
        <f>Input_Tasks[[#This Row],[R2 Cost_Hidden]]</f>
        <v>0</v>
      </c>
      <c r="AB50" s="393">
        <f>Input_Tasks[[#This Row],[R3 Cost_Hidden]]</f>
        <v>0</v>
      </c>
      <c r="AC50" s="393">
        <f>Input_Tasks[[#This Row],[R4 Cost_Hidden]]</f>
        <v>0</v>
      </c>
      <c r="AD50" s="394">
        <f>Input_Tasks[[#This Row],[R5 Cost_Hidden]]</f>
        <v>0</v>
      </c>
      <c r="AE50" s="395">
        <f>SUM(Input_Tasks[[#This Row],[R1 Cost]:[R5 Cost]])</f>
        <v>0</v>
      </c>
      <c r="AF50" s="392">
        <f>Input_Tasks[[#This Row],[R1 Sell_Hidden]]</f>
        <v>0</v>
      </c>
      <c r="AG50" s="393">
        <f>Input_Tasks[[#This Row],[R2 Sell_Hidden]]</f>
        <v>0</v>
      </c>
      <c r="AH50" s="393">
        <f>Input_Tasks[[#This Row],[R3 Sell_Hidden]]</f>
        <v>0</v>
      </c>
      <c r="AI50" s="393">
        <f>Input_Tasks[[#This Row],[R4 Sell_Hidden5]]</f>
        <v>0</v>
      </c>
      <c r="AJ50" s="394">
        <f>Input_Tasks[[#This Row],[R5 Sell_Hidden]]</f>
        <v>0</v>
      </c>
      <c r="AK50" s="396">
        <f>SUM(Input_Tasks[[#This Row],[R1 Sell]:[R5 Sell]])</f>
        <v>0</v>
      </c>
      <c r="AL50" s="397">
        <f>IFERROR(VLOOKUP(RESOURCE_1_TYPE,COST_RATES,2,FALSE)*Input_Tasks[[#This Row],[R1 Business Hours]],0)+IFERROR(VLOOKUP(RESOURCE_1_TYPE,COST_RATES,3,FALSE)*Input_Tasks[[#This Row],[R1 After Hours]],0)</f>
        <v>0</v>
      </c>
      <c r="AM50" s="398">
        <f>IFERROR(VLOOKUP(RESOURCE_2_TYPE,COST_RATES,2,FALSE)*Input_Tasks[[#This Row],[R2 Business Hours]],0)+IFERROR(VLOOKUP(RESOURCE_2_TYPE,COST_RATES,3,FALSE)*Input_Tasks[[#This Row],[R2 After Hours]],0)</f>
        <v>0</v>
      </c>
      <c r="AN50" s="398">
        <f>IFERROR(VLOOKUP(RESOURCE_3_TYPE,COST_RATES,2,FALSE)*Input_Tasks[[#This Row],[R3 Business Hours]],0)+IFERROR(VLOOKUP(RESOURCE_3_TYPE,COST_RATES,3,FALSE)*Input_Tasks[[#This Row],[R3 After Hours]],0)</f>
        <v>0</v>
      </c>
      <c r="AO50" s="398">
        <f>IFERROR(VLOOKUP(RESOURCE_4_TYPE,COST_RATES,2,FALSE)*Input_Tasks[[#This Row],[R4 Business Hours]],0)+IFERROR(VLOOKUP(RESOURCE_4_TYPE,COST_RATES,3,FALSE)*Input_Tasks[[#This Row],[R4 After Hours]],0)</f>
        <v>0</v>
      </c>
      <c r="AP50" s="398">
        <f>IFERROR(VLOOKUP(RESOURCE_5_TYPE,COST_RATES,2,FALSE)*Input_Tasks[[#This Row],[R5 Business Hours]],0)+IFERROR(VLOOKUP(RESOURCE_5_TYPE,COST_RATES,3,FALSE)*Input_Tasks[[#This Row],[R5 After Hours]],0)</f>
        <v>0</v>
      </c>
      <c r="AQ50" s="399">
        <f>IFERROR(VLOOKUP(RESOURCE_1_TYPE,SELL_RATES,2,FALSE)*Input_Tasks[[#This Row],[R1 Business Hours]],0)+IFERROR(VLOOKUP(RESOURCE_1_TYPE,SELL_RATES,3,FALSE)*Input_Tasks[[#This Row],[R1 After Hours]],0)</f>
        <v>0</v>
      </c>
      <c r="AR50" s="398">
        <f>IFERROR(VLOOKUP(RESOURCE_2_TYPE,SELL_RATES,2,FALSE)*Input_Tasks[[#This Row],[R2 Business Hours]],0)+IFERROR(VLOOKUP(RESOURCE_2_TYPE,SELL_RATES,3,FALSE)*Input_Tasks[[#This Row],[R2 After Hours]],0)</f>
        <v>0</v>
      </c>
      <c r="AS50" s="398">
        <f>IFERROR(VLOOKUP(RESOURCE_3_TYPE,SELL_RATES,2,FALSE)*Input_Tasks[[#This Row],[R3 Business Hours]],0)+IFERROR(VLOOKUP(RESOURCE_3_TYPE,SELL_RATES,3,FALSE)*Input_Tasks[[#This Row],[R3 After Hours]],0)</f>
        <v>0</v>
      </c>
      <c r="AT50" s="398">
        <f>IFERROR(VLOOKUP(RESOURCE_4_TYPE,SELL_RATES,2,FALSE)*Input_Tasks[[#This Row],[R4 Business Hours]],0)+IFERROR(VLOOKUP(RESOURCE_4_TYPE,SELL_RATES,3,FALSE)*Input_Tasks[[#This Row],[R4 After Hours]],0)</f>
        <v>0</v>
      </c>
      <c r="AU50" s="398">
        <f>IFERROR(VLOOKUP(RESOURCE_5_TYPE,SELL_RATES,2,FALSE)*Input_Tasks[[#This Row],[R5 Business Hours]],0)+IFERROR(VLOOKUP(RESOURCE_5_TYPE,SELL_RATES,3,FALSE)*Input_Tasks[[#This Row],[R5 After Hours]],0)</f>
        <v>0</v>
      </c>
      <c r="AV50" s="400">
        <f>SUM(Input_Tasks[[#This Row],[Round Trips R1]:[Round Trips R5]])</f>
        <v>0</v>
      </c>
      <c r="AW50" s="401">
        <f>SUM(Input_Tasks[[#This Row],[Overnight StaysR1]:[Overnight StaysR5]])</f>
        <v>0</v>
      </c>
      <c r="AX50" s="401">
        <f>IF(AND(Input_Tasks[[#This Row],[Sell - Line Total]]&gt;0,OR(Input_Tasks[[#This Row],[Phase]]="",Input_Tasks[[#This Row],[Skill Required]]="",Input_Tasks[[#This Row],[Task Type]]="",Input_Tasks[[#This Row],[Description]]="")),1,0)</f>
        <v>0</v>
      </c>
      <c r="AY50" s="402">
        <f>IF(AND(Input_Tasks[[#This Row],[Task Type]]="ArchiTech Document Deliverable",Input_Tasks[[#This Row],[Hours]]&gt;0),1,0)</f>
        <v>0</v>
      </c>
      <c r="AZ5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5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5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5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5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5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5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5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5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5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5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5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5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50" s="405">
        <f>SUM(Input_Tasks[[#This Row],[R1 Business Hours]:[R1 After Hours]],Input_Tasks[[#This Row],[R2 Business Hours]:[R2 After Hours]],Input_Tasks[[#This Row],[R3 Business Hours]:[R3 After Hours]],Input_Tasks[[#This Row],[R4 Business Hours]:[R4 After Hours]],Input_Tasks[[#This Row],[R5 Business Hours]:[R5 After Hours]])</f>
        <v>0</v>
      </c>
    </row>
    <row r="51" spans="1:65">
      <c r="A51" s="384"/>
      <c r="B51" s="271"/>
      <c r="C51" s="271"/>
      <c r="D51" s="406"/>
      <c r="E51" s="385">
        <f>Input_Tasks[[#This Row],[Onsite Round Trips_Hidden]]</f>
        <v>0</v>
      </c>
      <c r="F51" s="385">
        <f>Input_Tasks[[#This Row],[Overnight Stays_Hidden]]</f>
        <v>0</v>
      </c>
      <c r="G51" s="385">
        <f>Input_Tasks[[#This Row],[Documents_Hidden]]</f>
        <v>0</v>
      </c>
      <c r="H51" s="387"/>
      <c r="I51" s="388"/>
      <c r="J51" s="389"/>
      <c r="K51" s="390"/>
      <c r="L51" s="390"/>
      <c r="M51" s="389"/>
      <c r="N51" s="390"/>
      <c r="O51" s="390"/>
      <c r="P51" s="389"/>
      <c r="Q51" s="390"/>
      <c r="R51" s="390"/>
      <c r="S51" s="389"/>
      <c r="T51" s="390"/>
      <c r="U51" s="390"/>
      <c r="V51" s="389"/>
      <c r="W51" s="390"/>
      <c r="X51" s="390"/>
      <c r="Y51" s="386" t="str">
        <f>Input_Tasks[[#This Row],[Onsite Round Trips_Hidden]]&amp;"/"&amp;Input_Tasks[[#This Row],[Overnight Stays_Hidden]]&amp;"/"&amp;Input_Tasks[[#This Row],[Documents_Hidden]]</f>
        <v>0/0/0</v>
      </c>
      <c r="Z51" s="392">
        <f>Input_Tasks[[#This Row],[R1 Cost_Hidden]]</f>
        <v>0</v>
      </c>
      <c r="AA51" s="393">
        <f>Input_Tasks[[#This Row],[R2 Cost_Hidden]]</f>
        <v>0</v>
      </c>
      <c r="AB51" s="393">
        <f>Input_Tasks[[#This Row],[R3 Cost_Hidden]]</f>
        <v>0</v>
      </c>
      <c r="AC51" s="393">
        <f>Input_Tasks[[#This Row],[R4 Cost_Hidden]]</f>
        <v>0</v>
      </c>
      <c r="AD51" s="394">
        <f>Input_Tasks[[#This Row],[R5 Cost_Hidden]]</f>
        <v>0</v>
      </c>
      <c r="AE51" s="395">
        <f>SUM(Input_Tasks[[#This Row],[R1 Cost]:[R5 Cost]])</f>
        <v>0</v>
      </c>
      <c r="AF51" s="392">
        <f>Input_Tasks[[#This Row],[R1 Sell_Hidden]]</f>
        <v>0</v>
      </c>
      <c r="AG51" s="393">
        <f>Input_Tasks[[#This Row],[R2 Sell_Hidden]]</f>
        <v>0</v>
      </c>
      <c r="AH51" s="393">
        <f>Input_Tasks[[#This Row],[R3 Sell_Hidden]]</f>
        <v>0</v>
      </c>
      <c r="AI51" s="393">
        <f>Input_Tasks[[#This Row],[R4 Sell_Hidden5]]</f>
        <v>0</v>
      </c>
      <c r="AJ51" s="394">
        <f>Input_Tasks[[#This Row],[R5 Sell_Hidden]]</f>
        <v>0</v>
      </c>
      <c r="AK51" s="396">
        <f>SUM(Input_Tasks[[#This Row],[R1 Sell]:[R5 Sell]])</f>
        <v>0</v>
      </c>
      <c r="AL51" s="397">
        <f>IFERROR(VLOOKUP(RESOURCE_1_TYPE,COST_RATES,2,FALSE)*Input_Tasks[[#This Row],[R1 Business Hours]],0)+IFERROR(VLOOKUP(RESOURCE_1_TYPE,COST_RATES,3,FALSE)*Input_Tasks[[#This Row],[R1 After Hours]],0)</f>
        <v>0</v>
      </c>
      <c r="AM51" s="398">
        <f>IFERROR(VLOOKUP(RESOURCE_2_TYPE,COST_RATES,2,FALSE)*Input_Tasks[[#This Row],[R2 Business Hours]],0)+IFERROR(VLOOKUP(RESOURCE_2_TYPE,COST_RATES,3,FALSE)*Input_Tasks[[#This Row],[R2 After Hours]],0)</f>
        <v>0</v>
      </c>
      <c r="AN51" s="398">
        <f>IFERROR(VLOOKUP(RESOURCE_3_TYPE,COST_RATES,2,FALSE)*Input_Tasks[[#This Row],[R3 Business Hours]],0)+IFERROR(VLOOKUP(RESOURCE_3_TYPE,COST_RATES,3,FALSE)*Input_Tasks[[#This Row],[R3 After Hours]],0)</f>
        <v>0</v>
      </c>
      <c r="AO51" s="398">
        <f>IFERROR(VLOOKUP(RESOURCE_4_TYPE,COST_RATES,2,FALSE)*Input_Tasks[[#This Row],[R4 Business Hours]],0)+IFERROR(VLOOKUP(RESOURCE_4_TYPE,COST_RATES,3,FALSE)*Input_Tasks[[#This Row],[R4 After Hours]],0)</f>
        <v>0</v>
      </c>
      <c r="AP51" s="398">
        <f>IFERROR(VLOOKUP(RESOURCE_5_TYPE,COST_RATES,2,FALSE)*Input_Tasks[[#This Row],[R5 Business Hours]],0)+IFERROR(VLOOKUP(RESOURCE_5_TYPE,COST_RATES,3,FALSE)*Input_Tasks[[#This Row],[R5 After Hours]],0)</f>
        <v>0</v>
      </c>
      <c r="AQ51" s="399">
        <f>IFERROR(VLOOKUP(RESOURCE_1_TYPE,SELL_RATES,2,FALSE)*Input_Tasks[[#This Row],[R1 Business Hours]],0)+IFERROR(VLOOKUP(RESOURCE_1_TYPE,SELL_RATES,3,FALSE)*Input_Tasks[[#This Row],[R1 After Hours]],0)</f>
        <v>0</v>
      </c>
      <c r="AR51" s="398">
        <f>IFERROR(VLOOKUP(RESOURCE_2_TYPE,SELL_RATES,2,FALSE)*Input_Tasks[[#This Row],[R2 Business Hours]],0)+IFERROR(VLOOKUP(RESOURCE_2_TYPE,SELL_RATES,3,FALSE)*Input_Tasks[[#This Row],[R2 After Hours]],0)</f>
        <v>0</v>
      </c>
      <c r="AS51" s="398">
        <f>IFERROR(VLOOKUP(RESOURCE_3_TYPE,SELL_RATES,2,FALSE)*Input_Tasks[[#This Row],[R3 Business Hours]],0)+IFERROR(VLOOKUP(RESOURCE_3_TYPE,SELL_RATES,3,FALSE)*Input_Tasks[[#This Row],[R3 After Hours]],0)</f>
        <v>0</v>
      </c>
      <c r="AT51" s="398">
        <f>IFERROR(VLOOKUP(RESOURCE_4_TYPE,SELL_RATES,2,FALSE)*Input_Tasks[[#This Row],[R4 Business Hours]],0)+IFERROR(VLOOKUP(RESOURCE_4_TYPE,SELL_RATES,3,FALSE)*Input_Tasks[[#This Row],[R4 After Hours]],0)</f>
        <v>0</v>
      </c>
      <c r="AU51" s="398">
        <f>IFERROR(VLOOKUP(RESOURCE_5_TYPE,SELL_RATES,2,FALSE)*Input_Tasks[[#This Row],[R5 Business Hours]],0)+IFERROR(VLOOKUP(RESOURCE_5_TYPE,SELL_RATES,3,FALSE)*Input_Tasks[[#This Row],[R5 After Hours]],0)</f>
        <v>0</v>
      </c>
      <c r="AV51" s="400">
        <f>SUM(Input_Tasks[[#This Row],[Round Trips R1]:[Round Trips R5]])</f>
        <v>0</v>
      </c>
      <c r="AW51" s="401">
        <f>SUM(Input_Tasks[[#This Row],[Overnight StaysR1]:[Overnight StaysR5]])</f>
        <v>0</v>
      </c>
      <c r="AX51" s="401">
        <f>IF(AND(Input_Tasks[[#This Row],[Sell - Line Total]]&gt;0,OR(Input_Tasks[[#This Row],[Phase]]="",Input_Tasks[[#This Row],[Skill Required]]="",Input_Tasks[[#This Row],[Task Type]]="",Input_Tasks[[#This Row],[Description]]="")),1,0)</f>
        <v>0</v>
      </c>
      <c r="AY51" s="402">
        <f>IF(AND(Input_Tasks[[#This Row],[Task Type]]="ArchiTech Document Deliverable",Input_Tasks[[#This Row],[Hours]]&gt;0),1,0)</f>
        <v>0</v>
      </c>
      <c r="AZ5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5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5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5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5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5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5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5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5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5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5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5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5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51" s="405">
        <f>SUM(Input_Tasks[[#This Row],[R1 Business Hours]:[R1 After Hours]],Input_Tasks[[#This Row],[R2 Business Hours]:[R2 After Hours]],Input_Tasks[[#This Row],[R3 Business Hours]:[R3 After Hours]],Input_Tasks[[#This Row],[R4 Business Hours]:[R4 After Hours]],Input_Tasks[[#This Row],[R5 Business Hours]:[R5 After Hours]])</f>
        <v>0</v>
      </c>
    </row>
    <row r="52" spans="1:65">
      <c r="A52" s="384"/>
      <c r="B52" s="271"/>
      <c r="C52" s="271"/>
      <c r="D52" s="406"/>
      <c r="E52" s="385">
        <f>Input_Tasks[[#This Row],[Onsite Round Trips_Hidden]]</f>
        <v>0</v>
      </c>
      <c r="F52" s="385">
        <f>Input_Tasks[[#This Row],[Overnight Stays_Hidden]]</f>
        <v>0</v>
      </c>
      <c r="G52" s="385">
        <f>Input_Tasks[[#This Row],[Documents_Hidden]]</f>
        <v>0</v>
      </c>
      <c r="H52" s="387"/>
      <c r="I52" s="388"/>
      <c r="J52" s="389"/>
      <c r="K52" s="390"/>
      <c r="L52" s="390"/>
      <c r="M52" s="389"/>
      <c r="N52" s="390"/>
      <c r="O52" s="390"/>
      <c r="P52" s="389"/>
      <c r="Q52" s="390"/>
      <c r="R52" s="390"/>
      <c r="S52" s="389"/>
      <c r="T52" s="390"/>
      <c r="U52" s="390"/>
      <c r="V52" s="389"/>
      <c r="W52" s="390"/>
      <c r="X52" s="390"/>
      <c r="Y52" s="386" t="str">
        <f>Input_Tasks[[#This Row],[Onsite Round Trips_Hidden]]&amp;"/"&amp;Input_Tasks[[#This Row],[Overnight Stays_Hidden]]&amp;"/"&amp;Input_Tasks[[#This Row],[Documents_Hidden]]</f>
        <v>0/0/0</v>
      </c>
      <c r="Z52" s="392">
        <f>Input_Tasks[[#This Row],[R1 Cost_Hidden]]</f>
        <v>0</v>
      </c>
      <c r="AA52" s="393">
        <f>Input_Tasks[[#This Row],[R2 Cost_Hidden]]</f>
        <v>0</v>
      </c>
      <c r="AB52" s="393">
        <f>Input_Tasks[[#This Row],[R3 Cost_Hidden]]</f>
        <v>0</v>
      </c>
      <c r="AC52" s="393">
        <f>Input_Tasks[[#This Row],[R4 Cost_Hidden]]</f>
        <v>0</v>
      </c>
      <c r="AD52" s="394">
        <f>Input_Tasks[[#This Row],[R5 Cost_Hidden]]</f>
        <v>0</v>
      </c>
      <c r="AE52" s="395">
        <f>SUM(Input_Tasks[[#This Row],[R1 Cost]:[R5 Cost]])</f>
        <v>0</v>
      </c>
      <c r="AF52" s="392">
        <f>Input_Tasks[[#This Row],[R1 Sell_Hidden]]</f>
        <v>0</v>
      </c>
      <c r="AG52" s="393">
        <f>Input_Tasks[[#This Row],[R2 Sell_Hidden]]</f>
        <v>0</v>
      </c>
      <c r="AH52" s="393">
        <f>Input_Tasks[[#This Row],[R3 Sell_Hidden]]</f>
        <v>0</v>
      </c>
      <c r="AI52" s="393">
        <f>Input_Tasks[[#This Row],[R4 Sell_Hidden5]]</f>
        <v>0</v>
      </c>
      <c r="AJ52" s="394">
        <f>Input_Tasks[[#This Row],[R5 Sell_Hidden]]</f>
        <v>0</v>
      </c>
      <c r="AK52" s="396">
        <f>SUM(Input_Tasks[[#This Row],[R1 Sell]:[R5 Sell]])</f>
        <v>0</v>
      </c>
      <c r="AL52" s="397">
        <f>IFERROR(VLOOKUP(RESOURCE_1_TYPE,COST_RATES,2,FALSE)*Input_Tasks[[#This Row],[R1 Business Hours]],0)+IFERROR(VLOOKUP(RESOURCE_1_TYPE,COST_RATES,3,FALSE)*Input_Tasks[[#This Row],[R1 After Hours]],0)</f>
        <v>0</v>
      </c>
      <c r="AM52" s="398">
        <f>IFERROR(VLOOKUP(RESOURCE_2_TYPE,COST_RATES,2,FALSE)*Input_Tasks[[#This Row],[R2 Business Hours]],0)+IFERROR(VLOOKUP(RESOURCE_2_TYPE,COST_RATES,3,FALSE)*Input_Tasks[[#This Row],[R2 After Hours]],0)</f>
        <v>0</v>
      </c>
      <c r="AN52" s="398">
        <f>IFERROR(VLOOKUP(RESOURCE_3_TYPE,COST_RATES,2,FALSE)*Input_Tasks[[#This Row],[R3 Business Hours]],0)+IFERROR(VLOOKUP(RESOURCE_3_TYPE,COST_RATES,3,FALSE)*Input_Tasks[[#This Row],[R3 After Hours]],0)</f>
        <v>0</v>
      </c>
      <c r="AO52" s="398">
        <f>IFERROR(VLOOKUP(RESOURCE_4_TYPE,COST_RATES,2,FALSE)*Input_Tasks[[#This Row],[R4 Business Hours]],0)+IFERROR(VLOOKUP(RESOURCE_4_TYPE,COST_RATES,3,FALSE)*Input_Tasks[[#This Row],[R4 After Hours]],0)</f>
        <v>0</v>
      </c>
      <c r="AP52" s="398">
        <f>IFERROR(VLOOKUP(RESOURCE_5_TYPE,COST_RATES,2,FALSE)*Input_Tasks[[#This Row],[R5 Business Hours]],0)+IFERROR(VLOOKUP(RESOURCE_5_TYPE,COST_RATES,3,FALSE)*Input_Tasks[[#This Row],[R5 After Hours]],0)</f>
        <v>0</v>
      </c>
      <c r="AQ52" s="399">
        <f>IFERROR(VLOOKUP(RESOURCE_1_TYPE,SELL_RATES,2,FALSE)*Input_Tasks[[#This Row],[R1 Business Hours]],0)+IFERROR(VLOOKUP(RESOURCE_1_TYPE,SELL_RATES,3,FALSE)*Input_Tasks[[#This Row],[R1 After Hours]],0)</f>
        <v>0</v>
      </c>
      <c r="AR52" s="398">
        <f>IFERROR(VLOOKUP(RESOURCE_2_TYPE,SELL_RATES,2,FALSE)*Input_Tasks[[#This Row],[R2 Business Hours]],0)+IFERROR(VLOOKUP(RESOURCE_2_TYPE,SELL_RATES,3,FALSE)*Input_Tasks[[#This Row],[R2 After Hours]],0)</f>
        <v>0</v>
      </c>
      <c r="AS52" s="398">
        <f>IFERROR(VLOOKUP(RESOURCE_3_TYPE,SELL_RATES,2,FALSE)*Input_Tasks[[#This Row],[R3 Business Hours]],0)+IFERROR(VLOOKUP(RESOURCE_3_TYPE,SELL_RATES,3,FALSE)*Input_Tasks[[#This Row],[R3 After Hours]],0)</f>
        <v>0</v>
      </c>
      <c r="AT52" s="398">
        <f>IFERROR(VLOOKUP(RESOURCE_4_TYPE,SELL_RATES,2,FALSE)*Input_Tasks[[#This Row],[R4 Business Hours]],0)+IFERROR(VLOOKUP(RESOURCE_4_TYPE,SELL_RATES,3,FALSE)*Input_Tasks[[#This Row],[R4 After Hours]],0)</f>
        <v>0</v>
      </c>
      <c r="AU52" s="398">
        <f>IFERROR(VLOOKUP(RESOURCE_5_TYPE,SELL_RATES,2,FALSE)*Input_Tasks[[#This Row],[R5 Business Hours]],0)+IFERROR(VLOOKUP(RESOURCE_5_TYPE,SELL_RATES,3,FALSE)*Input_Tasks[[#This Row],[R5 After Hours]],0)</f>
        <v>0</v>
      </c>
      <c r="AV52" s="400">
        <f>SUM(Input_Tasks[[#This Row],[Round Trips R1]:[Round Trips R5]])</f>
        <v>0</v>
      </c>
      <c r="AW52" s="401">
        <f>SUM(Input_Tasks[[#This Row],[Overnight StaysR1]:[Overnight StaysR5]])</f>
        <v>0</v>
      </c>
      <c r="AX52" s="401">
        <f>IF(AND(Input_Tasks[[#This Row],[Sell - Line Total]]&gt;0,OR(Input_Tasks[[#This Row],[Phase]]="",Input_Tasks[[#This Row],[Skill Required]]="",Input_Tasks[[#This Row],[Task Type]]="",Input_Tasks[[#This Row],[Description]]="")),1,0)</f>
        <v>0</v>
      </c>
      <c r="AY52" s="402">
        <f>IF(AND(Input_Tasks[[#This Row],[Task Type]]="ArchiTech Document Deliverable",Input_Tasks[[#This Row],[Hours]]&gt;0),1,0)</f>
        <v>0</v>
      </c>
      <c r="AZ5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5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5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5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5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5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5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5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5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5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5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5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5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52" s="405">
        <f>SUM(Input_Tasks[[#This Row],[R1 Business Hours]:[R1 After Hours]],Input_Tasks[[#This Row],[R2 Business Hours]:[R2 After Hours]],Input_Tasks[[#This Row],[R3 Business Hours]:[R3 After Hours]],Input_Tasks[[#This Row],[R4 Business Hours]:[R4 After Hours]],Input_Tasks[[#This Row],[R5 Business Hours]:[R5 After Hours]])</f>
        <v>0</v>
      </c>
    </row>
    <row r="53" spans="1:65">
      <c r="A53" s="384"/>
      <c r="B53" s="271"/>
      <c r="C53" s="271"/>
      <c r="D53" s="406"/>
      <c r="E53" s="385">
        <f>Input_Tasks[[#This Row],[Onsite Round Trips_Hidden]]</f>
        <v>0</v>
      </c>
      <c r="F53" s="385">
        <f>Input_Tasks[[#This Row],[Overnight Stays_Hidden]]</f>
        <v>0</v>
      </c>
      <c r="G53" s="385">
        <f>Input_Tasks[[#This Row],[Documents_Hidden]]</f>
        <v>0</v>
      </c>
      <c r="H53" s="387"/>
      <c r="I53" s="388"/>
      <c r="J53" s="389"/>
      <c r="K53" s="390"/>
      <c r="L53" s="390"/>
      <c r="M53" s="389"/>
      <c r="N53" s="390"/>
      <c r="O53" s="390"/>
      <c r="P53" s="389"/>
      <c r="Q53" s="390"/>
      <c r="R53" s="390"/>
      <c r="S53" s="389"/>
      <c r="T53" s="390"/>
      <c r="U53" s="390"/>
      <c r="V53" s="389"/>
      <c r="W53" s="390"/>
      <c r="X53" s="390"/>
      <c r="Y53" s="386" t="str">
        <f>Input_Tasks[[#This Row],[Onsite Round Trips_Hidden]]&amp;"/"&amp;Input_Tasks[[#This Row],[Overnight Stays_Hidden]]&amp;"/"&amp;Input_Tasks[[#This Row],[Documents_Hidden]]</f>
        <v>0/0/0</v>
      </c>
      <c r="Z53" s="392">
        <f>Input_Tasks[[#This Row],[R1 Cost_Hidden]]</f>
        <v>0</v>
      </c>
      <c r="AA53" s="393">
        <f>Input_Tasks[[#This Row],[R2 Cost_Hidden]]</f>
        <v>0</v>
      </c>
      <c r="AB53" s="393">
        <f>Input_Tasks[[#This Row],[R3 Cost_Hidden]]</f>
        <v>0</v>
      </c>
      <c r="AC53" s="393">
        <f>Input_Tasks[[#This Row],[R4 Cost_Hidden]]</f>
        <v>0</v>
      </c>
      <c r="AD53" s="394">
        <f>Input_Tasks[[#This Row],[R5 Cost_Hidden]]</f>
        <v>0</v>
      </c>
      <c r="AE53" s="395">
        <f>SUM(Input_Tasks[[#This Row],[R1 Cost]:[R5 Cost]])</f>
        <v>0</v>
      </c>
      <c r="AF53" s="392">
        <f>Input_Tasks[[#This Row],[R1 Sell_Hidden]]</f>
        <v>0</v>
      </c>
      <c r="AG53" s="393">
        <f>Input_Tasks[[#This Row],[R2 Sell_Hidden]]</f>
        <v>0</v>
      </c>
      <c r="AH53" s="393">
        <f>Input_Tasks[[#This Row],[R3 Sell_Hidden]]</f>
        <v>0</v>
      </c>
      <c r="AI53" s="393">
        <f>Input_Tasks[[#This Row],[R4 Sell_Hidden5]]</f>
        <v>0</v>
      </c>
      <c r="AJ53" s="394">
        <f>Input_Tasks[[#This Row],[R5 Sell_Hidden]]</f>
        <v>0</v>
      </c>
      <c r="AK53" s="396">
        <f>SUM(Input_Tasks[[#This Row],[R1 Sell]:[R5 Sell]])</f>
        <v>0</v>
      </c>
      <c r="AL53" s="397">
        <f>IFERROR(VLOOKUP(RESOURCE_1_TYPE,COST_RATES,2,FALSE)*Input_Tasks[[#This Row],[R1 Business Hours]],0)+IFERROR(VLOOKUP(RESOURCE_1_TYPE,COST_RATES,3,FALSE)*Input_Tasks[[#This Row],[R1 After Hours]],0)</f>
        <v>0</v>
      </c>
      <c r="AM53" s="398">
        <f>IFERROR(VLOOKUP(RESOURCE_2_TYPE,COST_RATES,2,FALSE)*Input_Tasks[[#This Row],[R2 Business Hours]],0)+IFERROR(VLOOKUP(RESOURCE_2_TYPE,COST_RATES,3,FALSE)*Input_Tasks[[#This Row],[R2 After Hours]],0)</f>
        <v>0</v>
      </c>
      <c r="AN53" s="398">
        <f>IFERROR(VLOOKUP(RESOURCE_3_TYPE,COST_RATES,2,FALSE)*Input_Tasks[[#This Row],[R3 Business Hours]],0)+IFERROR(VLOOKUP(RESOURCE_3_TYPE,COST_RATES,3,FALSE)*Input_Tasks[[#This Row],[R3 After Hours]],0)</f>
        <v>0</v>
      </c>
      <c r="AO53" s="398">
        <f>IFERROR(VLOOKUP(RESOURCE_4_TYPE,COST_RATES,2,FALSE)*Input_Tasks[[#This Row],[R4 Business Hours]],0)+IFERROR(VLOOKUP(RESOURCE_4_TYPE,COST_RATES,3,FALSE)*Input_Tasks[[#This Row],[R4 After Hours]],0)</f>
        <v>0</v>
      </c>
      <c r="AP53" s="398">
        <f>IFERROR(VLOOKUP(RESOURCE_5_TYPE,COST_RATES,2,FALSE)*Input_Tasks[[#This Row],[R5 Business Hours]],0)+IFERROR(VLOOKUP(RESOURCE_5_TYPE,COST_RATES,3,FALSE)*Input_Tasks[[#This Row],[R5 After Hours]],0)</f>
        <v>0</v>
      </c>
      <c r="AQ53" s="399">
        <f>IFERROR(VLOOKUP(RESOURCE_1_TYPE,SELL_RATES,2,FALSE)*Input_Tasks[[#This Row],[R1 Business Hours]],0)+IFERROR(VLOOKUP(RESOURCE_1_TYPE,SELL_RATES,3,FALSE)*Input_Tasks[[#This Row],[R1 After Hours]],0)</f>
        <v>0</v>
      </c>
      <c r="AR53" s="398">
        <f>IFERROR(VLOOKUP(RESOURCE_2_TYPE,SELL_RATES,2,FALSE)*Input_Tasks[[#This Row],[R2 Business Hours]],0)+IFERROR(VLOOKUP(RESOURCE_2_TYPE,SELL_RATES,3,FALSE)*Input_Tasks[[#This Row],[R2 After Hours]],0)</f>
        <v>0</v>
      </c>
      <c r="AS53" s="398">
        <f>IFERROR(VLOOKUP(RESOURCE_3_TYPE,SELL_RATES,2,FALSE)*Input_Tasks[[#This Row],[R3 Business Hours]],0)+IFERROR(VLOOKUP(RESOURCE_3_TYPE,SELL_RATES,3,FALSE)*Input_Tasks[[#This Row],[R3 After Hours]],0)</f>
        <v>0</v>
      </c>
      <c r="AT53" s="398">
        <f>IFERROR(VLOOKUP(RESOURCE_4_TYPE,SELL_RATES,2,FALSE)*Input_Tasks[[#This Row],[R4 Business Hours]],0)+IFERROR(VLOOKUP(RESOURCE_4_TYPE,SELL_RATES,3,FALSE)*Input_Tasks[[#This Row],[R4 After Hours]],0)</f>
        <v>0</v>
      </c>
      <c r="AU53" s="398">
        <f>IFERROR(VLOOKUP(RESOURCE_5_TYPE,SELL_RATES,2,FALSE)*Input_Tasks[[#This Row],[R5 Business Hours]],0)+IFERROR(VLOOKUP(RESOURCE_5_TYPE,SELL_RATES,3,FALSE)*Input_Tasks[[#This Row],[R5 After Hours]],0)</f>
        <v>0</v>
      </c>
      <c r="AV53" s="400">
        <f>SUM(Input_Tasks[[#This Row],[Round Trips R1]:[Round Trips R5]])</f>
        <v>0</v>
      </c>
      <c r="AW53" s="401">
        <f>SUM(Input_Tasks[[#This Row],[Overnight StaysR1]:[Overnight StaysR5]])</f>
        <v>0</v>
      </c>
      <c r="AX53" s="401">
        <f>IF(AND(Input_Tasks[[#This Row],[Sell - Line Total]]&gt;0,OR(Input_Tasks[[#This Row],[Phase]]="",Input_Tasks[[#This Row],[Skill Required]]="",Input_Tasks[[#This Row],[Task Type]]="",Input_Tasks[[#This Row],[Description]]="")),1,0)</f>
        <v>0</v>
      </c>
      <c r="AY53" s="402">
        <f>IF(AND(Input_Tasks[[#This Row],[Task Type]]="ArchiTech Document Deliverable",Input_Tasks[[#This Row],[Hours]]&gt;0),1,0)</f>
        <v>0</v>
      </c>
      <c r="AZ5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5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5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5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5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5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5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5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5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5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5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5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5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53" s="405">
        <f>SUM(Input_Tasks[[#This Row],[R1 Business Hours]:[R1 After Hours]],Input_Tasks[[#This Row],[R2 Business Hours]:[R2 After Hours]],Input_Tasks[[#This Row],[R3 Business Hours]:[R3 After Hours]],Input_Tasks[[#This Row],[R4 Business Hours]:[R4 After Hours]],Input_Tasks[[#This Row],[R5 Business Hours]:[R5 After Hours]])</f>
        <v>0</v>
      </c>
    </row>
    <row r="54" spans="1:65">
      <c r="A54" s="384"/>
      <c r="B54" s="271"/>
      <c r="C54" s="271"/>
      <c r="D54" s="406"/>
      <c r="E54" s="385">
        <f>Input_Tasks[[#This Row],[Onsite Round Trips_Hidden]]</f>
        <v>0</v>
      </c>
      <c r="F54" s="385">
        <f>Input_Tasks[[#This Row],[Overnight Stays_Hidden]]</f>
        <v>0</v>
      </c>
      <c r="G54" s="385">
        <f>Input_Tasks[[#This Row],[Documents_Hidden]]</f>
        <v>0</v>
      </c>
      <c r="H54" s="387"/>
      <c r="I54" s="388"/>
      <c r="J54" s="389"/>
      <c r="K54" s="390"/>
      <c r="L54" s="390"/>
      <c r="M54" s="389"/>
      <c r="N54" s="390"/>
      <c r="O54" s="390"/>
      <c r="P54" s="389"/>
      <c r="Q54" s="390"/>
      <c r="R54" s="390"/>
      <c r="S54" s="389"/>
      <c r="T54" s="390"/>
      <c r="U54" s="390"/>
      <c r="V54" s="389"/>
      <c r="W54" s="390"/>
      <c r="X54" s="390"/>
      <c r="Y54" s="386" t="str">
        <f>Input_Tasks[[#This Row],[Onsite Round Trips_Hidden]]&amp;"/"&amp;Input_Tasks[[#This Row],[Overnight Stays_Hidden]]&amp;"/"&amp;Input_Tasks[[#This Row],[Documents_Hidden]]</f>
        <v>0/0/0</v>
      </c>
      <c r="Z54" s="392">
        <f>Input_Tasks[[#This Row],[R1 Cost_Hidden]]</f>
        <v>0</v>
      </c>
      <c r="AA54" s="393">
        <f>Input_Tasks[[#This Row],[R2 Cost_Hidden]]</f>
        <v>0</v>
      </c>
      <c r="AB54" s="393">
        <f>Input_Tasks[[#This Row],[R3 Cost_Hidden]]</f>
        <v>0</v>
      </c>
      <c r="AC54" s="393">
        <f>Input_Tasks[[#This Row],[R4 Cost_Hidden]]</f>
        <v>0</v>
      </c>
      <c r="AD54" s="394">
        <f>Input_Tasks[[#This Row],[R5 Cost_Hidden]]</f>
        <v>0</v>
      </c>
      <c r="AE54" s="395">
        <f>SUM(Input_Tasks[[#This Row],[R1 Cost]:[R5 Cost]])</f>
        <v>0</v>
      </c>
      <c r="AF54" s="392">
        <f>Input_Tasks[[#This Row],[R1 Sell_Hidden]]</f>
        <v>0</v>
      </c>
      <c r="AG54" s="393">
        <f>Input_Tasks[[#This Row],[R2 Sell_Hidden]]</f>
        <v>0</v>
      </c>
      <c r="AH54" s="393">
        <f>Input_Tasks[[#This Row],[R3 Sell_Hidden]]</f>
        <v>0</v>
      </c>
      <c r="AI54" s="393">
        <f>Input_Tasks[[#This Row],[R4 Sell_Hidden5]]</f>
        <v>0</v>
      </c>
      <c r="AJ54" s="394">
        <f>Input_Tasks[[#This Row],[R5 Sell_Hidden]]</f>
        <v>0</v>
      </c>
      <c r="AK54" s="396">
        <f>SUM(Input_Tasks[[#This Row],[R1 Sell]:[R5 Sell]])</f>
        <v>0</v>
      </c>
      <c r="AL54" s="397">
        <f>IFERROR(VLOOKUP(RESOURCE_1_TYPE,COST_RATES,2,FALSE)*Input_Tasks[[#This Row],[R1 Business Hours]],0)+IFERROR(VLOOKUP(RESOURCE_1_TYPE,COST_RATES,3,FALSE)*Input_Tasks[[#This Row],[R1 After Hours]],0)</f>
        <v>0</v>
      </c>
      <c r="AM54" s="398">
        <f>IFERROR(VLOOKUP(RESOURCE_2_TYPE,COST_RATES,2,FALSE)*Input_Tasks[[#This Row],[R2 Business Hours]],0)+IFERROR(VLOOKUP(RESOURCE_2_TYPE,COST_RATES,3,FALSE)*Input_Tasks[[#This Row],[R2 After Hours]],0)</f>
        <v>0</v>
      </c>
      <c r="AN54" s="398">
        <f>IFERROR(VLOOKUP(RESOURCE_3_TYPE,COST_RATES,2,FALSE)*Input_Tasks[[#This Row],[R3 Business Hours]],0)+IFERROR(VLOOKUP(RESOURCE_3_TYPE,COST_RATES,3,FALSE)*Input_Tasks[[#This Row],[R3 After Hours]],0)</f>
        <v>0</v>
      </c>
      <c r="AO54" s="398">
        <f>IFERROR(VLOOKUP(RESOURCE_4_TYPE,COST_RATES,2,FALSE)*Input_Tasks[[#This Row],[R4 Business Hours]],0)+IFERROR(VLOOKUP(RESOURCE_4_TYPE,COST_RATES,3,FALSE)*Input_Tasks[[#This Row],[R4 After Hours]],0)</f>
        <v>0</v>
      </c>
      <c r="AP54" s="398">
        <f>IFERROR(VLOOKUP(RESOURCE_5_TYPE,COST_RATES,2,FALSE)*Input_Tasks[[#This Row],[R5 Business Hours]],0)+IFERROR(VLOOKUP(RESOURCE_5_TYPE,COST_RATES,3,FALSE)*Input_Tasks[[#This Row],[R5 After Hours]],0)</f>
        <v>0</v>
      </c>
      <c r="AQ54" s="399">
        <f>IFERROR(VLOOKUP(RESOURCE_1_TYPE,SELL_RATES,2,FALSE)*Input_Tasks[[#This Row],[R1 Business Hours]],0)+IFERROR(VLOOKUP(RESOURCE_1_TYPE,SELL_RATES,3,FALSE)*Input_Tasks[[#This Row],[R1 After Hours]],0)</f>
        <v>0</v>
      </c>
      <c r="AR54" s="398">
        <f>IFERROR(VLOOKUP(RESOURCE_2_TYPE,SELL_RATES,2,FALSE)*Input_Tasks[[#This Row],[R2 Business Hours]],0)+IFERROR(VLOOKUP(RESOURCE_2_TYPE,SELL_RATES,3,FALSE)*Input_Tasks[[#This Row],[R2 After Hours]],0)</f>
        <v>0</v>
      </c>
      <c r="AS54" s="398">
        <f>IFERROR(VLOOKUP(RESOURCE_3_TYPE,SELL_RATES,2,FALSE)*Input_Tasks[[#This Row],[R3 Business Hours]],0)+IFERROR(VLOOKUP(RESOURCE_3_TYPE,SELL_RATES,3,FALSE)*Input_Tasks[[#This Row],[R3 After Hours]],0)</f>
        <v>0</v>
      </c>
      <c r="AT54" s="398">
        <f>IFERROR(VLOOKUP(RESOURCE_4_TYPE,SELL_RATES,2,FALSE)*Input_Tasks[[#This Row],[R4 Business Hours]],0)+IFERROR(VLOOKUP(RESOURCE_4_TYPE,SELL_RATES,3,FALSE)*Input_Tasks[[#This Row],[R4 After Hours]],0)</f>
        <v>0</v>
      </c>
      <c r="AU54" s="398">
        <f>IFERROR(VLOOKUP(RESOURCE_5_TYPE,SELL_RATES,2,FALSE)*Input_Tasks[[#This Row],[R5 Business Hours]],0)+IFERROR(VLOOKUP(RESOURCE_5_TYPE,SELL_RATES,3,FALSE)*Input_Tasks[[#This Row],[R5 After Hours]],0)</f>
        <v>0</v>
      </c>
      <c r="AV54" s="400">
        <f>SUM(Input_Tasks[[#This Row],[Round Trips R1]:[Round Trips R5]])</f>
        <v>0</v>
      </c>
      <c r="AW54" s="401">
        <f>SUM(Input_Tasks[[#This Row],[Overnight StaysR1]:[Overnight StaysR5]])</f>
        <v>0</v>
      </c>
      <c r="AX54" s="401">
        <f>IF(AND(Input_Tasks[[#This Row],[Sell - Line Total]]&gt;0,OR(Input_Tasks[[#This Row],[Phase]]="",Input_Tasks[[#This Row],[Skill Required]]="",Input_Tasks[[#This Row],[Task Type]]="",Input_Tasks[[#This Row],[Description]]="")),1,0)</f>
        <v>0</v>
      </c>
      <c r="AY54" s="402">
        <f>IF(AND(Input_Tasks[[#This Row],[Task Type]]="ArchiTech Document Deliverable",Input_Tasks[[#This Row],[Hours]]&gt;0),1,0)</f>
        <v>0</v>
      </c>
      <c r="AZ5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5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5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5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5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5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5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5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5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5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5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5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5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54" s="405">
        <f>SUM(Input_Tasks[[#This Row],[R1 Business Hours]:[R1 After Hours]],Input_Tasks[[#This Row],[R2 Business Hours]:[R2 After Hours]],Input_Tasks[[#This Row],[R3 Business Hours]:[R3 After Hours]],Input_Tasks[[#This Row],[R4 Business Hours]:[R4 After Hours]],Input_Tasks[[#This Row],[R5 Business Hours]:[R5 After Hours]])</f>
        <v>0</v>
      </c>
    </row>
    <row r="55" spans="1:65">
      <c r="A55" s="384"/>
      <c r="B55" s="271"/>
      <c r="C55" s="271"/>
      <c r="D55" s="406"/>
      <c r="E55" s="385">
        <f>Input_Tasks[[#This Row],[Onsite Round Trips_Hidden]]</f>
        <v>0</v>
      </c>
      <c r="F55" s="385">
        <f>Input_Tasks[[#This Row],[Overnight Stays_Hidden]]</f>
        <v>0</v>
      </c>
      <c r="G55" s="385">
        <f>Input_Tasks[[#This Row],[Documents_Hidden]]</f>
        <v>0</v>
      </c>
      <c r="H55" s="387"/>
      <c r="I55" s="388"/>
      <c r="J55" s="389"/>
      <c r="K55" s="390"/>
      <c r="L55" s="390"/>
      <c r="M55" s="389"/>
      <c r="N55" s="390"/>
      <c r="O55" s="390"/>
      <c r="P55" s="389"/>
      <c r="Q55" s="390"/>
      <c r="R55" s="390"/>
      <c r="S55" s="389"/>
      <c r="T55" s="390"/>
      <c r="U55" s="390"/>
      <c r="V55" s="389"/>
      <c r="W55" s="390"/>
      <c r="X55" s="390"/>
      <c r="Y55" s="386" t="str">
        <f>Input_Tasks[[#This Row],[Onsite Round Trips_Hidden]]&amp;"/"&amp;Input_Tasks[[#This Row],[Overnight Stays_Hidden]]&amp;"/"&amp;Input_Tasks[[#This Row],[Documents_Hidden]]</f>
        <v>0/0/0</v>
      </c>
      <c r="Z55" s="392">
        <f>Input_Tasks[[#This Row],[R1 Cost_Hidden]]</f>
        <v>0</v>
      </c>
      <c r="AA55" s="393">
        <f>Input_Tasks[[#This Row],[R2 Cost_Hidden]]</f>
        <v>0</v>
      </c>
      <c r="AB55" s="393">
        <f>Input_Tasks[[#This Row],[R3 Cost_Hidden]]</f>
        <v>0</v>
      </c>
      <c r="AC55" s="393">
        <f>Input_Tasks[[#This Row],[R4 Cost_Hidden]]</f>
        <v>0</v>
      </c>
      <c r="AD55" s="394">
        <f>Input_Tasks[[#This Row],[R5 Cost_Hidden]]</f>
        <v>0</v>
      </c>
      <c r="AE55" s="395">
        <f>SUM(Input_Tasks[[#This Row],[R1 Cost]:[R5 Cost]])</f>
        <v>0</v>
      </c>
      <c r="AF55" s="392">
        <f>Input_Tasks[[#This Row],[R1 Sell_Hidden]]</f>
        <v>0</v>
      </c>
      <c r="AG55" s="393">
        <f>Input_Tasks[[#This Row],[R2 Sell_Hidden]]</f>
        <v>0</v>
      </c>
      <c r="AH55" s="393">
        <f>Input_Tasks[[#This Row],[R3 Sell_Hidden]]</f>
        <v>0</v>
      </c>
      <c r="AI55" s="393">
        <f>Input_Tasks[[#This Row],[R4 Sell_Hidden5]]</f>
        <v>0</v>
      </c>
      <c r="AJ55" s="394">
        <f>Input_Tasks[[#This Row],[R5 Sell_Hidden]]</f>
        <v>0</v>
      </c>
      <c r="AK55" s="396">
        <f>SUM(Input_Tasks[[#This Row],[R1 Sell]:[R5 Sell]])</f>
        <v>0</v>
      </c>
      <c r="AL55" s="397">
        <f>IFERROR(VLOOKUP(RESOURCE_1_TYPE,COST_RATES,2,FALSE)*Input_Tasks[[#This Row],[R1 Business Hours]],0)+IFERROR(VLOOKUP(RESOURCE_1_TYPE,COST_RATES,3,FALSE)*Input_Tasks[[#This Row],[R1 After Hours]],0)</f>
        <v>0</v>
      </c>
      <c r="AM55" s="398">
        <f>IFERROR(VLOOKUP(RESOURCE_2_TYPE,COST_RATES,2,FALSE)*Input_Tasks[[#This Row],[R2 Business Hours]],0)+IFERROR(VLOOKUP(RESOURCE_2_TYPE,COST_RATES,3,FALSE)*Input_Tasks[[#This Row],[R2 After Hours]],0)</f>
        <v>0</v>
      </c>
      <c r="AN55" s="398">
        <f>IFERROR(VLOOKUP(RESOURCE_3_TYPE,COST_RATES,2,FALSE)*Input_Tasks[[#This Row],[R3 Business Hours]],0)+IFERROR(VLOOKUP(RESOURCE_3_TYPE,COST_RATES,3,FALSE)*Input_Tasks[[#This Row],[R3 After Hours]],0)</f>
        <v>0</v>
      </c>
      <c r="AO55" s="398">
        <f>IFERROR(VLOOKUP(RESOURCE_4_TYPE,COST_RATES,2,FALSE)*Input_Tasks[[#This Row],[R4 Business Hours]],0)+IFERROR(VLOOKUP(RESOURCE_4_TYPE,COST_RATES,3,FALSE)*Input_Tasks[[#This Row],[R4 After Hours]],0)</f>
        <v>0</v>
      </c>
      <c r="AP55" s="398">
        <f>IFERROR(VLOOKUP(RESOURCE_5_TYPE,COST_RATES,2,FALSE)*Input_Tasks[[#This Row],[R5 Business Hours]],0)+IFERROR(VLOOKUP(RESOURCE_5_TYPE,COST_RATES,3,FALSE)*Input_Tasks[[#This Row],[R5 After Hours]],0)</f>
        <v>0</v>
      </c>
      <c r="AQ55" s="399">
        <f>IFERROR(VLOOKUP(RESOURCE_1_TYPE,SELL_RATES,2,FALSE)*Input_Tasks[[#This Row],[R1 Business Hours]],0)+IFERROR(VLOOKUP(RESOURCE_1_TYPE,SELL_RATES,3,FALSE)*Input_Tasks[[#This Row],[R1 After Hours]],0)</f>
        <v>0</v>
      </c>
      <c r="AR55" s="398">
        <f>IFERROR(VLOOKUP(RESOURCE_2_TYPE,SELL_RATES,2,FALSE)*Input_Tasks[[#This Row],[R2 Business Hours]],0)+IFERROR(VLOOKUP(RESOURCE_2_TYPE,SELL_RATES,3,FALSE)*Input_Tasks[[#This Row],[R2 After Hours]],0)</f>
        <v>0</v>
      </c>
      <c r="AS55" s="398">
        <f>IFERROR(VLOOKUP(RESOURCE_3_TYPE,SELL_RATES,2,FALSE)*Input_Tasks[[#This Row],[R3 Business Hours]],0)+IFERROR(VLOOKUP(RESOURCE_3_TYPE,SELL_RATES,3,FALSE)*Input_Tasks[[#This Row],[R3 After Hours]],0)</f>
        <v>0</v>
      </c>
      <c r="AT55" s="398">
        <f>IFERROR(VLOOKUP(RESOURCE_4_TYPE,SELL_RATES,2,FALSE)*Input_Tasks[[#This Row],[R4 Business Hours]],0)+IFERROR(VLOOKUP(RESOURCE_4_TYPE,SELL_RATES,3,FALSE)*Input_Tasks[[#This Row],[R4 After Hours]],0)</f>
        <v>0</v>
      </c>
      <c r="AU55" s="398">
        <f>IFERROR(VLOOKUP(RESOURCE_5_TYPE,SELL_RATES,2,FALSE)*Input_Tasks[[#This Row],[R5 Business Hours]],0)+IFERROR(VLOOKUP(RESOURCE_5_TYPE,SELL_RATES,3,FALSE)*Input_Tasks[[#This Row],[R5 After Hours]],0)</f>
        <v>0</v>
      </c>
      <c r="AV55" s="400">
        <f>SUM(Input_Tasks[[#This Row],[Round Trips R1]:[Round Trips R5]])</f>
        <v>0</v>
      </c>
      <c r="AW55" s="401">
        <f>SUM(Input_Tasks[[#This Row],[Overnight StaysR1]:[Overnight StaysR5]])</f>
        <v>0</v>
      </c>
      <c r="AX55" s="401">
        <f>IF(AND(Input_Tasks[[#This Row],[Sell - Line Total]]&gt;0,OR(Input_Tasks[[#This Row],[Phase]]="",Input_Tasks[[#This Row],[Skill Required]]="",Input_Tasks[[#This Row],[Task Type]]="",Input_Tasks[[#This Row],[Description]]="")),1,0)</f>
        <v>0</v>
      </c>
      <c r="AY55" s="402">
        <f>IF(AND(Input_Tasks[[#This Row],[Task Type]]="ArchiTech Document Deliverable",Input_Tasks[[#This Row],[Hours]]&gt;0),1,0)</f>
        <v>0</v>
      </c>
      <c r="AZ5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5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5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5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5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5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5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5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5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5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5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5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5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55" s="405">
        <f>SUM(Input_Tasks[[#This Row],[R1 Business Hours]:[R1 After Hours]],Input_Tasks[[#This Row],[R2 Business Hours]:[R2 After Hours]],Input_Tasks[[#This Row],[R3 Business Hours]:[R3 After Hours]],Input_Tasks[[#This Row],[R4 Business Hours]:[R4 After Hours]],Input_Tasks[[#This Row],[R5 Business Hours]:[R5 After Hours]])</f>
        <v>0</v>
      </c>
    </row>
    <row r="56" spans="1:65">
      <c r="A56" s="384"/>
      <c r="B56" s="271"/>
      <c r="C56" s="271"/>
      <c r="D56" s="406"/>
      <c r="E56" s="385">
        <f>Input_Tasks[[#This Row],[Onsite Round Trips_Hidden]]</f>
        <v>0</v>
      </c>
      <c r="F56" s="385">
        <f>Input_Tasks[[#This Row],[Overnight Stays_Hidden]]</f>
        <v>0</v>
      </c>
      <c r="G56" s="385">
        <f>Input_Tasks[[#This Row],[Documents_Hidden]]</f>
        <v>0</v>
      </c>
      <c r="H56" s="387"/>
      <c r="I56" s="388"/>
      <c r="J56" s="389"/>
      <c r="K56" s="390"/>
      <c r="L56" s="390"/>
      <c r="M56" s="389"/>
      <c r="N56" s="390"/>
      <c r="O56" s="390"/>
      <c r="P56" s="389"/>
      <c r="Q56" s="390"/>
      <c r="R56" s="391"/>
      <c r="S56" s="389"/>
      <c r="T56" s="390"/>
      <c r="U56" s="391"/>
      <c r="V56" s="389"/>
      <c r="W56" s="390"/>
      <c r="X56" s="390"/>
      <c r="Y56" s="386" t="str">
        <f>Input_Tasks[[#This Row],[Onsite Round Trips_Hidden]]&amp;"/"&amp;Input_Tasks[[#This Row],[Overnight Stays_Hidden]]&amp;"/"&amp;Input_Tasks[[#This Row],[Documents_Hidden]]</f>
        <v>0/0/0</v>
      </c>
      <c r="Z56" s="392">
        <f>Input_Tasks[[#This Row],[R1 Cost_Hidden]]</f>
        <v>0</v>
      </c>
      <c r="AA56" s="393">
        <f>Input_Tasks[[#This Row],[R2 Cost_Hidden]]</f>
        <v>0</v>
      </c>
      <c r="AB56" s="393">
        <f>Input_Tasks[[#This Row],[R3 Cost_Hidden]]</f>
        <v>0</v>
      </c>
      <c r="AC56" s="393">
        <f>Input_Tasks[[#This Row],[R4 Cost_Hidden]]</f>
        <v>0</v>
      </c>
      <c r="AD56" s="394">
        <f>Input_Tasks[[#This Row],[R5 Cost_Hidden]]</f>
        <v>0</v>
      </c>
      <c r="AE56" s="395">
        <f>SUM(Input_Tasks[[#This Row],[R1 Cost]:[R5 Cost]])</f>
        <v>0</v>
      </c>
      <c r="AF56" s="392">
        <f>Input_Tasks[[#This Row],[R1 Sell_Hidden]]</f>
        <v>0</v>
      </c>
      <c r="AG56" s="393">
        <f>Input_Tasks[[#This Row],[R2 Sell_Hidden]]</f>
        <v>0</v>
      </c>
      <c r="AH56" s="393">
        <f>Input_Tasks[[#This Row],[R3 Sell_Hidden]]</f>
        <v>0</v>
      </c>
      <c r="AI56" s="393">
        <f>Input_Tasks[[#This Row],[R4 Sell_Hidden5]]</f>
        <v>0</v>
      </c>
      <c r="AJ56" s="394">
        <f>Input_Tasks[[#This Row],[R5 Sell_Hidden]]</f>
        <v>0</v>
      </c>
      <c r="AK56" s="396">
        <f>SUM(Input_Tasks[[#This Row],[R1 Sell]:[R5 Sell]])</f>
        <v>0</v>
      </c>
      <c r="AL56" s="397">
        <f>IFERROR(VLOOKUP(RESOURCE_1_TYPE,COST_RATES,2,FALSE)*Input_Tasks[[#This Row],[R1 Business Hours]],0)+IFERROR(VLOOKUP(RESOURCE_1_TYPE,COST_RATES,3,FALSE)*Input_Tasks[[#This Row],[R1 After Hours]],0)</f>
        <v>0</v>
      </c>
      <c r="AM56" s="398">
        <f>IFERROR(VLOOKUP(RESOURCE_2_TYPE,COST_RATES,2,FALSE)*Input_Tasks[[#This Row],[R2 Business Hours]],0)+IFERROR(VLOOKUP(RESOURCE_2_TYPE,COST_RATES,3,FALSE)*Input_Tasks[[#This Row],[R2 After Hours]],0)</f>
        <v>0</v>
      </c>
      <c r="AN56" s="398">
        <f>IFERROR(VLOOKUP(RESOURCE_3_TYPE,COST_RATES,2,FALSE)*Input_Tasks[[#This Row],[R3 Business Hours]],0)+IFERROR(VLOOKUP(RESOURCE_3_TYPE,COST_RATES,3,FALSE)*Input_Tasks[[#This Row],[R3 After Hours]],0)</f>
        <v>0</v>
      </c>
      <c r="AO56" s="398">
        <f>IFERROR(VLOOKUP(RESOURCE_4_TYPE,COST_RATES,2,FALSE)*Input_Tasks[[#This Row],[R4 Business Hours]],0)+IFERROR(VLOOKUP(RESOURCE_4_TYPE,COST_RATES,3,FALSE)*Input_Tasks[[#This Row],[R4 After Hours]],0)</f>
        <v>0</v>
      </c>
      <c r="AP56" s="398">
        <f>IFERROR(VLOOKUP(RESOURCE_5_TYPE,COST_RATES,2,FALSE)*Input_Tasks[[#This Row],[R5 Business Hours]],0)+IFERROR(VLOOKUP(RESOURCE_5_TYPE,COST_RATES,3,FALSE)*Input_Tasks[[#This Row],[R5 After Hours]],0)</f>
        <v>0</v>
      </c>
      <c r="AQ56" s="399">
        <f>IFERROR(VLOOKUP(RESOURCE_1_TYPE,SELL_RATES,2,FALSE)*Input_Tasks[[#This Row],[R1 Business Hours]],0)+IFERROR(VLOOKUP(RESOURCE_1_TYPE,SELL_RATES,3,FALSE)*Input_Tasks[[#This Row],[R1 After Hours]],0)</f>
        <v>0</v>
      </c>
      <c r="AR56" s="398">
        <f>IFERROR(VLOOKUP(RESOURCE_2_TYPE,SELL_RATES,2,FALSE)*Input_Tasks[[#This Row],[R2 Business Hours]],0)+IFERROR(VLOOKUP(RESOURCE_2_TYPE,SELL_RATES,3,FALSE)*Input_Tasks[[#This Row],[R2 After Hours]],0)</f>
        <v>0</v>
      </c>
      <c r="AS56" s="398">
        <f>IFERROR(VLOOKUP(RESOURCE_3_TYPE,SELL_RATES,2,FALSE)*Input_Tasks[[#This Row],[R3 Business Hours]],0)+IFERROR(VLOOKUP(RESOURCE_3_TYPE,SELL_RATES,3,FALSE)*Input_Tasks[[#This Row],[R3 After Hours]],0)</f>
        <v>0</v>
      </c>
      <c r="AT56" s="398">
        <f>IFERROR(VLOOKUP(RESOURCE_4_TYPE,SELL_RATES,2,FALSE)*Input_Tasks[[#This Row],[R4 Business Hours]],0)+IFERROR(VLOOKUP(RESOURCE_4_TYPE,SELL_RATES,3,FALSE)*Input_Tasks[[#This Row],[R4 After Hours]],0)</f>
        <v>0</v>
      </c>
      <c r="AU56" s="398">
        <f>IFERROR(VLOOKUP(RESOURCE_5_TYPE,SELL_RATES,2,FALSE)*Input_Tasks[[#This Row],[R5 Business Hours]],0)+IFERROR(VLOOKUP(RESOURCE_5_TYPE,SELL_RATES,3,FALSE)*Input_Tasks[[#This Row],[R5 After Hours]],0)</f>
        <v>0</v>
      </c>
      <c r="AV56" s="400">
        <f>SUM(Input_Tasks[[#This Row],[Round Trips R1]:[Round Trips R5]])</f>
        <v>0</v>
      </c>
      <c r="AW56" s="401">
        <f>SUM(Input_Tasks[[#This Row],[Overnight StaysR1]:[Overnight StaysR5]])</f>
        <v>0</v>
      </c>
      <c r="AX56" s="401">
        <f>IF(AND(Input_Tasks[[#This Row],[Sell - Line Total]]&gt;0,OR(Input_Tasks[[#This Row],[Phase]]="",Input_Tasks[[#This Row],[Skill Required]]="",Input_Tasks[[#This Row],[Task Type]]="",Input_Tasks[[#This Row],[Description]]="")),1,0)</f>
        <v>0</v>
      </c>
      <c r="AY56" s="402">
        <f>IF(AND(Input_Tasks[[#This Row],[Task Type]]="ArchiTech Document Deliverable",Input_Tasks[[#This Row],[Hours]]&gt;0),1,0)</f>
        <v>0</v>
      </c>
      <c r="AZ5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5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5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5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5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5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5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5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5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5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5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5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5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56" s="405">
        <f>SUM(Input_Tasks[[#This Row],[R1 Business Hours]:[R1 After Hours]],Input_Tasks[[#This Row],[R2 Business Hours]:[R2 After Hours]],Input_Tasks[[#This Row],[R3 Business Hours]:[R3 After Hours]],Input_Tasks[[#This Row],[R4 Business Hours]:[R4 After Hours]],Input_Tasks[[#This Row],[R5 Business Hours]:[R5 After Hours]])</f>
        <v>0</v>
      </c>
    </row>
    <row r="57" spans="1:65">
      <c r="A57" s="384"/>
      <c r="B57" s="271"/>
      <c r="C57" s="271"/>
      <c r="D57" s="406"/>
      <c r="E57" s="385">
        <f>Input_Tasks[[#This Row],[Onsite Round Trips_Hidden]]</f>
        <v>0</v>
      </c>
      <c r="F57" s="385">
        <f>Input_Tasks[[#This Row],[Overnight Stays_Hidden]]</f>
        <v>0</v>
      </c>
      <c r="G57" s="385">
        <f>Input_Tasks[[#This Row],[Documents_Hidden]]</f>
        <v>0</v>
      </c>
      <c r="H57" s="387"/>
      <c r="I57" s="388"/>
      <c r="J57" s="389"/>
      <c r="K57" s="390"/>
      <c r="L57" s="390"/>
      <c r="M57" s="389"/>
      <c r="N57" s="390"/>
      <c r="O57" s="390"/>
      <c r="P57" s="389"/>
      <c r="Q57" s="390"/>
      <c r="R57" s="391"/>
      <c r="S57" s="389"/>
      <c r="T57" s="390"/>
      <c r="U57" s="391"/>
      <c r="V57" s="389"/>
      <c r="W57" s="390"/>
      <c r="X57" s="390"/>
      <c r="Y57" s="386" t="str">
        <f>Input_Tasks[[#This Row],[Onsite Round Trips_Hidden]]&amp;"/"&amp;Input_Tasks[[#This Row],[Overnight Stays_Hidden]]&amp;"/"&amp;Input_Tasks[[#This Row],[Documents_Hidden]]</f>
        <v>0/0/0</v>
      </c>
      <c r="Z57" s="392">
        <f>Input_Tasks[[#This Row],[R1 Cost_Hidden]]</f>
        <v>0</v>
      </c>
      <c r="AA57" s="393">
        <f>Input_Tasks[[#This Row],[R2 Cost_Hidden]]</f>
        <v>0</v>
      </c>
      <c r="AB57" s="393">
        <f>Input_Tasks[[#This Row],[R3 Cost_Hidden]]</f>
        <v>0</v>
      </c>
      <c r="AC57" s="393">
        <f>Input_Tasks[[#This Row],[R4 Cost_Hidden]]</f>
        <v>0</v>
      </c>
      <c r="AD57" s="394">
        <f>Input_Tasks[[#This Row],[R5 Cost_Hidden]]</f>
        <v>0</v>
      </c>
      <c r="AE57" s="395">
        <f>SUM(Input_Tasks[[#This Row],[R1 Cost]:[R5 Cost]])</f>
        <v>0</v>
      </c>
      <c r="AF57" s="392">
        <f>Input_Tasks[[#This Row],[R1 Sell_Hidden]]</f>
        <v>0</v>
      </c>
      <c r="AG57" s="393">
        <f>Input_Tasks[[#This Row],[R2 Sell_Hidden]]</f>
        <v>0</v>
      </c>
      <c r="AH57" s="393">
        <f>Input_Tasks[[#This Row],[R3 Sell_Hidden]]</f>
        <v>0</v>
      </c>
      <c r="AI57" s="393">
        <f>Input_Tasks[[#This Row],[R4 Sell_Hidden5]]</f>
        <v>0</v>
      </c>
      <c r="AJ57" s="394">
        <f>Input_Tasks[[#This Row],[R5 Sell_Hidden]]</f>
        <v>0</v>
      </c>
      <c r="AK57" s="396">
        <f>SUM(Input_Tasks[[#This Row],[R1 Sell]:[R5 Sell]])</f>
        <v>0</v>
      </c>
      <c r="AL57" s="397">
        <f>IFERROR(VLOOKUP(RESOURCE_1_TYPE,COST_RATES,2,FALSE)*Input_Tasks[[#This Row],[R1 Business Hours]],0)+IFERROR(VLOOKUP(RESOURCE_1_TYPE,COST_RATES,3,FALSE)*Input_Tasks[[#This Row],[R1 After Hours]],0)</f>
        <v>0</v>
      </c>
      <c r="AM57" s="398">
        <f>IFERROR(VLOOKUP(RESOURCE_2_TYPE,COST_RATES,2,FALSE)*Input_Tasks[[#This Row],[R2 Business Hours]],0)+IFERROR(VLOOKUP(RESOURCE_2_TYPE,COST_RATES,3,FALSE)*Input_Tasks[[#This Row],[R2 After Hours]],0)</f>
        <v>0</v>
      </c>
      <c r="AN57" s="398">
        <f>IFERROR(VLOOKUP(RESOURCE_3_TYPE,COST_RATES,2,FALSE)*Input_Tasks[[#This Row],[R3 Business Hours]],0)+IFERROR(VLOOKUP(RESOURCE_3_TYPE,COST_RATES,3,FALSE)*Input_Tasks[[#This Row],[R3 After Hours]],0)</f>
        <v>0</v>
      </c>
      <c r="AO57" s="398">
        <f>IFERROR(VLOOKUP(RESOURCE_4_TYPE,COST_RATES,2,FALSE)*Input_Tasks[[#This Row],[R4 Business Hours]],0)+IFERROR(VLOOKUP(RESOURCE_4_TYPE,COST_RATES,3,FALSE)*Input_Tasks[[#This Row],[R4 After Hours]],0)</f>
        <v>0</v>
      </c>
      <c r="AP57" s="398">
        <f>IFERROR(VLOOKUP(RESOURCE_5_TYPE,COST_RATES,2,FALSE)*Input_Tasks[[#This Row],[R5 Business Hours]],0)+IFERROR(VLOOKUP(RESOURCE_5_TYPE,COST_RATES,3,FALSE)*Input_Tasks[[#This Row],[R5 After Hours]],0)</f>
        <v>0</v>
      </c>
      <c r="AQ57" s="399">
        <f>IFERROR(VLOOKUP(RESOURCE_1_TYPE,SELL_RATES,2,FALSE)*Input_Tasks[[#This Row],[R1 Business Hours]],0)+IFERROR(VLOOKUP(RESOURCE_1_TYPE,SELL_RATES,3,FALSE)*Input_Tasks[[#This Row],[R1 After Hours]],0)</f>
        <v>0</v>
      </c>
      <c r="AR57" s="398">
        <f>IFERROR(VLOOKUP(RESOURCE_2_TYPE,SELL_RATES,2,FALSE)*Input_Tasks[[#This Row],[R2 Business Hours]],0)+IFERROR(VLOOKUP(RESOURCE_2_TYPE,SELL_RATES,3,FALSE)*Input_Tasks[[#This Row],[R2 After Hours]],0)</f>
        <v>0</v>
      </c>
      <c r="AS57" s="398">
        <f>IFERROR(VLOOKUP(RESOURCE_3_TYPE,SELL_RATES,2,FALSE)*Input_Tasks[[#This Row],[R3 Business Hours]],0)+IFERROR(VLOOKUP(RESOURCE_3_TYPE,SELL_RATES,3,FALSE)*Input_Tasks[[#This Row],[R3 After Hours]],0)</f>
        <v>0</v>
      </c>
      <c r="AT57" s="398">
        <f>IFERROR(VLOOKUP(RESOURCE_4_TYPE,SELL_RATES,2,FALSE)*Input_Tasks[[#This Row],[R4 Business Hours]],0)+IFERROR(VLOOKUP(RESOURCE_4_TYPE,SELL_RATES,3,FALSE)*Input_Tasks[[#This Row],[R4 After Hours]],0)</f>
        <v>0</v>
      </c>
      <c r="AU57" s="398">
        <f>IFERROR(VLOOKUP(RESOURCE_5_TYPE,SELL_RATES,2,FALSE)*Input_Tasks[[#This Row],[R5 Business Hours]],0)+IFERROR(VLOOKUP(RESOURCE_5_TYPE,SELL_RATES,3,FALSE)*Input_Tasks[[#This Row],[R5 After Hours]],0)</f>
        <v>0</v>
      </c>
      <c r="AV57" s="400">
        <f>SUM(Input_Tasks[[#This Row],[Round Trips R1]:[Round Trips R5]])</f>
        <v>0</v>
      </c>
      <c r="AW57" s="401">
        <f>SUM(Input_Tasks[[#This Row],[Overnight StaysR1]:[Overnight StaysR5]])</f>
        <v>0</v>
      </c>
      <c r="AX57" s="401">
        <f>IF(AND(Input_Tasks[[#This Row],[Sell - Line Total]]&gt;0,OR(Input_Tasks[[#This Row],[Phase]]="",Input_Tasks[[#This Row],[Skill Required]]="",Input_Tasks[[#This Row],[Task Type]]="",Input_Tasks[[#This Row],[Description]]="")),1,0)</f>
        <v>0</v>
      </c>
      <c r="AY57" s="402">
        <f>IF(AND(Input_Tasks[[#This Row],[Task Type]]="ArchiTech Document Deliverable",Input_Tasks[[#This Row],[Hours]]&gt;0),1,0)</f>
        <v>0</v>
      </c>
      <c r="AZ5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5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5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5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5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5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5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5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5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5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5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5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5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57" s="405">
        <f>SUM(Input_Tasks[[#This Row],[R1 Business Hours]:[R1 After Hours]],Input_Tasks[[#This Row],[R2 Business Hours]:[R2 After Hours]],Input_Tasks[[#This Row],[R3 Business Hours]:[R3 After Hours]],Input_Tasks[[#This Row],[R4 Business Hours]:[R4 After Hours]],Input_Tasks[[#This Row],[R5 Business Hours]:[R5 After Hours]])</f>
        <v>0</v>
      </c>
    </row>
    <row r="58" spans="1:65">
      <c r="A58" s="384"/>
      <c r="B58" s="271"/>
      <c r="C58" s="271"/>
      <c r="D58" s="406"/>
      <c r="E58" s="385">
        <f>Input_Tasks[[#This Row],[Onsite Round Trips_Hidden]]</f>
        <v>0</v>
      </c>
      <c r="F58" s="385">
        <f>Input_Tasks[[#This Row],[Overnight Stays_Hidden]]</f>
        <v>0</v>
      </c>
      <c r="G58" s="385">
        <f>Input_Tasks[[#This Row],[Documents_Hidden]]</f>
        <v>0</v>
      </c>
      <c r="H58" s="387"/>
      <c r="I58" s="388"/>
      <c r="J58" s="389"/>
      <c r="K58" s="390"/>
      <c r="L58" s="390"/>
      <c r="M58" s="389"/>
      <c r="N58" s="390"/>
      <c r="O58" s="390"/>
      <c r="P58" s="389"/>
      <c r="Q58" s="390"/>
      <c r="R58" s="391"/>
      <c r="S58" s="389"/>
      <c r="T58" s="390"/>
      <c r="U58" s="391"/>
      <c r="V58" s="389"/>
      <c r="W58" s="390"/>
      <c r="X58" s="390"/>
      <c r="Y58" s="386" t="str">
        <f>Input_Tasks[[#This Row],[Onsite Round Trips_Hidden]]&amp;"/"&amp;Input_Tasks[[#This Row],[Overnight Stays_Hidden]]&amp;"/"&amp;Input_Tasks[[#This Row],[Documents_Hidden]]</f>
        <v>0/0/0</v>
      </c>
      <c r="Z58" s="392">
        <f>Input_Tasks[[#This Row],[R1 Cost_Hidden]]</f>
        <v>0</v>
      </c>
      <c r="AA58" s="393">
        <f>Input_Tasks[[#This Row],[R2 Cost_Hidden]]</f>
        <v>0</v>
      </c>
      <c r="AB58" s="393">
        <f>Input_Tasks[[#This Row],[R3 Cost_Hidden]]</f>
        <v>0</v>
      </c>
      <c r="AC58" s="393">
        <f>Input_Tasks[[#This Row],[R4 Cost_Hidden]]</f>
        <v>0</v>
      </c>
      <c r="AD58" s="394">
        <f>Input_Tasks[[#This Row],[R5 Cost_Hidden]]</f>
        <v>0</v>
      </c>
      <c r="AE58" s="395">
        <f>SUM(Input_Tasks[[#This Row],[R1 Cost]:[R5 Cost]])</f>
        <v>0</v>
      </c>
      <c r="AF58" s="392">
        <f>Input_Tasks[[#This Row],[R1 Sell_Hidden]]</f>
        <v>0</v>
      </c>
      <c r="AG58" s="393">
        <f>Input_Tasks[[#This Row],[R2 Sell_Hidden]]</f>
        <v>0</v>
      </c>
      <c r="AH58" s="393">
        <f>Input_Tasks[[#This Row],[R3 Sell_Hidden]]</f>
        <v>0</v>
      </c>
      <c r="AI58" s="393">
        <f>Input_Tasks[[#This Row],[R4 Sell_Hidden5]]</f>
        <v>0</v>
      </c>
      <c r="AJ58" s="394">
        <f>Input_Tasks[[#This Row],[R5 Sell_Hidden]]</f>
        <v>0</v>
      </c>
      <c r="AK58" s="396">
        <f>SUM(Input_Tasks[[#This Row],[R1 Sell]:[R5 Sell]])</f>
        <v>0</v>
      </c>
      <c r="AL58" s="397">
        <f>IFERROR(VLOOKUP(RESOURCE_1_TYPE,COST_RATES,2,FALSE)*Input_Tasks[[#This Row],[R1 Business Hours]],0)+IFERROR(VLOOKUP(RESOURCE_1_TYPE,COST_RATES,3,FALSE)*Input_Tasks[[#This Row],[R1 After Hours]],0)</f>
        <v>0</v>
      </c>
      <c r="AM58" s="398">
        <f>IFERROR(VLOOKUP(RESOURCE_2_TYPE,COST_RATES,2,FALSE)*Input_Tasks[[#This Row],[R2 Business Hours]],0)+IFERROR(VLOOKUP(RESOURCE_2_TYPE,COST_RATES,3,FALSE)*Input_Tasks[[#This Row],[R2 After Hours]],0)</f>
        <v>0</v>
      </c>
      <c r="AN58" s="398">
        <f>IFERROR(VLOOKUP(RESOURCE_3_TYPE,COST_RATES,2,FALSE)*Input_Tasks[[#This Row],[R3 Business Hours]],0)+IFERROR(VLOOKUP(RESOURCE_3_TYPE,COST_RATES,3,FALSE)*Input_Tasks[[#This Row],[R3 After Hours]],0)</f>
        <v>0</v>
      </c>
      <c r="AO58" s="398">
        <f>IFERROR(VLOOKUP(RESOURCE_4_TYPE,COST_RATES,2,FALSE)*Input_Tasks[[#This Row],[R4 Business Hours]],0)+IFERROR(VLOOKUP(RESOURCE_4_TYPE,COST_RATES,3,FALSE)*Input_Tasks[[#This Row],[R4 After Hours]],0)</f>
        <v>0</v>
      </c>
      <c r="AP58" s="398">
        <f>IFERROR(VLOOKUP(RESOURCE_5_TYPE,COST_RATES,2,FALSE)*Input_Tasks[[#This Row],[R5 Business Hours]],0)+IFERROR(VLOOKUP(RESOURCE_5_TYPE,COST_RATES,3,FALSE)*Input_Tasks[[#This Row],[R5 After Hours]],0)</f>
        <v>0</v>
      </c>
      <c r="AQ58" s="399">
        <f>IFERROR(VLOOKUP(RESOURCE_1_TYPE,SELL_RATES,2,FALSE)*Input_Tasks[[#This Row],[R1 Business Hours]],0)+IFERROR(VLOOKUP(RESOURCE_1_TYPE,SELL_RATES,3,FALSE)*Input_Tasks[[#This Row],[R1 After Hours]],0)</f>
        <v>0</v>
      </c>
      <c r="AR58" s="398">
        <f>IFERROR(VLOOKUP(RESOURCE_2_TYPE,SELL_RATES,2,FALSE)*Input_Tasks[[#This Row],[R2 Business Hours]],0)+IFERROR(VLOOKUP(RESOURCE_2_TYPE,SELL_RATES,3,FALSE)*Input_Tasks[[#This Row],[R2 After Hours]],0)</f>
        <v>0</v>
      </c>
      <c r="AS58" s="398">
        <f>IFERROR(VLOOKUP(RESOURCE_3_TYPE,SELL_RATES,2,FALSE)*Input_Tasks[[#This Row],[R3 Business Hours]],0)+IFERROR(VLOOKUP(RESOURCE_3_TYPE,SELL_RATES,3,FALSE)*Input_Tasks[[#This Row],[R3 After Hours]],0)</f>
        <v>0</v>
      </c>
      <c r="AT58" s="398">
        <f>IFERROR(VLOOKUP(RESOURCE_4_TYPE,SELL_RATES,2,FALSE)*Input_Tasks[[#This Row],[R4 Business Hours]],0)+IFERROR(VLOOKUP(RESOURCE_4_TYPE,SELL_RATES,3,FALSE)*Input_Tasks[[#This Row],[R4 After Hours]],0)</f>
        <v>0</v>
      </c>
      <c r="AU58" s="398">
        <f>IFERROR(VLOOKUP(RESOURCE_5_TYPE,SELL_RATES,2,FALSE)*Input_Tasks[[#This Row],[R5 Business Hours]],0)+IFERROR(VLOOKUP(RESOURCE_5_TYPE,SELL_RATES,3,FALSE)*Input_Tasks[[#This Row],[R5 After Hours]],0)</f>
        <v>0</v>
      </c>
      <c r="AV58" s="400">
        <f>SUM(Input_Tasks[[#This Row],[Round Trips R1]:[Round Trips R5]])</f>
        <v>0</v>
      </c>
      <c r="AW58" s="401">
        <f>SUM(Input_Tasks[[#This Row],[Overnight StaysR1]:[Overnight StaysR5]])</f>
        <v>0</v>
      </c>
      <c r="AX58" s="401">
        <f>IF(AND(Input_Tasks[[#This Row],[Sell - Line Total]]&gt;0,OR(Input_Tasks[[#This Row],[Phase]]="",Input_Tasks[[#This Row],[Skill Required]]="",Input_Tasks[[#This Row],[Task Type]]="",Input_Tasks[[#This Row],[Description]]="")),1,0)</f>
        <v>0</v>
      </c>
      <c r="AY58" s="402">
        <f>IF(AND(Input_Tasks[[#This Row],[Task Type]]="ArchiTech Document Deliverable",Input_Tasks[[#This Row],[Hours]]&gt;0),1,0)</f>
        <v>0</v>
      </c>
      <c r="AZ5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5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5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5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5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5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5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5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5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5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5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5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5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58" s="405">
        <f>SUM(Input_Tasks[[#This Row],[R1 Business Hours]:[R1 After Hours]],Input_Tasks[[#This Row],[R2 Business Hours]:[R2 After Hours]],Input_Tasks[[#This Row],[R3 Business Hours]:[R3 After Hours]],Input_Tasks[[#This Row],[R4 Business Hours]:[R4 After Hours]],Input_Tasks[[#This Row],[R5 Business Hours]:[R5 After Hours]])</f>
        <v>0</v>
      </c>
    </row>
    <row r="59" spans="1:65">
      <c r="A59" s="384"/>
      <c r="B59" s="271"/>
      <c r="C59" s="271"/>
      <c r="D59" s="406"/>
      <c r="E59" s="385">
        <f>Input_Tasks[[#This Row],[Onsite Round Trips_Hidden]]</f>
        <v>0</v>
      </c>
      <c r="F59" s="385">
        <f>Input_Tasks[[#This Row],[Overnight Stays_Hidden]]</f>
        <v>0</v>
      </c>
      <c r="G59" s="385">
        <f>Input_Tasks[[#This Row],[Documents_Hidden]]</f>
        <v>0</v>
      </c>
      <c r="H59" s="387"/>
      <c r="I59" s="388"/>
      <c r="J59" s="389"/>
      <c r="K59" s="390"/>
      <c r="L59" s="390"/>
      <c r="M59" s="389"/>
      <c r="N59" s="390"/>
      <c r="O59" s="390"/>
      <c r="P59" s="389"/>
      <c r="Q59" s="390"/>
      <c r="R59" s="391"/>
      <c r="S59" s="389"/>
      <c r="T59" s="390"/>
      <c r="U59" s="391"/>
      <c r="V59" s="389"/>
      <c r="W59" s="390"/>
      <c r="X59" s="390"/>
      <c r="Y59" s="386" t="str">
        <f>Input_Tasks[[#This Row],[Onsite Round Trips_Hidden]]&amp;"/"&amp;Input_Tasks[[#This Row],[Overnight Stays_Hidden]]&amp;"/"&amp;Input_Tasks[[#This Row],[Documents_Hidden]]</f>
        <v>0/0/0</v>
      </c>
      <c r="Z59" s="392">
        <f>Input_Tasks[[#This Row],[R1 Cost_Hidden]]</f>
        <v>0</v>
      </c>
      <c r="AA59" s="393">
        <f>Input_Tasks[[#This Row],[R2 Cost_Hidden]]</f>
        <v>0</v>
      </c>
      <c r="AB59" s="393">
        <f>Input_Tasks[[#This Row],[R3 Cost_Hidden]]</f>
        <v>0</v>
      </c>
      <c r="AC59" s="393">
        <f>Input_Tasks[[#This Row],[R4 Cost_Hidden]]</f>
        <v>0</v>
      </c>
      <c r="AD59" s="394">
        <f>Input_Tasks[[#This Row],[R5 Cost_Hidden]]</f>
        <v>0</v>
      </c>
      <c r="AE59" s="395">
        <f>SUM(Input_Tasks[[#This Row],[R1 Cost]:[R5 Cost]])</f>
        <v>0</v>
      </c>
      <c r="AF59" s="392">
        <f>Input_Tasks[[#This Row],[R1 Sell_Hidden]]</f>
        <v>0</v>
      </c>
      <c r="AG59" s="393">
        <f>Input_Tasks[[#This Row],[R2 Sell_Hidden]]</f>
        <v>0</v>
      </c>
      <c r="AH59" s="393">
        <f>Input_Tasks[[#This Row],[R3 Sell_Hidden]]</f>
        <v>0</v>
      </c>
      <c r="AI59" s="393">
        <f>Input_Tasks[[#This Row],[R4 Sell_Hidden5]]</f>
        <v>0</v>
      </c>
      <c r="AJ59" s="394">
        <f>Input_Tasks[[#This Row],[R5 Sell_Hidden]]</f>
        <v>0</v>
      </c>
      <c r="AK59" s="396">
        <f>SUM(Input_Tasks[[#This Row],[R1 Sell]:[R5 Sell]])</f>
        <v>0</v>
      </c>
      <c r="AL59" s="397">
        <f>IFERROR(VLOOKUP(RESOURCE_1_TYPE,COST_RATES,2,FALSE)*Input_Tasks[[#This Row],[R1 Business Hours]],0)+IFERROR(VLOOKUP(RESOURCE_1_TYPE,COST_RATES,3,FALSE)*Input_Tasks[[#This Row],[R1 After Hours]],0)</f>
        <v>0</v>
      </c>
      <c r="AM59" s="398">
        <f>IFERROR(VLOOKUP(RESOURCE_2_TYPE,COST_RATES,2,FALSE)*Input_Tasks[[#This Row],[R2 Business Hours]],0)+IFERROR(VLOOKUP(RESOURCE_2_TYPE,COST_RATES,3,FALSE)*Input_Tasks[[#This Row],[R2 After Hours]],0)</f>
        <v>0</v>
      </c>
      <c r="AN59" s="398">
        <f>IFERROR(VLOOKUP(RESOURCE_3_TYPE,COST_RATES,2,FALSE)*Input_Tasks[[#This Row],[R3 Business Hours]],0)+IFERROR(VLOOKUP(RESOURCE_3_TYPE,COST_RATES,3,FALSE)*Input_Tasks[[#This Row],[R3 After Hours]],0)</f>
        <v>0</v>
      </c>
      <c r="AO59" s="398">
        <f>IFERROR(VLOOKUP(RESOURCE_4_TYPE,COST_RATES,2,FALSE)*Input_Tasks[[#This Row],[R4 Business Hours]],0)+IFERROR(VLOOKUP(RESOURCE_4_TYPE,COST_RATES,3,FALSE)*Input_Tasks[[#This Row],[R4 After Hours]],0)</f>
        <v>0</v>
      </c>
      <c r="AP59" s="398">
        <f>IFERROR(VLOOKUP(RESOURCE_5_TYPE,COST_RATES,2,FALSE)*Input_Tasks[[#This Row],[R5 Business Hours]],0)+IFERROR(VLOOKUP(RESOURCE_5_TYPE,COST_RATES,3,FALSE)*Input_Tasks[[#This Row],[R5 After Hours]],0)</f>
        <v>0</v>
      </c>
      <c r="AQ59" s="399">
        <f>IFERROR(VLOOKUP(RESOURCE_1_TYPE,SELL_RATES,2,FALSE)*Input_Tasks[[#This Row],[R1 Business Hours]],0)+IFERROR(VLOOKUP(RESOURCE_1_TYPE,SELL_RATES,3,FALSE)*Input_Tasks[[#This Row],[R1 After Hours]],0)</f>
        <v>0</v>
      </c>
      <c r="AR59" s="398">
        <f>IFERROR(VLOOKUP(RESOURCE_2_TYPE,SELL_RATES,2,FALSE)*Input_Tasks[[#This Row],[R2 Business Hours]],0)+IFERROR(VLOOKUP(RESOURCE_2_TYPE,SELL_RATES,3,FALSE)*Input_Tasks[[#This Row],[R2 After Hours]],0)</f>
        <v>0</v>
      </c>
      <c r="AS59" s="398">
        <f>IFERROR(VLOOKUP(RESOURCE_3_TYPE,SELL_RATES,2,FALSE)*Input_Tasks[[#This Row],[R3 Business Hours]],0)+IFERROR(VLOOKUP(RESOURCE_3_TYPE,SELL_RATES,3,FALSE)*Input_Tasks[[#This Row],[R3 After Hours]],0)</f>
        <v>0</v>
      </c>
      <c r="AT59" s="398">
        <f>IFERROR(VLOOKUP(RESOURCE_4_TYPE,SELL_RATES,2,FALSE)*Input_Tasks[[#This Row],[R4 Business Hours]],0)+IFERROR(VLOOKUP(RESOURCE_4_TYPE,SELL_RATES,3,FALSE)*Input_Tasks[[#This Row],[R4 After Hours]],0)</f>
        <v>0</v>
      </c>
      <c r="AU59" s="398">
        <f>IFERROR(VLOOKUP(RESOURCE_5_TYPE,SELL_RATES,2,FALSE)*Input_Tasks[[#This Row],[R5 Business Hours]],0)+IFERROR(VLOOKUP(RESOURCE_5_TYPE,SELL_RATES,3,FALSE)*Input_Tasks[[#This Row],[R5 After Hours]],0)</f>
        <v>0</v>
      </c>
      <c r="AV59" s="400">
        <f>SUM(Input_Tasks[[#This Row],[Round Trips R1]:[Round Trips R5]])</f>
        <v>0</v>
      </c>
      <c r="AW59" s="401">
        <f>SUM(Input_Tasks[[#This Row],[Overnight StaysR1]:[Overnight StaysR5]])</f>
        <v>0</v>
      </c>
      <c r="AX59" s="401">
        <f>IF(AND(Input_Tasks[[#This Row],[Sell - Line Total]]&gt;0,OR(Input_Tasks[[#This Row],[Phase]]="",Input_Tasks[[#This Row],[Skill Required]]="",Input_Tasks[[#This Row],[Task Type]]="",Input_Tasks[[#This Row],[Description]]="")),1,0)</f>
        <v>0</v>
      </c>
      <c r="AY59" s="402">
        <f>IF(AND(Input_Tasks[[#This Row],[Task Type]]="ArchiTech Document Deliverable",Input_Tasks[[#This Row],[Hours]]&gt;0),1,0)</f>
        <v>0</v>
      </c>
      <c r="AZ5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5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5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5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5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5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5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5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5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5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5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5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5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59" s="405">
        <f>SUM(Input_Tasks[[#This Row],[R1 Business Hours]:[R1 After Hours]],Input_Tasks[[#This Row],[R2 Business Hours]:[R2 After Hours]],Input_Tasks[[#This Row],[R3 Business Hours]:[R3 After Hours]],Input_Tasks[[#This Row],[R4 Business Hours]:[R4 After Hours]],Input_Tasks[[#This Row],[R5 Business Hours]:[R5 After Hours]])</f>
        <v>0</v>
      </c>
    </row>
    <row r="60" spans="1:65">
      <c r="A60" s="384"/>
      <c r="B60" s="271"/>
      <c r="C60" s="271"/>
      <c r="D60" s="406"/>
      <c r="E60" s="385">
        <f>Input_Tasks[[#This Row],[Onsite Round Trips_Hidden]]</f>
        <v>0</v>
      </c>
      <c r="F60" s="385">
        <f>Input_Tasks[[#This Row],[Overnight Stays_Hidden]]</f>
        <v>0</v>
      </c>
      <c r="G60" s="385">
        <f>Input_Tasks[[#This Row],[Documents_Hidden]]</f>
        <v>0</v>
      </c>
      <c r="H60" s="387"/>
      <c r="I60" s="388"/>
      <c r="J60" s="389"/>
      <c r="K60" s="390"/>
      <c r="L60" s="390"/>
      <c r="M60" s="389"/>
      <c r="N60" s="390"/>
      <c r="O60" s="390"/>
      <c r="P60" s="389"/>
      <c r="Q60" s="390"/>
      <c r="R60" s="391"/>
      <c r="S60" s="389"/>
      <c r="T60" s="390"/>
      <c r="U60" s="391"/>
      <c r="V60" s="389"/>
      <c r="W60" s="390"/>
      <c r="X60" s="390"/>
      <c r="Y60" s="386" t="str">
        <f>Input_Tasks[[#This Row],[Onsite Round Trips_Hidden]]&amp;"/"&amp;Input_Tasks[[#This Row],[Overnight Stays_Hidden]]&amp;"/"&amp;Input_Tasks[[#This Row],[Documents_Hidden]]</f>
        <v>0/0/0</v>
      </c>
      <c r="Z60" s="392">
        <f>Input_Tasks[[#This Row],[R1 Cost_Hidden]]</f>
        <v>0</v>
      </c>
      <c r="AA60" s="393">
        <f>Input_Tasks[[#This Row],[R2 Cost_Hidden]]</f>
        <v>0</v>
      </c>
      <c r="AB60" s="393">
        <f>Input_Tasks[[#This Row],[R3 Cost_Hidden]]</f>
        <v>0</v>
      </c>
      <c r="AC60" s="393">
        <f>Input_Tasks[[#This Row],[R4 Cost_Hidden]]</f>
        <v>0</v>
      </c>
      <c r="AD60" s="394">
        <f>Input_Tasks[[#This Row],[R5 Cost_Hidden]]</f>
        <v>0</v>
      </c>
      <c r="AE60" s="395">
        <f>SUM(Input_Tasks[[#This Row],[R1 Cost]:[R5 Cost]])</f>
        <v>0</v>
      </c>
      <c r="AF60" s="392">
        <f>Input_Tasks[[#This Row],[R1 Sell_Hidden]]</f>
        <v>0</v>
      </c>
      <c r="AG60" s="393">
        <f>Input_Tasks[[#This Row],[R2 Sell_Hidden]]</f>
        <v>0</v>
      </c>
      <c r="AH60" s="393">
        <f>Input_Tasks[[#This Row],[R3 Sell_Hidden]]</f>
        <v>0</v>
      </c>
      <c r="AI60" s="393">
        <f>Input_Tasks[[#This Row],[R4 Sell_Hidden5]]</f>
        <v>0</v>
      </c>
      <c r="AJ60" s="394">
        <f>Input_Tasks[[#This Row],[R5 Sell_Hidden]]</f>
        <v>0</v>
      </c>
      <c r="AK60" s="396">
        <f>SUM(Input_Tasks[[#This Row],[R1 Sell]:[R5 Sell]])</f>
        <v>0</v>
      </c>
      <c r="AL60" s="397">
        <f>IFERROR(VLOOKUP(RESOURCE_1_TYPE,COST_RATES,2,FALSE)*Input_Tasks[[#This Row],[R1 Business Hours]],0)+IFERROR(VLOOKUP(RESOURCE_1_TYPE,COST_RATES,3,FALSE)*Input_Tasks[[#This Row],[R1 After Hours]],0)</f>
        <v>0</v>
      </c>
      <c r="AM60" s="398">
        <f>IFERROR(VLOOKUP(RESOURCE_2_TYPE,COST_RATES,2,FALSE)*Input_Tasks[[#This Row],[R2 Business Hours]],0)+IFERROR(VLOOKUP(RESOURCE_2_TYPE,COST_RATES,3,FALSE)*Input_Tasks[[#This Row],[R2 After Hours]],0)</f>
        <v>0</v>
      </c>
      <c r="AN60" s="398">
        <f>IFERROR(VLOOKUP(RESOURCE_3_TYPE,COST_RATES,2,FALSE)*Input_Tasks[[#This Row],[R3 Business Hours]],0)+IFERROR(VLOOKUP(RESOURCE_3_TYPE,COST_RATES,3,FALSE)*Input_Tasks[[#This Row],[R3 After Hours]],0)</f>
        <v>0</v>
      </c>
      <c r="AO60" s="398">
        <f>IFERROR(VLOOKUP(RESOURCE_4_TYPE,COST_RATES,2,FALSE)*Input_Tasks[[#This Row],[R4 Business Hours]],0)+IFERROR(VLOOKUP(RESOURCE_4_TYPE,COST_RATES,3,FALSE)*Input_Tasks[[#This Row],[R4 After Hours]],0)</f>
        <v>0</v>
      </c>
      <c r="AP60" s="398">
        <f>IFERROR(VLOOKUP(RESOURCE_5_TYPE,COST_RATES,2,FALSE)*Input_Tasks[[#This Row],[R5 Business Hours]],0)+IFERROR(VLOOKUP(RESOURCE_5_TYPE,COST_RATES,3,FALSE)*Input_Tasks[[#This Row],[R5 After Hours]],0)</f>
        <v>0</v>
      </c>
      <c r="AQ60" s="399">
        <f>IFERROR(VLOOKUP(RESOURCE_1_TYPE,SELL_RATES,2,FALSE)*Input_Tasks[[#This Row],[R1 Business Hours]],0)+IFERROR(VLOOKUP(RESOURCE_1_TYPE,SELL_RATES,3,FALSE)*Input_Tasks[[#This Row],[R1 After Hours]],0)</f>
        <v>0</v>
      </c>
      <c r="AR60" s="398">
        <f>IFERROR(VLOOKUP(RESOURCE_2_TYPE,SELL_RATES,2,FALSE)*Input_Tasks[[#This Row],[R2 Business Hours]],0)+IFERROR(VLOOKUP(RESOURCE_2_TYPE,SELL_RATES,3,FALSE)*Input_Tasks[[#This Row],[R2 After Hours]],0)</f>
        <v>0</v>
      </c>
      <c r="AS60" s="398">
        <f>IFERROR(VLOOKUP(RESOURCE_3_TYPE,SELL_RATES,2,FALSE)*Input_Tasks[[#This Row],[R3 Business Hours]],0)+IFERROR(VLOOKUP(RESOURCE_3_TYPE,SELL_RATES,3,FALSE)*Input_Tasks[[#This Row],[R3 After Hours]],0)</f>
        <v>0</v>
      </c>
      <c r="AT60" s="398">
        <f>IFERROR(VLOOKUP(RESOURCE_4_TYPE,SELL_RATES,2,FALSE)*Input_Tasks[[#This Row],[R4 Business Hours]],0)+IFERROR(VLOOKUP(RESOURCE_4_TYPE,SELL_RATES,3,FALSE)*Input_Tasks[[#This Row],[R4 After Hours]],0)</f>
        <v>0</v>
      </c>
      <c r="AU60" s="398">
        <f>IFERROR(VLOOKUP(RESOURCE_5_TYPE,SELL_RATES,2,FALSE)*Input_Tasks[[#This Row],[R5 Business Hours]],0)+IFERROR(VLOOKUP(RESOURCE_5_TYPE,SELL_RATES,3,FALSE)*Input_Tasks[[#This Row],[R5 After Hours]],0)</f>
        <v>0</v>
      </c>
      <c r="AV60" s="400">
        <f>SUM(Input_Tasks[[#This Row],[Round Trips R1]:[Round Trips R5]])</f>
        <v>0</v>
      </c>
      <c r="AW60" s="401">
        <f>SUM(Input_Tasks[[#This Row],[Overnight StaysR1]:[Overnight StaysR5]])</f>
        <v>0</v>
      </c>
      <c r="AX60" s="401">
        <f>IF(AND(Input_Tasks[[#This Row],[Sell - Line Total]]&gt;0,OR(Input_Tasks[[#This Row],[Phase]]="",Input_Tasks[[#This Row],[Skill Required]]="",Input_Tasks[[#This Row],[Task Type]]="",Input_Tasks[[#This Row],[Description]]="")),1,0)</f>
        <v>0</v>
      </c>
      <c r="AY60" s="402">
        <f>IF(AND(Input_Tasks[[#This Row],[Task Type]]="ArchiTech Document Deliverable",Input_Tasks[[#This Row],[Hours]]&gt;0),1,0)</f>
        <v>0</v>
      </c>
      <c r="AZ6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6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6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6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6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6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6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6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6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6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6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6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6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60" s="405">
        <f>SUM(Input_Tasks[[#This Row],[R1 Business Hours]:[R1 After Hours]],Input_Tasks[[#This Row],[R2 Business Hours]:[R2 After Hours]],Input_Tasks[[#This Row],[R3 Business Hours]:[R3 After Hours]],Input_Tasks[[#This Row],[R4 Business Hours]:[R4 After Hours]],Input_Tasks[[#This Row],[R5 Business Hours]:[R5 After Hours]])</f>
        <v>0</v>
      </c>
    </row>
    <row r="61" spans="1:65">
      <c r="A61" s="384"/>
      <c r="B61" s="271"/>
      <c r="C61" s="271"/>
      <c r="D61" s="406"/>
      <c r="E61" s="385">
        <f>Input_Tasks[[#This Row],[Onsite Round Trips_Hidden]]</f>
        <v>0</v>
      </c>
      <c r="F61" s="385">
        <f>Input_Tasks[[#This Row],[Overnight Stays_Hidden]]</f>
        <v>0</v>
      </c>
      <c r="G61" s="385">
        <f>Input_Tasks[[#This Row],[Documents_Hidden]]</f>
        <v>0</v>
      </c>
      <c r="H61" s="387"/>
      <c r="I61" s="388"/>
      <c r="J61" s="389"/>
      <c r="K61" s="390"/>
      <c r="L61" s="390"/>
      <c r="M61" s="389"/>
      <c r="N61" s="390"/>
      <c r="O61" s="390"/>
      <c r="P61" s="389"/>
      <c r="Q61" s="390"/>
      <c r="R61" s="391"/>
      <c r="S61" s="389"/>
      <c r="T61" s="390"/>
      <c r="U61" s="391"/>
      <c r="V61" s="389"/>
      <c r="W61" s="390"/>
      <c r="X61" s="390"/>
      <c r="Y61" s="386" t="str">
        <f>Input_Tasks[[#This Row],[Onsite Round Trips_Hidden]]&amp;"/"&amp;Input_Tasks[[#This Row],[Overnight Stays_Hidden]]&amp;"/"&amp;Input_Tasks[[#This Row],[Documents_Hidden]]</f>
        <v>0/0/0</v>
      </c>
      <c r="Z61" s="392">
        <f>Input_Tasks[[#This Row],[R1 Cost_Hidden]]</f>
        <v>0</v>
      </c>
      <c r="AA61" s="393">
        <f>Input_Tasks[[#This Row],[R2 Cost_Hidden]]</f>
        <v>0</v>
      </c>
      <c r="AB61" s="393">
        <f>Input_Tasks[[#This Row],[R3 Cost_Hidden]]</f>
        <v>0</v>
      </c>
      <c r="AC61" s="393">
        <f>Input_Tasks[[#This Row],[R4 Cost_Hidden]]</f>
        <v>0</v>
      </c>
      <c r="AD61" s="394">
        <f>Input_Tasks[[#This Row],[R5 Cost_Hidden]]</f>
        <v>0</v>
      </c>
      <c r="AE61" s="395">
        <f>SUM(Input_Tasks[[#This Row],[R1 Cost]:[R5 Cost]])</f>
        <v>0</v>
      </c>
      <c r="AF61" s="392">
        <f>Input_Tasks[[#This Row],[R1 Sell_Hidden]]</f>
        <v>0</v>
      </c>
      <c r="AG61" s="393">
        <f>Input_Tasks[[#This Row],[R2 Sell_Hidden]]</f>
        <v>0</v>
      </c>
      <c r="AH61" s="393">
        <f>Input_Tasks[[#This Row],[R3 Sell_Hidden]]</f>
        <v>0</v>
      </c>
      <c r="AI61" s="393">
        <f>Input_Tasks[[#This Row],[R4 Sell_Hidden5]]</f>
        <v>0</v>
      </c>
      <c r="AJ61" s="394">
        <f>Input_Tasks[[#This Row],[R5 Sell_Hidden]]</f>
        <v>0</v>
      </c>
      <c r="AK61" s="396">
        <f>SUM(Input_Tasks[[#This Row],[R1 Sell]:[R5 Sell]])</f>
        <v>0</v>
      </c>
      <c r="AL61" s="397">
        <f>IFERROR(VLOOKUP(RESOURCE_1_TYPE,COST_RATES,2,FALSE)*Input_Tasks[[#This Row],[R1 Business Hours]],0)+IFERROR(VLOOKUP(RESOURCE_1_TYPE,COST_RATES,3,FALSE)*Input_Tasks[[#This Row],[R1 After Hours]],0)</f>
        <v>0</v>
      </c>
      <c r="AM61" s="398">
        <f>IFERROR(VLOOKUP(RESOURCE_2_TYPE,COST_RATES,2,FALSE)*Input_Tasks[[#This Row],[R2 Business Hours]],0)+IFERROR(VLOOKUP(RESOURCE_2_TYPE,COST_RATES,3,FALSE)*Input_Tasks[[#This Row],[R2 After Hours]],0)</f>
        <v>0</v>
      </c>
      <c r="AN61" s="398">
        <f>IFERROR(VLOOKUP(RESOURCE_3_TYPE,COST_RATES,2,FALSE)*Input_Tasks[[#This Row],[R3 Business Hours]],0)+IFERROR(VLOOKUP(RESOURCE_3_TYPE,COST_RATES,3,FALSE)*Input_Tasks[[#This Row],[R3 After Hours]],0)</f>
        <v>0</v>
      </c>
      <c r="AO61" s="398">
        <f>IFERROR(VLOOKUP(RESOURCE_4_TYPE,COST_RATES,2,FALSE)*Input_Tasks[[#This Row],[R4 Business Hours]],0)+IFERROR(VLOOKUP(RESOURCE_4_TYPE,COST_RATES,3,FALSE)*Input_Tasks[[#This Row],[R4 After Hours]],0)</f>
        <v>0</v>
      </c>
      <c r="AP61" s="398">
        <f>IFERROR(VLOOKUP(RESOURCE_5_TYPE,COST_RATES,2,FALSE)*Input_Tasks[[#This Row],[R5 Business Hours]],0)+IFERROR(VLOOKUP(RESOURCE_5_TYPE,COST_RATES,3,FALSE)*Input_Tasks[[#This Row],[R5 After Hours]],0)</f>
        <v>0</v>
      </c>
      <c r="AQ61" s="399">
        <f>IFERROR(VLOOKUP(RESOURCE_1_TYPE,SELL_RATES,2,FALSE)*Input_Tasks[[#This Row],[R1 Business Hours]],0)+IFERROR(VLOOKUP(RESOURCE_1_TYPE,SELL_RATES,3,FALSE)*Input_Tasks[[#This Row],[R1 After Hours]],0)</f>
        <v>0</v>
      </c>
      <c r="AR61" s="398">
        <f>IFERROR(VLOOKUP(RESOURCE_2_TYPE,SELL_RATES,2,FALSE)*Input_Tasks[[#This Row],[R2 Business Hours]],0)+IFERROR(VLOOKUP(RESOURCE_2_TYPE,SELL_RATES,3,FALSE)*Input_Tasks[[#This Row],[R2 After Hours]],0)</f>
        <v>0</v>
      </c>
      <c r="AS61" s="398">
        <f>IFERROR(VLOOKUP(RESOURCE_3_TYPE,SELL_RATES,2,FALSE)*Input_Tasks[[#This Row],[R3 Business Hours]],0)+IFERROR(VLOOKUP(RESOURCE_3_TYPE,SELL_RATES,3,FALSE)*Input_Tasks[[#This Row],[R3 After Hours]],0)</f>
        <v>0</v>
      </c>
      <c r="AT61" s="398">
        <f>IFERROR(VLOOKUP(RESOURCE_4_TYPE,SELL_RATES,2,FALSE)*Input_Tasks[[#This Row],[R4 Business Hours]],0)+IFERROR(VLOOKUP(RESOURCE_4_TYPE,SELL_RATES,3,FALSE)*Input_Tasks[[#This Row],[R4 After Hours]],0)</f>
        <v>0</v>
      </c>
      <c r="AU61" s="398">
        <f>IFERROR(VLOOKUP(RESOURCE_5_TYPE,SELL_RATES,2,FALSE)*Input_Tasks[[#This Row],[R5 Business Hours]],0)+IFERROR(VLOOKUP(RESOURCE_5_TYPE,SELL_RATES,3,FALSE)*Input_Tasks[[#This Row],[R5 After Hours]],0)</f>
        <v>0</v>
      </c>
      <c r="AV61" s="400">
        <f>SUM(Input_Tasks[[#This Row],[Round Trips R1]:[Round Trips R5]])</f>
        <v>0</v>
      </c>
      <c r="AW61" s="401">
        <f>SUM(Input_Tasks[[#This Row],[Overnight StaysR1]:[Overnight StaysR5]])</f>
        <v>0</v>
      </c>
      <c r="AX61" s="401">
        <f>IF(AND(Input_Tasks[[#This Row],[Sell - Line Total]]&gt;0,OR(Input_Tasks[[#This Row],[Phase]]="",Input_Tasks[[#This Row],[Skill Required]]="",Input_Tasks[[#This Row],[Task Type]]="",Input_Tasks[[#This Row],[Description]]="")),1,0)</f>
        <v>0</v>
      </c>
      <c r="AY61" s="402">
        <f>IF(AND(Input_Tasks[[#This Row],[Task Type]]="ArchiTech Document Deliverable",Input_Tasks[[#This Row],[Hours]]&gt;0),1,0)</f>
        <v>0</v>
      </c>
      <c r="AZ6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6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6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6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6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6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6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6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6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6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6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6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6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61" s="405">
        <f>SUM(Input_Tasks[[#This Row],[R1 Business Hours]:[R1 After Hours]],Input_Tasks[[#This Row],[R2 Business Hours]:[R2 After Hours]],Input_Tasks[[#This Row],[R3 Business Hours]:[R3 After Hours]],Input_Tasks[[#This Row],[R4 Business Hours]:[R4 After Hours]],Input_Tasks[[#This Row],[R5 Business Hours]:[R5 After Hours]])</f>
        <v>0</v>
      </c>
    </row>
    <row r="62" spans="1:65">
      <c r="A62" s="384"/>
      <c r="B62" s="271"/>
      <c r="C62" s="271"/>
      <c r="D62" s="406"/>
      <c r="E62" s="385">
        <f>Input_Tasks[[#This Row],[Onsite Round Trips_Hidden]]</f>
        <v>0</v>
      </c>
      <c r="F62" s="385">
        <f>Input_Tasks[[#This Row],[Overnight Stays_Hidden]]</f>
        <v>0</v>
      </c>
      <c r="G62" s="385">
        <f>Input_Tasks[[#This Row],[Documents_Hidden]]</f>
        <v>0</v>
      </c>
      <c r="H62" s="387"/>
      <c r="I62" s="388"/>
      <c r="J62" s="389"/>
      <c r="K62" s="390"/>
      <c r="L62" s="390"/>
      <c r="M62" s="389"/>
      <c r="N62" s="390"/>
      <c r="O62" s="390"/>
      <c r="P62" s="389"/>
      <c r="Q62" s="390"/>
      <c r="R62" s="391"/>
      <c r="S62" s="389"/>
      <c r="T62" s="390"/>
      <c r="U62" s="391"/>
      <c r="V62" s="389"/>
      <c r="W62" s="390"/>
      <c r="X62" s="390"/>
      <c r="Y62" s="386" t="str">
        <f>Input_Tasks[[#This Row],[Onsite Round Trips_Hidden]]&amp;"/"&amp;Input_Tasks[[#This Row],[Overnight Stays_Hidden]]&amp;"/"&amp;Input_Tasks[[#This Row],[Documents_Hidden]]</f>
        <v>0/0/0</v>
      </c>
      <c r="Z62" s="392">
        <f>Input_Tasks[[#This Row],[R1 Cost_Hidden]]</f>
        <v>0</v>
      </c>
      <c r="AA62" s="393">
        <f>Input_Tasks[[#This Row],[R2 Cost_Hidden]]</f>
        <v>0</v>
      </c>
      <c r="AB62" s="393">
        <f>Input_Tasks[[#This Row],[R3 Cost_Hidden]]</f>
        <v>0</v>
      </c>
      <c r="AC62" s="393">
        <f>Input_Tasks[[#This Row],[R4 Cost_Hidden]]</f>
        <v>0</v>
      </c>
      <c r="AD62" s="394">
        <f>Input_Tasks[[#This Row],[R5 Cost_Hidden]]</f>
        <v>0</v>
      </c>
      <c r="AE62" s="395">
        <f>SUM(Input_Tasks[[#This Row],[R1 Cost]:[R5 Cost]])</f>
        <v>0</v>
      </c>
      <c r="AF62" s="392">
        <f>Input_Tasks[[#This Row],[R1 Sell_Hidden]]</f>
        <v>0</v>
      </c>
      <c r="AG62" s="393">
        <f>Input_Tasks[[#This Row],[R2 Sell_Hidden]]</f>
        <v>0</v>
      </c>
      <c r="AH62" s="393">
        <f>Input_Tasks[[#This Row],[R3 Sell_Hidden]]</f>
        <v>0</v>
      </c>
      <c r="AI62" s="393">
        <f>Input_Tasks[[#This Row],[R4 Sell_Hidden5]]</f>
        <v>0</v>
      </c>
      <c r="AJ62" s="394">
        <f>Input_Tasks[[#This Row],[R5 Sell_Hidden]]</f>
        <v>0</v>
      </c>
      <c r="AK62" s="396">
        <f>SUM(Input_Tasks[[#This Row],[R1 Sell]:[R5 Sell]])</f>
        <v>0</v>
      </c>
      <c r="AL62" s="397">
        <f>IFERROR(VLOOKUP(RESOURCE_1_TYPE,COST_RATES,2,FALSE)*Input_Tasks[[#This Row],[R1 Business Hours]],0)+IFERROR(VLOOKUP(RESOURCE_1_TYPE,COST_RATES,3,FALSE)*Input_Tasks[[#This Row],[R1 After Hours]],0)</f>
        <v>0</v>
      </c>
      <c r="AM62" s="398">
        <f>IFERROR(VLOOKUP(RESOURCE_2_TYPE,COST_RATES,2,FALSE)*Input_Tasks[[#This Row],[R2 Business Hours]],0)+IFERROR(VLOOKUP(RESOURCE_2_TYPE,COST_RATES,3,FALSE)*Input_Tasks[[#This Row],[R2 After Hours]],0)</f>
        <v>0</v>
      </c>
      <c r="AN62" s="398">
        <f>IFERROR(VLOOKUP(RESOURCE_3_TYPE,COST_RATES,2,FALSE)*Input_Tasks[[#This Row],[R3 Business Hours]],0)+IFERROR(VLOOKUP(RESOURCE_3_TYPE,COST_RATES,3,FALSE)*Input_Tasks[[#This Row],[R3 After Hours]],0)</f>
        <v>0</v>
      </c>
      <c r="AO62" s="398">
        <f>IFERROR(VLOOKUP(RESOURCE_4_TYPE,COST_RATES,2,FALSE)*Input_Tasks[[#This Row],[R4 Business Hours]],0)+IFERROR(VLOOKUP(RESOURCE_4_TYPE,COST_RATES,3,FALSE)*Input_Tasks[[#This Row],[R4 After Hours]],0)</f>
        <v>0</v>
      </c>
      <c r="AP62" s="398">
        <f>IFERROR(VLOOKUP(RESOURCE_5_TYPE,COST_RATES,2,FALSE)*Input_Tasks[[#This Row],[R5 Business Hours]],0)+IFERROR(VLOOKUP(RESOURCE_5_TYPE,COST_RATES,3,FALSE)*Input_Tasks[[#This Row],[R5 After Hours]],0)</f>
        <v>0</v>
      </c>
      <c r="AQ62" s="399">
        <f>IFERROR(VLOOKUP(RESOURCE_1_TYPE,SELL_RATES,2,FALSE)*Input_Tasks[[#This Row],[R1 Business Hours]],0)+IFERROR(VLOOKUP(RESOURCE_1_TYPE,SELL_RATES,3,FALSE)*Input_Tasks[[#This Row],[R1 After Hours]],0)</f>
        <v>0</v>
      </c>
      <c r="AR62" s="398">
        <f>IFERROR(VLOOKUP(RESOURCE_2_TYPE,SELL_RATES,2,FALSE)*Input_Tasks[[#This Row],[R2 Business Hours]],0)+IFERROR(VLOOKUP(RESOURCE_2_TYPE,SELL_RATES,3,FALSE)*Input_Tasks[[#This Row],[R2 After Hours]],0)</f>
        <v>0</v>
      </c>
      <c r="AS62" s="398">
        <f>IFERROR(VLOOKUP(RESOURCE_3_TYPE,SELL_RATES,2,FALSE)*Input_Tasks[[#This Row],[R3 Business Hours]],0)+IFERROR(VLOOKUP(RESOURCE_3_TYPE,SELL_RATES,3,FALSE)*Input_Tasks[[#This Row],[R3 After Hours]],0)</f>
        <v>0</v>
      </c>
      <c r="AT62" s="398">
        <f>IFERROR(VLOOKUP(RESOURCE_4_TYPE,SELL_RATES,2,FALSE)*Input_Tasks[[#This Row],[R4 Business Hours]],0)+IFERROR(VLOOKUP(RESOURCE_4_TYPE,SELL_RATES,3,FALSE)*Input_Tasks[[#This Row],[R4 After Hours]],0)</f>
        <v>0</v>
      </c>
      <c r="AU62" s="398">
        <f>IFERROR(VLOOKUP(RESOURCE_5_TYPE,SELL_RATES,2,FALSE)*Input_Tasks[[#This Row],[R5 Business Hours]],0)+IFERROR(VLOOKUP(RESOURCE_5_TYPE,SELL_RATES,3,FALSE)*Input_Tasks[[#This Row],[R5 After Hours]],0)</f>
        <v>0</v>
      </c>
      <c r="AV62" s="400">
        <f>SUM(Input_Tasks[[#This Row],[Round Trips R1]:[Round Trips R5]])</f>
        <v>0</v>
      </c>
      <c r="AW62" s="401">
        <f>SUM(Input_Tasks[[#This Row],[Overnight StaysR1]:[Overnight StaysR5]])</f>
        <v>0</v>
      </c>
      <c r="AX62" s="401">
        <f>IF(AND(Input_Tasks[[#This Row],[Sell - Line Total]]&gt;0,OR(Input_Tasks[[#This Row],[Phase]]="",Input_Tasks[[#This Row],[Skill Required]]="",Input_Tasks[[#This Row],[Task Type]]="",Input_Tasks[[#This Row],[Description]]="")),1,0)</f>
        <v>0</v>
      </c>
      <c r="AY62" s="402">
        <f>IF(AND(Input_Tasks[[#This Row],[Task Type]]="ArchiTech Document Deliverable",Input_Tasks[[#This Row],[Hours]]&gt;0),1,0)</f>
        <v>0</v>
      </c>
      <c r="AZ6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6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6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6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6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6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6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6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6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6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6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6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6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62" s="405">
        <f>SUM(Input_Tasks[[#This Row],[R1 Business Hours]:[R1 After Hours]],Input_Tasks[[#This Row],[R2 Business Hours]:[R2 After Hours]],Input_Tasks[[#This Row],[R3 Business Hours]:[R3 After Hours]],Input_Tasks[[#This Row],[R4 Business Hours]:[R4 After Hours]],Input_Tasks[[#This Row],[R5 Business Hours]:[R5 After Hours]])</f>
        <v>0</v>
      </c>
    </row>
    <row r="63" spans="1:65">
      <c r="A63" s="384"/>
      <c r="B63" s="271"/>
      <c r="C63" s="271"/>
      <c r="D63" s="406"/>
      <c r="E63" s="385">
        <f>Input_Tasks[[#This Row],[Onsite Round Trips_Hidden]]</f>
        <v>0</v>
      </c>
      <c r="F63" s="385">
        <f>Input_Tasks[[#This Row],[Overnight Stays_Hidden]]</f>
        <v>0</v>
      </c>
      <c r="G63" s="385">
        <f>Input_Tasks[[#This Row],[Documents_Hidden]]</f>
        <v>0</v>
      </c>
      <c r="H63" s="387"/>
      <c r="I63" s="388"/>
      <c r="J63" s="389"/>
      <c r="K63" s="390"/>
      <c r="L63" s="390"/>
      <c r="M63" s="389"/>
      <c r="N63" s="390"/>
      <c r="O63" s="390"/>
      <c r="P63" s="389"/>
      <c r="Q63" s="390"/>
      <c r="R63" s="391"/>
      <c r="S63" s="389"/>
      <c r="T63" s="390"/>
      <c r="U63" s="391"/>
      <c r="V63" s="389"/>
      <c r="W63" s="390"/>
      <c r="X63" s="390"/>
      <c r="Y63" s="386" t="str">
        <f>Input_Tasks[[#This Row],[Onsite Round Trips_Hidden]]&amp;"/"&amp;Input_Tasks[[#This Row],[Overnight Stays_Hidden]]&amp;"/"&amp;Input_Tasks[[#This Row],[Documents_Hidden]]</f>
        <v>0/0/0</v>
      </c>
      <c r="Z63" s="392">
        <f>Input_Tasks[[#This Row],[R1 Cost_Hidden]]</f>
        <v>0</v>
      </c>
      <c r="AA63" s="393">
        <f>Input_Tasks[[#This Row],[R2 Cost_Hidden]]</f>
        <v>0</v>
      </c>
      <c r="AB63" s="393">
        <f>Input_Tasks[[#This Row],[R3 Cost_Hidden]]</f>
        <v>0</v>
      </c>
      <c r="AC63" s="393">
        <f>Input_Tasks[[#This Row],[R4 Cost_Hidden]]</f>
        <v>0</v>
      </c>
      <c r="AD63" s="394">
        <f>Input_Tasks[[#This Row],[R5 Cost_Hidden]]</f>
        <v>0</v>
      </c>
      <c r="AE63" s="395">
        <f>SUM(Input_Tasks[[#This Row],[R1 Cost]:[R5 Cost]])</f>
        <v>0</v>
      </c>
      <c r="AF63" s="392">
        <f>Input_Tasks[[#This Row],[R1 Sell_Hidden]]</f>
        <v>0</v>
      </c>
      <c r="AG63" s="393">
        <f>Input_Tasks[[#This Row],[R2 Sell_Hidden]]</f>
        <v>0</v>
      </c>
      <c r="AH63" s="393">
        <f>Input_Tasks[[#This Row],[R3 Sell_Hidden]]</f>
        <v>0</v>
      </c>
      <c r="AI63" s="393">
        <f>Input_Tasks[[#This Row],[R4 Sell_Hidden5]]</f>
        <v>0</v>
      </c>
      <c r="AJ63" s="394">
        <f>Input_Tasks[[#This Row],[R5 Sell_Hidden]]</f>
        <v>0</v>
      </c>
      <c r="AK63" s="396">
        <f>SUM(Input_Tasks[[#This Row],[R1 Sell]:[R5 Sell]])</f>
        <v>0</v>
      </c>
      <c r="AL63" s="397">
        <f>IFERROR(VLOOKUP(RESOURCE_1_TYPE,COST_RATES,2,FALSE)*Input_Tasks[[#This Row],[R1 Business Hours]],0)+IFERROR(VLOOKUP(RESOURCE_1_TYPE,COST_RATES,3,FALSE)*Input_Tasks[[#This Row],[R1 After Hours]],0)</f>
        <v>0</v>
      </c>
      <c r="AM63" s="398">
        <f>IFERROR(VLOOKUP(RESOURCE_2_TYPE,COST_RATES,2,FALSE)*Input_Tasks[[#This Row],[R2 Business Hours]],0)+IFERROR(VLOOKUP(RESOURCE_2_TYPE,COST_RATES,3,FALSE)*Input_Tasks[[#This Row],[R2 After Hours]],0)</f>
        <v>0</v>
      </c>
      <c r="AN63" s="398">
        <f>IFERROR(VLOOKUP(RESOURCE_3_TYPE,COST_RATES,2,FALSE)*Input_Tasks[[#This Row],[R3 Business Hours]],0)+IFERROR(VLOOKUP(RESOURCE_3_TYPE,COST_RATES,3,FALSE)*Input_Tasks[[#This Row],[R3 After Hours]],0)</f>
        <v>0</v>
      </c>
      <c r="AO63" s="398">
        <f>IFERROR(VLOOKUP(RESOURCE_4_TYPE,COST_RATES,2,FALSE)*Input_Tasks[[#This Row],[R4 Business Hours]],0)+IFERROR(VLOOKUP(RESOURCE_4_TYPE,COST_RATES,3,FALSE)*Input_Tasks[[#This Row],[R4 After Hours]],0)</f>
        <v>0</v>
      </c>
      <c r="AP63" s="398">
        <f>IFERROR(VLOOKUP(RESOURCE_5_TYPE,COST_RATES,2,FALSE)*Input_Tasks[[#This Row],[R5 Business Hours]],0)+IFERROR(VLOOKUP(RESOURCE_5_TYPE,COST_RATES,3,FALSE)*Input_Tasks[[#This Row],[R5 After Hours]],0)</f>
        <v>0</v>
      </c>
      <c r="AQ63" s="399">
        <f>IFERROR(VLOOKUP(RESOURCE_1_TYPE,SELL_RATES,2,FALSE)*Input_Tasks[[#This Row],[R1 Business Hours]],0)+IFERROR(VLOOKUP(RESOURCE_1_TYPE,SELL_RATES,3,FALSE)*Input_Tasks[[#This Row],[R1 After Hours]],0)</f>
        <v>0</v>
      </c>
      <c r="AR63" s="398">
        <f>IFERROR(VLOOKUP(RESOURCE_2_TYPE,SELL_RATES,2,FALSE)*Input_Tasks[[#This Row],[R2 Business Hours]],0)+IFERROR(VLOOKUP(RESOURCE_2_TYPE,SELL_RATES,3,FALSE)*Input_Tasks[[#This Row],[R2 After Hours]],0)</f>
        <v>0</v>
      </c>
      <c r="AS63" s="398">
        <f>IFERROR(VLOOKUP(RESOURCE_3_TYPE,SELL_RATES,2,FALSE)*Input_Tasks[[#This Row],[R3 Business Hours]],0)+IFERROR(VLOOKUP(RESOURCE_3_TYPE,SELL_RATES,3,FALSE)*Input_Tasks[[#This Row],[R3 After Hours]],0)</f>
        <v>0</v>
      </c>
      <c r="AT63" s="398">
        <f>IFERROR(VLOOKUP(RESOURCE_4_TYPE,SELL_RATES,2,FALSE)*Input_Tasks[[#This Row],[R4 Business Hours]],0)+IFERROR(VLOOKUP(RESOURCE_4_TYPE,SELL_RATES,3,FALSE)*Input_Tasks[[#This Row],[R4 After Hours]],0)</f>
        <v>0</v>
      </c>
      <c r="AU63" s="398">
        <f>IFERROR(VLOOKUP(RESOURCE_5_TYPE,SELL_RATES,2,FALSE)*Input_Tasks[[#This Row],[R5 Business Hours]],0)+IFERROR(VLOOKUP(RESOURCE_5_TYPE,SELL_RATES,3,FALSE)*Input_Tasks[[#This Row],[R5 After Hours]],0)</f>
        <v>0</v>
      </c>
      <c r="AV63" s="400">
        <f>SUM(Input_Tasks[[#This Row],[Round Trips R1]:[Round Trips R5]])</f>
        <v>0</v>
      </c>
      <c r="AW63" s="401">
        <f>SUM(Input_Tasks[[#This Row],[Overnight StaysR1]:[Overnight StaysR5]])</f>
        <v>0</v>
      </c>
      <c r="AX63" s="401">
        <f>IF(AND(Input_Tasks[[#This Row],[Sell - Line Total]]&gt;0,OR(Input_Tasks[[#This Row],[Phase]]="",Input_Tasks[[#This Row],[Skill Required]]="",Input_Tasks[[#This Row],[Task Type]]="",Input_Tasks[[#This Row],[Description]]="")),1,0)</f>
        <v>0</v>
      </c>
      <c r="AY63" s="402">
        <f>IF(AND(Input_Tasks[[#This Row],[Task Type]]="ArchiTech Document Deliverable",Input_Tasks[[#This Row],[Hours]]&gt;0),1,0)</f>
        <v>0</v>
      </c>
      <c r="AZ6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6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6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6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6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6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6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6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6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6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6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6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6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63" s="405">
        <f>SUM(Input_Tasks[[#This Row],[R1 Business Hours]:[R1 After Hours]],Input_Tasks[[#This Row],[R2 Business Hours]:[R2 After Hours]],Input_Tasks[[#This Row],[R3 Business Hours]:[R3 After Hours]],Input_Tasks[[#This Row],[R4 Business Hours]:[R4 After Hours]],Input_Tasks[[#This Row],[R5 Business Hours]:[R5 After Hours]])</f>
        <v>0</v>
      </c>
    </row>
    <row r="64" spans="1:65">
      <c r="A64" s="384"/>
      <c r="B64" s="271"/>
      <c r="C64" s="271"/>
      <c r="D64" s="406"/>
      <c r="E64" s="385">
        <f>Input_Tasks[[#This Row],[Onsite Round Trips_Hidden]]</f>
        <v>0</v>
      </c>
      <c r="F64" s="385">
        <f>Input_Tasks[[#This Row],[Overnight Stays_Hidden]]</f>
        <v>0</v>
      </c>
      <c r="G64" s="385">
        <f>Input_Tasks[[#This Row],[Documents_Hidden]]</f>
        <v>0</v>
      </c>
      <c r="H64" s="387"/>
      <c r="I64" s="388"/>
      <c r="J64" s="389"/>
      <c r="K64" s="390"/>
      <c r="L64" s="390"/>
      <c r="M64" s="389"/>
      <c r="N64" s="390"/>
      <c r="O64" s="390"/>
      <c r="P64" s="389"/>
      <c r="Q64" s="390"/>
      <c r="R64" s="391"/>
      <c r="S64" s="389"/>
      <c r="T64" s="390"/>
      <c r="U64" s="391"/>
      <c r="V64" s="389"/>
      <c r="W64" s="390"/>
      <c r="X64" s="390"/>
      <c r="Y64" s="386" t="str">
        <f>Input_Tasks[[#This Row],[Onsite Round Trips_Hidden]]&amp;"/"&amp;Input_Tasks[[#This Row],[Overnight Stays_Hidden]]&amp;"/"&amp;Input_Tasks[[#This Row],[Documents_Hidden]]</f>
        <v>0/0/0</v>
      </c>
      <c r="Z64" s="392">
        <f>Input_Tasks[[#This Row],[R1 Cost_Hidden]]</f>
        <v>0</v>
      </c>
      <c r="AA64" s="393">
        <f>Input_Tasks[[#This Row],[R2 Cost_Hidden]]</f>
        <v>0</v>
      </c>
      <c r="AB64" s="393">
        <f>Input_Tasks[[#This Row],[R3 Cost_Hidden]]</f>
        <v>0</v>
      </c>
      <c r="AC64" s="393">
        <f>Input_Tasks[[#This Row],[R4 Cost_Hidden]]</f>
        <v>0</v>
      </c>
      <c r="AD64" s="394">
        <f>Input_Tasks[[#This Row],[R5 Cost_Hidden]]</f>
        <v>0</v>
      </c>
      <c r="AE64" s="395">
        <f>SUM(Input_Tasks[[#This Row],[R1 Cost]:[R5 Cost]])</f>
        <v>0</v>
      </c>
      <c r="AF64" s="392">
        <f>Input_Tasks[[#This Row],[R1 Sell_Hidden]]</f>
        <v>0</v>
      </c>
      <c r="AG64" s="393">
        <f>Input_Tasks[[#This Row],[R2 Sell_Hidden]]</f>
        <v>0</v>
      </c>
      <c r="AH64" s="393">
        <f>Input_Tasks[[#This Row],[R3 Sell_Hidden]]</f>
        <v>0</v>
      </c>
      <c r="AI64" s="393">
        <f>Input_Tasks[[#This Row],[R4 Sell_Hidden5]]</f>
        <v>0</v>
      </c>
      <c r="AJ64" s="394">
        <f>Input_Tasks[[#This Row],[R5 Sell_Hidden]]</f>
        <v>0</v>
      </c>
      <c r="AK64" s="396">
        <f>SUM(Input_Tasks[[#This Row],[R1 Sell]:[R5 Sell]])</f>
        <v>0</v>
      </c>
      <c r="AL64" s="397">
        <f>IFERROR(VLOOKUP(RESOURCE_1_TYPE,COST_RATES,2,FALSE)*Input_Tasks[[#This Row],[R1 Business Hours]],0)+IFERROR(VLOOKUP(RESOURCE_1_TYPE,COST_RATES,3,FALSE)*Input_Tasks[[#This Row],[R1 After Hours]],0)</f>
        <v>0</v>
      </c>
      <c r="AM64" s="398">
        <f>IFERROR(VLOOKUP(RESOURCE_2_TYPE,COST_RATES,2,FALSE)*Input_Tasks[[#This Row],[R2 Business Hours]],0)+IFERROR(VLOOKUP(RESOURCE_2_TYPE,COST_RATES,3,FALSE)*Input_Tasks[[#This Row],[R2 After Hours]],0)</f>
        <v>0</v>
      </c>
      <c r="AN64" s="398">
        <f>IFERROR(VLOOKUP(RESOURCE_3_TYPE,COST_RATES,2,FALSE)*Input_Tasks[[#This Row],[R3 Business Hours]],0)+IFERROR(VLOOKUP(RESOURCE_3_TYPE,COST_RATES,3,FALSE)*Input_Tasks[[#This Row],[R3 After Hours]],0)</f>
        <v>0</v>
      </c>
      <c r="AO64" s="398">
        <f>IFERROR(VLOOKUP(RESOURCE_4_TYPE,COST_RATES,2,FALSE)*Input_Tasks[[#This Row],[R4 Business Hours]],0)+IFERROR(VLOOKUP(RESOURCE_4_TYPE,COST_RATES,3,FALSE)*Input_Tasks[[#This Row],[R4 After Hours]],0)</f>
        <v>0</v>
      </c>
      <c r="AP64" s="398">
        <f>IFERROR(VLOOKUP(RESOURCE_5_TYPE,COST_RATES,2,FALSE)*Input_Tasks[[#This Row],[R5 Business Hours]],0)+IFERROR(VLOOKUP(RESOURCE_5_TYPE,COST_RATES,3,FALSE)*Input_Tasks[[#This Row],[R5 After Hours]],0)</f>
        <v>0</v>
      </c>
      <c r="AQ64" s="399">
        <f>IFERROR(VLOOKUP(RESOURCE_1_TYPE,SELL_RATES,2,FALSE)*Input_Tasks[[#This Row],[R1 Business Hours]],0)+IFERROR(VLOOKUP(RESOURCE_1_TYPE,SELL_RATES,3,FALSE)*Input_Tasks[[#This Row],[R1 After Hours]],0)</f>
        <v>0</v>
      </c>
      <c r="AR64" s="398">
        <f>IFERROR(VLOOKUP(RESOURCE_2_TYPE,SELL_RATES,2,FALSE)*Input_Tasks[[#This Row],[R2 Business Hours]],0)+IFERROR(VLOOKUP(RESOURCE_2_TYPE,SELL_RATES,3,FALSE)*Input_Tasks[[#This Row],[R2 After Hours]],0)</f>
        <v>0</v>
      </c>
      <c r="AS64" s="398">
        <f>IFERROR(VLOOKUP(RESOURCE_3_TYPE,SELL_RATES,2,FALSE)*Input_Tasks[[#This Row],[R3 Business Hours]],0)+IFERROR(VLOOKUP(RESOURCE_3_TYPE,SELL_RATES,3,FALSE)*Input_Tasks[[#This Row],[R3 After Hours]],0)</f>
        <v>0</v>
      </c>
      <c r="AT64" s="398">
        <f>IFERROR(VLOOKUP(RESOURCE_4_TYPE,SELL_RATES,2,FALSE)*Input_Tasks[[#This Row],[R4 Business Hours]],0)+IFERROR(VLOOKUP(RESOURCE_4_TYPE,SELL_RATES,3,FALSE)*Input_Tasks[[#This Row],[R4 After Hours]],0)</f>
        <v>0</v>
      </c>
      <c r="AU64" s="398">
        <f>IFERROR(VLOOKUP(RESOURCE_5_TYPE,SELL_RATES,2,FALSE)*Input_Tasks[[#This Row],[R5 Business Hours]],0)+IFERROR(VLOOKUP(RESOURCE_5_TYPE,SELL_RATES,3,FALSE)*Input_Tasks[[#This Row],[R5 After Hours]],0)</f>
        <v>0</v>
      </c>
      <c r="AV64" s="400">
        <f>SUM(Input_Tasks[[#This Row],[Round Trips R1]:[Round Trips R5]])</f>
        <v>0</v>
      </c>
      <c r="AW64" s="401">
        <f>SUM(Input_Tasks[[#This Row],[Overnight StaysR1]:[Overnight StaysR5]])</f>
        <v>0</v>
      </c>
      <c r="AX64" s="401">
        <f>IF(AND(Input_Tasks[[#This Row],[Sell - Line Total]]&gt;0,OR(Input_Tasks[[#This Row],[Phase]]="",Input_Tasks[[#This Row],[Skill Required]]="",Input_Tasks[[#This Row],[Task Type]]="",Input_Tasks[[#This Row],[Description]]="")),1,0)</f>
        <v>0</v>
      </c>
      <c r="AY64" s="402">
        <f>IF(AND(Input_Tasks[[#This Row],[Task Type]]="ArchiTech Document Deliverable",Input_Tasks[[#This Row],[Hours]]&gt;0),1,0)</f>
        <v>0</v>
      </c>
      <c r="AZ6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6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6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6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6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6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6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6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6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6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6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6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6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64" s="405">
        <f>SUM(Input_Tasks[[#This Row],[R1 Business Hours]:[R1 After Hours]],Input_Tasks[[#This Row],[R2 Business Hours]:[R2 After Hours]],Input_Tasks[[#This Row],[R3 Business Hours]:[R3 After Hours]],Input_Tasks[[#This Row],[R4 Business Hours]:[R4 After Hours]],Input_Tasks[[#This Row],[R5 Business Hours]:[R5 After Hours]])</f>
        <v>0</v>
      </c>
    </row>
    <row r="65" spans="1:65">
      <c r="A65" s="384"/>
      <c r="B65" s="271"/>
      <c r="C65" s="271"/>
      <c r="D65" s="406"/>
      <c r="E65" s="385">
        <f>Input_Tasks[[#This Row],[Onsite Round Trips_Hidden]]</f>
        <v>0</v>
      </c>
      <c r="F65" s="385">
        <f>Input_Tasks[[#This Row],[Overnight Stays_Hidden]]</f>
        <v>0</v>
      </c>
      <c r="G65" s="385">
        <f>Input_Tasks[[#This Row],[Documents_Hidden]]</f>
        <v>0</v>
      </c>
      <c r="H65" s="387"/>
      <c r="I65" s="388"/>
      <c r="J65" s="389"/>
      <c r="K65" s="390"/>
      <c r="L65" s="390"/>
      <c r="M65" s="389"/>
      <c r="N65" s="390"/>
      <c r="O65" s="390"/>
      <c r="P65" s="389"/>
      <c r="Q65" s="390"/>
      <c r="R65" s="391"/>
      <c r="S65" s="389"/>
      <c r="T65" s="390"/>
      <c r="U65" s="391"/>
      <c r="V65" s="389"/>
      <c r="W65" s="390"/>
      <c r="X65" s="390"/>
      <c r="Y65" s="386" t="str">
        <f>Input_Tasks[[#This Row],[Onsite Round Trips_Hidden]]&amp;"/"&amp;Input_Tasks[[#This Row],[Overnight Stays_Hidden]]&amp;"/"&amp;Input_Tasks[[#This Row],[Documents_Hidden]]</f>
        <v>0/0/0</v>
      </c>
      <c r="Z65" s="392">
        <f>Input_Tasks[[#This Row],[R1 Cost_Hidden]]</f>
        <v>0</v>
      </c>
      <c r="AA65" s="393">
        <f>Input_Tasks[[#This Row],[R2 Cost_Hidden]]</f>
        <v>0</v>
      </c>
      <c r="AB65" s="393">
        <f>Input_Tasks[[#This Row],[R3 Cost_Hidden]]</f>
        <v>0</v>
      </c>
      <c r="AC65" s="393">
        <f>Input_Tasks[[#This Row],[R4 Cost_Hidden]]</f>
        <v>0</v>
      </c>
      <c r="AD65" s="394">
        <f>Input_Tasks[[#This Row],[R5 Cost_Hidden]]</f>
        <v>0</v>
      </c>
      <c r="AE65" s="395">
        <f>SUM(Input_Tasks[[#This Row],[R1 Cost]:[R5 Cost]])</f>
        <v>0</v>
      </c>
      <c r="AF65" s="392">
        <f>Input_Tasks[[#This Row],[R1 Sell_Hidden]]</f>
        <v>0</v>
      </c>
      <c r="AG65" s="393">
        <f>Input_Tasks[[#This Row],[R2 Sell_Hidden]]</f>
        <v>0</v>
      </c>
      <c r="AH65" s="393">
        <f>Input_Tasks[[#This Row],[R3 Sell_Hidden]]</f>
        <v>0</v>
      </c>
      <c r="AI65" s="393">
        <f>Input_Tasks[[#This Row],[R4 Sell_Hidden5]]</f>
        <v>0</v>
      </c>
      <c r="AJ65" s="394">
        <f>Input_Tasks[[#This Row],[R5 Sell_Hidden]]</f>
        <v>0</v>
      </c>
      <c r="AK65" s="396">
        <f>SUM(Input_Tasks[[#This Row],[R1 Sell]:[R5 Sell]])</f>
        <v>0</v>
      </c>
      <c r="AL65" s="397">
        <f>IFERROR(VLOOKUP(RESOURCE_1_TYPE,COST_RATES,2,FALSE)*Input_Tasks[[#This Row],[R1 Business Hours]],0)+IFERROR(VLOOKUP(RESOURCE_1_TYPE,COST_RATES,3,FALSE)*Input_Tasks[[#This Row],[R1 After Hours]],0)</f>
        <v>0</v>
      </c>
      <c r="AM65" s="398">
        <f>IFERROR(VLOOKUP(RESOURCE_2_TYPE,COST_RATES,2,FALSE)*Input_Tasks[[#This Row],[R2 Business Hours]],0)+IFERROR(VLOOKUP(RESOURCE_2_TYPE,COST_RATES,3,FALSE)*Input_Tasks[[#This Row],[R2 After Hours]],0)</f>
        <v>0</v>
      </c>
      <c r="AN65" s="398">
        <f>IFERROR(VLOOKUP(RESOURCE_3_TYPE,COST_RATES,2,FALSE)*Input_Tasks[[#This Row],[R3 Business Hours]],0)+IFERROR(VLOOKUP(RESOURCE_3_TYPE,COST_RATES,3,FALSE)*Input_Tasks[[#This Row],[R3 After Hours]],0)</f>
        <v>0</v>
      </c>
      <c r="AO65" s="398">
        <f>IFERROR(VLOOKUP(RESOURCE_4_TYPE,COST_RATES,2,FALSE)*Input_Tasks[[#This Row],[R4 Business Hours]],0)+IFERROR(VLOOKUP(RESOURCE_4_TYPE,COST_RATES,3,FALSE)*Input_Tasks[[#This Row],[R4 After Hours]],0)</f>
        <v>0</v>
      </c>
      <c r="AP65" s="398">
        <f>IFERROR(VLOOKUP(RESOURCE_5_TYPE,COST_RATES,2,FALSE)*Input_Tasks[[#This Row],[R5 Business Hours]],0)+IFERROR(VLOOKUP(RESOURCE_5_TYPE,COST_RATES,3,FALSE)*Input_Tasks[[#This Row],[R5 After Hours]],0)</f>
        <v>0</v>
      </c>
      <c r="AQ65" s="399">
        <f>IFERROR(VLOOKUP(RESOURCE_1_TYPE,SELL_RATES,2,FALSE)*Input_Tasks[[#This Row],[R1 Business Hours]],0)+IFERROR(VLOOKUP(RESOURCE_1_TYPE,SELL_RATES,3,FALSE)*Input_Tasks[[#This Row],[R1 After Hours]],0)</f>
        <v>0</v>
      </c>
      <c r="AR65" s="398">
        <f>IFERROR(VLOOKUP(RESOURCE_2_TYPE,SELL_RATES,2,FALSE)*Input_Tasks[[#This Row],[R2 Business Hours]],0)+IFERROR(VLOOKUP(RESOURCE_2_TYPE,SELL_RATES,3,FALSE)*Input_Tasks[[#This Row],[R2 After Hours]],0)</f>
        <v>0</v>
      </c>
      <c r="AS65" s="398">
        <f>IFERROR(VLOOKUP(RESOURCE_3_TYPE,SELL_RATES,2,FALSE)*Input_Tasks[[#This Row],[R3 Business Hours]],0)+IFERROR(VLOOKUP(RESOURCE_3_TYPE,SELL_RATES,3,FALSE)*Input_Tasks[[#This Row],[R3 After Hours]],0)</f>
        <v>0</v>
      </c>
      <c r="AT65" s="398">
        <f>IFERROR(VLOOKUP(RESOURCE_4_TYPE,SELL_RATES,2,FALSE)*Input_Tasks[[#This Row],[R4 Business Hours]],0)+IFERROR(VLOOKUP(RESOURCE_4_TYPE,SELL_RATES,3,FALSE)*Input_Tasks[[#This Row],[R4 After Hours]],0)</f>
        <v>0</v>
      </c>
      <c r="AU65" s="398">
        <f>IFERROR(VLOOKUP(RESOURCE_5_TYPE,SELL_RATES,2,FALSE)*Input_Tasks[[#This Row],[R5 Business Hours]],0)+IFERROR(VLOOKUP(RESOURCE_5_TYPE,SELL_RATES,3,FALSE)*Input_Tasks[[#This Row],[R5 After Hours]],0)</f>
        <v>0</v>
      </c>
      <c r="AV65" s="400">
        <f>SUM(Input_Tasks[[#This Row],[Round Trips R1]:[Round Trips R5]])</f>
        <v>0</v>
      </c>
      <c r="AW65" s="401">
        <f>SUM(Input_Tasks[[#This Row],[Overnight StaysR1]:[Overnight StaysR5]])</f>
        <v>0</v>
      </c>
      <c r="AX65" s="401">
        <f>IF(AND(Input_Tasks[[#This Row],[Sell - Line Total]]&gt;0,OR(Input_Tasks[[#This Row],[Phase]]="",Input_Tasks[[#This Row],[Skill Required]]="",Input_Tasks[[#This Row],[Task Type]]="",Input_Tasks[[#This Row],[Description]]="")),1,0)</f>
        <v>0</v>
      </c>
      <c r="AY65" s="402">
        <f>IF(AND(Input_Tasks[[#This Row],[Task Type]]="ArchiTech Document Deliverable",Input_Tasks[[#This Row],[Hours]]&gt;0),1,0)</f>
        <v>0</v>
      </c>
      <c r="AZ6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6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6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6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6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6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6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6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6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6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6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6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6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65" s="405">
        <f>SUM(Input_Tasks[[#This Row],[R1 Business Hours]:[R1 After Hours]],Input_Tasks[[#This Row],[R2 Business Hours]:[R2 After Hours]],Input_Tasks[[#This Row],[R3 Business Hours]:[R3 After Hours]],Input_Tasks[[#This Row],[R4 Business Hours]:[R4 After Hours]],Input_Tasks[[#This Row],[R5 Business Hours]:[R5 After Hours]])</f>
        <v>0</v>
      </c>
    </row>
    <row r="66" spans="1:65">
      <c r="A66" s="384"/>
      <c r="B66" s="271"/>
      <c r="C66" s="271"/>
      <c r="D66" s="406"/>
      <c r="E66" s="385">
        <f>Input_Tasks[[#This Row],[Onsite Round Trips_Hidden]]</f>
        <v>0</v>
      </c>
      <c r="F66" s="385">
        <f>Input_Tasks[[#This Row],[Overnight Stays_Hidden]]</f>
        <v>0</v>
      </c>
      <c r="G66" s="385">
        <f>Input_Tasks[[#This Row],[Documents_Hidden]]</f>
        <v>0</v>
      </c>
      <c r="H66" s="387"/>
      <c r="I66" s="388"/>
      <c r="J66" s="389"/>
      <c r="K66" s="390"/>
      <c r="L66" s="390"/>
      <c r="M66" s="389"/>
      <c r="N66" s="390"/>
      <c r="O66" s="390"/>
      <c r="P66" s="389"/>
      <c r="Q66" s="390"/>
      <c r="R66" s="391"/>
      <c r="S66" s="389"/>
      <c r="T66" s="390"/>
      <c r="U66" s="391"/>
      <c r="V66" s="389"/>
      <c r="W66" s="390"/>
      <c r="X66" s="390"/>
      <c r="Y66" s="386" t="str">
        <f>Input_Tasks[[#This Row],[Onsite Round Trips_Hidden]]&amp;"/"&amp;Input_Tasks[[#This Row],[Overnight Stays_Hidden]]&amp;"/"&amp;Input_Tasks[[#This Row],[Documents_Hidden]]</f>
        <v>0/0/0</v>
      </c>
      <c r="Z66" s="392">
        <f>Input_Tasks[[#This Row],[R1 Cost_Hidden]]</f>
        <v>0</v>
      </c>
      <c r="AA66" s="393">
        <f>Input_Tasks[[#This Row],[R2 Cost_Hidden]]</f>
        <v>0</v>
      </c>
      <c r="AB66" s="393">
        <f>Input_Tasks[[#This Row],[R3 Cost_Hidden]]</f>
        <v>0</v>
      </c>
      <c r="AC66" s="393">
        <f>Input_Tasks[[#This Row],[R4 Cost_Hidden]]</f>
        <v>0</v>
      </c>
      <c r="AD66" s="394">
        <f>Input_Tasks[[#This Row],[R5 Cost_Hidden]]</f>
        <v>0</v>
      </c>
      <c r="AE66" s="395">
        <f>SUM(Input_Tasks[[#This Row],[R1 Cost]:[R5 Cost]])</f>
        <v>0</v>
      </c>
      <c r="AF66" s="392">
        <f>Input_Tasks[[#This Row],[R1 Sell_Hidden]]</f>
        <v>0</v>
      </c>
      <c r="AG66" s="393">
        <f>Input_Tasks[[#This Row],[R2 Sell_Hidden]]</f>
        <v>0</v>
      </c>
      <c r="AH66" s="393">
        <f>Input_Tasks[[#This Row],[R3 Sell_Hidden]]</f>
        <v>0</v>
      </c>
      <c r="AI66" s="393">
        <f>Input_Tasks[[#This Row],[R4 Sell_Hidden5]]</f>
        <v>0</v>
      </c>
      <c r="AJ66" s="394">
        <f>Input_Tasks[[#This Row],[R5 Sell_Hidden]]</f>
        <v>0</v>
      </c>
      <c r="AK66" s="396">
        <f>SUM(Input_Tasks[[#This Row],[R1 Sell]:[R5 Sell]])</f>
        <v>0</v>
      </c>
      <c r="AL66" s="397">
        <f>IFERROR(VLOOKUP(RESOURCE_1_TYPE,COST_RATES,2,FALSE)*Input_Tasks[[#This Row],[R1 Business Hours]],0)+IFERROR(VLOOKUP(RESOURCE_1_TYPE,COST_RATES,3,FALSE)*Input_Tasks[[#This Row],[R1 After Hours]],0)</f>
        <v>0</v>
      </c>
      <c r="AM66" s="398">
        <f>IFERROR(VLOOKUP(RESOURCE_2_TYPE,COST_RATES,2,FALSE)*Input_Tasks[[#This Row],[R2 Business Hours]],0)+IFERROR(VLOOKUP(RESOURCE_2_TYPE,COST_RATES,3,FALSE)*Input_Tasks[[#This Row],[R2 After Hours]],0)</f>
        <v>0</v>
      </c>
      <c r="AN66" s="398">
        <f>IFERROR(VLOOKUP(RESOURCE_3_TYPE,COST_RATES,2,FALSE)*Input_Tasks[[#This Row],[R3 Business Hours]],0)+IFERROR(VLOOKUP(RESOURCE_3_TYPE,COST_RATES,3,FALSE)*Input_Tasks[[#This Row],[R3 After Hours]],0)</f>
        <v>0</v>
      </c>
      <c r="AO66" s="398">
        <f>IFERROR(VLOOKUP(RESOURCE_4_TYPE,COST_RATES,2,FALSE)*Input_Tasks[[#This Row],[R4 Business Hours]],0)+IFERROR(VLOOKUP(RESOURCE_4_TYPE,COST_RATES,3,FALSE)*Input_Tasks[[#This Row],[R4 After Hours]],0)</f>
        <v>0</v>
      </c>
      <c r="AP66" s="398">
        <f>IFERROR(VLOOKUP(RESOURCE_5_TYPE,COST_RATES,2,FALSE)*Input_Tasks[[#This Row],[R5 Business Hours]],0)+IFERROR(VLOOKUP(RESOURCE_5_TYPE,COST_RATES,3,FALSE)*Input_Tasks[[#This Row],[R5 After Hours]],0)</f>
        <v>0</v>
      </c>
      <c r="AQ66" s="399">
        <f>IFERROR(VLOOKUP(RESOURCE_1_TYPE,SELL_RATES,2,FALSE)*Input_Tasks[[#This Row],[R1 Business Hours]],0)+IFERROR(VLOOKUP(RESOURCE_1_TYPE,SELL_RATES,3,FALSE)*Input_Tasks[[#This Row],[R1 After Hours]],0)</f>
        <v>0</v>
      </c>
      <c r="AR66" s="398">
        <f>IFERROR(VLOOKUP(RESOURCE_2_TYPE,SELL_RATES,2,FALSE)*Input_Tasks[[#This Row],[R2 Business Hours]],0)+IFERROR(VLOOKUP(RESOURCE_2_TYPE,SELL_RATES,3,FALSE)*Input_Tasks[[#This Row],[R2 After Hours]],0)</f>
        <v>0</v>
      </c>
      <c r="AS66" s="398">
        <f>IFERROR(VLOOKUP(RESOURCE_3_TYPE,SELL_RATES,2,FALSE)*Input_Tasks[[#This Row],[R3 Business Hours]],0)+IFERROR(VLOOKUP(RESOURCE_3_TYPE,SELL_RATES,3,FALSE)*Input_Tasks[[#This Row],[R3 After Hours]],0)</f>
        <v>0</v>
      </c>
      <c r="AT66" s="398">
        <f>IFERROR(VLOOKUP(RESOURCE_4_TYPE,SELL_RATES,2,FALSE)*Input_Tasks[[#This Row],[R4 Business Hours]],0)+IFERROR(VLOOKUP(RESOURCE_4_TYPE,SELL_RATES,3,FALSE)*Input_Tasks[[#This Row],[R4 After Hours]],0)</f>
        <v>0</v>
      </c>
      <c r="AU66" s="398">
        <f>IFERROR(VLOOKUP(RESOURCE_5_TYPE,SELL_RATES,2,FALSE)*Input_Tasks[[#This Row],[R5 Business Hours]],0)+IFERROR(VLOOKUP(RESOURCE_5_TYPE,SELL_RATES,3,FALSE)*Input_Tasks[[#This Row],[R5 After Hours]],0)</f>
        <v>0</v>
      </c>
      <c r="AV66" s="400">
        <f>SUM(Input_Tasks[[#This Row],[Round Trips R1]:[Round Trips R5]])</f>
        <v>0</v>
      </c>
      <c r="AW66" s="401">
        <f>SUM(Input_Tasks[[#This Row],[Overnight StaysR1]:[Overnight StaysR5]])</f>
        <v>0</v>
      </c>
      <c r="AX66" s="401">
        <f>IF(AND(Input_Tasks[[#This Row],[Sell - Line Total]]&gt;0,OR(Input_Tasks[[#This Row],[Phase]]="",Input_Tasks[[#This Row],[Skill Required]]="",Input_Tasks[[#This Row],[Task Type]]="",Input_Tasks[[#This Row],[Description]]="")),1,0)</f>
        <v>0</v>
      </c>
      <c r="AY66" s="402">
        <f>IF(AND(Input_Tasks[[#This Row],[Task Type]]="ArchiTech Document Deliverable",Input_Tasks[[#This Row],[Hours]]&gt;0),1,0)</f>
        <v>0</v>
      </c>
      <c r="AZ6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6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6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6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6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6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6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6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6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6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6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6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6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66" s="405">
        <f>SUM(Input_Tasks[[#This Row],[R1 Business Hours]:[R1 After Hours]],Input_Tasks[[#This Row],[R2 Business Hours]:[R2 After Hours]],Input_Tasks[[#This Row],[R3 Business Hours]:[R3 After Hours]],Input_Tasks[[#This Row],[R4 Business Hours]:[R4 After Hours]],Input_Tasks[[#This Row],[R5 Business Hours]:[R5 After Hours]])</f>
        <v>0</v>
      </c>
    </row>
    <row r="67" spans="1:65">
      <c r="A67" s="384"/>
      <c r="B67" s="271"/>
      <c r="C67" s="271"/>
      <c r="D67" s="406"/>
      <c r="E67" s="385">
        <f>Input_Tasks[[#This Row],[Onsite Round Trips_Hidden]]</f>
        <v>0</v>
      </c>
      <c r="F67" s="385">
        <f>Input_Tasks[[#This Row],[Overnight Stays_Hidden]]</f>
        <v>0</v>
      </c>
      <c r="G67" s="385">
        <f>Input_Tasks[[#This Row],[Documents_Hidden]]</f>
        <v>0</v>
      </c>
      <c r="H67" s="387"/>
      <c r="I67" s="388"/>
      <c r="J67" s="389"/>
      <c r="K67" s="390"/>
      <c r="L67" s="390"/>
      <c r="M67" s="389"/>
      <c r="N67" s="390"/>
      <c r="O67" s="390"/>
      <c r="P67" s="389"/>
      <c r="Q67" s="390"/>
      <c r="R67" s="391"/>
      <c r="S67" s="389"/>
      <c r="T67" s="390"/>
      <c r="U67" s="391"/>
      <c r="V67" s="389"/>
      <c r="W67" s="390"/>
      <c r="X67" s="390"/>
      <c r="Y67" s="386" t="str">
        <f>Input_Tasks[[#This Row],[Onsite Round Trips_Hidden]]&amp;"/"&amp;Input_Tasks[[#This Row],[Overnight Stays_Hidden]]&amp;"/"&amp;Input_Tasks[[#This Row],[Documents_Hidden]]</f>
        <v>0/0/0</v>
      </c>
      <c r="Z67" s="392">
        <f>Input_Tasks[[#This Row],[R1 Cost_Hidden]]</f>
        <v>0</v>
      </c>
      <c r="AA67" s="393">
        <f>Input_Tasks[[#This Row],[R2 Cost_Hidden]]</f>
        <v>0</v>
      </c>
      <c r="AB67" s="393">
        <f>Input_Tasks[[#This Row],[R3 Cost_Hidden]]</f>
        <v>0</v>
      </c>
      <c r="AC67" s="393">
        <f>Input_Tasks[[#This Row],[R4 Cost_Hidden]]</f>
        <v>0</v>
      </c>
      <c r="AD67" s="394">
        <f>Input_Tasks[[#This Row],[R5 Cost_Hidden]]</f>
        <v>0</v>
      </c>
      <c r="AE67" s="395">
        <f>SUM(Input_Tasks[[#This Row],[R1 Cost]:[R5 Cost]])</f>
        <v>0</v>
      </c>
      <c r="AF67" s="392">
        <f>Input_Tasks[[#This Row],[R1 Sell_Hidden]]</f>
        <v>0</v>
      </c>
      <c r="AG67" s="393">
        <f>Input_Tasks[[#This Row],[R2 Sell_Hidden]]</f>
        <v>0</v>
      </c>
      <c r="AH67" s="393">
        <f>Input_Tasks[[#This Row],[R3 Sell_Hidden]]</f>
        <v>0</v>
      </c>
      <c r="AI67" s="393">
        <f>Input_Tasks[[#This Row],[R4 Sell_Hidden5]]</f>
        <v>0</v>
      </c>
      <c r="AJ67" s="394">
        <f>Input_Tasks[[#This Row],[R5 Sell_Hidden]]</f>
        <v>0</v>
      </c>
      <c r="AK67" s="396">
        <f>SUM(Input_Tasks[[#This Row],[R1 Sell]:[R5 Sell]])</f>
        <v>0</v>
      </c>
      <c r="AL67" s="397">
        <f>IFERROR(VLOOKUP(RESOURCE_1_TYPE,COST_RATES,2,FALSE)*Input_Tasks[[#This Row],[R1 Business Hours]],0)+IFERROR(VLOOKUP(RESOURCE_1_TYPE,COST_RATES,3,FALSE)*Input_Tasks[[#This Row],[R1 After Hours]],0)</f>
        <v>0</v>
      </c>
      <c r="AM67" s="398">
        <f>IFERROR(VLOOKUP(RESOURCE_2_TYPE,COST_RATES,2,FALSE)*Input_Tasks[[#This Row],[R2 Business Hours]],0)+IFERROR(VLOOKUP(RESOURCE_2_TYPE,COST_RATES,3,FALSE)*Input_Tasks[[#This Row],[R2 After Hours]],0)</f>
        <v>0</v>
      </c>
      <c r="AN67" s="398">
        <f>IFERROR(VLOOKUP(RESOURCE_3_TYPE,COST_RATES,2,FALSE)*Input_Tasks[[#This Row],[R3 Business Hours]],0)+IFERROR(VLOOKUP(RESOURCE_3_TYPE,COST_RATES,3,FALSE)*Input_Tasks[[#This Row],[R3 After Hours]],0)</f>
        <v>0</v>
      </c>
      <c r="AO67" s="398">
        <f>IFERROR(VLOOKUP(RESOURCE_4_TYPE,COST_RATES,2,FALSE)*Input_Tasks[[#This Row],[R4 Business Hours]],0)+IFERROR(VLOOKUP(RESOURCE_4_TYPE,COST_RATES,3,FALSE)*Input_Tasks[[#This Row],[R4 After Hours]],0)</f>
        <v>0</v>
      </c>
      <c r="AP67" s="398">
        <f>IFERROR(VLOOKUP(RESOURCE_5_TYPE,COST_RATES,2,FALSE)*Input_Tasks[[#This Row],[R5 Business Hours]],0)+IFERROR(VLOOKUP(RESOURCE_5_TYPE,COST_RATES,3,FALSE)*Input_Tasks[[#This Row],[R5 After Hours]],0)</f>
        <v>0</v>
      </c>
      <c r="AQ67" s="399">
        <f>IFERROR(VLOOKUP(RESOURCE_1_TYPE,SELL_RATES,2,FALSE)*Input_Tasks[[#This Row],[R1 Business Hours]],0)+IFERROR(VLOOKUP(RESOURCE_1_TYPE,SELL_RATES,3,FALSE)*Input_Tasks[[#This Row],[R1 After Hours]],0)</f>
        <v>0</v>
      </c>
      <c r="AR67" s="398">
        <f>IFERROR(VLOOKUP(RESOURCE_2_TYPE,SELL_RATES,2,FALSE)*Input_Tasks[[#This Row],[R2 Business Hours]],0)+IFERROR(VLOOKUP(RESOURCE_2_TYPE,SELL_RATES,3,FALSE)*Input_Tasks[[#This Row],[R2 After Hours]],0)</f>
        <v>0</v>
      </c>
      <c r="AS67" s="398">
        <f>IFERROR(VLOOKUP(RESOURCE_3_TYPE,SELL_RATES,2,FALSE)*Input_Tasks[[#This Row],[R3 Business Hours]],0)+IFERROR(VLOOKUP(RESOURCE_3_TYPE,SELL_RATES,3,FALSE)*Input_Tasks[[#This Row],[R3 After Hours]],0)</f>
        <v>0</v>
      </c>
      <c r="AT67" s="398">
        <f>IFERROR(VLOOKUP(RESOURCE_4_TYPE,SELL_RATES,2,FALSE)*Input_Tasks[[#This Row],[R4 Business Hours]],0)+IFERROR(VLOOKUP(RESOURCE_4_TYPE,SELL_RATES,3,FALSE)*Input_Tasks[[#This Row],[R4 After Hours]],0)</f>
        <v>0</v>
      </c>
      <c r="AU67" s="398">
        <f>IFERROR(VLOOKUP(RESOURCE_5_TYPE,SELL_RATES,2,FALSE)*Input_Tasks[[#This Row],[R5 Business Hours]],0)+IFERROR(VLOOKUP(RESOURCE_5_TYPE,SELL_RATES,3,FALSE)*Input_Tasks[[#This Row],[R5 After Hours]],0)</f>
        <v>0</v>
      </c>
      <c r="AV67" s="400">
        <f>SUM(Input_Tasks[[#This Row],[Round Trips R1]:[Round Trips R5]])</f>
        <v>0</v>
      </c>
      <c r="AW67" s="401">
        <f>SUM(Input_Tasks[[#This Row],[Overnight StaysR1]:[Overnight StaysR5]])</f>
        <v>0</v>
      </c>
      <c r="AX67" s="401">
        <f>IF(AND(Input_Tasks[[#This Row],[Sell - Line Total]]&gt;0,OR(Input_Tasks[[#This Row],[Phase]]="",Input_Tasks[[#This Row],[Skill Required]]="",Input_Tasks[[#This Row],[Task Type]]="",Input_Tasks[[#This Row],[Description]]="")),1,0)</f>
        <v>0</v>
      </c>
      <c r="AY67" s="402">
        <f>IF(AND(Input_Tasks[[#This Row],[Task Type]]="ArchiTech Document Deliverable",Input_Tasks[[#This Row],[Hours]]&gt;0),1,0)</f>
        <v>0</v>
      </c>
      <c r="AZ6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6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6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6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6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6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6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6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6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6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6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6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6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67" s="405">
        <f>SUM(Input_Tasks[[#This Row],[R1 Business Hours]:[R1 After Hours]],Input_Tasks[[#This Row],[R2 Business Hours]:[R2 After Hours]],Input_Tasks[[#This Row],[R3 Business Hours]:[R3 After Hours]],Input_Tasks[[#This Row],[R4 Business Hours]:[R4 After Hours]],Input_Tasks[[#This Row],[R5 Business Hours]:[R5 After Hours]])</f>
        <v>0</v>
      </c>
    </row>
    <row r="68" spans="1:65">
      <c r="A68" s="384"/>
      <c r="B68" s="271"/>
      <c r="C68" s="271"/>
      <c r="D68" s="406"/>
      <c r="E68" s="385">
        <f>Input_Tasks[[#This Row],[Onsite Round Trips_Hidden]]</f>
        <v>0</v>
      </c>
      <c r="F68" s="385">
        <f>Input_Tasks[[#This Row],[Overnight Stays_Hidden]]</f>
        <v>0</v>
      </c>
      <c r="G68" s="385">
        <f>Input_Tasks[[#This Row],[Documents_Hidden]]</f>
        <v>0</v>
      </c>
      <c r="H68" s="387"/>
      <c r="I68" s="388"/>
      <c r="J68" s="389"/>
      <c r="K68" s="390"/>
      <c r="L68" s="390"/>
      <c r="M68" s="389"/>
      <c r="N68" s="390"/>
      <c r="O68" s="390"/>
      <c r="P68" s="389"/>
      <c r="Q68" s="390"/>
      <c r="R68" s="391"/>
      <c r="S68" s="389"/>
      <c r="T68" s="390"/>
      <c r="U68" s="391"/>
      <c r="V68" s="389"/>
      <c r="W68" s="390"/>
      <c r="X68" s="390"/>
      <c r="Y68" s="386" t="str">
        <f>Input_Tasks[[#This Row],[Onsite Round Trips_Hidden]]&amp;"/"&amp;Input_Tasks[[#This Row],[Overnight Stays_Hidden]]&amp;"/"&amp;Input_Tasks[[#This Row],[Documents_Hidden]]</f>
        <v>0/0/0</v>
      </c>
      <c r="Z68" s="392">
        <f>Input_Tasks[[#This Row],[R1 Cost_Hidden]]</f>
        <v>0</v>
      </c>
      <c r="AA68" s="393">
        <f>Input_Tasks[[#This Row],[R2 Cost_Hidden]]</f>
        <v>0</v>
      </c>
      <c r="AB68" s="393">
        <f>Input_Tasks[[#This Row],[R3 Cost_Hidden]]</f>
        <v>0</v>
      </c>
      <c r="AC68" s="393">
        <f>Input_Tasks[[#This Row],[R4 Cost_Hidden]]</f>
        <v>0</v>
      </c>
      <c r="AD68" s="394">
        <f>Input_Tasks[[#This Row],[R5 Cost_Hidden]]</f>
        <v>0</v>
      </c>
      <c r="AE68" s="395">
        <f>SUM(Input_Tasks[[#This Row],[R1 Cost]:[R5 Cost]])</f>
        <v>0</v>
      </c>
      <c r="AF68" s="392">
        <f>Input_Tasks[[#This Row],[R1 Sell_Hidden]]</f>
        <v>0</v>
      </c>
      <c r="AG68" s="393">
        <f>Input_Tasks[[#This Row],[R2 Sell_Hidden]]</f>
        <v>0</v>
      </c>
      <c r="AH68" s="393">
        <f>Input_Tasks[[#This Row],[R3 Sell_Hidden]]</f>
        <v>0</v>
      </c>
      <c r="AI68" s="393">
        <f>Input_Tasks[[#This Row],[R4 Sell_Hidden5]]</f>
        <v>0</v>
      </c>
      <c r="AJ68" s="394">
        <f>Input_Tasks[[#This Row],[R5 Sell_Hidden]]</f>
        <v>0</v>
      </c>
      <c r="AK68" s="396">
        <f>SUM(Input_Tasks[[#This Row],[R1 Sell]:[R5 Sell]])</f>
        <v>0</v>
      </c>
      <c r="AL68" s="397">
        <f>IFERROR(VLOOKUP(RESOURCE_1_TYPE,COST_RATES,2,FALSE)*Input_Tasks[[#This Row],[R1 Business Hours]],0)+IFERROR(VLOOKUP(RESOURCE_1_TYPE,COST_RATES,3,FALSE)*Input_Tasks[[#This Row],[R1 After Hours]],0)</f>
        <v>0</v>
      </c>
      <c r="AM68" s="398">
        <f>IFERROR(VLOOKUP(RESOURCE_2_TYPE,COST_RATES,2,FALSE)*Input_Tasks[[#This Row],[R2 Business Hours]],0)+IFERROR(VLOOKUP(RESOURCE_2_TYPE,COST_RATES,3,FALSE)*Input_Tasks[[#This Row],[R2 After Hours]],0)</f>
        <v>0</v>
      </c>
      <c r="AN68" s="398">
        <f>IFERROR(VLOOKUP(RESOURCE_3_TYPE,COST_RATES,2,FALSE)*Input_Tasks[[#This Row],[R3 Business Hours]],0)+IFERROR(VLOOKUP(RESOURCE_3_TYPE,COST_RATES,3,FALSE)*Input_Tasks[[#This Row],[R3 After Hours]],0)</f>
        <v>0</v>
      </c>
      <c r="AO68" s="398">
        <f>IFERROR(VLOOKUP(RESOURCE_4_TYPE,COST_RATES,2,FALSE)*Input_Tasks[[#This Row],[R4 Business Hours]],0)+IFERROR(VLOOKUP(RESOURCE_4_TYPE,COST_RATES,3,FALSE)*Input_Tasks[[#This Row],[R4 After Hours]],0)</f>
        <v>0</v>
      </c>
      <c r="AP68" s="398">
        <f>IFERROR(VLOOKUP(RESOURCE_5_TYPE,COST_RATES,2,FALSE)*Input_Tasks[[#This Row],[R5 Business Hours]],0)+IFERROR(VLOOKUP(RESOURCE_5_TYPE,COST_RATES,3,FALSE)*Input_Tasks[[#This Row],[R5 After Hours]],0)</f>
        <v>0</v>
      </c>
      <c r="AQ68" s="399">
        <f>IFERROR(VLOOKUP(RESOURCE_1_TYPE,SELL_RATES,2,FALSE)*Input_Tasks[[#This Row],[R1 Business Hours]],0)+IFERROR(VLOOKUP(RESOURCE_1_TYPE,SELL_RATES,3,FALSE)*Input_Tasks[[#This Row],[R1 After Hours]],0)</f>
        <v>0</v>
      </c>
      <c r="AR68" s="398">
        <f>IFERROR(VLOOKUP(RESOURCE_2_TYPE,SELL_RATES,2,FALSE)*Input_Tasks[[#This Row],[R2 Business Hours]],0)+IFERROR(VLOOKUP(RESOURCE_2_TYPE,SELL_RATES,3,FALSE)*Input_Tasks[[#This Row],[R2 After Hours]],0)</f>
        <v>0</v>
      </c>
      <c r="AS68" s="398">
        <f>IFERROR(VLOOKUP(RESOURCE_3_TYPE,SELL_RATES,2,FALSE)*Input_Tasks[[#This Row],[R3 Business Hours]],0)+IFERROR(VLOOKUP(RESOURCE_3_TYPE,SELL_RATES,3,FALSE)*Input_Tasks[[#This Row],[R3 After Hours]],0)</f>
        <v>0</v>
      </c>
      <c r="AT68" s="398">
        <f>IFERROR(VLOOKUP(RESOURCE_4_TYPE,SELL_RATES,2,FALSE)*Input_Tasks[[#This Row],[R4 Business Hours]],0)+IFERROR(VLOOKUP(RESOURCE_4_TYPE,SELL_RATES,3,FALSE)*Input_Tasks[[#This Row],[R4 After Hours]],0)</f>
        <v>0</v>
      </c>
      <c r="AU68" s="398">
        <f>IFERROR(VLOOKUP(RESOURCE_5_TYPE,SELL_RATES,2,FALSE)*Input_Tasks[[#This Row],[R5 Business Hours]],0)+IFERROR(VLOOKUP(RESOURCE_5_TYPE,SELL_RATES,3,FALSE)*Input_Tasks[[#This Row],[R5 After Hours]],0)</f>
        <v>0</v>
      </c>
      <c r="AV68" s="400">
        <f>SUM(Input_Tasks[[#This Row],[Round Trips R1]:[Round Trips R5]])</f>
        <v>0</v>
      </c>
      <c r="AW68" s="401">
        <f>SUM(Input_Tasks[[#This Row],[Overnight StaysR1]:[Overnight StaysR5]])</f>
        <v>0</v>
      </c>
      <c r="AX68" s="401">
        <f>IF(AND(Input_Tasks[[#This Row],[Sell - Line Total]]&gt;0,OR(Input_Tasks[[#This Row],[Phase]]="",Input_Tasks[[#This Row],[Skill Required]]="",Input_Tasks[[#This Row],[Task Type]]="",Input_Tasks[[#This Row],[Description]]="")),1,0)</f>
        <v>0</v>
      </c>
      <c r="AY68" s="402">
        <f>IF(AND(Input_Tasks[[#This Row],[Task Type]]="ArchiTech Document Deliverable",Input_Tasks[[#This Row],[Hours]]&gt;0),1,0)</f>
        <v>0</v>
      </c>
      <c r="AZ6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6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6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6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6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6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6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6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6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6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6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6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6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68" s="405">
        <f>SUM(Input_Tasks[[#This Row],[R1 Business Hours]:[R1 After Hours]],Input_Tasks[[#This Row],[R2 Business Hours]:[R2 After Hours]],Input_Tasks[[#This Row],[R3 Business Hours]:[R3 After Hours]],Input_Tasks[[#This Row],[R4 Business Hours]:[R4 After Hours]],Input_Tasks[[#This Row],[R5 Business Hours]:[R5 After Hours]])</f>
        <v>0</v>
      </c>
    </row>
    <row r="69" spans="1:65">
      <c r="A69" s="384"/>
      <c r="B69" s="271"/>
      <c r="C69" s="271"/>
      <c r="D69" s="406"/>
      <c r="E69" s="385">
        <f>Input_Tasks[[#This Row],[Onsite Round Trips_Hidden]]</f>
        <v>0</v>
      </c>
      <c r="F69" s="385">
        <f>Input_Tasks[[#This Row],[Overnight Stays_Hidden]]</f>
        <v>0</v>
      </c>
      <c r="G69" s="385">
        <f>Input_Tasks[[#This Row],[Documents_Hidden]]</f>
        <v>0</v>
      </c>
      <c r="H69" s="387"/>
      <c r="I69" s="388"/>
      <c r="J69" s="389"/>
      <c r="K69" s="390"/>
      <c r="L69" s="390"/>
      <c r="M69" s="389"/>
      <c r="N69" s="390"/>
      <c r="O69" s="390"/>
      <c r="P69" s="389"/>
      <c r="Q69" s="390"/>
      <c r="R69" s="391"/>
      <c r="S69" s="389"/>
      <c r="T69" s="390"/>
      <c r="U69" s="391"/>
      <c r="V69" s="389"/>
      <c r="W69" s="390"/>
      <c r="X69" s="390"/>
      <c r="Y69" s="386" t="str">
        <f>Input_Tasks[[#This Row],[Onsite Round Trips_Hidden]]&amp;"/"&amp;Input_Tasks[[#This Row],[Overnight Stays_Hidden]]&amp;"/"&amp;Input_Tasks[[#This Row],[Documents_Hidden]]</f>
        <v>0/0/0</v>
      </c>
      <c r="Z69" s="392">
        <f>Input_Tasks[[#This Row],[R1 Cost_Hidden]]</f>
        <v>0</v>
      </c>
      <c r="AA69" s="393">
        <f>Input_Tasks[[#This Row],[R2 Cost_Hidden]]</f>
        <v>0</v>
      </c>
      <c r="AB69" s="393">
        <f>Input_Tasks[[#This Row],[R3 Cost_Hidden]]</f>
        <v>0</v>
      </c>
      <c r="AC69" s="393">
        <f>Input_Tasks[[#This Row],[R4 Cost_Hidden]]</f>
        <v>0</v>
      </c>
      <c r="AD69" s="394">
        <f>Input_Tasks[[#This Row],[R5 Cost_Hidden]]</f>
        <v>0</v>
      </c>
      <c r="AE69" s="395">
        <f>SUM(Input_Tasks[[#This Row],[R1 Cost]:[R5 Cost]])</f>
        <v>0</v>
      </c>
      <c r="AF69" s="392">
        <f>Input_Tasks[[#This Row],[R1 Sell_Hidden]]</f>
        <v>0</v>
      </c>
      <c r="AG69" s="393">
        <f>Input_Tasks[[#This Row],[R2 Sell_Hidden]]</f>
        <v>0</v>
      </c>
      <c r="AH69" s="393">
        <f>Input_Tasks[[#This Row],[R3 Sell_Hidden]]</f>
        <v>0</v>
      </c>
      <c r="AI69" s="393">
        <f>Input_Tasks[[#This Row],[R4 Sell_Hidden5]]</f>
        <v>0</v>
      </c>
      <c r="AJ69" s="394">
        <f>Input_Tasks[[#This Row],[R5 Sell_Hidden]]</f>
        <v>0</v>
      </c>
      <c r="AK69" s="396">
        <f>SUM(Input_Tasks[[#This Row],[R1 Sell]:[R5 Sell]])</f>
        <v>0</v>
      </c>
      <c r="AL69" s="397">
        <f>IFERROR(VLOOKUP(RESOURCE_1_TYPE,COST_RATES,2,FALSE)*Input_Tasks[[#This Row],[R1 Business Hours]],0)+IFERROR(VLOOKUP(RESOURCE_1_TYPE,COST_RATES,3,FALSE)*Input_Tasks[[#This Row],[R1 After Hours]],0)</f>
        <v>0</v>
      </c>
      <c r="AM69" s="398">
        <f>IFERROR(VLOOKUP(RESOURCE_2_TYPE,COST_RATES,2,FALSE)*Input_Tasks[[#This Row],[R2 Business Hours]],0)+IFERROR(VLOOKUP(RESOURCE_2_TYPE,COST_RATES,3,FALSE)*Input_Tasks[[#This Row],[R2 After Hours]],0)</f>
        <v>0</v>
      </c>
      <c r="AN69" s="398">
        <f>IFERROR(VLOOKUP(RESOURCE_3_TYPE,COST_RATES,2,FALSE)*Input_Tasks[[#This Row],[R3 Business Hours]],0)+IFERROR(VLOOKUP(RESOURCE_3_TYPE,COST_RATES,3,FALSE)*Input_Tasks[[#This Row],[R3 After Hours]],0)</f>
        <v>0</v>
      </c>
      <c r="AO69" s="398">
        <f>IFERROR(VLOOKUP(RESOURCE_4_TYPE,COST_RATES,2,FALSE)*Input_Tasks[[#This Row],[R4 Business Hours]],0)+IFERROR(VLOOKUP(RESOURCE_4_TYPE,COST_RATES,3,FALSE)*Input_Tasks[[#This Row],[R4 After Hours]],0)</f>
        <v>0</v>
      </c>
      <c r="AP69" s="398">
        <f>IFERROR(VLOOKUP(RESOURCE_5_TYPE,COST_RATES,2,FALSE)*Input_Tasks[[#This Row],[R5 Business Hours]],0)+IFERROR(VLOOKUP(RESOURCE_5_TYPE,COST_RATES,3,FALSE)*Input_Tasks[[#This Row],[R5 After Hours]],0)</f>
        <v>0</v>
      </c>
      <c r="AQ69" s="399">
        <f>IFERROR(VLOOKUP(RESOURCE_1_TYPE,SELL_RATES,2,FALSE)*Input_Tasks[[#This Row],[R1 Business Hours]],0)+IFERROR(VLOOKUP(RESOURCE_1_TYPE,SELL_RATES,3,FALSE)*Input_Tasks[[#This Row],[R1 After Hours]],0)</f>
        <v>0</v>
      </c>
      <c r="AR69" s="398">
        <f>IFERROR(VLOOKUP(RESOURCE_2_TYPE,SELL_RATES,2,FALSE)*Input_Tasks[[#This Row],[R2 Business Hours]],0)+IFERROR(VLOOKUP(RESOURCE_2_TYPE,SELL_RATES,3,FALSE)*Input_Tasks[[#This Row],[R2 After Hours]],0)</f>
        <v>0</v>
      </c>
      <c r="AS69" s="398">
        <f>IFERROR(VLOOKUP(RESOURCE_3_TYPE,SELL_RATES,2,FALSE)*Input_Tasks[[#This Row],[R3 Business Hours]],0)+IFERROR(VLOOKUP(RESOURCE_3_TYPE,SELL_RATES,3,FALSE)*Input_Tasks[[#This Row],[R3 After Hours]],0)</f>
        <v>0</v>
      </c>
      <c r="AT69" s="398">
        <f>IFERROR(VLOOKUP(RESOURCE_4_TYPE,SELL_RATES,2,FALSE)*Input_Tasks[[#This Row],[R4 Business Hours]],0)+IFERROR(VLOOKUP(RESOURCE_4_TYPE,SELL_RATES,3,FALSE)*Input_Tasks[[#This Row],[R4 After Hours]],0)</f>
        <v>0</v>
      </c>
      <c r="AU69" s="398">
        <f>IFERROR(VLOOKUP(RESOURCE_5_TYPE,SELL_RATES,2,FALSE)*Input_Tasks[[#This Row],[R5 Business Hours]],0)+IFERROR(VLOOKUP(RESOURCE_5_TYPE,SELL_RATES,3,FALSE)*Input_Tasks[[#This Row],[R5 After Hours]],0)</f>
        <v>0</v>
      </c>
      <c r="AV69" s="400">
        <f>SUM(Input_Tasks[[#This Row],[Round Trips R1]:[Round Trips R5]])</f>
        <v>0</v>
      </c>
      <c r="AW69" s="401">
        <f>SUM(Input_Tasks[[#This Row],[Overnight StaysR1]:[Overnight StaysR5]])</f>
        <v>0</v>
      </c>
      <c r="AX69" s="401">
        <f>IF(AND(Input_Tasks[[#This Row],[Sell - Line Total]]&gt;0,OR(Input_Tasks[[#This Row],[Phase]]="",Input_Tasks[[#This Row],[Skill Required]]="",Input_Tasks[[#This Row],[Task Type]]="",Input_Tasks[[#This Row],[Description]]="")),1,0)</f>
        <v>0</v>
      </c>
      <c r="AY69" s="402">
        <f>IF(AND(Input_Tasks[[#This Row],[Task Type]]="ArchiTech Document Deliverable",Input_Tasks[[#This Row],[Hours]]&gt;0),1,0)</f>
        <v>0</v>
      </c>
      <c r="AZ6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6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6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6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6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6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6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6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6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6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6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6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6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69" s="405">
        <f>SUM(Input_Tasks[[#This Row],[R1 Business Hours]:[R1 After Hours]],Input_Tasks[[#This Row],[R2 Business Hours]:[R2 After Hours]],Input_Tasks[[#This Row],[R3 Business Hours]:[R3 After Hours]],Input_Tasks[[#This Row],[R4 Business Hours]:[R4 After Hours]],Input_Tasks[[#This Row],[R5 Business Hours]:[R5 After Hours]])</f>
        <v>0</v>
      </c>
    </row>
    <row r="70" spans="1:65">
      <c r="A70" s="384"/>
      <c r="B70" s="271"/>
      <c r="C70" s="271"/>
      <c r="D70" s="406"/>
      <c r="E70" s="385">
        <f>Input_Tasks[[#This Row],[Onsite Round Trips_Hidden]]</f>
        <v>0</v>
      </c>
      <c r="F70" s="385">
        <f>Input_Tasks[[#This Row],[Overnight Stays_Hidden]]</f>
        <v>0</v>
      </c>
      <c r="G70" s="385">
        <f>Input_Tasks[[#This Row],[Documents_Hidden]]</f>
        <v>0</v>
      </c>
      <c r="H70" s="387"/>
      <c r="I70" s="388"/>
      <c r="J70" s="389"/>
      <c r="K70" s="390"/>
      <c r="L70" s="390"/>
      <c r="M70" s="389"/>
      <c r="N70" s="390"/>
      <c r="O70" s="390"/>
      <c r="P70" s="389"/>
      <c r="Q70" s="390"/>
      <c r="R70" s="391"/>
      <c r="S70" s="389"/>
      <c r="T70" s="390"/>
      <c r="U70" s="391"/>
      <c r="V70" s="389"/>
      <c r="W70" s="390"/>
      <c r="X70" s="390"/>
      <c r="Y70" s="386" t="str">
        <f>Input_Tasks[[#This Row],[Onsite Round Trips_Hidden]]&amp;"/"&amp;Input_Tasks[[#This Row],[Overnight Stays_Hidden]]&amp;"/"&amp;Input_Tasks[[#This Row],[Documents_Hidden]]</f>
        <v>0/0/0</v>
      </c>
      <c r="Z70" s="392">
        <f>Input_Tasks[[#This Row],[R1 Cost_Hidden]]</f>
        <v>0</v>
      </c>
      <c r="AA70" s="393">
        <f>Input_Tasks[[#This Row],[R2 Cost_Hidden]]</f>
        <v>0</v>
      </c>
      <c r="AB70" s="393">
        <f>Input_Tasks[[#This Row],[R3 Cost_Hidden]]</f>
        <v>0</v>
      </c>
      <c r="AC70" s="393">
        <f>Input_Tasks[[#This Row],[R4 Cost_Hidden]]</f>
        <v>0</v>
      </c>
      <c r="AD70" s="394">
        <f>Input_Tasks[[#This Row],[R5 Cost_Hidden]]</f>
        <v>0</v>
      </c>
      <c r="AE70" s="395">
        <f>SUM(Input_Tasks[[#This Row],[R1 Cost]:[R5 Cost]])</f>
        <v>0</v>
      </c>
      <c r="AF70" s="392">
        <f>Input_Tasks[[#This Row],[R1 Sell_Hidden]]</f>
        <v>0</v>
      </c>
      <c r="AG70" s="393">
        <f>Input_Tasks[[#This Row],[R2 Sell_Hidden]]</f>
        <v>0</v>
      </c>
      <c r="AH70" s="393">
        <f>Input_Tasks[[#This Row],[R3 Sell_Hidden]]</f>
        <v>0</v>
      </c>
      <c r="AI70" s="393">
        <f>Input_Tasks[[#This Row],[R4 Sell_Hidden5]]</f>
        <v>0</v>
      </c>
      <c r="AJ70" s="394">
        <f>Input_Tasks[[#This Row],[R5 Sell_Hidden]]</f>
        <v>0</v>
      </c>
      <c r="AK70" s="396">
        <f>SUM(Input_Tasks[[#This Row],[R1 Sell]:[R5 Sell]])</f>
        <v>0</v>
      </c>
      <c r="AL70" s="397">
        <f>IFERROR(VLOOKUP(RESOURCE_1_TYPE,COST_RATES,2,FALSE)*Input_Tasks[[#This Row],[R1 Business Hours]],0)+IFERROR(VLOOKUP(RESOURCE_1_TYPE,COST_RATES,3,FALSE)*Input_Tasks[[#This Row],[R1 After Hours]],0)</f>
        <v>0</v>
      </c>
      <c r="AM70" s="398">
        <f>IFERROR(VLOOKUP(RESOURCE_2_TYPE,COST_RATES,2,FALSE)*Input_Tasks[[#This Row],[R2 Business Hours]],0)+IFERROR(VLOOKUP(RESOURCE_2_TYPE,COST_RATES,3,FALSE)*Input_Tasks[[#This Row],[R2 After Hours]],0)</f>
        <v>0</v>
      </c>
      <c r="AN70" s="398">
        <f>IFERROR(VLOOKUP(RESOURCE_3_TYPE,COST_RATES,2,FALSE)*Input_Tasks[[#This Row],[R3 Business Hours]],0)+IFERROR(VLOOKUP(RESOURCE_3_TYPE,COST_RATES,3,FALSE)*Input_Tasks[[#This Row],[R3 After Hours]],0)</f>
        <v>0</v>
      </c>
      <c r="AO70" s="398">
        <f>IFERROR(VLOOKUP(RESOURCE_4_TYPE,COST_RATES,2,FALSE)*Input_Tasks[[#This Row],[R4 Business Hours]],0)+IFERROR(VLOOKUP(RESOURCE_4_TYPE,COST_RATES,3,FALSE)*Input_Tasks[[#This Row],[R4 After Hours]],0)</f>
        <v>0</v>
      </c>
      <c r="AP70" s="398">
        <f>IFERROR(VLOOKUP(RESOURCE_5_TYPE,COST_RATES,2,FALSE)*Input_Tasks[[#This Row],[R5 Business Hours]],0)+IFERROR(VLOOKUP(RESOURCE_5_TYPE,COST_RATES,3,FALSE)*Input_Tasks[[#This Row],[R5 After Hours]],0)</f>
        <v>0</v>
      </c>
      <c r="AQ70" s="399">
        <f>IFERROR(VLOOKUP(RESOURCE_1_TYPE,SELL_RATES,2,FALSE)*Input_Tasks[[#This Row],[R1 Business Hours]],0)+IFERROR(VLOOKUP(RESOURCE_1_TYPE,SELL_RATES,3,FALSE)*Input_Tasks[[#This Row],[R1 After Hours]],0)</f>
        <v>0</v>
      </c>
      <c r="AR70" s="398">
        <f>IFERROR(VLOOKUP(RESOURCE_2_TYPE,SELL_RATES,2,FALSE)*Input_Tasks[[#This Row],[R2 Business Hours]],0)+IFERROR(VLOOKUP(RESOURCE_2_TYPE,SELL_RATES,3,FALSE)*Input_Tasks[[#This Row],[R2 After Hours]],0)</f>
        <v>0</v>
      </c>
      <c r="AS70" s="398">
        <f>IFERROR(VLOOKUP(RESOURCE_3_TYPE,SELL_RATES,2,FALSE)*Input_Tasks[[#This Row],[R3 Business Hours]],0)+IFERROR(VLOOKUP(RESOURCE_3_TYPE,SELL_RATES,3,FALSE)*Input_Tasks[[#This Row],[R3 After Hours]],0)</f>
        <v>0</v>
      </c>
      <c r="AT70" s="398">
        <f>IFERROR(VLOOKUP(RESOURCE_4_TYPE,SELL_RATES,2,FALSE)*Input_Tasks[[#This Row],[R4 Business Hours]],0)+IFERROR(VLOOKUP(RESOURCE_4_TYPE,SELL_RATES,3,FALSE)*Input_Tasks[[#This Row],[R4 After Hours]],0)</f>
        <v>0</v>
      </c>
      <c r="AU70" s="398">
        <f>IFERROR(VLOOKUP(RESOURCE_5_TYPE,SELL_RATES,2,FALSE)*Input_Tasks[[#This Row],[R5 Business Hours]],0)+IFERROR(VLOOKUP(RESOURCE_5_TYPE,SELL_RATES,3,FALSE)*Input_Tasks[[#This Row],[R5 After Hours]],0)</f>
        <v>0</v>
      </c>
      <c r="AV70" s="400">
        <f>SUM(Input_Tasks[[#This Row],[Round Trips R1]:[Round Trips R5]])</f>
        <v>0</v>
      </c>
      <c r="AW70" s="401">
        <f>SUM(Input_Tasks[[#This Row],[Overnight StaysR1]:[Overnight StaysR5]])</f>
        <v>0</v>
      </c>
      <c r="AX70" s="401">
        <f>IF(AND(Input_Tasks[[#This Row],[Sell - Line Total]]&gt;0,OR(Input_Tasks[[#This Row],[Phase]]="",Input_Tasks[[#This Row],[Skill Required]]="",Input_Tasks[[#This Row],[Task Type]]="",Input_Tasks[[#This Row],[Description]]="")),1,0)</f>
        <v>0</v>
      </c>
      <c r="AY70" s="402">
        <f>IF(AND(Input_Tasks[[#This Row],[Task Type]]="ArchiTech Document Deliverable",Input_Tasks[[#This Row],[Hours]]&gt;0),1,0)</f>
        <v>0</v>
      </c>
      <c r="AZ7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7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7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7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7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7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7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7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7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7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7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7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7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70" s="405">
        <f>SUM(Input_Tasks[[#This Row],[R1 Business Hours]:[R1 After Hours]],Input_Tasks[[#This Row],[R2 Business Hours]:[R2 After Hours]],Input_Tasks[[#This Row],[R3 Business Hours]:[R3 After Hours]],Input_Tasks[[#This Row],[R4 Business Hours]:[R4 After Hours]],Input_Tasks[[#This Row],[R5 Business Hours]:[R5 After Hours]])</f>
        <v>0</v>
      </c>
    </row>
    <row r="71" spans="1:65">
      <c r="A71" s="384"/>
      <c r="B71" s="271"/>
      <c r="C71" s="271"/>
      <c r="D71" s="406"/>
      <c r="E71" s="385">
        <f>Input_Tasks[[#This Row],[Onsite Round Trips_Hidden]]</f>
        <v>0</v>
      </c>
      <c r="F71" s="385">
        <f>Input_Tasks[[#This Row],[Overnight Stays_Hidden]]</f>
        <v>0</v>
      </c>
      <c r="G71" s="385">
        <f>Input_Tasks[[#This Row],[Documents_Hidden]]</f>
        <v>0</v>
      </c>
      <c r="H71" s="387"/>
      <c r="I71" s="388"/>
      <c r="J71" s="389"/>
      <c r="K71" s="390"/>
      <c r="L71" s="390"/>
      <c r="M71" s="389"/>
      <c r="N71" s="390"/>
      <c r="O71" s="390"/>
      <c r="P71" s="389"/>
      <c r="Q71" s="390"/>
      <c r="R71" s="391"/>
      <c r="S71" s="389"/>
      <c r="T71" s="390"/>
      <c r="U71" s="391"/>
      <c r="V71" s="389"/>
      <c r="W71" s="390"/>
      <c r="X71" s="390"/>
      <c r="Y71" s="386" t="str">
        <f>Input_Tasks[[#This Row],[Onsite Round Trips_Hidden]]&amp;"/"&amp;Input_Tasks[[#This Row],[Overnight Stays_Hidden]]&amp;"/"&amp;Input_Tasks[[#This Row],[Documents_Hidden]]</f>
        <v>0/0/0</v>
      </c>
      <c r="Z71" s="392">
        <f>Input_Tasks[[#This Row],[R1 Cost_Hidden]]</f>
        <v>0</v>
      </c>
      <c r="AA71" s="393">
        <f>Input_Tasks[[#This Row],[R2 Cost_Hidden]]</f>
        <v>0</v>
      </c>
      <c r="AB71" s="393">
        <f>Input_Tasks[[#This Row],[R3 Cost_Hidden]]</f>
        <v>0</v>
      </c>
      <c r="AC71" s="393">
        <f>Input_Tasks[[#This Row],[R4 Cost_Hidden]]</f>
        <v>0</v>
      </c>
      <c r="AD71" s="394">
        <f>Input_Tasks[[#This Row],[R5 Cost_Hidden]]</f>
        <v>0</v>
      </c>
      <c r="AE71" s="395">
        <f>SUM(Input_Tasks[[#This Row],[R1 Cost]:[R5 Cost]])</f>
        <v>0</v>
      </c>
      <c r="AF71" s="392">
        <f>Input_Tasks[[#This Row],[R1 Sell_Hidden]]</f>
        <v>0</v>
      </c>
      <c r="AG71" s="393">
        <f>Input_Tasks[[#This Row],[R2 Sell_Hidden]]</f>
        <v>0</v>
      </c>
      <c r="AH71" s="393">
        <f>Input_Tasks[[#This Row],[R3 Sell_Hidden]]</f>
        <v>0</v>
      </c>
      <c r="AI71" s="393">
        <f>Input_Tasks[[#This Row],[R4 Sell_Hidden5]]</f>
        <v>0</v>
      </c>
      <c r="AJ71" s="394">
        <f>Input_Tasks[[#This Row],[R5 Sell_Hidden]]</f>
        <v>0</v>
      </c>
      <c r="AK71" s="396">
        <f>SUM(Input_Tasks[[#This Row],[R1 Sell]:[R5 Sell]])</f>
        <v>0</v>
      </c>
      <c r="AL71" s="397">
        <f>IFERROR(VLOOKUP(RESOURCE_1_TYPE,COST_RATES,2,FALSE)*Input_Tasks[[#This Row],[R1 Business Hours]],0)+IFERROR(VLOOKUP(RESOURCE_1_TYPE,COST_RATES,3,FALSE)*Input_Tasks[[#This Row],[R1 After Hours]],0)</f>
        <v>0</v>
      </c>
      <c r="AM71" s="398">
        <f>IFERROR(VLOOKUP(RESOURCE_2_TYPE,COST_RATES,2,FALSE)*Input_Tasks[[#This Row],[R2 Business Hours]],0)+IFERROR(VLOOKUP(RESOURCE_2_TYPE,COST_RATES,3,FALSE)*Input_Tasks[[#This Row],[R2 After Hours]],0)</f>
        <v>0</v>
      </c>
      <c r="AN71" s="398">
        <f>IFERROR(VLOOKUP(RESOURCE_3_TYPE,COST_RATES,2,FALSE)*Input_Tasks[[#This Row],[R3 Business Hours]],0)+IFERROR(VLOOKUP(RESOURCE_3_TYPE,COST_RATES,3,FALSE)*Input_Tasks[[#This Row],[R3 After Hours]],0)</f>
        <v>0</v>
      </c>
      <c r="AO71" s="398">
        <f>IFERROR(VLOOKUP(RESOURCE_4_TYPE,COST_RATES,2,FALSE)*Input_Tasks[[#This Row],[R4 Business Hours]],0)+IFERROR(VLOOKUP(RESOURCE_4_TYPE,COST_RATES,3,FALSE)*Input_Tasks[[#This Row],[R4 After Hours]],0)</f>
        <v>0</v>
      </c>
      <c r="AP71" s="398">
        <f>IFERROR(VLOOKUP(RESOURCE_5_TYPE,COST_RATES,2,FALSE)*Input_Tasks[[#This Row],[R5 Business Hours]],0)+IFERROR(VLOOKUP(RESOURCE_5_TYPE,COST_RATES,3,FALSE)*Input_Tasks[[#This Row],[R5 After Hours]],0)</f>
        <v>0</v>
      </c>
      <c r="AQ71" s="399">
        <f>IFERROR(VLOOKUP(RESOURCE_1_TYPE,SELL_RATES,2,FALSE)*Input_Tasks[[#This Row],[R1 Business Hours]],0)+IFERROR(VLOOKUP(RESOURCE_1_TYPE,SELL_RATES,3,FALSE)*Input_Tasks[[#This Row],[R1 After Hours]],0)</f>
        <v>0</v>
      </c>
      <c r="AR71" s="398">
        <f>IFERROR(VLOOKUP(RESOURCE_2_TYPE,SELL_RATES,2,FALSE)*Input_Tasks[[#This Row],[R2 Business Hours]],0)+IFERROR(VLOOKUP(RESOURCE_2_TYPE,SELL_RATES,3,FALSE)*Input_Tasks[[#This Row],[R2 After Hours]],0)</f>
        <v>0</v>
      </c>
      <c r="AS71" s="398">
        <f>IFERROR(VLOOKUP(RESOURCE_3_TYPE,SELL_RATES,2,FALSE)*Input_Tasks[[#This Row],[R3 Business Hours]],0)+IFERROR(VLOOKUP(RESOURCE_3_TYPE,SELL_RATES,3,FALSE)*Input_Tasks[[#This Row],[R3 After Hours]],0)</f>
        <v>0</v>
      </c>
      <c r="AT71" s="398">
        <f>IFERROR(VLOOKUP(RESOURCE_4_TYPE,SELL_RATES,2,FALSE)*Input_Tasks[[#This Row],[R4 Business Hours]],0)+IFERROR(VLOOKUP(RESOURCE_4_TYPE,SELL_RATES,3,FALSE)*Input_Tasks[[#This Row],[R4 After Hours]],0)</f>
        <v>0</v>
      </c>
      <c r="AU71" s="398">
        <f>IFERROR(VLOOKUP(RESOURCE_5_TYPE,SELL_RATES,2,FALSE)*Input_Tasks[[#This Row],[R5 Business Hours]],0)+IFERROR(VLOOKUP(RESOURCE_5_TYPE,SELL_RATES,3,FALSE)*Input_Tasks[[#This Row],[R5 After Hours]],0)</f>
        <v>0</v>
      </c>
      <c r="AV71" s="400">
        <f>SUM(Input_Tasks[[#This Row],[Round Trips R1]:[Round Trips R5]])</f>
        <v>0</v>
      </c>
      <c r="AW71" s="401">
        <f>SUM(Input_Tasks[[#This Row],[Overnight StaysR1]:[Overnight StaysR5]])</f>
        <v>0</v>
      </c>
      <c r="AX71" s="401">
        <f>IF(AND(Input_Tasks[[#This Row],[Sell - Line Total]]&gt;0,OR(Input_Tasks[[#This Row],[Phase]]="",Input_Tasks[[#This Row],[Skill Required]]="",Input_Tasks[[#This Row],[Task Type]]="",Input_Tasks[[#This Row],[Description]]="")),1,0)</f>
        <v>0</v>
      </c>
      <c r="AY71" s="402">
        <f>IF(AND(Input_Tasks[[#This Row],[Task Type]]="ArchiTech Document Deliverable",Input_Tasks[[#This Row],[Hours]]&gt;0),1,0)</f>
        <v>0</v>
      </c>
      <c r="AZ7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7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7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7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7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7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7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7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7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7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7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7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7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71" s="405">
        <f>SUM(Input_Tasks[[#This Row],[R1 Business Hours]:[R1 After Hours]],Input_Tasks[[#This Row],[R2 Business Hours]:[R2 After Hours]],Input_Tasks[[#This Row],[R3 Business Hours]:[R3 After Hours]],Input_Tasks[[#This Row],[R4 Business Hours]:[R4 After Hours]],Input_Tasks[[#This Row],[R5 Business Hours]:[R5 After Hours]])</f>
        <v>0</v>
      </c>
    </row>
    <row r="72" spans="1:65">
      <c r="A72" s="384"/>
      <c r="B72" s="271"/>
      <c r="C72" s="271"/>
      <c r="D72" s="406"/>
      <c r="E72" s="385">
        <f>Input_Tasks[[#This Row],[Onsite Round Trips_Hidden]]</f>
        <v>0</v>
      </c>
      <c r="F72" s="385">
        <f>Input_Tasks[[#This Row],[Overnight Stays_Hidden]]</f>
        <v>0</v>
      </c>
      <c r="G72" s="385">
        <f>Input_Tasks[[#This Row],[Documents_Hidden]]</f>
        <v>0</v>
      </c>
      <c r="H72" s="387"/>
      <c r="I72" s="388"/>
      <c r="J72" s="389"/>
      <c r="K72" s="390"/>
      <c r="L72" s="390"/>
      <c r="M72" s="389"/>
      <c r="N72" s="390"/>
      <c r="O72" s="390"/>
      <c r="P72" s="389"/>
      <c r="Q72" s="390"/>
      <c r="R72" s="391"/>
      <c r="S72" s="389"/>
      <c r="T72" s="390"/>
      <c r="U72" s="391"/>
      <c r="V72" s="389"/>
      <c r="W72" s="390"/>
      <c r="X72" s="390"/>
      <c r="Y72" s="386" t="str">
        <f>Input_Tasks[[#This Row],[Onsite Round Trips_Hidden]]&amp;"/"&amp;Input_Tasks[[#This Row],[Overnight Stays_Hidden]]&amp;"/"&amp;Input_Tasks[[#This Row],[Documents_Hidden]]</f>
        <v>0/0/0</v>
      </c>
      <c r="Z72" s="392">
        <f>Input_Tasks[[#This Row],[R1 Cost_Hidden]]</f>
        <v>0</v>
      </c>
      <c r="AA72" s="393">
        <f>Input_Tasks[[#This Row],[R2 Cost_Hidden]]</f>
        <v>0</v>
      </c>
      <c r="AB72" s="393">
        <f>Input_Tasks[[#This Row],[R3 Cost_Hidden]]</f>
        <v>0</v>
      </c>
      <c r="AC72" s="393">
        <f>Input_Tasks[[#This Row],[R4 Cost_Hidden]]</f>
        <v>0</v>
      </c>
      <c r="AD72" s="394">
        <f>Input_Tasks[[#This Row],[R5 Cost_Hidden]]</f>
        <v>0</v>
      </c>
      <c r="AE72" s="395">
        <f>SUM(Input_Tasks[[#This Row],[R1 Cost]:[R5 Cost]])</f>
        <v>0</v>
      </c>
      <c r="AF72" s="392">
        <f>Input_Tasks[[#This Row],[R1 Sell_Hidden]]</f>
        <v>0</v>
      </c>
      <c r="AG72" s="393">
        <f>Input_Tasks[[#This Row],[R2 Sell_Hidden]]</f>
        <v>0</v>
      </c>
      <c r="AH72" s="393">
        <f>Input_Tasks[[#This Row],[R3 Sell_Hidden]]</f>
        <v>0</v>
      </c>
      <c r="AI72" s="393">
        <f>Input_Tasks[[#This Row],[R4 Sell_Hidden5]]</f>
        <v>0</v>
      </c>
      <c r="AJ72" s="394">
        <f>Input_Tasks[[#This Row],[R5 Sell_Hidden]]</f>
        <v>0</v>
      </c>
      <c r="AK72" s="396">
        <f>SUM(Input_Tasks[[#This Row],[R1 Sell]:[R5 Sell]])</f>
        <v>0</v>
      </c>
      <c r="AL72" s="397">
        <f>IFERROR(VLOOKUP(RESOURCE_1_TYPE,COST_RATES,2,FALSE)*Input_Tasks[[#This Row],[R1 Business Hours]],0)+IFERROR(VLOOKUP(RESOURCE_1_TYPE,COST_RATES,3,FALSE)*Input_Tasks[[#This Row],[R1 After Hours]],0)</f>
        <v>0</v>
      </c>
      <c r="AM72" s="398">
        <f>IFERROR(VLOOKUP(RESOURCE_2_TYPE,COST_RATES,2,FALSE)*Input_Tasks[[#This Row],[R2 Business Hours]],0)+IFERROR(VLOOKUP(RESOURCE_2_TYPE,COST_RATES,3,FALSE)*Input_Tasks[[#This Row],[R2 After Hours]],0)</f>
        <v>0</v>
      </c>
      <c r="AN72" s="398">
        <f>IFERROR(VLOOKUP(RESOURCE_3_TYPE,COST_RATES,2,FALSE)*Input_Tasks[[#This Row],[R3 Business Hours]],0)+IFERROR(VLOOKUP(RESOURCE_3_TYPE,COST_RATES,3,FALSE)*Input_Tasks[[#This Row],[R3 After Hours]],0)</f>
        <v>0</v>
      </c>
      <c r="AO72" s="398">
        <f>IFERROR(VLOOKUP(RESOURCE_4_TYPE,COST_RATES,2,FALSE)*Input_Tasks[[#This Row],[R4 Business Hours]],0)+IFERROR(VLOOKUP(RESOURCE_4_TYPE,COST_RATES,3,FALSE)*Input_Tasks[[#This Row],[R4 After Hours]],0)</f>
        <v>0</v>
      </c>
      <c r="AP72" s="398">
        <f>IFERROR(VLOOKUP(RESOURCE_5_TYPE,COST_RATES,2,FALSE)*Input_Tasks[[#This Row],[R5 Business Hours]],0)+IFERROR(VLOOKUP(RESOURCE_5_TYPE,COST_RATES,3,FALSE)*Input_Tasks[[#This Row],[R5 After Hours]],0)</f>
        <v>0</v>
      </c>
      <c r="AQ72" s="399">
        <f>IFERROR(VLOOKUP(RESOURCE_1_TYPE,SELL_RATES,2,FALSE)*Input_Tasks[[#This Row],[R1 Business Hours]],0)+IFERROR(VLOOKUP(RESOURCE_1_TYPE,SELL_RATES,3,FALSE)*Input_Tasks[[#This Row],[R1 After Hours]],0)</f>
        <v>0</v>
      </c>
      <c r="AR72" s="398">
        <f>IFERROR(VLOOKUP(RESOURCE_2_TYPE,SELL_RATES,2,FALSE)*Input_Tasks[[#This Row],[R2 Business Hours]],0)+IFERROR(VLOOKUP(RESOURCE_2_TYPE,SELL_RATES,3,FALSE)*Input_Tasks[[#This Row],[R2 After Hours]],0)</f>
        <v>0</v>
      </c>
      <c r="AS72" s="398">
        <f>IFERROR(VLOOKUP(RESOURCE_3_TYPE,SELL_RATES,2,FALSE)*Input_Tasks[[#This Row],[R3 Business Hours]],0)+IFERROR(VLOOKUP(RESOURCE_3_TYPE,SELL_RATES,3,FALSE)*Input_Tasks[[#This Row],[R3 After Hours]],0)</f>
        <v>0</v>
      </c>
      <c r="AT72" s="398">
        <f>IFERROR(VLOOKUP(RESOURCE_4_TYPE,SELL_RATES,2,FALSE)*Input_Tasks[[#This Row],[R4 Business Hours]],0)+IFERROR(VLOOKUP(RESOURCE_4_TYPE,SELL_RATES,3,FALSE)*Input_Tasks[[#This Row],[R4 After Hours]],0)</f>
        <v>0</v>
      </c>
      <c r="AU72" s="398">
        <f>IFERROR(VLOOKUP(RESOURCE_5_TYPE,SELL_RATES,2,FALSE)*Input_Tasks[[#This Row],[R5 Business Hours]],0)+IFERROR(VLOOKUP(RESOURCE_5_TYPE,SELL_RATES,3,FALSE)*Input_Tasks[[#This Row],[R5 After Hours]],0)</f>
        <v>0</v>
      </c>
      <c r="AV72" s="400">
        <f>SUM(Input_Tasks[[#This Row],[Round Trips R1]:[Round Trips R5]])</f>
        <v>0</v>
      </c>
      <c r="AW72" s="401">
        <f>SUM(Input_Tasks[[#This Row],[Overnight StaysR1]:[Overnight StaysR5]])</f>
        <v>0</v>
      </c>
      <c r="AX72" s="401">
        <f>IF(AND(Input_Tasks[[#This Row],[Sell - Line Total]]&gt;0,OR(Input_Tasks[[#This Row],[Phase]]="",Input_Tasks[[#This Row],[Skill Required]]="",Input_Tasks[[#This Row],[Task Type]]="",Input_Tasks[[#This Row],[Description]]="")),1,0)</f>
        <v>0</v>
      </c>
      <c r="AY72" s="402">
        <f>IF(AND(Input_Tasks[[#This Row],[Task Type]]="ArchiTech Document Deliverable",Input_Tasks[[#This Row],[Hours]]&gt;0),1,0)</f>
        <v>0</v>
      </c>
      <c r="AZ7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7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7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7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7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7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7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7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7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7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7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7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7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72" s="405">
        <f>SUM(Input_Tasks[[#This Row],[R1 Business Hours]:[R1 After Hours]],Input_Tasks[[#This Row],[R2 Business Hours]:[R2 After Hours]],Input_Tasks[[#This Row],[R3 Business Hours]:[R3 After Hours]],Input_Tasks[[#This Row],[R4 Business Hours]:[R4 After Hours]],Input_Tasks[[#This Row],[R5 Business Hours]:[R5 After Hours]])</f>
        <v>0</v>
      </c>
    </row>
    <row r="73" spans="1:65">
      <c r="A73" s="384"/>
      <c r="B73" s="271"/>
      <c r="C73" s="271"/>
      <c r="D73" s="406"/>
      <c r="E73" s="385">
        <f>Input_Tasks[[#This Row],[Onsite Round Trips_Hidden]]</f>
        <v>0</v>
      </c>
      <c r="F73" s="385">
        <f>Input_Tasks[[#This Row],[Overnight Stays_Hidden]]</f>
        <v>0</v>
      </c>
      <c r="G73" s="385">
        <f>Input_Tasks[[#This Row],[Documents_Hidden]]</f>
        <v>0</v>
      </c>
      <c r="H73" s="387"/>
      <c r="I73" s="388"/>
      <c r="J73" s="389"/>
      <c r="K73" s="390"/>
      <c r="L73" s="390"/>
      <c r="M73" s="389"/>
      <c r="N73" s="390"/>
      <c r="O73" s="390"/>
      <c r="P73" s="389"/>
      <c r="Q73" s="390"/>
      <c r="R73" s="391"/>
      <c r="S73" s="389"/>
      <c r="T73" s="390"/>
      <c r="U73" s="391"/>
      <c r="V73" s="389"/>
      <c r="W73" s="390"/>
      <c r="X73" s="390"/>
      <c r="Y73" s="386" t="str">
        <f>Input_Tasks[[#This Row],[Onsite Round Trips_Hidden]]&amp;"/"&amp;Input_Tasks[[#This Row],[Overnight Stays_Hidden]]&amp;"/"&amp;Input_Tasks[[#This Row],[Documents_Hidden]]</f>
        <v>0/0/0</v>
      </c>
      <c r="Z73" s="392">
        <f>Input_Tasks[[#This Row],[R1 Cost_Hidden]]</f>
        <v>0</v>
      </c>
      <c r="AA73" s="393">
        <f>Input_Tasks[[#This Row],[R2 Cost_Hidden]]</f>
        <v>0</v>
      </c>
      <c r="AB73" s="393">
        <f>Input_Tasks[[#This Row],[R3 Cost_Hidden]]</f>
        <v>0</v>
      </c>
      <c r="AC73" s="393">
        <f>Input_Tasks[[#This Row],[R4 Cost_Hidden]]</f>
        <v>0</v>
      </c>
      <c r="AD73" s="394">
        <f>Input_Tasks[[#This Row],[R5 Cost_Hidden]]</f>
        <v>0</v>
      </c>
      <c r="AE73" s="395">
        <f>SUM(Input_Tasks[[#This Row],[R1 Cost]:[R5 Cost]])</f>
        <v>0</v>
      </c>
      <c r="AF73" s="392">
        <f>Input_Tasks[[#This Row],[R1 Sell_Hidden]]</f>
        <v>0</v>
      </c>
      <c r="AG73" s="393">
        <f>Input_Tasks[[#This Row],[R2 Sell_Hidden]]</f>
        <v>0</v>
      </c>
      <c r="AH73" s="393">
        <f>Input_Tasks[[#This Row],[R3 Sell_Hidden]]</f>
        <v>0</v>
      </c>
      <c r="AI73" s="393">
        <f>Input_Tasks[[#This Row],[R4 Sell_Hidden5]]</f>
        <v>0</v>
      </c>
      <c r="AJ73" s="394">
        <f>Input_Tasks[[#This Row],[R5 Sell_Hidden]]</f>
        <v>0</v>
      </c>
      <c r="AK73" s="396">
        <f>SUM(Input_Tasks[[#This Row],[R1 Sell]:[R5 Sell]])</f>
        <v>0</v>
      </c>
      <c r="AL73" s="397">
        <f>IFERROR(VLOOKUP(RESOURCE_1_TYPE,COST_RATES,2,FALSE)*Input_Tasks[[#This Row],[R1 Business Hours]],0)+IFERROR(VLOOKUP(RESOURCE_1_TYPE,COST_RATES,3,FALSE)*Input_Tasks[[#This Row],[R1 After Hours]],0)</f>
        <v>0</v>
      </c>
      <c r="AM73" s="398">
        <f>IFERROR(VLOOKUP(RESOURCE_2_TYPE,COST_RATES,2,FALSE)*Input_Tasks[[#This Row],[R2 Business Hours]],0)+IFERROR(VLOOKUP(RESOURCE_2_TYPE,COST_RATES,3,FALSE)*Input_Tasks[[#This Row],[R2 After Hours]],0)</f>
        <v>0</v>
      </c>
      <c r="AN73" s="398">
        <f>IFERROR(VLOOKUP(RESOURCE_3_TYPE,COST_RATES,2,FALSE)*Input_Tasks[[#This Row],[R3 Business Hours]],0)+IFERROR(VLOOKUP(RESOURCE_3_TYPE,COST_RATES,3,FALSE)*Input_Tasks[[#This Row],[R3 After Hours]],0)</f>
        <v>0</v>
      </c>
      <c r="AO73" s="398">
        <f>IFERROR(VLOOKUP(RESOURCE_4_TYPE,COST_RATES,2,FALSE)*Input_Tasks[[#This Row],[R4 Business Hours]],0)+IFERROR(VLOOKUP(RESOURCE_4_TYPE,COST_RATES,3,FALSE)*Input_Tasks[[#This Row],[R4 After Hours]],0)</f>
        <v>0</v>
      </c>
      <c r="AP73" s="398">
        <f>IFERROR(VLOOKUP(RESOURCE_5_TYPE,COST_RATES,2,FALSE)*Input_Tasks[[#This Row],[R5 Business Hours]],0)+IFERROR(VLOOKUP(RESOURCE_5_TYPE,COST_RATES,3,FALSE)*Input_Tasks[[#This Row],[R5 After Hours]],0)</f>
        <v>0</v>
      </c>
      <c r="AQ73" s="399">
        <f>IFERROR(VLOOKUP(RESOURCE_1_TYPE,SELL_RATES,2,FALSE)*Input_Tasks[[#This Row],[R1 Business Hours]],0)+IFERROR(VLOOKUP(RESOURCE_1_TYPE,SELL_RATES,3,FALSE)*Input_Tasks[[#This Row],[R1 After Hours]],0)</f>
        <v>0</v>
      </c>
      <c r="AR73" s="398">
        <f>IFERROR(VLOOKUP(RESOURCE_2_TYPE,SELL_RATES,2,FALSE)*Input_Tasks[[#This Row],[R2 Business Hours]],0)+IFERROR(VLOOKUP(RESOURCE_2_TYPE,SELL_RATES,3,FALSE)*Input_Tasks[[#This Row],[R2 After Hours]],0)</f>
        <v>0</v>
      </c>
      <c r="AS73" s="398">
        <f>IFERROR(VLOOKUP(RESOURCE_3_TYPE,SELL_RATES,2,FALSE)*Input_Tasks[[#This Row],[R3 Business Hours]],0)+IFERROR(VLOOKUP(RESOURCE_3_TYPE,SELL_RATES,3,FALSE)*Input_Tasks[[#This Row],[R3 After Hours]],0)</f>
        <v>0</v>
      </c>
      <c r="AT73" s="398">
        <f>IFERROR(VLOOKUP(RESOURCE_4_TYPE,SELL_RATES,2,FALSE)*Input_Tasks[[#This Row],[R4 Business Hours]],0)+IFERROR(VLOOKUP(RESOURCE_4_TYPE,SELL_RATES,3,FALSE)*Input_Tasks[[#This Row],[R4 After Hours]],0)</f>
        <v>0</v>
      </c>
      <c r="AU73" s="398">
        <f>IFERROR(VLOOKUP(RESOURCE_5_TYPE,SELL_RATES,2,FALSE)*Input_Tasks[[#This Row],[R5 Business Hours]],0)+IFERROR(VLOOKUP(RESOURCE_5_TYPE,SELL_RATES,3,FALSE)*Input_Tasks[[#This Row],[R5 After Hours]],0)</f>
        <v>0</v>
      </c>
      <c r="AV73" s="400">
        <f>SUM(Input_Tasks[[#This Row],[Round Trips R1]:[Round Trips R5]])</f>
        <v>0</v>
      </c>
      <c r="AW73" s="401">
        <f>SUM(Input_Tasks[[#This Row],[Overnight StaysR1]:[Overnight StaysR5]])</f>
        <v>0</v>
      </c>
      <c r="AX73" s="401">
        <f>IF(AND(Input_Tasks[[#This Row],[Sell - Line Total]]&gt;0,OR(Input_Tasks[[#This Row],[Phase]]="",Input_Tasks[[#This Row],[Skill Required]]="",Input_Tasks[[#This Row],[Task Type]]="",Input_Tasks[[#This Row],[Description]]="")),1,0)</f>
        <v>0</v>
      </c>
      <c r="AY73" s="402">
        <f>IF(AND(Input_Tasks[[#This Row],[Task Type]]="ArchiTech Document Deliverable",Input_Tasks[[#This Row],[Hours]]&gt;0),1,0)</f>
        <v>0</v>
      </c>
      <c r="AZ7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7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7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7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7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7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7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7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7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7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7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7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7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73" s="405">
        <f>SUM(Input_Tasks[[#This Row],[R1 Business Hours]:[R1 After Hours]],Input_Tasks[[#This Row],[R2 Business Hours]:[R2 After Hours]],Input_Tasks[[#This Row],[R3 Business Hours]:[R3 After Hours]],Input_Tasks[[#This Row],[R4 Business Hours]:[R4 After Hours]],Input_Tasks[[#This Row],[R5 Business Hours]:[R5 After Hours]])</f>
        <v>0</v>
      </c>
    </row>
    <row r="74" spans="1:65">
      <c r="A74" s="384"/>
      <c r="B74" s="271"/>
      <c r="C74" s="271"/>
      <c r="D74" s="406"/>
      <c r="E74" s="385">
        <f>Input_Tasks[[#This Row],[Onsite Round Trips_Hidden]]</f>
        <v>0</v>
      </c>
      <c r="F74" s="385">
        <f>Input_Tasks[[#This Row],[Overnight Stays_Hidden]]</f>
        <v>0</v>
      </c>
      <c r="G74" s="385">
        <f>Input_Tasks[[#This Row],[Documents_Hidden]]</f>
        <v>0</v>
      </c>
      <c r="H74" s="387"/>
      <c r="I74" s="388"/>
      <c r="J74" s="389"/>
      <c r="K74" s="390"/>
      <c r="L74" s="390"/>
      <c r="M74" s="389"/>
      <c r="N74" s="390"/>
      <c r="O74" s="390"/>
      <c r="P74" s="389"/>
      <c r="Q74" s="390"/>
      <c r="R74" s="391"/>
      <c r="S74" s="389"/>
      <c r="T74" s="390"/>
      <c r="U74" s="391"/>
      <c r="V74" s="389"/>
      <c r="W74" s="390"/>
      <c r="X74" s="390"/>
      <c r="Y74" s="386" t="str">
        <f>Input_Tasks[[#This Row],[Onsite Round Trips_Hidden]]&amp;"/"&amp;Input_Tasks[[#This Row],[Overnight Stays_Hidden]]&amp;"/"&amp;Input_Tasks[[#This Row],[Documents_Hidden]]</f>
        <v>0/0/0</v>
      </c>
      <c r="Z74" s="392">
        <f>Input_Tasks[[#This Row],[R1 Cost_Hidden]]</f>
        <v>0</v>
      </c>
      <c r="AA74" s="393">
        <f>Input_Tasks[[#This Row],[R2 Cost_Hidden]]</f>
        <v>0</v>
      </c>
      <c r="AB74" s="393">
        <f>Input_Tasks[[#This Row],[R3 Cost_Hidden]]</f>
        <v>0</v>
      </c>
      <c r="AC74" s="393">
        <f>Input_Tasks[[#This Row],[R4 Cost_Hidden]]</f>
        <v>0</v>
      </c>
      <c r="AD74" s="394">
        <f>Input_Tasks[[#This Row],[R5 Cost_Hidden]]</f>
        <v>0</v>
      </c>
      <c r="AE74" s="395">
        <f>SUM(Input_Tasks[[#This Row],[R1 Cost]:[R5 Cost]])</f>
        <v>0</v>
      </c>
      <c r="AF74" s="392">
        <f>Input_Tasks[[#This Row],[R1 Sell_Hidden]]</f>
        <v>0</v>
      </c>
      <c r="AG74" s="393">
        <f>Input_Tasks[[#This Row],[R2 Sell_Hidden]]</f>
        <v>0</v>
      </c>
      <c r="AH74" s="393">
        <f>Input_Tasks[[#This Row],[R3 Sell_Hidden]]</f>
        <v>0</v>
      </c>
      <c r="AI74" s="393">
        <f>Input_Tasks[[#This Row],[R4 Sell_Hidden5]]</f>
        <v>0</v>
      </c>
      <c r="AJ74" s="394">
        <f>Input_Tasks[[#This Row],[R5 Sell_Hidden]]</f>
        <v>0</v>
      </c>
      <c r="AK74" s="396">
        <f>SUM(Input_Tasks[[#This Row],[R1 Sell]:[R5 Sell]])</f>
        <v>0</v>
      </c>
      <c r="AL74" s="397">
        <f>IFERROR(VLOOKUP(RESOURCE_1_TYPE,COST_RATES,2,FALSE)*Input_Tasks[[#This Row],[R1 Business Hours]],0)+IFERROR(VLOOKUP(RESOURCE_1_TYPE,COST_RATES,3,FALSE)*Input_Tasks[[#This Row],[R1 After Hours]],0)</f>
        <v>0</v>
      </c>
      <c r="AM74" s="398">
        <f>IFERROR(VLOOKUP(RESOURCE_2_TYPE,COST_RATES,2,FALSE)*Input_Tasks[[#This Row],[R2 Business Hours]],0)+IFERROR(VLOOKUP(RESOURCE_2_TYPE,COST_RATES,3,FALSE)*Input_Tasks[[#This Row],[R2 After Hours]],0)</f>
        <v>0</v>
      </c>
      <c r="AN74" s="398">
        <f>IFERROR(VLOOKUP(RESOURCE_3_TYPE,COST_RATES,2,FALSE)*Input_Tasks[[#This Row],[R3 Business Hours]],0)+IFERROR(VLOOKUP(RESOURCE_3_TYPE,COST_RATES,3,FALSE)*Input_Tasks[[#This Row],[R3 After Hours]],0)</f>
        <v>0</v>
      </c>
      <c r="AO74" s="398">
        <f>IFERROR(VLOOKUP(RESOURCE_4_TYPE,COST_RATES,2,FALSE)*Input_Tasks[[#This Row],[R4 Business Hours]],0)+IFERROR(VLOOKUP(RESOURCE_4_TYPE,COST_RATES,3,FALSE)*Input_Tasks[[#This Row],[R4 After Hours]],0)</f>
        <v>0</v>
      </c>
      <c r="AP74" s="398">
        <f>IFERROR(VLOOKUP(RESOURCE_5_TYPE,COST_RATES,2,FALSE)*Input_Tasks[[#This Row],[R5 Business Hours]],0)+IFERROR(VLOOKUP(RESOURCE_5_TYPE,COST_RATES,3,FALSE)*Input_Tasks[[#This Row],[R5 After Hours]],0)</f>
        <v>0</v>
      </c>
      <c r="AQ74" s="399">
        <f>IFERROR(VLOOKUP(RESOURCE_1_TYPE,SELL_RATES,2,FALSE)*Input_Tasks[[#This Row],[R1 Business Hours]],0)+IFERROR(VLOOKUP(RESOURCE_1_TYPE,SELL_RATES,3,FALSE)*Input_Tasks[[#This Row],[R1 After Hours]],0)</f>
        <v>0</v>
      </c>
      <c r="AR74" s="398">
        <f>IFERROR(VLOOKUP(RESOURCE_2_TYPE,SELL_RATES,2,FALSE)*Input_Tasks[[#This Row],[R2 Business Hours]],0)+IFERROR(VLOOKUP(RESOURCE_2_TYPE,SELL_RATES,3,FALSE)*Input_Tasks[[#This Row],[R2 After Hours]],0)</f>
        <v>0</v>
      </c>
      <c r="AS74" s="398">
        <f>IFERROR(VLOOKUP(RESOURCE_3_TYPE,SELL_RATES,2,FALSE)*Input_Tasks[[#This Row],[R3 Business Hours]],0)+IFERROR(VLOOKUP(RESOURCE_3_TYPE,SELL_RATES,3,FALSE)*Input_Tasks[[#This Row],[R3 After Hours]],0)</f>
        <v>0</v>
      </c>
      <c r="AT74" s="398">
        <f>IFERROR(VLOOKUP(RESOURCE_4_TYPE,SELL_RATES,2,FALSE)*Input_Tasks[[#This Row],[R4 Business Hours]],0)+IFERROR(VLOOKUP(RESOURCE_4_TYPE,SELL_RATES,3,FALSE)*Input_Tasks[[#This Row],[R4 After Hours]],0)</f>
        <v>0</v>
      </c>
      <c r="AU74" s="398">
        <f>IFERROR(VLOOKUP(RESOURCE_5_TYPE,SELL_RATES,2,FALSE)*Input_Tasks[[#This Row],[R5 Business Hours]],0)+IFERROR(VLOOKUP(RESOURCE_5_TYPE,SELL_RATES,3,FALSE)*Input_Tasks[[#This Row],[R5 After Hours]],0)</f>
        <v>0</v>
      </c>
      <c r="AV74" s="400">
        <f>SUM(Input_Tasks[[#This Row],[Round Trips R1]:[Round Trips R5]])</f>
        <v>0</v>
      </c>
      <c r="AW74" s="401">
        <f>SUM(Input_Tasks[[#This Row],[Overnight StaysR1]:[Overnight StaysR5]])</f>
        <v>0</v>
      </c>
      <c r="AX74" s="401">
        <f>IF(AND(Input_Tasks[[#This Row],[Sell - Line Total]]&gt;0,OR(Input_Tasks[[#This Row],[Phase]]="",Input_Tasks[[#This Row],[Skill Required]]="",Input_Tasks[[#This Row],[Task Type]]="",Input_Tasks[[#This Row],[Description]]="")),1,0)</f>
        <v>0</v>
      </c>
      <c r="AY74" s="402">
        <f>IF(AND(Input_Tasks[[#This Row],[Task Type]]="ArchiTech Document Deliverable",Input_Tasks[[#This Row],[Hours]]&gt;0),1,0)</f>
        <v>0</v>
      </c>
      <c r="AZ7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7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7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7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7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7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7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7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7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7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7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7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7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74" s="405">
        <f>SUM(Input_Tasks[[#This Row],[R1 Business Hours]:[R1 After Hours]],Input_Tasks[[#This Row],[R2 Business Hours]:[R2 After Hours]],Input_Tasks[[#This Row],[R3 Business Hours]:[R3 After Hours]],Input_Tasks[[#This Row],[R4 Business Hours]:[R4 After Hours]],Input_Tasks[[#This Row],[R5 Business Hours]:[R5 After Hours]])</f>
        <v>0</v>
      </c>
    </row>
    <row r="75" spans="1:65">
      <c r="A75" s="384"/>
      <c r="B75" s="271"/>
      <c r="C75" s="271"/>
      <c r="D75" s="406"/>
      <c r="E75" s="385">
        <f>Input_Tasks[[#This Row],[Onsite Round Trips_Hidden]]</f>
        <v>0</v>
      </c>
      <c r="F75" s="385">
        <f>Input_Tasks[[#This Row],[Overnight Stays_Hidden]]</f>
        <v>0</v>
      </c>
      <c r="G75" s="385">
        <f>Input_Tasks[[#This Row],[Documents_Hidden]]</f>
        <v>0</v>
      </c>
      <c r="H75" s="387"/>
      <c r="I75" s="388"/>
      <c r="J75" s="389"/>
      <c r="K75" s="390"/>
      <c r="L75" s="390"/>
      <c r="M75" s="389"/>
      <c r="N75" s="390"/>
      <c r="O75" s="390"/>
      <c r="P75" s="389"/>
      <c r="Q75" s="390"/>
      <c r="R75" s="391"/>
      <c r="S75" s="389"/>
      <c r="T75" s="390"/>
      <c r="U75" s="391"/>
      <c r="V75" s="389"/>
      <c r="W75" s="390"/>
      <c r="X75" s="390"/>
      <c r="Y75" s="386" t="str">
        <f>Input_Tasks[[#This Row],[Onsite Round Trips_Hidden]]&amp;"/"&amp;Input_Tasks[[#This Row],[Overnight Stays_Hidden]]&amp;"/"&amp;Input_Tasks[[#This Row],[Documents_Hidden]]</f>
        <v>0/0/0</v>
      </c>
      <c r="Z75" s="392">
        <f>Input_Tasks[[#This Row],[R1 Cost_Hidden]]</f>
        <v>0</v>
      </c>
      <c r="AA75" s="393">
        <f>Input_Tasks[[#This Row],[R2 Cost_Hidden]]</f>
        <v>0</v>
      </c>
      <c r="AB75" s="393">
        <f>Input_Tasks[[#This Row],[R3 Cost_Hidden]]</f>
        <v>0</v>
      </c>
      <c r="AC75" s="393">
        <f>Input_Tasks[[#This Row],[R4 Cost_Hidden]]</f>
        <v>0</v>
      </c>
      <c r="AD75" s="394">
        <f>Input_Tasks[[#This Row],[R5 Cost_Hidden]]</f>
        <v>0</v>
      </c>
      <c r="AE75" s="395">
        <f>SUM(Input_Tasks[[#This Row],[R1 Cost]:[R5 Cost]])</f>
        <v>0</v>
      </c>
      <c r="AF75" s="392">
        <f>Input_Tasks[[#This Row],[R1 Sell_Hidden]]</f>
        <v>0</v>
      </c>
      <c r="AG75" s="393">
        <f>Input_Tasks[[#This Row],[R2 Sell_Hidden]]</f>
        <v>0</v>
      </c>
      <c r="AH75" s="393">
        <f>Input_Tasks[[#This Row],[R3 Sell_Hidden]]</f>
        <v>0</v>
      </c>
      <c r="AI75" s="393">
        <f>Input_Tasks[[#This Row],[R4 Sell_Hidden5]]</f>
        <v>0</v>
      </c>
      <c r="AJ75" s="394">
        <f>Input_Tasks[[#This Row],[R5 Sell_Hidden]]</f>
        <v>0</v>
      </c>
      <c r="AK75" s="396">
        <f>SUM(Input_Tasks[[#This Row],[R1 Sell]:[R5 Sell]])</f>
        <v>0</v>
      </c>
      <c r="AL75" s="397">
        <f>IFERROR(VLOOKUP(RESOURCE_1_TYPE,COST_RATES,2,FALSE)*Input_Tasks[[#This Row],[R1 Business Hours]],0)+IFERROR(VLOOKUP(RESOURCE_1_TYPE,COST_RATES,3,FALSE)*Input_Tasks[[#This Row],[R1 After Hours]],0)</f>
        <v>0</v>
      </c>
      <c r="AM75" s="398">
        <f>IFERROR(VLOOKUP(RESOURCE_2_TYPE,COST_RATES,2,FALSE)*Input_Tasks[[#This Row],[R2 Business Hours]],0)+IFERROR(VLOOKUP(RESOURCE_2_TYPE,COST_RATES,3,FALSE)*Input_Tasks[[#This Row],[R2 After Hours]],0)</f>
        <v>0</v>
      </c>
      <c r="AN75" s="398">
        <f>IFERROR(VLOOKUP(RESOURCE_3_TYPE,COST_RATES,2,FALSE)*Input_Tasks[[#This Row],[R3 Business Hours]],0)+IFERROR(VLOOKUP(RESOURCE_3_TYPE,COST_RATES,3,FALSE)*Input_Tasks[[#This Row],[R3 After Hours]],0)</f>
        <v>0</v>
      </c>
      <c r="AO75" s="398">
        <f>IFERROR(VLOOKUP(RESOURCE_4_TYPE,COST_RATES,2,FALSE)*Input_Tasks[[#This Row],[R4 Business Hours]],0)+IFERROR(VLOOKUP(RESOURCE_4_TYPE,COST_RATES,3,FALSE)*Input_Tasks[[#This Row],[R4 After Hours]],0)</f>
        <v>0</v>
      </c>
      <c r="AP75" s="398">
        <f>IFERROR(VLOOKUP(RESOURCE_5_TYPE,COST_RATES,2,FALSE)*Input_Tasks[[#This Row],[R5 Business Hours]],0)+IFERROR(VLOOKUP(RESOURCE_5_TYPE,COST_RATES,3,FALSE)*Input_Tasks[[#This Row],[R5 After Hours]],0)</f>
        <v>0</v>
      </c>
      <c r="AQ75" s="399">
        <f>IFERROR(VLOOKUP(RESOURCE_1_TYPE,SELL_RATES,2,FALSE)*Input_Tasks[[#This Row],[R1 Business Hours]],0)+IFERROR(VLOOKUP(RESOURCE_1_TYPE,SELL_RATES,3,FALSE)*Input_Tasks[[#This Row],[R1 After Hours]],0)</f>
        <v>0</v>
      </c>
      <c r="AR75" s="398">
        <f>IFERROR(VLOOKUP(RESOURCE_2_TYPE,SELL_RATES,2,FALSE)*Input_Tasks[[#This Row],[R2 Business Hours]],0)+IFERROR(VLOOKUP(RESOURCE_2_TYPE,SELL_RATES,3,FALSE)*Input_Tasks[[#This Row],[R2 After Hours]],0)</f>
        <v>0</v>
      </c>
      <c r="AS75" s="398">
        <f>IFERROR(VLOOKUP(RESOURCE_3_TYPE,SELL_RATES,2,FALSE)*Input_Tasks[[#This Row],[R3 Business Hours]],0)+IFERROR(VLOOKUP(RESOURCE_3_TYPE,SELL_RATES,3,FALSE)*Input_Tasks[[#This Row],[R3 After Hours]],0)</f>
        <v>0</v>
      </c>
      <c r="AT75" s="398">
        <f>IFERROR(VLOOKUP(RESOURCE_4_TYPE,SELL_RATES,2,FALSE)*Input_Tasks[[#This Row],[R4 Business Hours]],0)+IFERROR(VLOOKUP(RESOURCE_4_TYPE,SELL_RATES,3,FALSE)*Input_Tasks[[#This Row],[R4 After Hours]],0)</f>
        <v>0</v>
      </c>
      <c r="AU75" s="398">
        <f>IFERROR(VLOOKUP(RESOURCE_5_TYPE,SELL_RATES,2,FALSE)*Input_Tasks[[#This Row],[R5 Business Hours]],0)+IFERROR(VLOOKUP(RESOURCE_5_TYPE,SELL_RATES,3,FALSE)*Input_Tasks[[#This Row],[R5 After Hours]],0)</f>
        <v>0</v>
      </c>
      <c r="AV75" s="400">
        <f>SUM(Input_Tasks[[#This Row],[Round Trips R1]:[Round Trips R5]])</f>
        <v>0</v>
      </c>
      <c r="AW75" s="401">
        <f>SUM(Input_Tasks[[#This Row],[Overnight StaysR1]:[Overnight StaysR5]])</f>
        <v>0</v>
      </c>
      <c r="AX75" s="401">
        <f>IF(AND(Input_Tasks[[#This Row],[Sell - Line Total]]&gt;0,OR(Input_Tasks[[#This Row],[Phase]]="",Input_Tasks[[#This Row],[Skill Required]]="",Input_Tasks[[#This Row],[Task Type]]="",Input_Tasks[[#This Row],[Description]]="")),1,0)</f>
        <v>0</v>
      </c>
      <c r="AY75" s="402">
        <f>IF(AND(Input_Tasks[[#This Row],[Task Type]]="ArchiTech Document Deliverable",Input_Tasks[[#This Row],[Hours]]&gt;0),1,0)</f>
        <v>0</v>
      </c>
      <c r="AZ7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7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7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7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7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7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7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7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7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7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7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7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7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75" s="405">
        <f>SUM(Input_Tasks[[#This Row],[R1 Business Hours]:[R1 After Hours]],Input_Tasks[[#This Row],[R2 Business Hours]:[R2 After Hours]],Input_Tasks[[#This Row],[R3 Business Hours]:[R3 After Hours]],Input_Tasks[[#This Row],[R4 Business Hours]:[R4 After Hours]],Input_Tasks[[#This Row],[R5 Business Hours]:[R5 After Hours]])</f>
        <v>0</v>
      </c>
    </row>
    <row r="76" spans="1:65">
      <c r="A76" s="384"/>
      <c r="B76" s="271"/>
      <c r="C76" s="271"/>
      <c r="D76" s="406"/>
      <c r="E76" s="385">
        <f>Input_Tasks[[#This Row],[Onsite Round Trips_Hidden]]</f>
        <v>0</v>
      </c>
      <c r="F76" s="385">
        <f>Input_Tasks[[#This Row],[Overnight Stays_Hidden]]</f>
        <v>0</v>
      </c>
      <c r="G76" s="385">
        <f>Input_Tasks[[#This Row],[Documents_Hidden]]</f>
        <v>0</v>
      </c>
      <c r="H76" s="387"/>
      <c r="I76" s="388"/>
      <c r="J76" s="389"/>
      <c r="K76" s="390"/>
      <c r="L76" s="390"/>
      <c r="M76" s="389"/>
      <c r="N76" s="390"/>
      <c r="O76" s="390"/>
      <c r="P76" s="389"/>
      <c r="Q76" s="390"/>
      <c r="R76" s="391"/>
      <c r="S76" s="389"/>
      <c r="T76" s="390"/>
      <c r="U76" s="391"/>
      <c r="V76" s="389"/>
      <c r="W76" s="390"/>
      <c r="X76" s="390"/>
      <c r="Y76" s="386" t="str">
        <f>Input_Tasks[[#This Row],[Onsite Round Trips_Hidden]]&amp;"/"&amp;Input_Tasks[[#This Row],[Overnight Stays_Hidden]]&amp;"/"&amp;Input_Tasks[[#This Row],[Documents_Hidden]]</f>
        <v>0/0/0</v>
      </c>
      <c r="Z76" s="392">
        <f>Input_Tasks[[#This Row],[R1 Cost_Hidden]]</f>
        <v>0</v>
      </c>
      <c r="AA76" s="393">
        <f>Input_Tasks[[#This Row],[R2 Cost_Hidden]]</f>
        <v>0</v>
      </c>
      <c r="AB76" s="393">
        <f>Input_Tasks[[#This Row],[R3 Cost_Hidden]]</f>
        <v>0</v>
      </c>
      <c r="AC76" s="393">
        <f>Input_Tasks[[#This Row],[R4 Cost_Hidden]]</f>
        <v>0</v>
      </c>
      <c r="AD76" s="394">
        <f>Input_Tasks[[#This Row],[R5 Cost_Hidden]]</f>
        <v>0</v>
      </c>
      <c r="AE76" s="395">
        <f>SUM(Input_Tasks[[#This Row],[R1 Cost]:[R5 Cost]])</f>
        <v>0</v>
      </c>
      <c r="AF76" s="392">
        <f>Input_Tasks[[#This Row],[R1 Sell_Hidden]]</f>
        <v>0</v>
      </c>
      <c r="AG76" s="393">
        <f>Input_Tasks[[#This Row],[R2 Sell_Hidden]]</f>
        <v>0</v>
      </c>
      <c r="AH76" s="393">
        <f>Input_Tasks[[#This Row],[R3 Sell_Hidden]]</f>
        <v>0</v>
      </c>
      <c r="AI76" s="393">
        <f>Input_Tasks[[#This Row],[R4 Sell_Hidden5]]</f>
        <v>0</v>
      </c>
      <c r="AJ76" s="394">
        <f>Input_Tasks[[#This Row],[R5 Sell_Hidden]]</f>
        <v>0</v>
      </c>
      <c r="AK76" s="396">
        <f>SUM(Input_Tasks[[#This Row],[R1 Sell]:[R5 Sell]])</f>
        <v>0</v>
      </c>
      <c r="AL76" s="397">
        <f>IFERROR(VLOOKUP(RESOURCE_1_TYPE,COST_RATES,2,FALSE)*Input_Tasks[[#This Row],[R1 Business Hours]],0)+IFERROR(VLOOKUP(RESOURCE_1_TYPE,COST_RATES,3,FALSE)*Input_Tasks[[#This Row],[R1 After Hours]],0)</f>
        <v>0</v>
      </c>
      <c r="AM76" s="398">
        <f>IFERROR(VLOOKUP(RESOURCE_2_TYPE,COST_RATES,2,FALSE)*Input_Tasks[[#This Row],[R2 Business Hours]],0)+IFERROR(VLOOKUP(RESOURCE_2_TYPE,COST_RATES,3,FALSE)*Input_Tasks[[#This Row],[R2 After Hours]],0)</f>
        <v>0</v>
      </c>
      <c r="AN76" s="398">
        <f>IFERROR(VLOOKUP(RESOURCE_3_TYPE,COST_RATES,2,FALSE)*Input_Tasks[[#This Row],[R3 Business Hours]],0)+IFERROR(VLOOKUP(RESOURCE_3_TYPE,COST_RATES,3,FALSE)*Input_Tasks[[#This Row],[R3 After Hours]],0)</f>
        <v>0</v>
      </c>
      <c r="AO76" s="398">
        <f>IFERROR(VLOOKUP(RESOURCE_4_TYPE,COST_RATES,2,FALSE)*Input_Tasks[[#This Row],[R4 Business Hours]],0)+IFERROR(VLOOKUP(RESOURCE_4_TYPE,COST_RATES,3,FALSE)*Input_Tasks[[#This Row],[R4 After Hours]],0)</f>
        <v>0</v>
      </c>
      <c r="AP76" s="398">
        <f>IFERROR(VLOOKUP(RESOURCE_5_TYPE,COST_RATES,2,FALSE)*Input_Tasks[[#This Row],[R5 Business Hours]],0)+IFERROR(VLOOKUP(RESOURCE_5_TYPE,COST_RATES,3,FALSE)*Input_Tasks[[#This Row],[R5 After Hours]],0)</f>
        <v>0</v>
      </c>
      <c r="AQ76" s="399">
        <f>IFERROR(VLOOKUP(RESOURCE_1_TYPE,SELL_RATES,2,FALSE)*Input_Tasks[[#This Row],[R1 Business Hours]],0)+IFERROR(VLOOKUP(RESOURCE_1_TYPE,SELL_RATES,3,FALSE)*Input_Tasks[[#This Row],[R1 After Hours]],0)</f>
        <v>0</v>
      </c>
      <c r="AR76" s="398">
        <f>IFERROR(VLOOKUP(RESOURCE_2_TYPE,SELL_RATES,2,FALSE)*Input_Tasks[[#This Row],[R2 Business Hours]],0)+IFERROR(VLOOKUP(RESOURCE_2_TYPE,SELL_RATES,3,FALSE)*Input_Tasks[[#This Row],[R2 After Hours]],0)</f>
        <v>0</v>
      </c>
      <c r="AS76" s="398">
        <f>IFERROR(VLOOKUP(RESOURCE_3_TYPE,SELL_RATES,2,FALSE)*Input_Tasks[[#This Row],[R3 Business Hours]],0)+IFERROR(VLOOKUP(RESOURCE_3_TYPE,SELL_RATES,3,FALSE)*Input_Tasks[[#This Row],[R3 After Hours]],0)</f>
        <v>0</v>
      </c>
      <c r="AT76" s="398">
        <f>IFERROR(VLOOKUP(RESOURCE_4_TYPE,SELL_RATES,2,FALSE)*Input_Tasks[[#This Row],[R4 Business Hours]],0)+IFERROR(VLOOKUP(RESOURCE_4_TYPE,SELL_RATES,3,FALSE)*Input_Tasks[[#This Row],[R4 After Hours]],0)</f>
        <v>0</v>
      </c>
      <c r="AU76" s="398">
        <f>IFERROR(VLOOKUP(RESOURCE_5_TYPE,SELL_RATES,2,FALSE)*Input_Tasks[[#This Row],[R5 Business Hours]],0)+IFERROR(VLOOKUP(RESOURCE_5_TYPE,SELL_RATES,3,FALSE)*Input_Tasks[[#This Row],[R5 After Hours]],0)</f>
        <v>0</v>
      </c>
      <c r="AV76" s="400">
        <f>SUM(Input_Tasks[[#This Row],[Round Trips R1]:[Round Trips R5]])</f>
        <v>0</v>
      </c>
      <c r="AW76" s="401">
        <f>SUM(Input_Tasks[[#This Row],[Overnight StaysR1]:[Overnight StaysR5]])</f>
        <v>0</v>
      </c>
      <c r="AX76" s="401">
        <f>IF(AND(Input_Tasks[[#This Row],[Sell - Line Total]]&gt;0,OR(Input_Tasks[[#This Row],[Phase]]="",Input_Tasks[[#This Row],[Skill Required]]="",Input_Tasks[[#This Row],[Task Type]]="",Input_Tasks[[#This Row],[Description]]="")),1,0)</f>
        <v>0</v>
      </c>
      <c r="AY76" s="402">
        <f>IF(AND(Input_Tasks[[#This Row],[Task Type]]="ArchiTech Document Deliverable",Input_Tasks[[#This Row],[Hours]]&gt;0),1,0)</f>
        <v>0</v>
      </c>
      <c r="AZ7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7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7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7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7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7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7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7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7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7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7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7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7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76" s="405">
        <f>SUM(Input_Tasks[[#This Row],[R1 Business Hours]:[R1 After Hours]],Input_Tasks[[#This Row],[R2 Business Hours]:[R2 After Hours]],Input_Tasks[[#This Row],[R3 Business Hours]:[R3 After Hours]],Input_Tasks[[#This Row],[R4 Business Hours]:[R4 After Hours]],Input_Tasks[[#This Row],[R5 Business Hours]:[R5 After Hours]])</f>
        <v>0</v>
      </c>
    </row>
    <row r="77" spans="1:65">
      <c r="A77" s="384"/>
      <c r="B77" s="271"/>
      <c r="C77" s="271"/>
      <c r="D77" s="406"/>
      <c r="E77" s="385">
        <f>Input_Tasks[[#This Row],[Onsite Round Trips_Hidden]]</f>
        <v>0</v>
      </c>
      <c r="F77" s="385">
        <f>Input_Tasks[[#This Row],[Overnight Stays_Hidden]]</f>
        <v>0</v>
      </c>
      <c r="G77" s="385">
        <f>Input_Tasks[[#This Row],[Documents_Hidden]]</f>
        <v>0</v>
      </c>
      <c r="H77" s="387"/>
      <c r="I77" s="388"/>
      <c r="J77" s="389"/>
      <c r="K77" s="390"/>
      <c r="L77" s="390"/>
      <c r="M77" s="389"/>
      <c r="N77" s="390"/>
      <c r="O77" s="390"/>
      <c r="P77" s="389"/>
      <c r="Q77" s="390"/>
      <c r="R77" s="391"/>
      <c r="S77" s="389"/>
      <c r="T77" s="390"/>
      <c r="U77" s="391"/>
      <c r="V77" s="389"/>
      <c r="W77" s="390"/>
      <c r="X77" s="390"/>
      <c r="Y77" s="386" t="str">
        <f>Input_Tasks[[#This Row],[Onsite Round Trips_Hidden]]&amp;"/"&amp;Input_Tasks[[#This Row],[Overnight Stays_Hidden]]&amp;"/"&amp;Input_Tasks[[#This Row],[Documents_Hidden]]</f>
        <v>0/0/0</v>
      </c>
      <c r="Z77" s="392">
        <f>Input_Tasks[[#This Row],[R1 Cost_Hidden]]</f>
        <v>0</v>
      </c>
      <c r="AA77" s="393">
        <f>Input_Tasks[[#This Row],[R2 Cost_Hidden]]</f>
        <v>0</v>
      </c>
      <c r="AB77" s="393">
        <f>Input_Tasks[[#This Row],[R3 Cost_Hidden]]</f>
        <v>0</v>
      </c>
      <c r="AC77" s="393">
        <f>Input_Tasks[[#This Row],[R4 Cost_Hidden]]</f>
        <v>0</v>
      </c>
      <c r="AD77" s="394">
        <f>Input_Tasks[[#This Row],[R5 Cost_Hidden]]</f>
        <v>0</v>
      </c>
      <c r="AE77" s="395">
        <f>SUM(Input_Tasks[[#This Row],[R1 Cost]:[R5 Cost]])</f>
        <v>0</v>
      </c>
      <c r="AF77" s="392">
        <f>Input_Tasks[[#This Row],[R1 Sell_Hidden]]</f>
        <v>0</v>
      </c>
      <c r="AG77" s="393">
        <f>Input_Tasks[[#This Row],[R2 Sell_Hidden]]</f>
        <v>0</v>
      </c>
      <c r="AH77" s="393">
        <f>Input_Tasks[[#This Row],[R3 Sell_Hidden]]</f>
        <v>0</v>
      </c>
      <c r="AI77" s="393">
        <f>Input_Tasks[[#This Row],[R4 Sell_Hidden5]]</f>
        <v>0</v>
      </c>
      <c r="AJ77" s="394">
        <f>Input_Tasks[[#This Row],[R5 Sell_Hidden]]</f>
        <v>0</v>
      </c>
      <c r="AK77" s="396">
        <f>SUM(Input_Tasks[[#This Row],[R1 Sell]:[R5 Sell]])</f>
        <v>0</v>
      </c>
      <c r="AL77" s="397">
        <f>IFERROR(VLOOKUP(RESOURCE_1_TYPE,COST_RATES,2,FALSE)*Input_Tasks[[#This Row],[R1 Business Hours]],0)+IFERROR(VLOOKUP(RESOURCE_1_TYPE,COST_RATES,3,FALSE)*Input_Tasks[[#This Row],[R1 After Hours]],0)</f>
        <v>0</v>
      </c>
      <c r="AM77" s="398">
        <f>IFERROR(VLOOKUP(RESOURCE_2_TYPE,COST_RATES,2,FALSE)*Input_Tasks[[#This Row],[R2 Business Hours]],0)+IFERROR(VLOOKUP(RESOURCE_2_TYPE,COST_RATES,3,FALSE)*Input_Tasks[[#This Row],[R2 After Hours]],0)</f>
        <v>0</v>
      </c>
      <c r="AN77" s="398">
        <f>IFERROR(VLOOKUP(RESOURCE_3_TYPE,COST_RATES,2,FALSE)*Input_Tasks[[#This Row],[R3 Business Hours]],0)+IFERROR(VLOOKUP(RESOURCE_3_TYPE,COST_RATES,3,FALSE)*Input_Tasks[[#This Row],[R3 After Hours]],0)</f>
        <v>0</v>
      </c>
      <c r="AO77" s="398">
        <f>IFERROR(VLOOKUP(RESOURCE_4_TYPE,COST_RATES,2,FALSE)*Input_Tasks[[#This Row],[R4 Business Hours]],0)+IFERROR(VLOOKUP(RESOURCE_4_TYPE,COST_RATES,3,FALSE)*Input_Tasks[[#This Row],[R4 After Hours]],0)</f>
        <v>0</v>
      </c>
      <c r="AP77" s="398">
        <f>IFERROR(VLOOKUP(RESOURCE_5_TYPE,COST_RATES,2,FALSE)*Input_Tasks[[#This Row],[R5 Business Hours]],0)+IFERROR(VLOOKUP(RESOURCE_5_TYPE,COST_RATES,3,FALSE)*Input_Tasks[[#This Row],[R5 After Hours]],0)</f>
        <v>0</v>
      </c>
      <c r="AQ77" s="399">
        <f>IFERROR(VLOOKUP(RESOURCE_1_TYPE,SELL_RATES,2,FALSE)*Input_Tasks[[#This Row],[R1 Business Hours]],0)+IFERROR(VLOOKUP(RESOURCE_1_TYPE,SELL_RATES,3,FALSE)*Input_Tasks[[#This Row],[R1 After Hours]],0)</f>
        <v>0</v>
      </c>
      <c r="AR77" s="398">
        <f>IFERROR(VLOOKUP(RESOURCE_2_TYPE,SELL_RATES,2,FALSE)*Input_Tasks[[#This Row],[R2 Business Hours]],0)+IFERROR(VLOOKUP(RESOURCE_2_TYPE,SELL_RATES,3,FALSE)*Input_Tasks[[#This Row],[R2 After Hours]],0)</f>
        <v>0</v>
      </c>
      <c r="AS77" s="398">
        <f>IFERROR(VLOOKUP(RESOURCE_3_TYPE,SELL_RATES,2,FALSE)*Input_Tasks[[#This Row],[R3 Business Hours]],0)+IFERROR(VLOOKUP(RESOURCE_3_TYPE,SELL_RATES,3,FALSE)*Input_Tasks[[#This Row],[R3 After Hours]],0)</f>
        <v>0</v>
      </c>
      <c r="AT77" s="398">
        <f>IFERROR(VLOOKUP(RESOURCE_4_TYPE,SELL_RATES,2,FALSE)*Input_Tasks[[#This Row],[R4 Business Hours]],0)+IFERROR(VLOOKUP(RESOURCE_4_TYPE,SELL_RATES,3,FALSE)*Input_Tasks[[#This Row],[R4 After Hours]],0)</f>
        <v>0</v>
      </c>
      <c r="AU77" s="398">
        <f>IFERROR(VLOOKUP(RESOURCE_5_TYPE,SELL_RATES,2,FALSE)*Input_Tasks[[#This Row],[R5 Business Hours]],0)+IFERROR(VLOOKUP(RESOURCE_5_TYPE,SELL_RATES,3,FALSE)*Input_Tasks[[#This Row],[R5 After Hours]],0)</f>
        <v>0</v>
      </c>
      <c r="AV77" s="400">
        <f>SUM(Input_Tasks[[#This Row],[Round Trips R1]:[Round Trips R5]])</f>
        <v>0</v>
      </c>
      <c r="AW77" s="401">
        <f>SUM(Input_Tasks[[#This Row],[Overnight StaysR1]:[Overnight StaysR5]])</f>
        <v>0</v>
      </c>
      <c r="AX77" s="401">
        <f>IF(AND(Input_Tasks[[#This Row],[Sell - Line Total]]&gt;0,OR(Input_Tasks[[#This Row],[Phase]]="",Input_Tasks[[#This Row],[Skill Required]]="",Input_Tasks[[#This Row],[Task Type]]="",Input_Tasks[[#This Row],[Description]]="")),1,0)</f>
        <v>0</v>
      </c>
      <c r="AY77" s="402">
        <f>IF(AND(Input_Tasks[[#This Row],[Task Type]]="ArchiTech Document Deliverable",Input_Tasks[[#This Row],[Hours]]&gt;0),1,0)</f>
        <v>0</v>
      </c>
      <c r="AZ7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7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7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7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7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7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7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7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7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7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7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7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7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77" s="405">
        <f>SUM(Input_Tasks[[#This Row],[R1 Business Hours]:[R1 After Hours]],Input_Tasks[[#This Row],[R2 Business Hours]:[R2 After Hours]],Input_Tasks[[#This Row],[R3 Business Hours]:[R3 After Hours]],Input_Tasks[[#This Row],[R4 Business Hours]:[R4 After Hours]],Input_Tasks[[#This Row],[R5 Business Hours]:[R5 After Hours]])</f>
        <v>0</v>
      </c>
    </row>
    <row r="78" spans="1:65">
      <c r="A78" s="384"/>
      <c r="B78" s="271"/>
      <c r="C78" s="271"/>
      <c r="D78" s="406"/>
      <c r="E78" s="385">
        <f>Input_Tasks[[#This Row],[Onsite Round Trips_Hidden]]</f>
        <v>0</v>
      </c>
      <c r="F78" s="385">
        <f>Input_Tasks[[#This Row],[Overnight Stays_Hidden]]</f>
        <v>0</v>
      </c>
      <c r="G78" s="385">
        <f>Input_Tasks[[#This Row],[Documents_Hidden]]</f>
        <v>0</v>
      </c>
      <c r="H78" s="387"/>
      <c r="I78" s="388"/>
      <c r="J78" s="389"/>
      <c r="K78" s="390"/>
      <c r="L78" s="390"/>
      <c r="M78" s="389"/>
      <c r="N78" s="390"/>
      <c r="O78" s="390"/>
      <c r="P78" s="389"/>
      <c r="Q78" s="390"/>
      <c r="R78" s="391"/>
      <c r="S78" s="389"/>
      <c r="T78" s="390"/>
      <c r="U78" s="391"/>
      <c r="V78" s="389"/>
      <c r="W78" s="390"/>
      <c r="X78" s="390"/>
      <c r="Y78" s="386" t="str">
        <f>Input_Tasks[[#This Row],[Onsite Round Trips_Hidden]]&amp;"/"&amp;Input_Tasks[[#This Row],[Overnight Stays_Hidden]]&amp;"/"&amp;Input_Tasks[[#This Row],[Documents_Hidden]]</f>
        <v>0/0/0</v>
      </c>
      <c r="Z78" s="392">
        <f>Input_Tasks[[#This Row],[R1 Cost_Hidden]]</f>
        <v>0</v>
      </c>
      <c r="AA78" s="393">
        <f>Input_Tasks[[#This Row],[R2 Cost_Hidden]]</f>
        <v>0</v>
      </c>
      <c r="AB78" s="393">
        <f>Input_Tasks[[#This Row],[R3 Cost_Hidden]]</f>
        <v>0</v>
      </c>
      <c r="AC78" s="393">
        <f>Input_Tasks[[#This Row],[R4 Cost_Hidden]]</f>
        <v>0</v>
      </c>
      <c r="AD78" s="394">
        <f>Input_Tasks[[#This Row],[R5 Cost_Hidden]]</f>
        <v>0</v>
      </c>
      <c r="AE78" s="395">
        <f>SUM(Input_Tasks[[#This Row],[R1 Cost]:[R5 Cost]])</f>
        <v>0</v>
      </c>
      <c r="AF78" s="392">
        <f>Input_Tasks[[#This Row],[R1 Sell_Hidden]]</f>
        <v>0</v>
      </c>
      <c r="AG78" s="393">
        <f>Input_Tasks[[#This Row],[R2 Sell_Hidden]]</f>
        <v>0</v>
      </c>
      <c r="AH78" s="393">
        <f>Input_Tasks[[#This Row],[R3 Sell_Hidden]]</f>
        <v>0</v>
      </c>
      <c r="AI78" s="393">
        <f>Input_Tasks[[#This Row],[R4 Sell_Hidden5]]</f>
        <v>0</v>
      </c>
      <c r="AJ78" s="394">
        <f>Input_Tasks[[#This Row],[R5 Sell_Hidden]]</f>
        <v>0</v>
      </c>
      <c r="AK78" s="396">
        <f>SUM(Input_Tasks[[#This Row],[R1 Sell]:[R5 Sell]])</f>
        <v>0</v>
      </c>
      <c r="AL78" s="397">
        <f>IFERROR(VLOOKUP(RESOURCE_1_TYPE,COST_RATES,2,FALSE)*Input_Tasks[[#This Row],[R1 Business Hours]],0)+IFERROR(VLOOKUP(RESOURCE_1_TYPE,COST_RATES,3,FALSE)*Input_Tasks[[#This Row],[R1 After Hours]],0)</f>
        <v>0</v>
      </c>
      <c r="AM78" s="398">
        <f>IFERROR(VLOOKUP(RESOURCE_2_TYPE,COST_RATES,2,FALSE)*Input_Tasks[[#This Row],[R2 Business Hours]],0)+IFERROR(VLOOKUP(RESOURCE_2_TYPE,COST_RATES,3,FALSE)*Input_Tasks[[#This Row],[R2 After Hours]],0)</f>
        <v>0</v>
      </c>
      <c r="AN78" s="398">
        <f>IFERROR(VLOOKUP(RESOURCE_3_TYPE,COST_RATES,2,FALSE)*Input_Tasks[[#This Row],[R3 Business Hours]],0)+IFERROR(VLOOKUP(RESOURCE_3_TYPE,COST_RATES,3,FALSE)*Input_Tasks[[#This Row],[R3 After Hours]],0)</f>
        <v>0</v>
      </c>
      <c r="AO78" s="398">
        <f>IFERROR(VLOOKUP(RESOURCE_4_TYPE,COST_RATES,2,FALSE)*Input_Tasks[[#This Row],[R4 Business Hours]],0)+IFERROR(VLOOKUP(RESOURCE_4_TYPE,COST_RATES,3,FALSE)*Input_Tasks[[#This Row],[R4 After Hours]],0)</f>
        <v>0</v>
      </c>
      <c r="AP78" s="398">
        <f>IFERROR(VLOOKUP(RESOURCE_5_TYPE,COST_RATES,2,FALSE)*Input_Tasks[[#This Row],[R5 Business Hours]],0)+IFERROR(VLOOKUP(RESOURCE_5_TYPE,COST_RATES,3,FALSE)*Input_Tasks[[#This Row],[R5 After Hours]],0)</f>
        <v>0</v>
      </c>
      <c r="AQ78" s="399">
        <f>IFERROR(VLOOKUP(RESOURCE_1_TYPE,SELL_RATES,2,FALSE)*Input_Tasks[[#This Row],[R1 Business Hours]],0)+IFERROR(VLOOKUP(RESOURCE_1_TYPE,SELL_RATES,3,FALSE)*Input_Tasks[[#This Row],[R1 After Hours]],0)</f>
        <v>0</v>
      </c>
      <c r="AR78" s="398">
        <f>IFERROR(VLOOKUP(RESOURCE_2_TYPE,SELL_RATES,2,FALSE)*Input_Tasks[[#This Row],[R2 Business Hours]],0)+IFERROR(VLOOKUP(RESOURCE_2_TYPE,SELL_RATES,3,FALSE)*Input_Tasks[[#This Row],[R2 After Hours]],0)</f>
        <v>0</v>
      </c>
      <c r="AS78" s="398">
        <f>IFERROR(VLOOKUP(RESOURCE_3_TYPE,SELL_RATES,2,FALSE)*Input_Tasks[[#This Row],[R3 Business Hours]],0)+IFERROR(VLOOKUP(RESOURCE_3_TYPE,SELL_RATES,3,FALSE)*Input_Tasks[[#This Row],[R3 After Hours]],0)</f>
        <v>0</v>
      </c>
      <c r="AT78" s="398">
        <f>IFERROR(VLOOKUP(RESOURCE_4_TYPE,SELL_RATES,2,FALSE)*Input_Tasks[[#This Row],[R4 Business Hours]],0)+IFERROR(VLOOKUP(RESOURCE_4_TYPE,SELL_RATES,3,FALSE)*Input_Tasks[[#This Row],[R4 After Hours]],0)</f>
        <v>0</v>
      </c>
      <c r="AU78" s="398">
        <f>IFERROR(VLOOKUP(RESOURCE_5_TYPE,SELL_RATES,2,FALSE)*Input_Tasks[[#This Row],[R5 Business Hours]],0)+IFERROR(VLOOKUP(RESOURCE_5_TYPE,SELL_RATES,3,FALSE)*Input_Tasks[[#This Row],[R5 After Hours]],0)</f>
        <v>0</v>
      </c>
      <c r="AV78" s="400">
        <f>SUM(Input_Tasks[[#This Row],[Round Trips R1]:[Round Trips R5]])</f>
        <v>0</v>
      </c>
      <c r="AW78" s="401">
        <f>SUM(Input_Tasks[[#This Row],[Overnight StaysR1]:[Overnight StaysR5]])</f>
        <v>0</v>
      </c>
      <c r="AX78" s="401">
        <f>IF(AND(Input_Tasks[[#This Row],[Sell - Line Total]]&gt;0,OR(Input_Tasks[[#This Row],[Phase]]="",Input_Tasks[[#This Row],[Skill Required]]="",Input_Tasks[[#This Row],[Task Type]]="",Input_Tasks[[#This Row],[Description]]="")),1,0)</f>
        <v>0</v>
      </c>
      <c r="AY78" s="402">
        <f>IF(AND(Input_Tasks[[#This Row],[Task Type]]="ArchiTech Document Deliverable",Input_Tasks[[#This Row],[Hours]]&gt;0),1,0)</f>
        <v>0</v>
      </c>
      <c r="AZ7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7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7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7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7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7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7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7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7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7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7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7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7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78" s="405">
        <f>SUM(Input_Tasks[[#This Row],[R1 Business Hours]:[R1 After Hours]],Input_Tasks[[#This Row],[R2 Business Hours]:[R2 After Hours]],Input_Tasks[[#This Row],[R3 Business Hours]:[R3 After Hours]],Input_Tasks[[#This Row],[R4 Business Hours]:[R4 After Hours]],Input_Tasks[[#This Row],[R5 Business Hours]:[R5 After Hours]])</f>
        <v>0</v>
      </c>
    </row>
    <row r="79" spans="1:65">
      <c r="A79" s="384"/>
      <c r="B79" s="271"/>
      <c r="C79" s="271"/>
      <c r="D79" s="406"/>
      <c r="E79" s="385">
        <f>Input_Tasks[[#This Row],[Onsite Round Trips_Hidden]]</f>
        <v>0</v>
      </c>
      <c r="F79" s="385">
        <f>Input_Tasks[[#This Row],[Overnight Stays_Hidden]]</f>
        <v>0</v>
      </c>
      <c r="G79" s="385">
        <f>Input_Tasks[[#This Row],[Documents_Hidden]]</f>
        <v>0</v>
      </c>
      <c r="H79" s="387"/>
      <c r="I79" s="388"/>
      <c r="J79" s="389"/>
      <c r="K79" s="390"/>
      <c r="L79" s="390"/>
      <c r="M79" s="389"/>
      <c r="N79" s="390"/>
      <c r="O79" s="390"/>
      <c r="P79" s="389"/>
      <c r="Q79" s="390"/>
      <c r="R79" s="391"/>
      <c r="S79" s="389"/>
      <c r="T79" s="390"/>
      <c r="U79" s="391"/>
      <c r="V79" s="389"/>
      <c r="W79" s="390"/>
      <c r="X79" s="390"/>
      <c r="Y79" s="386" t="str">
        <f>Input_Tasks[[#This Row],[Onsite Round Trips_Hidden]]&amp;"/"&amp;Input_Tasks[[#This Row],[Overnight Stays_Hidden]]&amp;"/"&amp;Input_Tasks[[#This Row],[Documents_Hidden]]</f>
        <v>0/0/0</v>
      </c>
      <c r="Z79" s="392">
        <f>Input_Tasks[[#This Row],[R1 Cost_Hidden]]</f>
        <v>0</v>
      </c>
      <c r="AA79" s="393">
        <f>Input_Tasks[[#This Row],[R2 Cost_Hidden]]</f>
        <v>0</v>
      </c>
      <c r="AB79" s="393">
        <f>Input_Tasks[[#This Row],[R3 Cost_Hidden]]</f>
        <v>0</v>
      </c>
      <c r="AC79" s="393">
        <f>Input_Tasks[[#This Row],[R4 Cost_Hidden]]</f>
        <v>0</v>
      </c>
      <c r="AD79" s="394">
        <f>Input_Tasks[[#This Row],[R5 Cost_Hidden]]</f>
        <v>0</v>
      </c>
      <c r="AE79" s="395">
        <f>SUM(Input_Tasks[[#This Row],[R1 Cost]:[R5 Cost]])</f>
        <v>0</v>
      </c>
      <c r="AF79" s="392">
        <f>Input_Tasks[[#This Row],[R1 Sell_Hidden]]</f>
        <v>0</v>
      </c>
      <c r="AG79" s="393">
        <f>Input_Tasks[[#This Row],[R2 Sell_Hidden]]</f>
        <v>0</v>
      </c>
      <c r="AH79" s="393">
        <f>Input_Tasks[[#This Row],[R3 Sell_Hidden]]</f>
        <v>0</v>
      </c>
      <c r="AI79" s="393">
        <f>Input_Tasks[[#This Row],[R4 Sell_Hidden5]]</f>
        <v>0</v>
      </c>
      <c r="AJ79" s="394">
        <f>Input_Tasks[[#This Row],[R5 Sell_Hidden]]</f>
        <v>0</v>
      </c>
      <c r="AK79" s="396">
        <f>SUM(Input_Tasks[[#This Row],[R1 Sell]:[R5 Sell]])</f>
        <v>0</v>
      </c>
      <c r="AL79" s="397">
        <f>IFERROR(VLOOKUP(RESOURCE_1_TYPE,COST_RATES,2,FALSE)*Input_Tasks[[#This Row],[R1 Business Hours]],0)+IFERROR(VLOOKUP(RESOURCE_1_TYPE,COST_RATES,3,FALSE)*Input_Tasks[[#This Row],[R1 After Hours]],0)</f>
        <v>0</v>
      </c>
      <c r="AM79" s="398">
        <f>IFERROR(VLOOKUP(RESOURCE_2_TYPE,COST_RATES,2,FALSE)*Input_Tasks[[#This Row],[R2 Business Hours]],0)+IFERROR(VLOOKUP(RESOURCE_2_TYPE,COST_RATES,3,FALSE)*Input_Tasks[[#This Row],[R2 After Hours]],0)</f>
        <v>0</v>
      </c>
      <c r="AN79" s="398">
        <f>IFERROR(VLOOKUP(RESOURCE_3_TYPE,COST_RATES,2,FALSE)*Input_Tasks[[#This Row],[R3 Business Hours]],0)+IFERROR(VLOOKUP(RESOURCE_3_TYPE,COST_RATES,3,FALSE)*Input_Tasks[[#This Row],[R3 After Hours]],0)</f>
        <v>0</v>
      </c>
      <c r="AO79" s="398">
        <f>IFERROR(VLOOKUP(RESOURCE_4_TYPE,COST_RATES,2,FALSE)*Input_Tasks[[#This Row],[R4 Business Hours]],0)+IFERROR(VLOOKUP(RESOURCE_4_TYPE,COST_RATES,3,FALSE)*Input_Tasks[[#This Row],[R4 After Hours]],0)</f>
        <v>0</v>
      </c>
      <c r="AP79" s="398">
        <f>IFERROR(VLOOKUP(RESOURCE_5_TYPE,COST_RATES,2,FALSE)*Input_Tasks[[#This Row],[R5 Business Hours]],0)+IFERROR(VLOOKUP(RESOURCE_5_TYPE,COST_RATES,3,FALSE)*Input_Tasks[[#This Row],[R5 After Hours]],0)</f>
        <v>0</v>
      </c>
      <c r="AQ79" s="399">
        <f>IFERROR(VLOOKUP(RESOURCE_1_TYPE,SELL_RATES,2,FALSE)*Input_Tasks[[#This Row],[R1 Business Hours]],0)+IFERROR(VLOOKUP(RESOURCE_1_TYPE,SELL_RATES,3,FALSE)*Input_Tasks[[#This Row],[R1 After Hours]],0)</f>
        <v>0</v>
      </c>
      <c r="AR79" s="398">
        <f>IFERROR(VLOOKUP(RESOURCE_2_TYPE,SELL_RATES,2,FALSE)*Input_Tasks[[#This Row],[R2 Business Hours]],0)+IFERROR(VLOOKUP(RESOURCE_2_TYPE,SELL_RATES,3,FALSE)*Input_Tasks[[#This Row],[R2 After Hours]],0)</f>
        <v>0</v>
      </c>
      <c r="AS79" s="398">
        <f>IFERROR(VLOOKUP(RESOURCE_3_TYPE,SELL_RATES,2,FALSE)*Input_Tasks[[#This Row],[R3 Business Hours]],0)+IFERROR(VLOOKUP(RESOURCE_3_TYPE,SELL_RATES,3,FALSE)*Input_Tasks[[#This Row],[R3 After Hours]],0)</f>
        <v>0</v>
      </c>
      <c r="AT79" s="398">
        <f>IFERROR(VLOOKUP(RESOURCE_4_TYPE,SELL_RATES,2,FALSE)*Input_Tasks[[#This Row],[R4 Business Hours]],0)+IFERROR(VLOOKUP(RESOURCE_4_TYPE,SELL_RATES,3,FALSE)*Input_Tasks[[#This Row],[R4 After Hours]],0)</f>
        <v>0</v>
      </c>
      <c r="AU79" s="398">
        <f>IFERROR(VLOOKUP(RESOURCE_5_TYPE,SELL_RATES,2,FALSE)*Input_Tasks[[#This Row],[R5 Business Hours]],0)+IFERROR(VLOOKUP(RESOURCE_5_TYPE,SELL_RATES,3,FALSE)*Input_Tasks[[#This Row],[R5 After Hours]],0)</f>
        <v>0</v>
      </c>
      <c r="AV79" s="400">
        <f>SUM(Input_Tasks[[#This Row],[Round Trips R1]:[Round Trips R5]])</f>
        <v>0</v>
      </c>
      <c r="AW79" s="401">
        <f>SUM(Input_Tasks[[#This Row],[Overnight StaysR1]:[Overnight StaysR5]])</f>
        <v>0</v>
      </c>
      <c r="AX79" s="401">
        <f>IF(AND(Input_Tasks[[#This Row],[Sell - Line Total]]&gt;0,OR(Input_Tasks[[#This Row],[Phase]]="",Input_Tasks[[#This Row],[Skill Required]]="",Input_Tasks[[#This Row],[Task Type]]="",Input_Tasks[[#This Row],[Description]]="")),1,0)</f>
        <v>0</v>
      </c>
      <c r="AY79" s="402">
        <f>IF(AND(Input_Tasks[[#This Row],[Task Type]]="ArchiTech Document Deliverable",Input_Tasks[[#This Row],[Hours]]&gt;0),1,0)</f>
        <v>0</v>
      </c>
      <c r="AZ7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7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7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7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7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7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7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7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7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7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7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7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7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79" s="405">
        <f>SUM(Input_Tasks[[#This Row],[R1 Business Hours]:[R1 After Hours]],Input_Tasks[[#This Row],[R2 Business Hours]:[R2 After Hours]],Input_Tasks[[#This Row],[R3 Business Hours]:[R3 After Hours]],Input_Tasks[[#This Row],[R4 Business Hours]:[R4 After Hours]],Input_Tasks[[#This Row],[R5 Business Hours]:[R5 After Hours]])</f>
        <v>0</v>
      </c>
    </row>
    <row r="80" spans="1:65">
      <c r="A80" s="384"/>
      <c r="B80" s="271"/>
      <c r="C80" s="271"/>
      <c r="D80" s="406"/>
      <c r="E80" s="385">
        <f>Input_Tasks[[#This Row],[Onsite Round Trips_Hidden]]</f>
        <v>0</v>
      </c>
      <c r="F80" s="385">
        <f>Input_Tasks[[#This Row],[Overnight Stays_Hidden]]</f>
        <v>0</v>
      </c>
      <c r="G80" s="385">
        <f>Input_Tasks[[#This Row],[Documents_Hidden]]</f>
        <v>0</v>
      </c>
      <c r="H80" s="387"/>
      <c r="I80" s="388"/>
      <c r="J80" s="389"/>
      <c r="K80" s="390"/>
      <c r="L80" s="390"/>
      <c r="M80" s="389"/>
      <c r="N80" s="390"/>
      <c r="O80" s="390"/>
      <c r="P80" s="389"/>
      <c r="Q80" s="390"/>
      <c r="R80" s="391"/>
      <c r="S80" s="389"/>
      <c r="T80" s="390"/>
      <c r="U80" s="391"/>
      <c r="V80" s="389"/>
      <c r="W80" s="390"/>
      <c r="X80" s="390"/>
      <c r="Y80" s="386" t="str">
        <f>Input_Tasks[[#This Row],[Onsite Round Trips_Hidden]]&amp;"/"&amp;Input_Tasks[[#This Row],[Overnight Stays_Hidden]]&amp;"/"&amp;Input_Tasks[[#This Row],[Documents_Hidden]]</f>
        <v>0/0/0</v>
      </c>
      <c r="Z80" s="392">
        <f>Input_Tasks[[#This Row],[R1 Cost_Hidden]]</f>
        <v>0</v>
      </c>
      <c r="AA80" s="393">
        <f>Input_Tasks[[#This Row],[R2 Cost_Hidden]]</f>
        <v>0</v>
      </c>
      <c r="AB80" s="393">
        <f>Input_Tasks[[#This Row],[R3 Cost_Hidden]]</f>
        <v>0</v>
      </c>
      <c r="AC80" s="393">
        <f>Input_Tasks[[#This Row],[R4 Cost_Hidden]]</f>
        <v>0</v>
      </c>
      <c r="AD80" s="394">
        <f>Input_Tasks[[#This Row],[R5 Cost_Hidden]]</f>
        <v>0</v>
      </c>
      <c r="AE80" s="395">
        <f>SUM(Input_Tasks[[#This Row],[R1 Cost]:[R5 Cost]])</f>
        <v>0</v>
      </c>
      <c r="AF80" s="392">
        <f>Input_Tasks[[#This Row],[R1 Sell_Hidden]]</f>
        <v>0</v>
      </c>
      <c r="AG80" s="393">
        <f>Input_Tasks[[#This Row],[R2 Sell_Hidden]]</f>
        <v>0</v>
      </c>
      <c r="AH80" s="393">
        <f>Input_Tasks[[#This Row],[R3 Sell_Hidden]]</f>
        <v>0</v>
      </c>
      <c r="AI80" s="393">
        <f>Input_Tasks[[#This Row],[R4 Sell_Hidden5]]</f>
        <v>0</v>
      </c>
      <c r="AJ80" s="394">
        <f>Input_Tasks[[#This Row],[R5 Sell_Hidden]]</f>
        <v>0</v>
      </c>
      <c r="AK80" s="396">
        <f>SUM(Input_Tasks[[#This Row],[R1 Sell]:[R5 Sell]])</f>
        <v>0</v>
      </c>
      <c r="AL80" s="397">
        <f>IFERROR(VLOOKUP(RESOURCE_1_TYPE,COST_RATES,2,FALSE)*Input_Tasks[[#This Row],[R1 Business Hours]],0)+IFERROR(VLOOKUP(RESOURCE_1_TYPE,COST_RATES,3,FALSE)*Input_Tasks[[#This Row],[R1 After Hours]],0)</f>
        <v>0</v>
      </c>
      <c r="AM80" s="398">
        <f>IFERROR(VLOOKUP(RESOURCE_2_TYPE,COST_RATES,2,FALSE)*Input_Tasks[[#This Row],[R2 Business Hours]],0)+IFERROR(VLOOKUP(RESOURCE_2_TYPE,COST_RATES,3,FALSE)*Input_Tasks[[#This Row],[R2 After Hours]],0)</f>
        <v>0</v>
      </c>
      <c r="AN80" s="398">
        <f>IFERROR(VLOOKUP(RESOURCE_3_TYPE,COST_RATES,2,FALSE)*Input_Tasks[[#This Row],[R3 Business Hours]],0)+IFERROR(VLOOKUP(RESOURCE_3_TYPE,COST_RATES,3,FALSE)*Input_Tasks[[#This Row],[R3 After Hours]],0)</f>
        <v>0</v>
      </c>
      <c r="AO80" s="398">
        <f>IFERROR(VLOOKUP(RESOURCE_4_TYPE,COST_RATES,2,FALSE)*Input_Tasks[[#This Row],[R4 Business Hours]],0)+IFERROR(VLOOKUP(RESOURCE_4_TYPE,COST_RATES,3,FALSE)*Input_Tasks[[#This Row],[R4 After Hours]],0)</f>
        <v>0</v>
      </c>
      <c r="AP80" s="398">
        <f>IFERROR(VLOOKUP(RESOURCE_5_TYPE,COST_RATES,2,FALSE)*Input_Tasks[[#This Row],[R5 Business Hours]],0)+IFERROR(VLOOKUP(RESOURCE_5_TYPE,COST_RATES,3,FALSE)*Input_Tasks[[#This Row],[R5 After Hours]],0)</f>
        <v>0</v>
      </c>
      <c r="AQ80" s="399">
        <f>IFERROR(VLOOKUP(RESOURCE_1_TYPE,SELL_RATES,2,FALSE)*Input_Tasks[[#This Row],[R1 Business Hours]],0)+IFERROR(VLOOKUP(RESOURCE_1_TYPE,SELL_RATES,3,FALSE)*Input_Tasks[[#This Row],[R1 After Hours]],0)</f>
        <v>0</v>
      </c>
      <c r="AR80" s="398">
        <f>IFERROR(VLOOKUP(RESOURCE_2_TYPE,SELL_RATES,2,FALSE)*Input_Tasks[[#This Row],[R2 Business Hours]],0)+IFERROR(VLOOKUP(RESOURCE_2_TYPE,SELL_RATES,3,FALSE)*Input_Tasks[[#This Row],[R2 After Hours]],0)</f>
        <v>0</v>
      </c>
      <c r="AS80" s="398">
        <f>IFERROR(VLOOKUP(RESOURCE_3_TYPE,SELL_RATES,2,FALSE)*Input_Tasks[[#This Row],[R3 Business Hours]],0)+IFERROR(VLOOKUP(RESOURCE_3_TYPE,SELL_RATES,3,FALSE)*Input_Tasks[[#This Row],[R3 After Hours]],0)</f>
        <v>0</v>
      </c>
      <c r="AT80" s="398">
        <f>IFERROR(VLOOKUP(RESOURCE_4_TYPE,SELL_RATES,2,FALSE)*Input_Tasks[[#This Row],[R4 Business Hours]],0)+IFERROR(VLOOKUP(RESOURCE_4_TYPE,SELL_RATES,3,FALSE)*Input_Tasks[[#This Row],[R4 After Hours]],0)</f>
        <v>0</v>
      </c>
      <c r="AU80" s="398">
        <f>IFERROR(VLOOKUP(RESOURCE_5_TYPE,SELL_RATES,2,FALSE)*Input_Tasks[[#This Row],[R5 Business Hours]],0)+IFERROR(VLOOKUP(RESOURCE_5_TYPE,SELL_RATES,3,FALSE)*Input_Tasks[[#This Row],[R5 After Hours]],0)</f>
        <v>0</v>
      </c>
      <c r="AV80" s="400">
        <f>SUM(Input_Tasks[[#This Row],[Round Trips R1]:[Round Trips R5]])</f>
        <v>0</v>
      </c>
      <c r="AW80" s="401">
        <f>SUM(Input_Tasks[[#This Row],[Overnight StaysR1]:[Overnight StaysR5]])</f>
        <v>0</v>
      </c>
      <c r="AX80" s="401">
        <f>IF(AND(Input_Tasks[[#This Row],[Sell - Line Total]]&gt;0,OR(Input_Tasks[[#This Row],[Phase]]="",Input_Tasks[[#This Row],[Skill Required]]="",Input_Tasks[[#This Row],[Task Type]]="",Input_Tasks[[#This Row],[Description]]="")),1,0)</f>
        <v>0</v>
      </c>
      <c r="AY80" s="402">
        <f>IF(AND(Input_Tasks[[#This Row],[Task Type]]="ArchiTech Document Deliverable",Input_Tasks[[#This Row],[Hours]]&gt;0),1,0)</f>
        <v>0</v>
      </c>
      <c r="AZ8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8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8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8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8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8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8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8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8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8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8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8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8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80" s="405">
        <f>SUM(Input_Tasks[[#This Row],[R1 Business Hours]:[R1 After Hours]],Input_Tasks[[#This Row],[R2 Business Hours]:[R2 After Hours]],Input_Tasks[[#This Row],[R3 Business Hours]:[R3 After Hours]],Input_Tasks[[#This Row],[R4 Business Hours]:[R4 After Hours]],Input_Tasks[[#This Row],[R5 Business Hours]:[R5 After Hours]])</f>
        <v>0</v>
      </c>
    </row>
    <row r="81" spans="1:65">
      <c r="A81" s="384"/>
      <c r="B81" s="271"/>
      <c r="C81" s="271"/>
      <c r="D81" s="406"/>
      <c r="E81" s="385">
        <f>Input_Tasks[[#This Row],[Onsite Round Trips_Hidden]]</f>
        <v>0</v>
      </c>
      <c r="F81" s="385">
        <f>Input_Tasks[[#This Row],[Overnight Stays_Hidden]]</f>
        <v>0</v>
      </c>
      <c r="G81" s="385">
        <f>Input_Tasks[[#This Row],[Documents_Hidden]]</f>
        <v>0</v>
      </c>
      <c r="H81" s="387"/>
      <c r="I81" s="388"/>
      <c r="J81" s="389"/>
      <c r="K81" s="390"/>
      <c r="L81" s="390"/>
      <c r="M81" s="389"/>
      <c r="N81" s="390"/>
      <c r="O81" s="390"/>
      <c r="P81" s="389"/>
      <c r="Q81" s="390"/>
      <c r="R81" s="391"/>
      <c r="S81" s="389"/>
      <c r="T81" s="390"/>
      <c r="U81" s="391"/>
      <c r="V81" s="389"/>
      <c r="W81" s="390"/>
      <c r="X81" s="390"/>
      <c r="Y81" s="386" t="str">
        <f>Input_Tasks[[#This Row],[Onsite Round Trips_Hidden]]&amp;"/"&amp;Input_Tasks[[#This Row],[Overnight Stays_Hidden]]&amp;"/"&amp;Input_Tasks[[#This Row],[Documents_Hidden]]</f>
        <v>0/0/0</v>
      </c>
      <c r="Z81" s="392">
        <f>Input_Tasks[[#This Row],[R1 Cost_Hidden]]</f>
        <v>0</v>
      </c>
      <c r="AA81" s="393">
        <f>Input_Tasks[[#This Row],[R2 Cost_Hidden]]</f>
        <v>0</v>
      </c>
      <c r="AB81" s="393">
        <f>Input_Tasks[[#This Row],[R3 Cost_Hidden]]</f>
        <v>0</v>
      </c>
      <c r="AC81" s="393">
        <f>Input_Tasks[[#This Row],[R4 Cost_Hidden]]</f>
        <v>0</v>
      </c>
      <c r="AD81" s="394">
        <f>Input_Tasks[[#This Row],[R5 Cost_Hidden]]</f>
        <v>0</v>
      </c>
      <c r="AE81" s="395">
        <f>SUM(Input_Tasks[[#This Row],[R1 Cost]:[R5 Cost]])</f>
        <v>0</v>
      </c>
      <c r="AF81" s="392">
        <f>Input_Tasks[[#This Row],[R1 Sell_Hidden]]</f>
        <v>0</v>
      </c>
      <c r="AG81" s="393">
        <f>Input_Tasks[[#This Row],[R2 Sell_Hidden]]</f>
        <v>0</v>
      </c>
      <c r="AH81" s="393">
        <f>Input_Tasks[[#This Row],[R3 Sell_Hidden]]</f>
        <v>0</v>
      </c>
      <c r="AI81" s="393">
        <f>Input_Tasks[[#This Row],[R4 Sell_Hidden5]]</f>
        <v>0</v>
      </c>
      <c r="AJ81" s="394">
        <f>Input_Tasks[[#This Row],[R5 Sell_Hidden]]</f>
        <v>0</v>
      </c>
      <c r="AK81" s="396">
        <f>SUM(Input_Tasks[[#This Row],[R1 Sell]:[R5 Sell]])</f>
        <v>0</v>
      </c>
      <c r="AL81" s="397">
        <f>IFERROR(VLOOKUP(RESOURCE_1_TYPE,COST_RATES,2,FALSE)*Input_Tasks[[#This Row],[R1 Business Hours]],0)+IFERROR(VLOOKUP(RESOURCE_1_TYPE,COST_RATES,3,FALSE)*Input_Tasks[[#This Row],[R1 After Hours]],0)</f>
        <v>0</v>
      </c>
      <c r="AM81" s="398">
        <f>IFERROR(VLOOKUP(RESOURCE_2_TYPE,COST_RATES,2,FALSE)*Input_Tasks[[#This Row],[R2 Business Hours]],0)+IFERROR(VLOOKUP(RESOURCE_2_TYPE,COST_RATES,3,FALSE)*Input_Tasks[[#This Row],[R2 After Hours]],0)</f>
        <v>0</v>
      </c>
      <c r="AN81" s="398">
        <f>IFERROR(VLOOKUP(RESOURCE_3_TYPE,COST_RATES,2,FALSE)*Input_Tasks[[#This Row],[R3 Business Hours]],0)+IFERROR(VLOOKUP(RESOURCE_3_TYPE,COST_RATES,3,FALSE)*Input_Tasks[[#This Row],[R3 After Hours]],0)</f>
        <v>0</v>
      </c>
      <c r="AO81" s="398">
        <f>IFERROR(VLOOKUP(RESOURCE_4_TYPE,COST_RATES,2,FALSE)*Input_Tasks[[#This Row],[R4 Business Hours]],0)+IFERROR(VLOOKUP(RESOURCE_4_TYPE,COST_RATES,3,FALSE)*Input_Tasks[[#This Row],[R4 After Hours]],0)</f>
        <v>0</v>
      </c>
      <c r="AP81" s="398">
        <f>IFERROR(VLOOKUP(RESOURCE_5_TYPE,COST_RATES,2,FALSE)*Input_Tasks[[#This Row],[R5 Business Hours]],0)+IFERROR(VLOOKUP(RESOURCE_5_TYPE,COST_RATES,3,FALSE)*Input_Tasks[[#This Row],[R5 After Hours]],0)</f>
        <v>0</v>
      </c>
      <c r="AQ81" s="399">
        <f>IFERROR(VLOOKUP(RESOURCE_1_TYPE,SELL_RATES,2,FALSE)*Input_Tasks[[#This Row],[R1 Business Hours]],0)+IFERROR(VLOOKUP(RESOURCE_1_TYPE,SELL_RATES,3,FALSE)*Input_Tasks[[#This Row],[R1 After Hours]],0)</f>
        <v>0</v>
      </c>
      <c r="AR81" s="398">
        <f>IFERROR(VLOOKUP(RESOURCE_2_TYPE,SELL_RATES,2,FALSE)*Input_Tasks[[#This Row],[R2 Business Hours]],0)+IFERROR(VLOOKUP(RESOURCE_2_TYPE,SELL_RATES,3,FALSE)*Input_Tasks[[#This Row],[R2 After Hours]],0)</f>
        <v>0</v>
      </c>
      <c r="AS81" s="398">
        <f>IFERROR(VLOOKUP(RESOURCE_3_TYPE,SELL_RATES,2,FALSE)*Input_Tasks[[#This Row],[R3 Business Hours]],0)+IFERROR(VLOOKUP(RESOURCE_3_TYPE,SELL_RATES,3,FALSE)*Input_Tasks[[#This Row],[R3 After Hours]],0)</f>
        <v>0</v>
      </c>
      <c r="AT81" s="398">
        <f>IFERROR(VLOOKUP(RESOURCE_4_TYPE,SELL_RATES,2,FALSE)*Input_Tasks[[#This Row],[R4 Business Hours]],0)+IFERROR(VLOOKUP(RESOURCE_4_TYPE,SELL_RATES,3,FALSE)*Input_Tasks[[#This Row],[R4 After Hours]],0)</f>
        <v>0</v>
      </c>
      <c r="AU81" s="398">
        <f>IFERROR(VLOOKUP(RESOURCE_5_TYPE,SELL_RATES,2,FALSE)*Input_Tasks[[#This Row],[R5 Business Hours]],0)+IFERROR(VLOOKUP(RESOURCE_5_TYPE,SELL_RATES,3,FALSE)*Input_Tasks[[#This Row],[R5 After Hours]],0)</f>
        <v>0</v>
      </c>
      <c r="AV81" s="400">
        <f>SUM(Input_Tasks[[#This Row],[Round Trips R1]:[Round Trips R5]])</f>
        <v>0</v>
      </c>
      <c r="AW81" s="401">
        <f>SUM(Input_Tasks[[#This Row],[Overnight StaysR1]:[Overnight StaysR5]])</f>
        <v>0</v>
      </c>
      <c r="AX81" s="401">
        <f>IF(AND(Input_Tasks[[#This Row],[Sell - Line Total]]&gt;0,OR(Input_Tasks[[#This Row],[Phase]]="",Input_Tasks[[#This Row],[Skill Required]]="",Input_Tasks[[#This Row],[Task Type]]="",Input_Tasks[[#This Row],[Description]]="")),1,0)</f>
        <v>0</v>
      </c>
      <c r="AY81" s="402">
        <f>IF(AND(Input_Tasks[[#This Row],[Task Type]]="ArchiTech Document Deliverable",Input_Tasks[[#This Row],[Hours]]&gt;0),1,0)</f>
        <v>0</v>
      </c>
      <c r="AZ8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8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8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8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8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8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8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8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8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8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8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8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8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81" s="405">
        <f>SUM(Input_Tasks[[#This Row],[R1 Business Hours]:[R1 After Hours]],Input_Tasks[[#This Row],[R2 Business Hours]:[R2 After Hours]],Input_Tasks[[#This Row],[R3 Business Hours]:[R3 After Hours]],Input_Tasks[[#This Row],[R4 Business Hours]:[R4 After Hours]],Input_Tasks[[#This Row],[R5 Business Hours]:[R5 After Hours]])</f>
        <v>0</v>
      </c>
    </row>
    <row r="82" spans="1:65">
      <c r="A82" s="384"/>
      <c r="B82" s="271"/>
      <c r="C82" s="271"/>
      <c r="D82" s="406"/>
      <c r="E82" s="385">
        <f>Input_Tasks[[#This Row],[Onsite Round Trips_Hidden]]</f>
        <v>0</v>
      </c>
      <c r="F82" s="385">
        <f>Input_Tasks[[#This Row],[Overnight Stays_Hidden]]</f>
        <v>0</v>
      </c>
      <c r="G82" s="385">
        <f>Input_Tasks[[#This Row],[Documents_Hidden]]</f>
        <v>0</v>
      </c>
      <c r="H82" s="387"/>
      <c r="I82" s="388"/>
      <c r="J82" s="389"/>
      <c r="K82" s="390"/>
      <c r="L82" s="390"/>
      <c r="M82" s="389"/>
      <c r="N82" s="390"/>
      <c r="O82" s="390"/>
      <c r="P82" s="389"/>
      <c r="Q82" s="390"/>
      <c r="R82" s="391"/>
      <c r="S82" s="389"/>
      <c r="T82" s="390"/>
      <c r="U82" s="391"/>
      <c r="V82" s="389"/>
      <c r="W82" s="390"/>
      <c r="X82" s="390"/>
      <c r="Y82" s="386" t="str">
        <f>Input_Tasks[[#This Row],[Onsite Round Trips_Hidden]]&amp;"/"&amp;Input_Tasks[[#This Row],[Overnight Stays_Hidden]]&amp;"/"&amp;Input_Tasks[[#This Row],[Documents_Hidden]]</f>
        <v>0/0/0</v>
      </c>
      <c r="Z82" s="392">
        <f>Input_Tasks[[#This Row],[R1 Cost_Hidden]]</f>
        <v>0</v>
      </c>
      <c r="AA82" s="393">
        <f>Input_Tasks[[#This Row],[R2 Cost_Hidden]]</f>
        <v>0</v>
      </c>
      <c r="AB82" s="393">
        <f>Input_Tasks[[#This Row],[R3 Cost_Hidden]]</f>
        <v>0</v>
      </c>
      <c r="AC82" s="393">
        <f>Input_Tasks[[#This Row],[R4 Cost_Hidden]]</f>
        <v>0</v>
      </c>
      <c r="AD82" s="394">
        <f>Input_Tasks[[#This Row],[R5 Cost_Hidden]]</f>
        <v>0</v>
      </c>
      <c r="AE82" s="395">
        <f>SUM(Input_Tasks[[#This Row],[R1 Cost]:[R5 Cost]])</f>
        <v>0</v>
      </c>
      <c r="AF82" s="392">
        <f>Input_Tasks[[#This Row],[R1 Sell_Hidden]]</f>
        <v>0</v>
      </c>
      <c r="AG82" s="393">
        <f>Input_Tasks[[#This Row],[R2 Sell_Hidden]]</f>
        <v>0</v>
      </c>
      <c r="AH82" s="393">
        <f>Input_Tasks[[#This Row],[R3 Sell_Hidden]]</f>
        <v>0</v>
      </c>
      <c r="AI82" s="393">
        <f>Input_Tasks[[#This Row],[R4 Sell_Hidden5]]</f>
        <v>0</v>
      </c>
      <c r="AJ82" s="394">
        <f>Input_Tasks[[#This Row],[R5 Sell_Hidden]]</f>
        <v>0</v>
      </c>
      <c r="AK82" s="396">
        <f>SUM(Input_Tasks[[#This Row],[R1 Sell]:[R5 Sell]])</f>
        <v>0</v>
      </c>
      <c r="AL82" s="397">
        <f>IFERROR(VLOOKUP(RESOURCE_1_TYPE,COST_RATES,2,FALSE)*Input_Tasks[[#This Row],[R1 Business Hours]],0)+IFERROR(VLOOKUP(RESOURCE_1_TYPE,COST_RATES,3,FALSE)*Input_Tasks[[#This Row],[R1 After Hours]],0)</f>
        <v>0</v>
      </c>
      <c r="AM82" s="398">
        <f>IFERROR(VLOOKUP(RESOURCE_2_TYPE,COST_RATES,2,FALSE)*Input_Tasks[[#This Row],[R2 Business Hours]],0)+IFERROR(VLOOKUP(RESOURCE_2_TYPE,COST_RATES,3,FALSE)*Input_Tasks[[#This Row],[R2 After Hours]],0)</f>
        <v>0</v>
      </c>
      <c r="AN82" s="398">
        <f>IFERROR(VLOOKUP(RESOURCE_3_TYPE,COST_RATES,2,FALSE)*Input_Tasks[[#This Row],[R3 Business Hours]],0)+IFERROR(VLOOKUP(RESOURCE_3_TYPE,COST_RATES,3,FALSE)*Input_Tasks[[#This Row],[R3 After Hours]],0)</f>
        <v>0</v>
      </c>
      <c r="AO82" s="398">
        <f>IFERROR(VLOOKUP(RESOURCE_4_TYPE,COST_RATES,2,FALSE)*Input_Tasks[[#This Row],[R4 Business Hours]],0)+IFERROR(VLOOKUP(RESOURCE_4_TYPE,COST_RATES,3,FALSE)*Input_Tasks[[#This Row],[R4 After Hours]],0)</f>
        <v>0</v>
      </c>
      <c r="AP82" s="398">
        <f>IFERROR(VLOOKUP(RESOURCE_5_TYPE,COST_RATES,2,FALSE)*Input_Tasks[[#This Row],[R5 Business Hours]],0)+IFERROR(VLOOKUP(RESOURCE_5_TYPE,COST_RATES,3,FALSE)*Input_Tasks[[#This Row],[R5 After Hours]],0)</f>
        <v>0</v>
      </c>
      <c r="AQ82" s="399">
        <f>IFERROR(VLOOKUP(RESOURCE_1_TYPE,SELL_RATES,2,FALSE)*Input_Tasks[[#This Row],[R1 Business Hours]],0)+IFERROR(VLOOKUP(RESOURCE_1_TYPE,SELL_RATES,3,FALSE)*Input_Tasks[[#This Row],[R1 After Hours]],0)</f>
        <v>0</v>
      </c>
      <c r="AR82" s="398">
        <f>IFERROR(VLOOKUP(RESOURCE_2_TYPE,SELL_RATES,2,FALSE)*Input_Tasks[[#This Row],[R2 Business Hours]],0)+IFERROR(VLOOKUP(RESOURCE_2_TYPE,SELL_RATES,3,FALSE)*Input_Tasks[[#This Row],[R2 After Hours]],0)</f>
        <v>0</v>
      </c>
      <c r="AS82" s="398">
        <f>IFERROR(VLOOKUP(RESOURCE_3_TYPE,SELL_RATES,2,FALSE)*Input_Tasks[[#This Row],[R3 Business Hours]],0)+IFERROR(VLOOKUP(RESOURCE_3_TYPE,SELL_RATES,3,FALSE)*Input_Tasks[[#This Row],[R3 After Hours]],0)</f>
        <v>0</v>
      </c>
      <c r="AT82" s="398">
        <f>IFERROR(VLOOKUP(RESOURCE_4_TYPE,SELL_RATES,2,FALSE)*Input_Tasks[[#This Row],[R4 Business Hours]],0)+IFERROR(VLOOKUP(RESOURCE_4_TYPE,SELL_RATES,3,FALSE)*Input_Tasks[[#This Row],[R4 After Hours]],0)</f>
        <v>0</v>
      </c>
      <c r="AU82" s="398">
        <f>IFERROR(VLOOKUP(RESOURCE_5_TYPE,SELL_RATES,2,FALSE)*Input_Tasks[[#This Row],[R5 Business Hours]],0)+IFERROR(VLOOKUP(RESOURCE_5_TYPE,SELL_RATES,3,FALSE)*Input_Tasks[[#This Row],[R5 After Hours]],0)</f>
        <v>0</v>
      </c>
      <c r="AV82" s="400">
        <f>SUM(Input_Tasks[[#This Row],[Round Trips R1]:[Round Trips R5]])</f>
        <v>0</v>
      </c>
      <c r="AW82" s="401">
        <f>SUM(Input_Tasks[[#This Row],[Overnight StaysR1]:[Overnight StaysR5]])</f>
        <v>0</v>
      </c>
      <c r="AX82" s="401">
        <f>IF(AND(Input_Tasks[[#This Row],[Sell - Line Total]]&gt;0,OR(Input_Tasks[[#This Row],[Phase]]="",Input_Tasks[[#This Row],[Skill Required]]="",Input_Tasks[[#This Row],[Task Type]]="",Input_Tasks[[#This Row],[Description]]="")),1,0)</f>
        <v>0</v>
      </c>
      <c r="AY82" s="402">
        <f>IF(AND(Input_Tasks[[#This Row],[Task Type]]="ArchiTech Document Deliverable",Input_Tasks[[#This Row],[Hours]]&gt;0),1,0)</f>
        <v>0</v>
      </c>
      <c r="AZ8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8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8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8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8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8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8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8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8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8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8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8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8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82" s="405">
        <f>SUM(Input_Tasks[[#This Row],[R1 Business Hours]:[R1 After Hours]],Input_Tasks[[#This Row],[R2 Business Hours]:[R2 After Hours]],Input_Tasks[[#This Row],[R3 Business Hours]:[R3 After Hours]],Input_Tasks[[#This Row],[R4 Business Hours]:[R4 After Hours]],Input_Tasks[[#This Row],[R5 Business Hours]:[R5 After Hours]])</f>
        <v>0</v>
      </c>
    </row>
    <row r="83" spans="1:65">
      <c r="A83" s="384"/>
      <c r="B83" s="271"/>
      <c r="C83" s="271"/>
      <c r="D83" s="406"/>
      <c r="E83" s="385">
        <f>Input_Tasks[[#This Row],[Onsite Round Trips_Hidden]]</f>
        <v>0</v>
      </c>
      <c r="F83" s="385">
        <f>Input_Tasks[[#This Row],[Overnight Stays_Hidden]]</f>
        <v>0</v>
      </c>
      <c r="G83" s="385">
        <f>Input_Tasks[[#This Row],[Documents_Hidden]]</f>
        <v>0</v>
      </c>
      <c r="H83" s="387"/>
      <c r="I83" s="388"/>
      <c r="J83" s="389"/>
      <c r="K83" s="390"/>
      <c r="L83" s="390"/>
      <c r="M83" s="389"/>
      <c r="N83" s="390"/>
      <c r="O83" s="390"/>
      <c r="P83" s="389"/>
      <c r="Q83" s="390"/>
      <c r="R83" s="391"/>
      <c r="S83" s="389"/>
      <c r="T83" s="390"/>
      <c r="U83" s="391"/>
      <c r="V83" s="389"/>
      <c r="W83" s="390"/>
      <c r="X83" s="390"/>
      <c r="Y83" s="386" t="str">
        <f>Input_Tasks[[#This Row],[Onsite Round Trips_Hidden]]&amp;"/"&amp;Input_Tasks[[#This Row],[Overnight Stays_Hidden]]&amp;"/"&amp;Input_Tasks[[#This Row],[Documents_Hidden]]</f>
        <v>0/0/0</v>
      </c>
      <c r="Z83" s="392">
        <f>Input_Tasks[[#This Row],[R1 Cost_Hidden]]</f>
        <v>0</v>
      </c>
      <c r="AA83" s="393">
        <f>Input_Tasks[[#This Row],[R2 Cost_Hidden]]</f>
        <v>0</v>
      </c>
      <c r="AB83" s="393">
        <f>Input_Tasks[[#This Row],[R3 Cost_Hidden]]</f>
        <v>0</v>
      </c>
      <c r="AC83" s="393">
        <f>Input_Tasks[[#This Row],[R4 Cost_Hidden]]</f>
        <v>0</v>
      </c>
      <c r="AD83" s="394">
        <f>Input_Tasks[[#This Row],[R5 Cost_Hidden]]</f>
        <v>0</v>
      </c>
      <c r="AE83" s="395">
        <f>SUM(Input_Tasks[[#This Row],[R1 Cost]:[R5 Cost]])</f>
        <v>0</v>
      </c>
      <c r="AF83" s="392">
        <f>Input_Tasks[[#This Row],[R1 Sell_Hidden]]</f>
        <v>0</v>
      </c>
      <c r="AG83" s="393">
        <f>Input_Tasks[[#This Row],[R2 Sell_Hidden]]</f>
        <v>0</v>
      </c>
      <c r="AH83" s="393">
        <f>Input_Tasks[[#This Row],[R3 Sell_Hidden]]</f>
        <v>0</v>
      </c>
      <c r="AI83" s="393">
        <f>Input_Tasks[[#This Row],[R4 Sell_Hidden5]]</f>
        <v>0</v>
      </c>
      <c r="AJ83" s="394">
        <f>Input_Tasks[[#This Row],[R5 Sell_Hidden]]</f>
        <v>0</v>
      </c>
      <c r="AK83" s="396">
        <f>SUM(Input_Tasks[[#This Row],[R1 Sell]:[R5 Sell]])</f>
        <v>0</v>
      </c>
      <c r="AL83" s="397">
        <f>IFERROR(VLOOKUP(RESOURCE_1_TYPE,COST_RATES,2,FALSE)*Input_Tasks[[#This Row],[R1 Business Hours]],0)+IFERROR(VLOOKUP(RESOURCE_1_TYPE,COST_RATES,3,FALSE)*Input_Tasks[[#This Row],[R1 After Hours]],0)</f>
        <v>0</v>
      </c>
      <c r="AM83" s="398">
        <f>IFERROR(VLOOKUP(RESOURCE_2_TYPE,COST_RATES,2,FALSE)*Input_Tasks[[#This Row],[R2 Business Hours]],0)+IFERROR(VLOOKUP(RESOURCE_2_TYPE,COST_RATES,3,FALSE)*Input_Tasks[[#This Row],[R2 After Hours]],0)</f>
        <v>0</v>
      </c>
      <c r="AN83" s="398">
        <f>IFERROR(VLOOKUP(RESOURCE_3_TYPE,COST_RATES,2,FALSE)*Input_Tasks[[#This Row],[R3 Business Hours]],0)+IFERROR(VLOOKUP(RESOURCE_3_TYPE,COST_RATES,3,FALSE)*Input_Tasks[[#This Row],[R3 After Hours]],0)</f>
        <v>0</v>
      </c>
      <c r="AO83" s="398">
        <f>IFERROR(VLOOKUP(RESOURCE_4_TYPE,COST_RATES,2,FALSE)*Input_Tasks[[#This Row],[R4 Business Hours]],0)+IFERROR(VLOOKUP(RESOURCE_4_TYPE,COST_RATES,3,FALSE)*Input_Tasks[[#This Row],[R4 After Hours]],0)</f>
        <v>0</v>
      </c>
      <c r="AP83" s="398">
        <f>IFERROR(VLOOKUP(RESOURCE_5_TYPE,COST_RATES,2,FALSE)*Input_Tasks[[#This Row],[R5 Business Hours]],0)+IFERROR(VLOOKUP(RESOURCE_5_TYPE,COST_RATES,3,FALSE)*Input_Tasks[[#This Row],[R5 After Hours]],0)</f>
        <v>0</v>
      </c>
      <c r="AQ83" s="399">
        <f>IFERROR(VLOOKUP(RESOURCE_1_TYPE,SELL_RATES,2,FALSE)*Input_Tasks[[#This Row],[R1 Business Hours]],0)+IFERROR(VLOOKUP(RESOURCE_1_TYPE,SELL_RATES,3,FALSE)*Input_Tasks[[#This Row],[R1 After Hours]],0)</f>
        <v>0</v>
      </c>
      <c r="AR83" s="398">
        <f>IFERROR(VLOOKUP(RESOURCE_2_TYPE,SELL_RATES,2,FALSE)*Input_Tasks[[#This Row],[R2 Business Hours]],0)+IFERROR(VLOOKUP(RESOURCE_2_TYPE,SELL_RATES,3,FALSE)*Input_Tasks[[#This Row],[R2 After Hours]],0)</f>
        <v>0</v>
      </c>
      <c r="AS83" s="398">
        <f>IFERROR(VLOOKUP(RESOURCE_3_TYPE,SELL_RATES,2,FALSE)*Input_Tasks[[#This Row],[R3 Business Hours]],0)+IFERROR(VLOOKUP(RESOURCE_3_TYPE,SELL_RATES,3,FALSE)*Input_Tasks[[#This Row],[R3 After Hours]],0)</f>
        <v>0</v>
      </c>
      <c r="AT83" s="398">
        <f>IFERROR(VLOOKUP(RESOURCE_4_TYPE,SELL_RATES,2,FALSE)*Input_Tasks[[#This Row],[R4 Business Hours]],0)+IFERROR(VLOOKUP(RESOURCE_4_TYPE,SELL_RATES,3,FALSE)*Input_Tasks[[#This Row],[R4 After Hours]],0)</f>
        <v>0</v>
      </c>
      <c r="AU83" s="398">
        <f>IFERROR(VLOOKUP(RESOURCE_5_TYPE,SELL_RATES,2,FALSE)*Input_Tasks[[#This Row],[R5 Business Hours]],0)+IFERROR(VLOOKUP(RESOURCE_5_TYPE,SELL_RATES,3,FALSE)*Input_Tasks[[#This Row],[R5 After Hours]],0)</f>
        <v>0</v>
      </c>
      <c r="AV83" s="400">
        <f>SUM(Input_Tasks[[#This Row],[Round Trips R1]:[Round Trips R5]])</f>
        <v>0</v>
      </c>
      <c r="AW83" s="401">
        <f>SUM(Input_Tasks[[#This Row],[Overnight StaysR1]:[Overnight StaysR5]])</f>
        <v>0</v>
      </c>
      <c r="AX83" s="401">
        <f>IF(AND(Input_Tasks[[#This Row],[Sell - Line Total]]&gt;0,OR(Input_Tasks[[#This Row],[Phase]]="",Input_Tasks[[#This Row],[Skill Required]]="",Input_Tasks[[#This Row],[Task Type]]="",Input_Tasks[[#This Row],[Description]]="")),1,0)</f>
        <v>0</v>
      </c>
      <c r="AY83" s="402">
        <f>IF(AND(Input_Tasks[[#This Row],[Task Type]]="ArchiTech Document Deliverable",Input_Tasks[[#This Row],[Hours]]&gt;0),1,0)</f>
        <v>0</v>
      </c>
      <c r="AZ8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8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8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8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8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8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8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8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8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8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8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8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8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83" s="405">
        <f>SUM(Input_Tasks[[#This Row],[R1 Business Hours]:[R1 After Hours]],Input_Tasks[[#This Row],[R2 Business Hours]:[R2 After Hours]],Input_Tasks[[#This Row],[R3 Business Hours]:[R3 After Hours]],Input_Tasks[[#This Row],[R4 Business Hours]:[R4 After Hours]],Input_Tasks[[#This Row],[R5 Business Hours]:[R5 After Hours]])</f>
        <v>0</v>
      </c>
    </row>
    <row r="84" spans="1:65">
      <c r="A84" s="384"/>
      <c r="B84" s="271"/>
      <c r="C84" s="271"/>
      <c r="D84" s="406"/>
      <c r="E84" s="385">
        <f>Input_Tasks[[#This Row],[Onsite Round Trips_Hidden]]</f>
        <v>0</v>
      </c>
      <c r="F84" s="385">
        <f>Input_Tasks[[#This Row],[Overnight Stays_Hidden]]</f>
        <v>0</v>
      </c>
      <c r="G84" s="385">
        <f>Input_Tasks[[#This Row],[Documents_Hidden]]</f>
        <v>0</v>
      </c>
      <c r="H84" s="387"/>
      <c r="I84" s="388"/>
      <c r="J84" s="389"/>
      <c r="K84" s="390"/>
      <c r="L84" s="390"/>
      <c r="M84" s="389"/>
      <c r="N84" s="390"/>
      <c r="O84" s="390"/>
      <c r="P84" s="389"/>
      <c r="Q84" s="390"/>
      <c r="R84" s="391"/>
      <c r="S84" s="389"/>
      <c r="T84" s="390"/>
      <c r="U84" s="391"/>
      <c r="V84" s="389"/>
      <c r="W84" s="390"/>
      <c r="X84" s="390"/>
      <c r="Y84" s="386" t="str">
        <f>Input_Tasks[[#This Row],[Onsite Round Trips_Hidden]]&amp;"/"&amp;Input_Tasks[[#This Row],[Overnight Stays_Hidden]]&amp;"/"&amp;Input_Tasks[[#This Row],[Documents_Hidden]]</f>
        <v>0/0/0</v>
      </c>
      <c r="Z84" s="392">
        <f>Input_Tasks[[#This Row],[R1 Cost_Hidden]]</f>
        <v>0</v>
      </c>
      <c r="AA84" s="393">
        <f>Input_Tasks[[#This Row],[R2 Cost_Hidden]]</f>
        <v>0</v>
      </c>
      <c r="AB84" s="393">
        <f>Input_Tasks[[#This Row],[R3 Cost_Hidden]]</f>
        <v>0</v>
      </c>
      <c r="AC84" s="393">
        <f>Input_Tasks[[#This Row],[R4 Cost_Hidden]]</f>
        <v>0</v>
      </c>
      <c r="AD84" s="394">
        <f>Input_Tasks[[#This Row],[R5 Cost_Hidden]]</f>
        <v>0</v>
      </c>
      <c r="AE84" s="395">
        <f>SUM(Input_Tasks[[#This Row],[R1 Cost]:[R5 Cost]])</f>
        <v>0</v>
      </c>
      <c r="AF84" s="392">
        <f>Input_Tasks[[#This Row],[R1 Sell_Hidden]]</f>
        <v>0</v>
      </c>
      <c r="AG84" s="393">
        <f>Input_Tasks[[#This Row],[R2 Sell_Hidden]]</f>
        <v>0</v>
      </c>
      <c r="AH84" s="393">
        <f>Input_Tasks[[#This Row],[R3 Sell_Hidden]]</f>
        <v>0</v>
      </c>
      <c r="AI84" s="393">
        <f>Input_Tasks[[#This Row],[R4 Sell_Hidden5]]</f>
        <v>0</v>
      </c>
      <c r="AJ84" s="394">
        <f>Input_Tasks[[#This Row],[R5 Sell_Hidden]]</f>
        <v>0</v>
      </c>
      <c r="AK84" s="396">
        <f>SUM(Input_Tasks[[#This Row],[R1 Sell]:[R5 Sell]])</f>
        <v>0</v>
      </c>
      <c r="AL84" s="397">
        <f>IFERROR(VLOOKUP(RESOURCE_1_TYPE,COST_RATES,2,FALSE)*Input_Tasks[[#This Row],[R1 Business Hours]],0)+IFERROR(VLOOKUP(RESOURCE_1_TYPE,COST_RATES,3,FALSE)*Input_Tasks[[#This Row],[R1 After Hours]],0)</f>
        <v>0</v>
      </c>
      <c r="AM84" s="398">
        <f>IFERROR(VLOOKUP(RESOURCE_2_TYPE,COST_RATES,2,FALSE)*Input_Tasks[[#This Row],[R2 Business Hours]],0)+IFERROR(VLOOKUP(RESOURCE_2_TYPE,COST_RATES,3,FALSE)*Input_Tasks[[#This Row],[R2 After Hours]],0)</f>
        <v>0</v>
      </c>
      <c r="AN84" s="398">
        <f>IFERROR(VLOOKUP(RESOURCE_3_TYPE,COST_RATES,2,FALSE)*Input_Tasks[[#This Row],[R3 Business Hours]],0)+IFERROR(VLOOKUP(RESOURCE_3_TYPE,COST_RATES,3,FALSE)*Input_Tasks[[#This Row],[R3 After Hours]],0)</f>
        <v>0</v>
      </c>
      <c r="AO84" s="398">
        <f>IFERROR(VLOOKUP(RESOURCE_4_TYPE,COST_RATES,2,FALSE)*Input_Tasks[[#This Row],[R4 Business Hours]],0)+IFERROR(VLOOKUP(RESOURCE_4_TYPE,COST_RATES,3,FALSE)*Input_Tasks[[#This Row],[R4 After Hours]],0)</f>
        <v>0</v>
      </c>
      <c r="AP84" s="398">
        <f>IFERROR(VLOOKUP(RESOURCE_5_TYPE,COST_RATES,2,FALSE)*Input_Tasks[[#This Row],[R5 Business Hours]],0)+IFERROR(VLOOKUP(RESOURCE_5_TYPE,COST_RATES,3,FALSE)*Input_Tasks[[#This Row],[R5 After Hours]],0)</f>
        <v>0</v>
      </c>
      <c r="AQ84" s="399">
        <f>IFERROR(VLOOKUP(RESOURCE_1_TYPE,SELL_RATES,2,FALSE)*Input_Tasks[[#This Row],[R1 Business Hours]],0)+IFERROR(VLOOKUP(RESOURCE_1_TYPE,SELL_RATES,3,FALSE)*Input_Tasks[[#This Row],[R1 After Hours]],0)</f>
        <v>0</v>
      </c>
      <c r="AR84" s="398">
        <f>IFERROR(VLOOKUP(RESOURCE_2_TYPE,SELL_RATES,2,FALSE)*Input_Tasks[[#This Row],[R2 Business Hours]],0)+IFERROR(VLOOKUP(RESOURCE_2_TYPE,SELL_RATES,3,FALSE)*Input_Tasks[[#This Row],[R2 After Hours]],0)</f>
        <v>0</v>
      </c>
      <c r="AS84" s="398">
        <f>IFERROR(VLOOKUP(RESOURCE_3_TYPE,SELL_RATES,2,FALSE)*Input_Tasks[[#This Row],[R3 Business Hours]],0)+IFERROR(VLOOKUP(RESOURCE_3_TYPE,SELL_RATES,3,FALSE)*Input_Tasks[[#This Row],[R3 After Hours]],0)</f>
        <v>0</v>
      </c>
      <c r="AT84" s="398">
        <f>IFERROR(VLOOKUP(RESOURCE_4_TYPE,SELL_RATES,2,FALSE)*Input_Tasks[[#This Row],[R4 Business Hours]],0)+IFERROR(VLOOKUP(RESOURCE_4_TYPE,SELL_RATES,3,FALSE)*Input_Tasks[[#This Row],[R4 After Hours]],0)</f>
        <v>0</v>
      </c>
      <c r="AU84" s="398">
        <f>IFERROR(VLOOKUP(RESOURCE_5_TYPE,SELL_RATES,2,FALSE)*Input_Tasks[[#This Row],[R5 Business Hours]],0)+IFERROR(VLOOKUP(RESOURCE_5_TYPE,SELL_RATES,3,FALSE)*Input_Tasks[[#This Row],[R5 After Hours]],0)</f>
        <v>0</v>
      </c>
      <c r="AV84" s="400">
        <f>SUM(Input_Tasks[[#This Row],[Round Trips R1]:[Round Trips R5]])</f>
        <v>0</v>
      </c>
      <c r="AW84" s="401">
        <f>SUM(Input_Tasks[[#This Row],[Overnight StaysR1]:[Overnight StaysR5]])</f>
        <v>0</v>
      </c>
      <c r="AX84" s="401">
        <f>IF(AND(Input_Tasks[[#This Row],[Sell - Line Total]]&gt;0,OR(Input_Tasks[[#This Row],[Phase]]="",Input_Tasks[[#This Row],[Skill Required]]="",Input_Tasks[[#This Row],[Task Type]]="",Input_Tasks[[#This Row],[Description]]="")),1,0)</f>
        <v>0</v>
      </c>
      <c r="AY84" s="402">
        <f>IF(AND(Input_Tasks[[#This Row],[Task Type]]="ArchiTech Document Deliverable",Input_Tasks[[#This Row],[Hours]]&gt;0),1,0)</f>
        <v>0</v>
      </c>
      <c r="AZ8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8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8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8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8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8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8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8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8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8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8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8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8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84" s="405">
        <f>SUM(Input_Tasks[[#This Row],[R1 Business Hours]:[R1 After Hours]],Input_Tasks[[#This Row],[R2 Business Hours]:[R2 After Hours]],Input_Tasks[[#This Row],[R3 Business Hours]:[R3 After Hours]],Input_Tasks[[#This Row],[R4 Business Hours]:[R4 After Hours]],Input_Tasks[[#This Row],[R5 Business Hours]:[R5 After Hours]])</f>
        <v>0</v>
      </c>
    </row>
    <row r="85" spans="1:65">
      <c r="A85" s="384"/>
      <c r="B85" s="271"/>
      <c r="C85" s="271"/>
      <c r="D85" s="406"/>
      <c r="E85" s="385">
        <f>Input_Tasks[[#This Row],[Onsite Round Trips_Hidden]]</f>
        <v>0</v>
      </c>
      <c r="F85" s="385">
        <f>Input_Tasks[[#This Row],[Overnight Stays_Hidden]]</f>
        <v>0</v>
      </c>
      <c r="G85" s="385">
        <f>Input_Tasks[[#This Row],[Documents_Hidden]]</f>
        <v>0</v>
      </c>
      <c r="H85" s="387"/>
      <c r="I85" s="388"/>
      <c r="J85" s="389"/>
      <c r="K85" s="390"/>
      <c r="L85" s="390"/>
      <c r="M85" s="389"/>
      <c r="N85" s="390"/>
      <c r="O85" s="390"/>
      <c r="P85" s="389"/>
      <c r="Q85" s="390"/>
      <c r="R85" s="391"/>
      <c r="S85" s="389"/>
      <c r="T85" s="390"/>
      <c r="U85" s="391"/>
      <c r="V85" s="389"/>
      <c r="W85" s="390"/>
      <c r="X85" s="390"/>
      <c r="Y85" s="386" t="str">
        <f>Input_Tasks[[#This Row],[Onsite Round Trips_Hidden]]&amp;"/"&amp;Input_Tasks[[#This Row],[Overnight Stays_Hidden]]&amp;"/"&amp;Input_Tasks[[#This Row],[Documents_Hidden]]</f>
        <v>0/0/0</v>
      </c>
      <c r="Z85" s="392">
        <f>Input_Tasks[[#This Row],[R1 Cost_Hidden]]</f>
        <v>0</v>
      </c>
      <c r="AA85" s="393">
        <f>Input_Tasks[[#This Row],[R2 Cost_Hidden]]</f>
        <v>0</v>
      </c>
      <c r="AB85" s="393">
        <f>Input_Tasks[[#This Row],[R3 Cost_Hidden]]</f>
        <v>0</v>
      </c>
      <c r="AC85" s="393">
        <f>Input_Tasks[[#This Row],[R4 Cost_Hidden]]</f>
        <v>0</v>
      </c>
      <c r="AD85" s="394">
        <f>Input_Tasks[[#This Row],[R5 Cost_Hidden]]</f>
        <v>0</v>
      </c>
      <c r="AE85" s="395">
        <f>SUM(Input_Tasks[[#This Row],[R1 Cost]:[R5 Cost]])</f>
        <v>0</v>
      </c>
      <c r="AF85" s="392">
        <f>Input_Tasks[[#This Row],[R1 Sell_Hidden]]</f>
        <v>0</v>
      </c>
      <c r="AG85" s="393">
        <f>Input_Tasks[[#This Row],[R2 Sell_Hidden]]</f>
        <v>0</v>
      </c>
      <c r="AH85" s="393">
        <f>Input_Tasks[[#This Row],[R3 Sell_Hidden]]</f>
        <v>0</v>
      </c>
      <c r="AI85" s="393">
        <f>Input_Tasks[[#This Row],[R4 Sell_Hidden5]]</f>
        <v>0</v>
      </c>
      <c r="AJ85" s="394">
        <f>Input_Tasks[[#This Row],[R5 Sell_Hidden]]</f>
        <v>0</v>
      </c>
      <c r="AK85" s="396">
        <f>SUM(Input_Tasks[[#This Row],[R1 Sell]:[R5 Sell]])</f>
        <v>0</v>
      </c>
      <c r="AL85" s="397">
        <f>IFERROR(VLOOKUP(RESOURCE_1_TYPE,COST_RATES,2,FALSE)*Input_Tasks[[#This Row],[R1 Business Hours]],0)+IFERROR(VLOOKUP(RESOURCE_1_TYPE,COST_RATES,3,FALSE)*Input_Tasks[[#This Row],[R1 After Hours]],0)</f>
        <v>0</v>
      </c>
      <c r="AM85" s="398">
        <f>IFERROR(VLOOKUP(RESOURCE_2_TYPE,COST_RATES,2,FALSE)*Input_Tasks[[#This Row],[R2 Business Hours]],0)+IFERROR(VLOOKUP(RESOURCE_2_TYPE,COST_RATES,3,FALSE)*Input_Tasks[[#This Row],[R2 After Hours]],0)</f>
        <v>0</v>
      </c>
      <c r="AN85" s="398">
        <f>IFERROR(VLOOKUP(RESOURCE_3_TYPE,COST_RATES,2,FALSE)*Input_Tasks[[#This Row],[R3 Business Hours]],0)+IFERROR(VLOOKUP(RESOURCE_3_TYPE,COST_RATES,3,FALSE)*Input_Tasks[[#This Row],[R3 After Hours]],0)</f>
        <v>0</v>
      </c>
      <c r="AO85" s="398">
        <f>IFERROR(VLOOKUP(RESOURCE_4_TYPE,COST_RATES,2,FALSE)*Input_Tasks[[#This Row],[R4 Business Hours]],0)+IFERROR(VLOOKUP(RESOURCE_4_TYPE,COST_RATES,3,FALSE)*Input_Tasks[[#This Row],[R4 After Hours]],0)</f>
        <v>0</v>
      </c>
      <c r="AP85" s="398">
        <f>IFERROR(VLOOKUP(RESOURCE_5_TYPE,COST_RATES,2,FALSE)*Input_Tasks[[#This Row],[R5 Business Hours]],0)+IFERROR(VLOOKUP(RESOURCE_5_TYPE,COST_RATES,3,FALSE)*Input_Tasks[[#This Row],[R5 After Hours]],0)</f>
        <v>0</v>
      </c>
      <c r="AQ85" s="399">
        <f>IFERROR(VLOOKUP(RESOURCE_1_TYPE,SELL_RATES,2,FALSE)*Input_Tasks[[#This Row],[R1 Business Hours]],0)+IFERROR(VLOOKUP(RESOURCE_1_TYPE,SELL_RATES,3,FALSE)*Input_Tasks[[#This Row],[R1 After Hours]],0)</f>
        <v>0</v>
      </c>
      <c r="AR85" s="398">
        <f>IFERROR(VLOOKUP(RESOURCE_2_TYPE,SELL_RATES,2,FALSE)*Input_Tasks[[#This Row],[R2 Business Hours]],0)+IFERROR(VLOOKUP(RESOURCE_2_TYPE,SELL_RATES,3,FALSE)*Input_Tasks[[#This Row],[R2 After Hours]],0)</f>
        <v>0</v>
      </c>
      <c r="AS85" s="398">
        <f>IFERROR(VLOOKUP(RESOURCE_3_TYPE,SELL_RATES,2,FALSE)*Input_Tasks[[#This Row],[R3 Business Hours]],0)+IFERROR(VLOOKUP(RESOURCE_3_TYPE,SELL_RATES,3,FALSE)*Input_Tasks[[#This Row],[R3 After Hours]],0)</f>
        <v>0</v>
      </c>
      <c r="AT85" s="398">
        <f>IFERROR(VLOOKUP(RESOURCE_4_TYPE,SELL_RATES,2,FALSE)*Input_Tasks[[#This Row],[R4 Business Hours]],0)+IFERROR(VLOOKUP(RESOURCE_4_TYPE,SELL_RATES,3,FALSE)*Input_Tasks[[#This Row],[R4 After Hours]],0)</f>
        <v>0</v>
      </c>
      <c r="AU85" s="398">
        <f>IFERROR(VLOOKUP(RESOURCE_5_TYPE,SELL_RATES,2,FALSE)*Input_Tasks[[#This Row],[R5 Business Hours]],0)+IFERROR(VLOOKUP(RESOURCE_5_TYPE,SELL_RATES,3,FALSE)*Input_Tasks[[#This Row],[R5 After Hours]],0)</f>
        <v>0</v>
      </c>
      <c r="AV85" s="400">
        <f>SUM(Input_Tasks[[#This Row],[Round Trips R1]:[Round Trips R5]])</f>
        <v>0</v>
      </c>
      <c r="AW85" s="401">
        <f>SUM(Input_Tasks[[#This Row],[Overnight StaysR1]:[Overnight StaysR5]])</f>
        <v>0</v>
      </c>
      <c r="AX85" s="401">
        <f>IF(AND(Input_Tasks[[#This Row],[Sell - Line Total]]&gt;0,OR(Input_Tasks[[#This Row],[Phase]]="",Input_Tasks[[#This Row],[Skill Required]]="",Input_Tasks[[#This Row],[Task Type]]="",Input_Tasks[[#This Row],[Description]]="")),1,0)</f>
        <v>0</v>
      </c>
      <c r="AY85" s="402">
        <f>IF(AND(Input_Tasks[[#This Row],[Task Type]]="ArchiTech Document Deliverable",Input_Tasks[[#This Row],[Hours]]&gt;0),1,0)</f>
        <v>0</v>
      </c>
      <c r="AZ8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8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8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8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8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8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8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8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8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8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8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8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8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85" s="405">
        <f>SUM(Input_Tasks[[#This Row],[R1 Business Hours]:[R1 After Hours]],Input_Tasks[[#This Row],[R2 Business Hours]:[R2 After Hours]],Input_Tasks[[#This Row],[R3 Business Hours]:[R3 After Hours]],Input_Tasks[[#This Row],[R4 Business Hours]:[R4 After Hours]],Input_Tasks[[#This Row],[R5 Business Hours]:[R5 After Hours]])</f>
        <v>0</v>
      </c>
    </row>
    <row r="86" spans="1:65">
      <c r="A86" s="384"/>
      <c r="B86" s="271"/>
      <c r="C86" s="271"/>
      <c r="D86" s="406"/>
      <c r="E86" s="385">
        <f>Input_Tasks[[#This Row],[Onsite Round Trips_Hidden]]</f>
        <v>0</v>
      </c>
      <c r="F86" s="385">
        <f>Input_Tasks[[#This Row],[Overnight Stays_Hidden]]</f>
        <v>0</v>
      </c>
      <c r="G86" s="385">
        <f>Input_Tasks[[#This Row],[Documents_Hidden]]</f>
        <v>0</v>
      </c>
      <c r="H86" s="387"/>
      <c r="I86" s="388"/>
      <c r="J86" s="389"/>
      <c r="K86" s="390"/>
      <c r="L86" s="390"/>
      <c r="M86" s="389"/>
      <c r="N86" s="390"/>
      <c r="O86" s="390"/>
      <c r="P86" s="389"/>
      <c r="Q86" s="390"/>
      <c r="R86" s="391"/>
      <c r="S86" s="389"/>
      <c r="T86" s="390"/>
      <c r="U86" s="391"/>
      <c r="V86" s="389"/>
      <c r="W86" s="390"/>
      <c r="X86" s="390"/>
      <c r="Y86" s="386" t="str">
        <f>Input_Tasks[[#This Row],[Onsite Round Trips_Hidden]]&amp;"/"&amp;Input_Tasks[[#This Row],[Overnight Stays_Hidden]]&amp;"/"&amp;Input_Tasks[[#This Row],[Documents_Hidden]]</f>
        <v>0/0/0</v>
      </c>
      <c r="Z86" s="392">
        <f>Input_Tasks[[#This Row],[R1 Cost_Hidden]]</f>
        <v>0</v>
      </c>
      <c r="AA86" s="393">
        <f>Input_Tasks[[#This Row],[R2 Cost_Hidden]]</f>
        <v>0</v>
      </c>
      <c r="AB86" s="393">
        <f>Input_Tasks[[#This Row],[R3 Cost_Hidden]]</f>
        <v>0</v>
      </c>
      <c r="AC86" s="393">
        <f>Input_Tasks[[#This Row],[R4 Cost_Hidden]]</f>
        <v>0</v>
      </c>
      <c r="AD86" s="394">
        <f>Input_Tasks[[#This Row],[R5 Cost_Hidden]]</f>
        <v>0</v>
      </c>
      <c r="AE86" s="395">
        <f>SUM(Input_Tasks[[#This Row],[R1 Cost]:[R5 Cost]])</f>
        <v>0</v>
      </c>
      <c r="AF86" s="392">
        <f>Input_Tasks[[#This Row],[R1 Sell_Hidden]]</f>
        <v>0</v>
      </c>
      <c r="AG86" s="393">
        <f>Input_Tasks[[#This Row],[R2 Sell_Hidden]]</f>
        <v>0</v>
      </c>
      <c r="AH86" s="393">
        <f>Input_Tasks[[#This Row],[R3 Sell_Hidden]]</f>
        <v>0</v>
      </c>
      <c r="AI86" s="393">
        <f>Input_Tasks[[#This Row],[R4 Sell_Hidden5]]</f>
        <v>0</v>
      </c>
      <c r="AJ86" s="394">
        <f>Input_Tasks[[#This Row],[R5 Sell_Hidden]]</f>
        <v>0</v>
      </c>
      <c r="AK86" s="396">
        <f>SUM(Input_Tasks[[#This Row],[R1 Sell]:[R5 Sell]])</f>
        <v>0</v>
      </c>
      <c r="AL86" s="397">
        <f>IFERROR(VLOOKUP(RESOURCE_1_TYPE,COST_RATES,2,FALSE)*Input_Tasks[[#This Row],[R1 Business Hours]],0)+IFERROR(VLOOKUP(RESOURCE_1_TYPE,COST_RATES,3,FALSE)*Input_Tasks[[#This Row],[R1 After Hours]],0)</f>
        <v>0</v>
      </c>
      <c r="AM86" s="398">
        <f>IFERROR(VLOOKUP(RESOURCE_2_TYPE,COST_RATES,2,FALSE)*Input_Tasks[[#This Row],[R2 Business Hours]],0)+IFERROR(VLOOKUP(RESOURCE_2_TYPE,COST_RATES,3,FALSE)*Input_Tasks[[#This Row],[R2 After Hours]],0)</f>
        <v>0</v>
      </c>
      <c r="AN86" s="398">
        <f>IFERROR(VLOOKUP(RESOURCE_3_TYPE,COST_RATES,2,FALSE)*Input_Tasks[[#This Row],[R3 Business Hours]],0)+IFERROR(VLOOKUP(RESOURCE_3_TYPE,COST_RATES,3,FALSE)*Input_Tasks[[#This Row],[R3 After Hours]],0)</f>
        <v>0</v>
      </c>
      <c r="AO86" s="398">
        <f>IFERROR(VLOOKUP(RESOURCE_4_TYPE,COST_RATES,2,FALSE)*Input_Tasks[[#This Row],[R4 Business Hours]],0)+IFERROR(VLOOKUP(RESOURCE_4_TYPE,COST_RATES,3,FALSE)*Input_Tasks[[#This Row],[R4 After Hours]],0)</f>
        <v>0</v>
      </c>
      <c r="AP86" s="398">
        <f>IFERROR(VLOOKUP(RESOURCE_5_TYPE,COST_RATES,2,FALSE)*Input_Tasks[[#This Row],[R5 Business Hours]],0)+IFERROR(VLOOKUP(RESOURCE_5_TYPE,COST_RATES,3,FALSE)*Input_Tasks[[#This Row],[R5 After Hours]],0)</f>
        <v>0</v>
      </c>
      <c r="AQ86" s="399">
        <f>IFERROR(VLOOKUP(RESOURCE_1_TYPE,SELL_RATES,2,FALSE)*Input_Tasks[[#This Row],[R1 Business Hours]],0)+IFERROR(VLOOKUP(RESOURCE_1_TYPE,SELL_RATES,3,FALSE)*Input_Tasks[[#This Row],[R1 After Hours]],0)</f>
        <v>0</v>
      </c>
      <c r="AR86" s="398">
        <f>IFERROR(VLOOKUP(RESOURCE_2_TYPE,SELL_RATES,2,FALSE)*Input_Tasks[[#This Row],[R2 Business Hours]],0)+IFERROR(VLOOKUP(RESOURCE_2_TYPE,SELL_RATES,3,FALSE)*Input_Tasks[[#This Row],[R2 After Hours]],0)</f>
        <v>0</v>
      </c>
      <c r="AS86" s="398">
        <f>IFERROR(VLOOKUP(RESOURCE_3_TYPE,SELL_RATES,2,FALSE)*Input_Tasks[[#This Row],[R3 Business Hours]],0)+IFERROR(VLOOKUP(RESOURCE_3_TYPE,SELL_RATES,3,FALSE)*Input_Tasks[[#This Row],[R3 After Hours]],0)</f>
        <v>0</v>
      </c>
      <c r="AT86" s="398">
        <f>IFERROR(VLOOKUP(RESOURCE_4_TYPE,SELL_RATES,2,FALSE)*Input_Tasks[[#This Row],[R4 Business Hours]],0)+IFERROR(VLOOKUP(RESOURCE_4_TYPE,SELL_RATES,3,FALSE)*Input_Tasks[[#This Row],[R4 After Hours]],0)</f>
        <v>0</v>
      </c>
      <c r="AU86" s="398">
        <f>IFERROR(VLOOKUP(RESOURCE_5_TYPE,SELL_RATES,2,FALSE)*Input_Tasks[[#This Row],[R5 Business Hours]],0)+IFERROR(VLOOKUP(RESOURCE_5_TYPE,SELL_RATES,3,FALSE)*Input_Tasks[[#This Row],[R5 After Hours]],0)</f>
        <v>0</v>
      </c>
      <c r="AV86" s="400">
        <f>SUM(Input_Tasks[[#This Row],[Round Trips R1]:[Round Trips R5]])</f>
        <v>0</v>
      </c>
      <c r="AW86" s="401">
        <f>SUM(Input_Tasks[[#This Row],[Overnight StaysR1]:[Overnight StaysR5]])</f>
        <v>0</v>
      </c>
      <c r="AX86" s="401">
        <f>IF(AND(Input_Tasks[[#This Row],[Sell - Line Total]]&gt;0,OR(Input_Tasks[[#This Row],[Phase]]="",Input_Tasks[[#This Row],[Skill Required]]="",Input_Tasks[[#This Row],[Task Type]]="",Input_Tasks[[#This Row],[Description]]="")),1,0)</f>
        <v>0</v>
      </c>
      <c r="AY86" s="402">
        <f>IF(AND(Input_Tasks[[#This Row],[Task Type]]="ArchiTech Document Deliverable",Input_Tasks[[#This Row],[Hours]]&gt;0),1,0)</f>
        <v>0</v>
      </c>
      <c r="AZ8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8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8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8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8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8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8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8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8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8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8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8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8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86" s="405">
        <f>SUM(Input_Tasks[[#This Row],[R1 Business Hours]:[R1 After Hours]],Input_Tasks[[#This Row],[R2 Business Hours]:[R2 After Hours]],Input_Tasks[[#This Row],[R3 Business Hours]:[R3 After Hours]],Input_Tasks[[#This Row],[R4 Business Hours]:[R4 After Hours]],Input_Tasks[[#This Row],[R5 Business Hours]:[R5 After Hours]])</f>
        <v>0</v>
      </c>
    </row>
    <row r="87" spans="1:65">
      <c r="A87" s="384"/>
      <c r="B87" s="271"/>
      <c r="C87" s="271"/>
      <c r="D87" s="406"/>
      <c r="E87" s="385">
        <f>Input_Tasks[[#This Row],[Onsite Round Trips_Hidden]]</f>
        <v>0</v>
      </c>
      <c r="F87" s="385">
        <f>Input_Tasks[[#This Row],[Overnight Stays_Hidden]]</f>
        <v>0</v>
      </c>
      <c r="G87" s="385">
        <f>Input_Tasks[[#This Row],[Documents_Hidden]]</f>
        <v>0</v>
      </c>
      <c r="H87" s="387"/>
      <c r="I87" s="388"/>
      <c r="J87" s="389"/>
      <c r="K87" s="390"/>
      <c r="L87" s="390"/>
      <c r="M87" s="389"/>
      <c r="N87" s="390"/>
      <c r="O87" s="390"/>
      <c r="P87" s="389"/>
      <c r="Q87" s="390"/>
      <c r="R87" s="391"/>
      <c r="S87" s="389"/>
      <c r="T87" s="390"/>
      <c r="U87" s="391"/>
      <c r="V87" s="389"/>
      <c r="W87" s="390"/>
      <c r="X87" s="390"/>
      <c r="Y87" s="386" t="str">
        <f>Input_Tasks[[#This Row],[Onsite Round Trips_Hidden]]&amp;"/"&amp;Input_Tasks[[#This Row],[Overnight Stays_Hidden]]&amp;"/"&amp;Input_Tasks[[#This Row],[Documents_Hidden]]</f>
        <v>0/0/0</v>
      </c>
      <c r="Z87" s="392">
        <f>Input_Tasks[[#This Row],[R1 Cost_Hidden]]</f>
        <v>0</v>
      </c>
      <c r="AA87" s="393">
        <f>Input_Tasks[[#This Row],[R2 Cost_Hidden]]</f>
        <v>0</v>
      </c>
      <c r="AB87" s="393">
        <f>Input_Tasks[[#This Row],[R3 Cost_Hidden]]</f>
        <v>0</v>
      </c>
      <c r="AC87" s="393">
        <f>Input_Tasks[[#This Row],[R4 Cost_Hidden]]</f>
        <v>0</v>
      </c>
      <c r="AD87" s="394">
        <f>Input_Tasks[[#This Row],[R5 Cost_Hidden]]</f>
        <v>0</v>
      </c>
      <c r="AE87" s="395">
        <f>SUM(Input_Tasks[[#This Row],[R1 Cost]:[R5 Cost]])</f>
        <v>0</v>
      </c>
      <c r="AF87" s="392">
        <f>Input_Tasks[[#This Row],[R1 Sell_Hidden]]</f>
        <v>0</v>
      </c>
      <c r="AG87" s="393">
        <f>Input_Tasks[[#This Row],[R2 Sell_Hidden]]</f>
        <v>0</v>
      </c>
      <c r="AH87" s="393">
        <f>Input_Tasks[[#This Row],[R3 Sell_Hidden]]</f>
        <v>0</v>
      </c>
      <c r="AI87" s="393">
        <f>Input_Tasks[[#This Row],[R4 Sell_Hidden5]]</f>
        <v>0</v>
      </c>
      <c r="AJ87" s="394">
        <f>Input_Tasks[[#This Row],[R5 Sell_Hidden]]</f>
        <v>0</v>
      </c>
      <c r="AK87" s="396">
        <f>SUM(Input_Tasks[[#This Row],[R1 Sell]:[R5 Sell]])</f>
        <v>0</v>
      </c>
      <c r="AL87" s="397">
        <f>IFERROR(VLOOKUP(RESOURCE_1_TYPE,COST_RATES,2,FALSE)*Input_Tasks[[#This Row],[R1 Business Hours]],0)+IFERROR(VLOOKUP(RESOURCE_1_TYPE,COST_RATES,3,FALSE)*Input_Tasks[[#This Row],[R1 After Hours]],0)</f>
        <v>0</v>
      </c>
      <c r="AM87" s="398">
        <f>IFERROR(VLOOKUP(RESOURCE_2_TYPE,COST_RATES,2,FALSE)*Input_Tasks[[#This Row],[R2 Business Hours]],0)+IFERROR(VLOOKUP(RESOURCE_2_TYPE,COST_RATES,3,FALSE)*Input_Tasks[[#This Row],[R2 After Hours]],0)</f>
        <v>0</v>
      </c>
      <c r="AN87" s="398">
        <f>IFERROR(VLOOKUP(RESOURCE_3_TYPE,COST_RATES,2,FALSE)*Input_Tasks[[#This Row],[R3 Business Hours]],0)+IFERROR(VLOOKUP(RESOURCE_3_TYPE,COST_RATES,3,FALSE)*Input_Tasks[[#This Row],[R3 After Hours]],0)</f>
        <v>0</v>
      </c>
      <c r="AO87" s="398">
        <f>IFERROR(VLOOKUP(RESOURCE_4_TYPE,COST_RATES,2,FALSE)*Input_Tasks[[#This Row],[R4 Business Hours]],0)+IFERROR(VLOOKUP(RESOURCE_4_TYPE,COST_RATES,3,FALSE)*Input_Tasks[[#This Row],[R4 After Hours]],0)</f>
        <v>0</v>
      </c>
      <c r="AP87" s="398">
        <f>IFERROR(VLOOKUP(RESOURCE_5_TYPE,COST_RATES,2,FALSE)*Input_Tasks[[#This Row],[R5 Business Hours]],0)+IFERROR(VLOOKUP(RESOURCE_5_TYPE,COST_RATES,3,FALSE)*Input_Tasks[[#This Row],[R5 After Hours]],0)</f>
        <v>0</v>
      </c>
      <c r="AQ87" s="399">
        <f>IFERROR(VLOOKUP(RESOURCE_1_TYPE,SELL_RATES,2,FALSE)*Input_Tasks[[#This Row],[R1 Business Hours]],0)+IFERROR(VLOOKUP(RESOURCE_1_TYPE,SELL_RATES,3,FALSE)*Input_Tasks[[#This Row],[R1 After Hours]],0)</f>
        <v>0</v>
      </c>
      <c r="AR87" s="398">
        <f>IFERROR(VLOOKUP(RESOURCE_2_TYPE,SELL_RATES,2,FALSE)*Input_Tasks[[#This Row],[R2 Business Hours]],0)+IFERROR(VLOOKUP(RESOURCE_2_TYPE,SELL_RATES,3,FALSE)*Input_Tasks[[#This Row],[R2 After Hours]],0)</f>
        <v>0</v>
      </c>
      <c r="AS87" s="398">
        <f>IFERROR(VLOOKUP(RESOURCE_3_TYPE,SELL_RATES,2,FALSE)*Input_Tasks[[#This Row],[R3 Business Hours]],0)+IFERROR(VLOOKUP(RESOURCE_3_TYPE,SELL_RATES,3,FALSE)*Input_Tasks[[#This Row],[R3 After Hours]],0)</f>
        <v>0</v>
      </c>
      <c r="AT87" s="398">
        <f>IFERROR(VLOOKUP(RESOURCE_4_TYPE,SELL_RATES,2,FALSE)*Input_Tasks[[#This Row],[R4 Business Hours]],0)+IFERROR(VLOOKUP(RESOURCE_4_TYPE,SELL_RATES,3,FALSE)*Input_Tasks[[#This Row],[R4 After Hours]],0)</f>
        <v>0</v>
      </c>
      <c r="AU87" s="398">
        <f>IFERROR(VLOOKUP(RESOURCE_5_TYPE,SELL_RATES,2,FALSE)*Input_Tasks[[#This Row],[R5 Business Hours]],0)+IFERROR(VLOOKUP(RESOURCE_5_TYPE,SELL_RATES,3,FALSE)*Input_Tasks[[#This Row],[R5 After Hours]],0)</f>
        <v>0</v>
      </c>
      <c r="AV87" s="400">
        <f>SUM(Input_Tasks[[#This Row],[Round Trips R1]:[Round Trips R5]])</f>
        <v>0</v>
      </c>
      <c r="AW87" s="401">
        <f>SUM(Input_Tasks[[#This Row],[Overnight StaysR1]:[Overnight StaysR5]])</f>
        <v>0</v>
      </c>
      <c r="AX87" s="401">
        <f>IF(AND(Input_Tasks[[#This Row],[Sell - Line Total]]&gt;0,OR(Input_Tasks[[#This Row],[Phase]]="",Input_Tasks[[#This Row],[Skill Required]]="",Input_Tasks[[#This Row],[Task Type]]="",Input_Tasks[[#This Row],[Description]]="")),1,0)</f>
        <v>0</v>
      </c>
      <c r="AY87" s="402">
        <f>IF(AND(Input_Tasks[[#This Row],[Task Type]]="ArchiTech Document Deliverable",Input_Tasks[[#This Row],[Hours]]&gt;0),1,0)</f>
        <v>0</v>
      </c>
      <c r="AZ8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8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8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8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8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8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8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8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8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8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8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8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8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87" s="405">
        <f>SUM(Input_Tasks[[#This Row],[R1 Business Hours]:[R1 After Hours]],Input_Tasks[[#This Row],[R2 Business Hours]:[R2 After Hours]],Input_Tasks[[#This Row],[R3 Business Hours]:[R3 After Hours]],Input_Tasks[[#This Row],[R4 Business Hours]:[R4 After Hours]],Input_Tasks[[#This Row],[R5 Business Hours]:[R5 After Hours]])</f>
        <v>0</v>
      </c>
    </row>
    <row r="88" spans="1:65">
      <c r="A88" s="384"/>
      <c r="B88" s="271"/>
      <c r="C88" s="271"/>
      <c r="D88" s="406"/>
      <c r="E88" s="385">
        <f>Input_Tasks[[#This Row],[Onsite Round Trips_Hidden]]</f>
        <v>0</v>
      </c>
      <c r="F88" s="385">
        <f>Input_Tasks[[#This Row],[Overnight Stays_Hidden]]</f>
        <v>0</v>
      </c>
      <c r="G88" s="385">
        <f>Input_Tasks[[#This Row],[Documents_Hidden]]</f>
        <v>0</v>
      </c>
      <c r="H88" s="387"/>
      <c r="I88" s="388"/>
      <c r="J88" s="389"/>
      <c r="K88" s="390"/>
      <c r="L88" s="390"/>
      <c r="M88" s="389"/>
      <c r="N88" s="390"/>
      <c r="O88" s="390"/>
      <c r="P88" s="389"/>
      <c r="Q88" s="390"/>
      <c r="R88" s="391"/>
      <c r="S88" s="389"/>
      <c r="T88" s="390"/>
      <c r="U88" s="391"/>
      <c r="V88" s="389"/>
      <c r="W88" s="390"/>
      <c r="X88" s="390"/>
      <c r="Y88" s="386" t="str">
        <f>Input_Tasks[[#This Row],[Onsite Round Trips_Hidden]]&amp;"/"&amp;Input_Tasks[[#This Row],[Overnight Stays_Hidden]]&amp;"/"&amp;Input_Tasks[[#This Row],[Documents_Hidden]]</f>
        <v>0/0/0</v>
      </c>
      <c r="Z88" s="392">
        <f>Input_Tasks[[#This Row],[R1 Cost_Hidden]]</f>
        <v>0</v>
      </c>
      <c r="AA88" s="393">
        <f>Input_Tasks[[#This Row],[R2 Cost_Hidden]]</f>
        <v>0</v>
      </c>
      <c r="AB88" s="393">
        <f>Input_Tasks[[#This Row],[R3 Cost_Hidden]]</f>
        <v>0</v>
      </c>
      <c r="AC88" s="393">
        <f>Input_Tasks[[#This Row],[R4 Cost_Hidden]]</f>
        <v>0</v>
      </c>
      <c r="AD88" s="394">
        <f>Input_Tasks[[#This Row],[R5 Cost_Hidden]]</f>
        <v>0</v>
      </c>
      <c r="AE88" s="395">
        <f>SUM(Input_Tasks[[#This Row],[R1 Cost]:[R5 Cost]])</f>
        <v>0</v>
      </c>
      <c r="AF88" s="392">
        <f>Input_Tasks[[#This Row],[R1 Sell_Hidden]]</f>
        <v>0</v>
      </c>
      <c r="AG88" s="393">
        <f>Input_Tasks[[#This Row],[R2 Sell_Hidden]]</f>
        <v>0</v>
      </c>
      <c r="AH88" s="393">
        <f>Input_Tasks[[#This Row],[R3 Sell_Hidden]]</f>
        <v>0</v>
      </c>
      <c r="AI88" s="393">
        <f>Input_Tasks[[#This Row],[R4 Sell_Hidden5]]</f>
        <v>0</v>
      </c>
      <c r="AJ88" s="394">
        <f>Input_Tasks[[#This Row],[R5 Sell_Hidden]]</f>
        <v>0</v>
      </c>
      <c r="AK88" s="396">
        <f>SUM(Input_Tasks[[#This Row],[R1 Sell]:[R5 Sell]])</f>
        <v>0</v>
      </c>
      <c r="AL88" s="397">
        <f>IFERROR(VLOOKUP(RESOURCE_1_TYPE,COST_RATES,2,FALSE)*Input_Tasks[[#This Row],[R1 Business Hours]],0)+IFERROR(VLOOKUP(RESOURCE_1_TYPE,COST_RATES,3,FALSE)*Input_Tasks[[#This Row],[R1 After Hours]],0)</f>
        <v>0</v>
      </c>
      <c r="AM88" s="398">
        <f>IFERROR(VLOOKUP(RESOURCE_2_TYPE,COST_RATES,2,FALSE)*Input_Tasks[[#This Row],[R2 Business Hours]],0)+IFERROR(VLOOKUP(RESOURCE_2_TYPE,COST_RATES,3,FALSE)*Input_Tasks[[#This Row],[R2 After Hours]],0)</f>
        <v>0</v>
      </c>
      <c r="AN88" s="398">
        <f>IFERROR(VLOOKUP(RESOURCE_3_TYPE,COST_RATES,2,FALSE)*Input_Tasks[[#This Row],[R3 Business Hours]],0)+IFERROR(VLOOKUP(RESOURCE_3_TYPE,COST_RATES,3,FALSE)*Input_Tasks[[#This Row],[R3 After Hours]],0)</f>
        <v>0</v>
      </c>
      <c r="AO88" s="398">
        <f>IFERROR(VLOOKUP(RESOURCE_4_TYPE,COST_RATES,2,FALSE)*Input_Tasks[[#This Row],[R4 Business Hours]],0)+IFERROR(VLOOKUP(RESOURCE_4_TYPE,COST_RATES,3,FALSE)*Input_Tasks[[#This Row],[R4 After Hours]],0)</f>
        <v>0</v>
      </c>
      <c r="AP88" s="398">
        <f>IFERROR(VLOOKUP(RESOURCE_5_TYPE,COST_RATES,2,FALSE)*Input_Tasks[[#This Row],[R5 Business Hours]],0)+IFERROR(VLOOKUP(RESOURCE_5_TYPE,COST_RATES,3,FALSE)*Input_Tasks[[#This Row],[R5 After Hours]],0)</f>
        <v>0</v>
      </c>
      <c r="AQ88" s="399">
        <f>IFERROR(VLOOKUP(RESOURCE_1_TYPE,SELL_RATES,2,FALSE)*Input_Tasks[[#This Row],[R1 Business Hours]],0)+IFERROR(VLOOKUP(RESOURCE_1_TYPE,SELL_RATES,3,FALSE)*Input_Tasks[[#This Row],[R1 After Hours]],0)</f>
        <v>0</v>
      </c>
      <c r="AR88" s="398">
        <f>IFERROR(VLOOKUP(RESOURCE_2_TYPE,SELL_RATES,2,FALSE)*Input_Tasks[[#This Row],[R2 Business Hours]],0)+IFERROR(VLOOKUP(RESOURCE_2_TYPE,SELL_RATES,3,FALSE)*Input_Tasks[[#This Row],[R2 After Hours]],0)</f>
        <v>0</v>
      </c>
      <c r="AS88" s="398">
        <f>IFERROR(VLOOKUP(RESOURCE_3_TYPE,SELL_RATES,2,FALSE)*Input_Tasks[[#This Row],[R3 Business Hours]],0)+IFERROR(VLOOKUP(RESOURCE_3_TYPE,SELL_RATES,3,FALSE)*Input_Tasks[[#This Row],[R3 After Hours]],0)</f>
        <v>0</v>
      </c>
      <c r="AT88" s="398">
        <f>IFERROR(VLOOKUP(RESOURCE_4_TYPE,SELL_RATES,2,FALSE)*Input_Tasks[[#This Row],[R4 Business Hours]],0)+IFERROR(VLOOKUP(RESOURCE_4_TYPE,SELL_RATES,3,FALSE)*Input_Tasks[[#This Row],[R4 After Hours]],0)</f>
        <v>0</v>
      </c>
      <c r="AU88" s="398">
        <f>IFERROR(VLOOKUP(RESOURCE_5_TYPE,SELL_RATES,2,FALSE)*Input_Tasks[[#This Row],[R5 Business Hours]],0)+IFERROR(VLOOKUP(RESOURCE_5_TYPE,SELL_RATES,3,FALSE)*Input_Tasks[[#This Row],[R5 After Hours]],0)</f>
        <v>0</v>
      </c>
      <c r="AV88" s="400">
        <f>SUM(Input_Tasks[[#This Row],[Round Trips R1]:[Round Trips R5]])</f>
        <v>0</v>
      </c>
      <c r="AW88" s="401">
        <f>SUM(Input_Tasks[[#This Row],[Overnight StaysR1]:[Overnight StaysR5]])</f>
        <v>0</v>
      </c>
      <c r="AX88" s="401">
        <f>IF(AND(Input_Tasks[[#This Row],[Sell - Line Total]]&gt;0,OR(Input_Tasks[[#This Row],[Phase]]="",Input_Tasks[[#This Row],[Skill Required]]="",Input_Tasks[[#This Row],[Task Type]]="",Input_Tasks[[#This Row],[Description]]="")),1,0)</f>
        <v>0</v>
      </c>
      <c r="AY88" s="402">
        <f>IF(AND(Input_Tasks[[#This Row],[Task Type]]="ArchiTech Document Deliverable",Input_Tasks[[#This Row],[Hours]]&gt;0),1,0)</f>
        <v>0</v>
      </c>
      <c r="AZ8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8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8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8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8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8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8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8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8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8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8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8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8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88" s="405">
        <f>SUM(Input_Tasks[[#This Row],[R1 Business Hours]:[R1 After Hours]],Input_Tasks[[#This Row],[R2 Business Hours]:[R2 After Hours]],Input_Tasks[[#This Row],[R3 Business Hours]:[R3 After Hours]],Input_Tasks[[#This Row],[R4 Business Hours]:[R4 After Hours]],Input_Tasks[[#This Row],[R5 Business Hours]:[R5 After Hours]])</f>
        <v>0</v>
      </c>
    </row>
    <row r="89" spans="1:65">
      <c r="A89" s="384"/>
      <c r="B89" s="271"/>
      <c r="C89" s="271"/>
      <c r="D89" s="406"/>
      <c r="E89" s="385">
        <f>Input_Tasks[[#This Row],[Onsite Round Trips_Hidden]]</f>
        <v>0</v>
      </c>
      <c r="F89" s="385">
        <f>Input_Tasks[[#This Row],[Overnight Stays_Hidden]]</f>
        <v>0</v>
      </c>
      <c r="G89" s="385">
        <f>Input_Tasks[[#This Row],[Documents_Hidden]]</f>
        <v>0</v>
      </c>
      <c r="H89" s="387"/>
      <c r="I89" s="388"/>
      <c r="J89" s="389"/>
      <c r="K89" s="390"/>
      <c r="L89" s="390"/>
      <c r="M89" s="389"/>
      <c r="N89" s="390"/>
      <c r="O89" s="390"/>
      <c r="P89" s="389"/>
      <c r="Q89" s="390"/>
      <c r="R89" s="391"/>
      <c r="S89" s="389"/>
      <c r="T89" s="390"/>
      <c r="U89" s="391"/>
      <c r="V89" s="389"/>
      <c r="W89" s="390"/>
      <c r="X89" s="390"/>
      <c r="Y89" s="386" t="str">
        <f>Input_Tasks[[#This Row],[Onsite Round Trips_Hidden]]&amp;"/"&amp;Input_Tasks[[#This Row],[Overnight Stays_Hidden]]&amp;"/"&amp;Input_Tasks[[#This Row],[Documents_Hidden]]</f>
        <v>0/0/0</v>
      </c>
      <c r="Z89" s="392">
        <f>Input_Tasks[[#This Row],[R1 Cost_Hidden]]</f>
        <v>0</v>
      </c>
      <c r="AA89" s="393">
        <f>Input_Tasks[[#This Row],[R2 Cost_Hidden]]</f>
        <v>0</v>
      </c>
      <c r="AB89" s="393">
        <f>Input_Tasks[[#This Row],[R3 Cost_Hidden]]</f>
        <v>0</v>
      </c>
      <c r="AC89" s="393">
        <f>Input_Tasks[[#This Row],[R4 Cost_Hidden]]</f>
        <v>0</v>
      </c>
      <c r="AD89" s="394">
        <f>Input_Tasks[[#This Row],[R5 Cost_Hidden]]</f>
        <v>0</v>
      </c>
      <c r="AE89" s="395">
        <f>SUM(Input_Tasks[[#This Row],[R1 Cost]:[R5 Cost]])</f>
        <v>0</v>
      </c>
      <c r="AF89" s="392">
        <f>Input_Tasks[[#This Row],[R1 Sell_Hidden]]</f>
        <v>0</v>
      </c>
      <c r="AG89" s="393">
        <f>Input_Tasks[[#This Row],[R2 Sell_Hidden]]</f>
        <v>0</v>
      </c>
      <c r="AH89" s="393">
        <f>Input_Tasks[[#This Row],[R3 Sell_Hidden]]</f>
        <v>0</v>
      </c>
      <c r="AI89" s="393">
        <f>Input_Tasks[[#This Row],[R4 Sell_Hidden5]]</f>
        <v>0</v>
      </c>
      <c r="AJ89" s="394">
        <f>Input_Tasks[[#This Row],[R5 Sell_Hidden]]</f>
        <v>0</v>
      </c>
      <c r="AK89" s="396">
        <f>SUM(Input_Tasks[[#This Row],[R1 Sell]:[R5 Sell]])</f>
        <v>0</v>
      </c>
      <c r="AL89" s="397">
        <f>IFERROR(VLOOKUP(RESOURCE_1_TYPE,COST_RATES,2,FALSE)*Input_Tasks[[#This Row],[R1 Business Hours]],0)+IFERROR(VLOOKUP(RESOURCE_1_TYPE,COST_RATES,3,FALSE)*Input_Tasks[[#This Row],[R1 After Hours]],0)</f>
        <v>0</v>
      </c>
      <c r="AM89" s="398">
        <f>IFERROR(VLOOKUP(RESOURCE_2_TYPE,COST_RATES,2,FALSE)*Input_Tasks[[#This Row],[R2 Business Hours]],0)+IFERROR(VLOOKUP(RESOURCE_2_TYPE,COST_RATES,3,FALSE)*Input_Tasks[[#This Row],[R2 After Hours]],0)</f>
        <v>0</v>
      </c>
      <c r="AN89" s="398">
        <f>IFERROR(VLOOKUP(RESOURCE_3_TYPE,COST_RATES,2,FALSE)*Input_Tasks[[#This Row],[R3 Business Hours]],0)+IFERROR(VLOOKUP(RESOURCE_3_TYPE,COST_RATES,3,FALSE)*Input_Tasks[[#This Row],[R3 After Hours]],0)</f>
        <v>0</v>
      </c>
      <c r="AO89" s="398">
        <f>IFERROR(VLOOKUP(RESOURCE_4_TYPE,COST_RATES,2,FALSE)*Input_Tasks[[#This Row],[R4 Business Hours]],0)+IFERROR(VLOOKUP(RESOURCE_4_TYPE,COST_RATES,3,FALSE)*Input_Tasks[[#This Row],[R4 After Hours]],0)</f>
        <v>0</v>
      </c>
      <c r="AP89" s="398">
        <f>IFERROR(VLOOKUP(RESOURCE_5_TYPE,COST_RATES,2,FALSE)*Input_Tasks[[#This Row],[R5 Business Hours]],0)+IFERROR(VLOOKUP(RESOURCE_5_TYPE,COST_RATES,3,FALSE)*Input_Tasks[[#This Row],[R5 After Hours]],0)</f>
        <v>0</v>
      </c>
      <c r="AQ89" s="399">
        <f>IFERROR(VLOOKUP(RESOURCE_1_TYPE,SELL_RATES,2,FALSE)*Input_Tasks[[#This Row],[R1 Business Hours]],0)+IFERROR(VLOOKUP(RESOURCE_1_TYPE,SELL_RATES,3,FALSE)*Input_Tasks[[#This Row],[R1 After Hours]],0)</f>
        <v>0</v>
      </c>
      <c r="AR89" s="398">
        <f>IFERROR(VLOOKUP(RESOURCE_2_TYPE,SELL_RATES,2,FALSE)*Input_Tasks[[#This Row],[R2 Business Hours]],0)+IFERROR(VLOOKUP(RESOURCE_2_TYPE,SELL_RATES,3,FALSE)*Input_Tasks[[#This Row],[R2 After Hours]],0)</f>
        <v>0</v>
      </c>
      <c r="AS89" s="398">
        <f>IFERROR(VLOOKUP(RESOURCE_3_TYPE,SELL_RATES,2,FALSE)*Input_Tasks[[#This Row],[R3 Business Hours]],0)+IFERROR(VLOOKUP(RESOURCE_3_TYPE,SELL_RATES,3,FALSE)*Input_Tasks[[#This Row],[R3 After Hours]],0)</f>
        <v>0</v>
      </c>
      <c r="AT89" s="398">
        <f>IFERROR(VLOOKUP(RESOURCE_4_TYPE,SELL_RATES,2,FALSE)*Input_Tasks[[#This Row],[R4 Business Hours]],0)+IFERROR(VLOOKUP(RESOURCE_4_TYPE,SELL_RATES,3,FALSE)*Input_Tasks[[#This Row],[R4 After Hours]],0)</f>
        <v>0</v>
      </c>
      <c r="AU89" s="398">
        <f>IFERROR(VLOOKUP(RESOURCE_5_TYPE,SELL_RATES,2,FALSE)*Input_Tasks[[#This Row],[R5 Business Hours]],0)+IFERROR(VLOOKUP(RESOURCE_5_TYPE,SELL_RATES,3,FALSE)*Input_Tasks[[#This Row],[R5 After Hours]],0)</f>
        <v>0</v>
      </c>
      <c r="AV89" s="400">
        <f>SUM(Input_Tasks[[#This Row],[Round Trips R1]:[Round Trips R5]])</f>
        <v>0</v>
      </c>
      <c r="AW89" s="401">
        <f>SUM(Input_Tasks[[#This Row],[Overnight StaysR1]:[Overnight StaysR5]])</f>
        <v>0</v>
      </c>
      <c r="AX89" s="401">
        <f>IF(AND(Input_Tasks[[#This Row],[Sell - Line Total]]&gt;0,OR(Input_Tasks[[#This Row],[Phase]]="",Input_Tasks[[#This Row],[Skill Required]]="",Input_Tasks[[#This Row],[Task Type]]="",Input_Tasks[[#This Row],[Description]]="")),1,0)</f>
        <v>0</v>
      </c>
      <c r="AY89" s="402">
        <f>IF(AND(Input_Tasks[[#This Row],[Task Type]]="ArchiTech Document Deliverable",Input_Tasks[[#This Row],[Hours]]&gt;0),1,0)</f>
        <v>0</v>
      </c>
      <c r="AZ8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8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8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8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8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8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8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8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8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8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8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8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8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89" s="405">
        <f>SUM(Input_Tasks[[#This Row],[R1 Business Hours]:[R1 After Hours]],Input_Tasks[[#This Row],[R2 Business Hours]:[R2 After Hours]],Input_Tasks[[#This Row],[R3 Business Hours]:[R3 After Hours]],Input_Tasks[[#This Row],[R4 Business Hours]:[R4 After Hours]],Input_Tasks[[#This Row],[R5 Business Hours]:[R5 After Hours]])</f>
        <v>0</v>
      </c>
    </row>
    <row r="90" spans="1:65">
      <c r="A90" s="384"/>
      <c r="B90" s="271"/>
      <c r="C90" s="271"/>
      <c r="D90" s="406"/>
      <c r="E90" s="385">
        <f>Input_Tasks[[#This Row],[Onsite Round Trips_Hidden]]</f>
        <v>0</v>
      </c>
      <c r="F90" s="385">
        <f>Input_Tasks[[#This Row],[Overnight Stays_Hidden]]</f>
        <v>0</v>
      </c>
      <c r="G90" s="385">
        <f>Input_Tasks[[#This Row],[Documents_Hidden]]</f>
        <v>0</v>
      </c>
      <c r="H90" s="387"/>
      <c r="I90" s="388"/>
      <c r="J90" s="389"/>
      <c r="K90" s="390"/>
      <c r="L90" s="390"/>
      <c r="M90" s="389"/>
      <c r="N90" s="390"/>
      <c r="O90" s="390"/>
      <c r="P90" s="389"/>
      <c r="Q90" s="390"/>
      <c r="R90" s="391"/>
      <c r="S90" s="389"/>
      <c r="T90" s="390"/>
      <c r="U90" s="391"/>
      <c r="V90" s="389"/>
      <c r="W90" s="390"/>
      <c r="X90" s="390"/>
      <c r="Y90" s="386" t="str">
        <f>Input_Tasks[[#This Row],[Onsite Round Trips_Hidden]]&amp;"/"&amp;Input_Tasks[[#This Row],[Overnight Stays_Hidden]]&amp;"/"&amp;Input_Tasks[[#This Row],[Documents_Hidden]]</f>
        <v>0/0/0</v>
      </c>
      <c r="Z90" s="392">
        <f>Input_Tasks[[#This Row],[R1 Cost_Hidden]]</f>
        <v>0</v>
      </c>
      <c r="AA90" s="393">
        <f>Input_Tasks[[#This Row],[R2 Cost_Hidden]]</f>
        <v>0</v>
      </c>
      <c r="AB90" s="393">
        <f>Input_Tasks[[#This Row],[R3 Cost_Hidden]]</f>
        <v>0</v>
      </c>
      <c r="AC90" s="393">
        <f>Input_Tasks[[#This Row],[R4 Cost_Hidden]]</f>
        <v>0</v>
      </c>
      <c r="AD90" s="394">
        <f>Input_Tasks[[#This Row],[R5 Cost_Hidden]]</f>
        <v>0</v>
      </c>
      <c r="AE90" s="395">
        <f>SUM(Input_Tasks[[#This Row],[R1 Cost]:[R5 Cost]])</f>
        <v>0</v>
      </c>
      <c r="AF90" s="392">
        <f>Input_Tasks[[#This Row],[R1 Sell_Hidden]]</f>
        <v>0</v>
      </c>
      <c r="AG90" s="393">
        <f>Input_Tasks[[#This Row],[R2 Sell_Hidden]]</f>
        <v>0</v>
      </c>
      <c r="AH90" s="393">
        <f>Input_Tasks[[#This Row],[R3 Sell_Hidden]]</f>
        <v>0</v>
      </c>
      <c r="AI90" s="393">
        <f>Input_Tasks[[#This Row],[R4 Sell_Hidden5]]</f>
        <v>0</v>
      </c>
      <c r="AJ90" s="394">
        <f>Input_Tasks[[#This Row],[R5 Sell_Hidden]]</f>
        <v>0</v>
      </c>
      <c r="AK90" s="396">
        <f>SUM(Input_Tasks[[#This Row],[R1 Sell]:[R5 Sell]])</f>
        <v>0</v>
      </c>
      <c r="AL90" s="397">
        <f>IFERROR(VLOOKUP(RESOURCE_1_TYPE,COST_RATES,2,FALSE)*Input_Tasks[[#This Row],[R1 Business Hours]],0)+IFERROR(VLOOKUP(RESOURCE_1_TYPE,COST_RATES,3,FALSE)*Input_Tasks[[#This Row],[R1 After Hours]],0)</f>
        <v>0</v>
      </c>
      <c r="AM90" s="398">
        <f>IFERROR(VLOOKUP(RESOURCE_2_TYPE,COST_RATES,2,FALSE)*Input_Tasks[[#This Row],[R2 Business Hours]],0)+IFERROR(VLOOKUP(RESOURCE_2_TYPE,COST_RATES,3,FALSE)*Input_Tasks[[#This Row],[R2 After Hours]],0)</f>
        <v>0</v>
      </c>
      <c r="AN90" s="398">
        <f>IFERROR(VLOOKUP(RESOURCE_3_TYPE,COST_RATES,2,FALSE)*Input_Tasks[[#This Row],[R3 Business Hours]],0)+IFERROR(VLOOKUP(RESOURCE_3_TYPE,COST_RATES,3,FALSE)*Input_Tasks[[#This Row],[R3 After Hours]],0)</f>
        <v>0</v>
      </c>
      <c r="AO90" s="398">
        <f>IFERROR(VLOOKUP(RESOURCE_4_TYPE,COST_RATES,2,FALSE)*Input_Tasks[[#This Row],[R4 Business Hours]],0)+IFERROR(VLOOKUP(RESOURCE_4_TYPE,COST_RATES,3,FALSE)*Input_Tasks[[#This Row],[R4 After Hours]],0)</f>
        <v>0</v>
      </c>
      <c r="AP90" s="398">
        <f>IFERROR(VLOOKUP(RESOURCE_5_TYPE,COST_RATES,2,FALSE)*Input_Tasks[[#This Row],[R5 Business Hours]],0)+IFERROR(VLOOKUP(RESOURCE_5_TYPE,COST_RATES,3,FALSE)*Input_Tasks[[#This Row],[R5 After Hours]],0)</f>
        <v>0</v>
      </c>
      <c r="AQ90" s="399">
        <f>IFERROR(VLOOKUP(RESOURCE_1_TYPE,SELL_RATES,2,FALSE)*Input_Tasks[[#This Row],[R1 Business Hours]],0)+IFERROR(VLOOKUP(RESOURCE_1_TYPE,SELL_RATES,3,FALSE)*Input_Tasks[[#This Row],[R1 After Hours]],0)</f>
        <v>0</v>
      </c>
      <c r="AR90" s="398">
        <f>IFERROR(VLOOKUP(RESOURCE_2_TYPE,SELL_RATES,2,FALSE)*Input_Tasks[[#This Row],[R2 Business Hours]],0)+IFERROR(VLOOKUP(RESOURCE_2_TYPE,SELL_RATES,3,FALSE)*Input_Tasks[[#This Row],[R2 After Hours]],0)</f>
        <v>0</v>
      </c>
      <c r="AS90" s="398">
        <f>IFERROR(VLOOKUP(RESOURCE_3_TYPE,SELL_RATES,2,FALSE)*Input_Tasks[[#This Row],[R3 Business Hours]],0)+IFERROR(VLOOKUP(RESOURCE_3_TYPE,SELL_RATES,3,FALSE)*Input_Tasks[[#This Row],[R3 After Hours]],0)</f>
        <v>0</v>
      </c>
      <c r="AT90" s="398">
        <f>IFERROR(VLOOKUP(RESOURCE_4_TYPE,SELL_RATES,2,FALSE)*Input_Tasks[[#This Row],[R4 Business Hours]],0)+IFERROR(VLOOKUP(RESOURCE_4_TYPE,SELL_RATES,3,FALSE)*Input_Tasks[[#This Row],[R4 After Hours]],0)</f>
        <v>0</v>
      </c>
      <c r="AU90" s="398">
        <f>IFERROR(VLOOKUP(RESOURCE_5_TYPE,SELL_RATES,2,FALSE)*Input_Tasks[[#This Row],[R5 Business Hours]],0)+IFERROR(VLOOKUP(RESOURCE_5_TYPE,SELL_RATES,3,FALSE)*Input_Tasks[[#This Row],[R5 After Hours]],0)</f>
        <v>0</v>
      </c>
      <c r="AV90" s="400">
        <f>SUM(Input_Tasks[[#This Row],[Round Trips R1]:[Round Trips R5]])</f>
        <v>0</v>
      </c>
      <c r="AW90" s="401">
        <f>SUM(Input_Tasks[[#This Row],[Overnight StaysR1]:[Overnight StaysR5]])</f>
        <v>0</v>
      </c>
      <c r="AX90" s="401">
        <f>IF(AND(Input_Tasks[[#This Row],[Sell - Line Total]]&gt;0,OR(Input_Tasks[[#This Row],[Phase]]="",Input_Tasks[[#This Row],[Skill Required]]="",Input_Tasks[[#This Row],[Task Type]]="",Input_Tasks[[#This Row],[Description]]="")),1,0)</f>
        <v>0</v>
      </c>
      <c r="AY90" s="402">
        <f>IF(AND(Input_Tasks[[#This Row],[Task Type]]="ArchiTech Document Deliverable",Input_Tasks[[#This Row],[Hours]]&gt;0),1,0)</f>
        <v>0</v>
      </c>
      <c r="AZ9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9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9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9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9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9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9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9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9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9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9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9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9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90" s="405">
        <f>SUM(Input_Tasks[[#This Row],[R1 Business Hours]:[R1 After Hours]],Input_Tasks[[#This Row],[R2 Business Hours]:[R2 After Hours]],Input_Tasks[[#This Row],[R3 Business Hours]:[R3 After Hours]],Input_Tasks[[#This Row],[R4 Business Hours]:[R4 After Hours]],Input_Tasks[[#This Row],[R5 Business Hours]:[R5 After Hours]])</f>
        <v>0</v>
      </c>
    </row>
    <row r="91" spans="1:65">
      <c r="A91" s="384"/>
      <c r="B91" s="271"/>
      <c r="C91" s="271"/>
      <c r="D91" s="406"/>
      <c r="E91" s="385">
        <f>Input_Tasks[[#This Row],[Onsite Round Trips_Hidden]]</f>
        <v>0</v>
      </c>
      <c r="F91" s="385">
        <f>Input_Tasks[[#This Row],[Overnight Stays_Hidden]]</f>
        <v>0</v>
      </c>
      <c r="G91" s="385">
        <f>Input_Tasks[[#This Row],[Documents_Hidden]]</f>
        <v>0</v>
      </c>
      <c r="H91" s="387"/>
      <c r="I91" s="388"/>
      <c r="J91" s="389"/>
      <c r="K91" s="390"/>
      <c r="L91" s="390"/>
      <c r="M91" s="389"/>
      <c r="N91" s="390"/>
      <c r="O91" s="390"/>
      <c r="P91" s="389"/>
      <c r="Q91" s="390"/>
      <c r="R91" s="391"/>
      <c r="S91" s="389"/>
      <c r="T91" s="390"/>
      <c r="U91" s="391"/>
      <c r="V91" s="389"/>
      <c r="W91" s="390"/>
      <c r="X91" s="390"/>
      <c r="Y91" s="386" t="str">
        <f>Input_Tasks[[#This Row],[Onsite Round Trips_Hidden]]&amp;"/"&amp;Input_Tasks[[#This Row],[Overnight Stays_Hidden]]&amp;"/"&amp;Input_Tasks[[#This Row],[Documents_Hidden]]</f>
        <v>0/0/0</v>
      </c>
      <c r="Z91" s="392">
        <f>Input_Tasks[[#This Row],[R1 Cost_Hidden]]</f>
        <v>0</v>
      </c>
      <c r="AA91" s="393">
        <f>Input_Tasks[[#This Row],[R2 Cost_Hidden]]</f>
        <v>0</v>
      </c>
      <c r="AB91" s="393">
        <f>Input_Tasks[[#This Row],[R3 Cost_Hidden]]</f>
        <v>0</v>
      </c>
      <c r="AC91" s="393">
        <f>Input_Tasks[[#This Row],[R4 Cost_Hidden]]</f>
        <v>0</v>
      </c>
      <c r="AD91" s="394">
        <f>Input_Tasks[[#This Row],[R5 Cost_Hidden]]</f>
        <v>0</v>
      </c>
      <c r="AE91" s="395">
        <f>SUM(Input_Tasks[[#This Row],[R1 Cost]:[R5 Cost]])</f>
        <v>0</v>
      </c>
      <c r="AF91" s="392">
        <f>Input_Tasks[[#This Row],[R1 Sell_Hidden]]</f>
        <v>0</v>
      </c>
      <c r="AG91" s="393">
        <f>Input_Tasks[[#This Row],[R2 Sell_Hidden]]</f>
        <v>0</v>
      </c>
      <c r="AH91" s="393">
        <f>Input_Tasks[[#This Row],[R3 Sell_Hidden]]</f>
        <v>0</v>
      </c>
      <c r="AI91" s="393">
        <f>Input_Tasks[[#This Row],[R4 Sell_Hidden5]]</f>
        <v>0</v>
      </c>
      <c r="AJ91" s="394">
        <f>Input_Tasks[[#This Row],[R5 Sell_Hidden]]</f>
        <v>0</v>
      </c>
      <c r="AK91" s="396">
        <f>SUM(Input_Tasks[[#This Row],[R1 Sell]:[R5 Sell]])</f>
        <v>0</v>
      </c>
      <c r="AL91" s="397">
        <f>IFERROR(VLOOKUP(RESOURCE_1_TYPE,COST_RATES,2,FALSE)*Input_Tasks[[#This Row],[R1 Business Hours]],0)+IFERROR(VLOOKUP(RESOURCE_1_TYPE,COST_RATES,3,FALSE)*Input_Tasks[[#This Row],[R1 After Hours]],0)</f>
        <v>0</v>
      </c>
      <c r="AM91" s="398">
        <f>IFERROR(VLOOKUP(RESOURCE_2_TYPE,COST_RATES,2,FALSE)*Input_Tasks[[#This Row],[R2 Business Hours]],0)+IFERROR(VLOOKUP(RESOURCE_2_TYPE,COST_RATES,3,FALSE)*Input_Tasks[[#This Row],[R2 After Hours]],0)</f>
        <v>0</v>
      </c>
      <c r="AN91" s="398">
        <f>IFERROR(VLOOKUP(RESOURCE_3_TYPE,COST_RATES,2,FALSE)*Input_Tasks[[#This Row],[R3 Business Hours]],0)+IFERROR(VLOOKUP(RESOURCE_3_TYPE,COST_RATES,3,FALSE)*Input_Tasks[[#This Row],[R3 After Hours]],0)</f>
        <v>0</v>
      </c>
      <c r="AO91" s="398">
        <f>IFERROR(VLOOKUP(RESOURCE_4_TYPE,COST_RATES,2,FALSE)*Input_Tasks[[#This Row],[R4 Business Hours]],0)+IFERROR(VLOOKUP(RESOURCE_4_TYPE,COST_RATES,3,FALSE)*Input_Tasks[[#This Row],[R4 After Hours]],0)</f>
        <v>0</v>
      </c>
      <c r="AP91" s="398">
        <f>IFERROR(VLOOKUP(RESOURCE_5_TYPE,COST_RATES,2,FALSE)*Input_Tasks[[#This Row],[R5 Business Hours]],0)+IFERROR(VLOOKUP(RESOURCE_5_TYPE,COST_RATES,3,FALSE)*Input_Tasks[[#This Row],[R5 After Hours]],0)</f>
        <v>0</v>
      </c>
      <c r="AQ91" s="399">
        <f>IFERROR(VLOOKUP(RESOURCE_1_TYPE,SELL_RATES,2,FALSE)*Input_Tasks[[#This Row],[R1 Business Hours]],0)+IFERROR(VLOOKUP(RESOURCE_1_TYPE,SELL_RATES,3,FALSE)*Input_Tasks[[#This Row],[R1 After Hours]],0)</f>
        <v>0</v>
      </c>
      <c r="AR91" s="398">
        <f>IFERROR(VLOOKUP(RESOURCE_2_TYPE,SELL_RATES,2,FALSE)*Input_Tasks[[#This Row],[R2 Business Hours]],0)+IFERROR(VLOOKUP(RESOURCE_2_TYPE,SELL_RATES,3,FALSE)*Input_Tasks[[#This Row],[R2 After Hours]],0)</f>
        <v>0</v>
      </c>
      <c r="AS91" s="398">
        <f>IFERROR(VLOOKUP(RESOURCE_3_TYPE,SELL_RATES,2,FALSE)*Input_Tasks[[#This Row],[R3 Business Hours]],0)+IFERROR(VLOOKUP(RESOURCE_3_TYPE,SELL_RATES,3,FALSE)*Input_Tasks[[#This Row],[R3 After Hours]],0)</f>
        <v>0</v>
      </c>
      <c r="AT91" s="398">
        <f>IFERROR(VLOOKUP(RESOURCE_4_TYPE,SELL_RATES,2,FALSE)*Input_Tasks[[#This Row],[R4 Business Hours]],0)+IFERROR(VLOOKUP(RESOURCE_4_TYPE,SELL_RATES,3,FALSE)*Input_Tasks[[#This Row],[R4 After Hours]],0)</f>
        <v>0</v>
      </c>
      <c r="AU91" s="398">
        <f>IFERROR(VLOOKUP(RESOURCE_5_TYPE,SELL_RATES,2,FALSE)*Input_Tasks[[#This Row],[R5 Business Hours]],0)+IFERROR(VLOOKUP(RESOURCE_5_TYPE,SELL_RATES,3,FALSE)*Input_Tasks[[#This Row],[R5 After Hours]],0)</f>
        <v>0</v>
      </c>
      <c r="AV91" s="400">
        <f>SUM(Input_Tasks[[#This Row],[Round Trips R1]:[Round Trips R5]])</f>
        <v>0</v>
      </c>
      <c r="AW91" s="401">
        <f>SUM(Input_Tasks[[#This Row],[Overnight StaysR1]:[Overnight StaysR5]])</f>
        <v>0</v>
      </c>
      <c r="AX91" s="401">
        <f>IF(AND(Input_Tasks[[#This Row],[Sell - Line Total]]&gt;0,OR(Input_Tasks[[#This Row],[Phase]]="",Input_Tasks[[#This Row],[Skill Required]]="",Input_Tasks[[#This Row],[Task Type]]="",Input_Tasks[[#This Row],[Description]]="")),1,0)</f>
        <v>0</v>
      </c>
      <c r="AY91" s="402">
        <f>IF(AND(Input_Tasks[[#This Row],[Task Type]]="ArchiTech Document Deliverable",Input_Tasks[[#This Row],[Hours]]&gt;0),1,0)</f>
        <v>0</v>
      </c>
      <c r="AZ9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9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9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9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9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9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9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9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9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9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9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9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9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91" s="405">
        <f>SUM(Input_Tasks[[#This Row],[R1 Business Hours]:[R1 After Hours]],Input_Tasks[[#This Row],[R2 Business Hours]:[R2 After Hours]],Input_Tasks[[#This Row],[R3 Business Hours]:[R3 After Hours]],Input_Tasks[[#This Row],[R4 Business Hours]:[R4 After Hours]],Input_Tasks[[#This Row],[R5 Business Hours]:[R5 After Hours]])</f>
        <v>0</v>
      </c>
    </row>
    <row r="92" spans="1:65">
      <c r="A92" s="384"/>
      <c r="B92" s="271"/>
      <c r="C92" s="271"/>
      <c r="D92" s="406"/>
      <c r="E92" s="385">
        <f>Input_Tasks[[#This Row],[Onsite Round Trips_Hidden]]</f>
        <v>0</v>
      </c>
      <c r="F92" s="385">
        <f>Input_Tasks[[#This Row],[Overnight Stays_Hidden]]</f>
        <v>0</v>
      </c>
      <c r="G92" s="385">
        <f>Input_Tasks[[#This Row],[Documents_Hidden]]</f>
        <v>0</v>
      </c>
      <c r="H92" s="387"/>
      <c r="I92" s="388"/>
      <c r="J92" s="389"/>
      <c r="K92" s="390"/>
      <c r="L92" s="390"/>
      <c r="M92" s="389"/>
      <c r="N92" s="390"/>
      <c r="O92" s="390"/>
      <c r="P92" s="389"/>
      <c r="Q92" s="390"/>
      <c r="R92" s="391"/>
      <c r="S92" s="389"/>
      <c r="T92" s="390"/>
      <c r="U92" s="391"/>
      <c r="V92" s="389"/>
      <c r="W92" s="390"/>
      <c r="X92" s="390"/>
      <c r="Y92" s="386" t="str">
        <f>Input_Tasks[[#This Row],[Onsite Round Trips_Hidden]]&amp;"/"&amp;Input_Tasks[[#This Row],[Overnight Stays_Hidden]]&amp;"/"&amp;Input_Tasks[[#This Row],[Documents_Hidden]]</f>
        <v>0/0/0</v>
      </c>
      <c r="Z92" s="392">
        <f>Input_Tasks[[#This Row],[R1 Cost_Hidden]]</f>
        <v>0</v>
      </c>
      <c r="AA92" s="393">
        <f>Input_Tasks[[#This Row],[R2 Cost_Hidden]]</f>
        <v>0</v>
      </c>
      <c r="AB92" s="393">
        <f>Input_Tasks[[#This Row],[R3 Cost_Hidden]]</f>
        <v>0</v>
      </c>
      <c r="AC92" s="393">
        <f>Input_Tasks[[#This Row],[R4 Cost_Hidden]]</f>
        <v>0</v>
      </c>
      <c r="AD92" s="394">
        <f>Input_Tasks[[#This Row],[R5 Cost_Hidden]]</f>
        <v>0</v>
      </c>
      <c r="AE92" s="395">
        <f>SUM(Input_Tasks[[#This Row],[R1 Cost]:[R5 Cost]])</f>
        <v>0</v>
      </c>
      <c r="AF92" s="392">
        <f>Input_Tasks[[#This Row],[R1 Sell_Hidden]]</f>
        <v>0</v>
      </c>
      <c r="AG92" s="393">
        <f>Input_Tasks[[#This Row],[R2 Sell_Hidden]]</f>
        <v>0</v>
      </c>
      <c r="AH92" s="393">
        <f>Input_Tasks[[#This Row],[R3 Sell_Hidden]]</f>
        <v>0</v>
      </c>
      <c r="AI92" s="393">
        <f>Input_Tasks[[#This Row],[R4 Sell_Hidden5]]</f>
        <v>0</v>
      </c>
      <c r="AJ92" s="394">
        <f>Input_Tasks[[#This Row],[R5 Sell_Hidden]]</f>
        <v>0</v>
      </c>
      <c r="AK92" s="396">
        <f>SUM(Input_Tasks[[#This Row],[R1 Sell]:[R5 Sell]])</f>
        <v>0</v>
      </c>
      <c r="AL92" s="397">
        <f>IFERROR(VLOOKUP(RESOURCE_1_TYPE,COST_RATES,2,FALSE)*Input_Tasks[[#This Row],[R1 Business Hours]],0)+IFERROR(VLOOKUP(RESOURCE_1_TYPE,COST_RATES,3,FALSE)*Input_Tasks[[#This Row],[R1 After Hours]],0)</f>
        <v>0</v>
      </c>
      <c r="AM92" s="398">
        <f>IFERROR(VLOOKUP(RESOURCE_2_TYPE,COST_RATES,2,FALSE)*Input_Tasks[[#This Row],[R2 Business Hours]],0)+IFERROR(VLOOKUP(RESOURCE_2_TYPE,COST_RATES,3,FALSE)*Input_Tasks[[#This Row],[R2 After Hours]],0)</f>
        <v>0</v>
      </c>
      <c r="AN92" s="398">
        <f>IFERROR(VLOOKUP(RESOURCE_3_TYPE,COST_RATES,2,FALSE)*Input_Tasks[[#This Row],[R3 Business Hours]],0)+IFERROR(VLOOKUP(RESOURCE_3_TYPE,COST_RATES,3,FALSE)*Input_Tasks[[#This Row],[R3 After Hours]],0)</f>
        <v>0</v>
      </c>
      <c r="AO92" s="398">
        <f>IFERROR(VLOOKUP(RESOURCE_4_TYPE,COST_RATES,2,FALSE)*Input_Tasks[[#This Row],[R4 Business Hours]],0)+IFERROR(VLOOKUP(RESOURCE_4_TYPE,COST_RATES,3,FALSE)*Input_Tasks[[#This Row],[R4 After Hours]],0)</f>
        <v>0</v>
      </c>
      <c r="AP92" s="398">
        <f>IFERROR(VLOOKUP(RESOURCE_5_TYPE,COST_RATES,2,FALSE)*Input_Tasks[[#This Row],[R5 Business Hours]],0)+IFERROR(VLOOKUP(RESOURCE_5_TYPE,COST_RATES,3,FALSE)*Input_Tasks[[#This Row],[R5 After Hours]],0)</f>
        <v>0</v>
      </c>
      <c r="AQ92" s="399">
        <f>IFERROR(VLOOKUP(RESOURCE_1_TYPE,SELL_RATES,2,FALSE)*Input_Tasks[[#This Row],[R1 Business Hours]],0)+IFERROR(VLOOKUP(RESOURCE_1_TYPE,SELL_RATES,3,FALSE)*Input_Tasks[[#This Row],[R1 After Hours]],0)</f>
        <v>0</v>
      </c>
      <c r="AR92" s="398">
        <f>IFERROR(VLOOKUP(RESOURCE_2_TYPE,SELL_RATES,2,FALSE)*Input_Tasks[[#This Row],[R2 Business Hours]],0)+IFERROR(VLOOKUP(RESOURCE_2_TYPE,SELL_RATES,3,FALSE)*Input_Tasks[[#This Row],[R2 After Hours]],0)</f>
        <v>0</v>
      </c>
      <c r="AS92" s="398">
        <f>IFERROR(VLOOKUP(RESOURCE_3_TYPE,SELL_RATES,2,FALSE)*Input_Tasks[[#This Row],[R3 Business Hours]],0)+IFERROR(VLOOKUP(RESOURCE_3_TYPE,SELL_RATES,3,FALSE)*Input_Tasks[[#This Row],[R3 After Hours]],0)</f>
        <v>0</v>
      </c>
      <c r="AT92" s="398">
        <f>IFERROR(VLOOKUP(RESOURCE_4_TYPE,SELL_RATES,2,FALSE)*Input_Tasks[[#This Row],[R4 Business Hours]],0)+IFERROR(VLOOKUP(RESOURCE_4_TYPE,SELL_RATES,3,FALSE)*Input_Tasks[[#This Row],[R4 After Hours]],0)</f>
        <v>0</v>
      </c>
      <c r="AU92" s="398">
        <f>IFERROR(VLOOKUP(RESOURCE_5_TYPE,SELL_RATES,2,FALSE)*Input_Tasks[[#This Row],[R5 Business Hours]],0)+IFERROR(VLOOKUP(RESOURCE_5_TYPE,SELL_RATES,3,FALSE)*Input_Tasks[[#This Row],[R5 After Hours]],0)</f>
        <v>0</v>
      </c>
      <c r="AV92" s="400">
        <f>SUM(Input_Tasks[[#This Row],[Round Trips R1]:[Round Trips R5]])</f>
        <v>0</v>
      </c>
      <c r="AW92" s="401">
        <f>SUM(Input_Tasks[[#This Row],[Overnight StaysR1]:[Overnight StaysR5]])</f>
        <v>0</v>
      </c>
      <c r="AX92" s="401">
        <f>IF(AND(Input_Tasks[[#This Row],[Sell - Line Total]]&gt;0,OR(Input_Tasks[[#This Row],[Phase]]="",Input_Tasks[[#This Row],[Skill Required]]="",Input_Tasks[[#This Row],[Task Type]]="",Input_Tasks[[#This Row],[Description]]="")),1,0)</f>
        <v>0</v>
      </c>
      <c r="AY92" s="402">
        <f>IF(AND(Input_Tasks[[#This Row],[Task Type]]="ArchiTech Document Deliverable",Input_Tasks[[#This Row],[Hours]]&gt;0),1,0)</f>
        <v>0</v>
      </c>
      <c r="AZ9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9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9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9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9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9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9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9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9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9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9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9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9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92" s="405">
        <f>SUM(Input_Tasks[[#This Row],[R1 Business Hours]:[R1 After Hours]],Input_Tasks[[#This Row],[R2 Business Hours]:[R2 After Hours]],Input_Tasks[[#This Row],[R3 Business Hours]:[R3 After Hours]],Input_Tasks[[#This Row],[R4 Business Hours]:[R4 After Hours]],Input_Tasks[[#This Row],[R5 Business Hours]:[R5 After Hours]])</f>
        <v>0</v>
      </c>
    </row>
    <row r="93" spans="1:65">
      <c r="A93" s="384"/>
      <c r="B93" s="271"/>
      <c r="C93" s="271"/>
      <c r="D93" s="406"/>
      <c r="E93" s="385">
        <f>Input_Tasks[[#This Row],[Onsite Round Trips_Hidden]]</f>
        <v>0</v>
      </c>
      <c r="F93" s="385">
        <f>Input_Tasks[[#This Row],[Overnight Stays_Hidden]]</f>
        <v>0</v>
      </c>
      <c r="G93" s="385">
        <f>Input_Tasks[[#This Row],[Documents_Hidden]]</f>
        <v>0</v>
      </c>
      <c r="H93" s="387"/>
      <c r="I93" s="388"/>
      <c r="J93" s="389"/>
      <c r="K93" s="390"/>
      <c r="L93" s="390"/>
      <c r="M93" s="389"/>
      <c r="N93" s="390"/>
      <c r="O93" s="390"/>
      <c r="P93" s="389"/>
      <c r="Q93" s="390"/>
      <c r="R93" s="391"/>
      <c r="S93" s="389"/>
      <c r="T93" s="390"/>
      <c r="U93" s="391"/>
      <c r="V93" s="389"/>
      <c r="W93" s="390"/>
      <c r="X93" s="390"/>
      <c r="Y93" s="386" t="str">
        <f>Input_Tasks[[#This Row],[Onsite Round Trips_Hidden]]&amp;"/"&amp;Input_Tasks[[#This Row],[Overnight Stays_Hidden]]&amp;"/"&amp;Input_Tasks[[#This Row],[Documents_Hidden]]</f>
        <v>0/0/0</v>
      </c>
      <c r="Z93" s="392">
        <f>Input_Tasks[[#This Row],[R1 Cost_Hidden]]</f>
        <v>0</v>
      </c>
      <c r="AA93" s="393">
        <f>Input_Tasks[[#This Row],[R2 Cost_Hidden]]</f>
        <v>0</v>
      </c>
      <c r="AB93" s="393">
        <f>Input_Tasks[[#This Row],[R3 Cost_Hidden]]</f>
        <v>0</v>
      </c>
      <c r="AC93" s="393">
        <f>Input_Tasks[[#This Row],[R4 Cost_Hidden]]</f>
        <v>0</v>
      </c>
      <c r="AD93" s="394">
        <f>Input_Tasks[[#This Row],[R5 Cost_Hidden]]</f>
        <v>0</v>
      </c>
      <c r="AE93" s="395">
        <f>SUM(Input_Tasks[[#This Row],[R1 Cost]:[R5 Cost]])</f>
        <v>0</v>
      </c>
      <c r="AF93" s="392">
        <f>Input_Tasks[[#This Row],[R1 Sell_Hidden]]</f>
        <v>0</v>
      </c>
      <c r="AG93" s="393">
        <f>Input_Tasks[[#This Row],[R2 Sell_Hidden]]</f>
        <v>0</v>
      </c>
      <c r="AH93" s="393">
        <f>Input_Tasks[[#This Row],[R3 Sell_Hidden]]</f>
        <v>0</v>
      </c>
      <c r="AI93" s="393">
        <f>Input_Tasks[[#This Row],[R4 Sell_Hidden5]]</f>
        <v>0</v>
      </c>
      <c r="AJ93" s="394">
        <f>Input_Tasks[[#This Row],[R5 Sell_Hidden]]</f>
        <v>0</v>
      </c>
      <c r="AK93" s="396">
        <f>SUM(Input_Tasks[[#This Row],[R1 Sell]:[R5 Sell]])</f>
        <v>0</v>
      </c>
      <c r="AL93" s="397">
        <f>IFERROR(VLOOKUP(RESOURCE_1_TYPE,COST_RATES,2,FALSE)*Input_Tasks[[#This Row],[R1 Business Hours]],0)+IFERROR(VLOOKUP(RESOURCE_1_TYPE,COST_RATES,3,FALSE)*Input_Tasks[[#This Row],[R1 After Hours]],0)</f>
        <v>0</v>
      </c>
      <c r="AM93" s="398">
        <f>IFERROR(VLOOKUP(RESOURCE_2_TYPE,COST_RATES,2,FALSE)*Input_Tasks[[#This Row],[R2 Business Hours]],0)+IFERROR(VLOOKUP(RESOURCE_2_TYPE,COST_RATES,3,FALSE)*Input_Tasks[[#This Row],[R2 After Hours]],0)</f>
        <v>0</v>
      </c>
      <c r="AN93" s="398">
        <f>IFERROR(VLOOKUP(RESOURCE_3_TYPE,COST_RATES,2,FALSE)*Input_Tasks[[#This Row],[R3 Business Hours]],0)+IFERROR(VLOOKUP(RESOURCE_3_TYPE,COST_RATES,3,FALSE)*Input_Tasks[[#This Row],[R3 After Hours]],0)</f>
        <v>0</v>
      </c>
      <c r="AO93" s="398">
        <f>IFERROR(VLOOKUP(RESOURCE_4_TYPE,COST_RATES,2,FALSE)*Input_Tasks[[#This Row],[R4 Business Hours]],0)+IFERROR(VLOOKUP(RESOURCE_4_TYPE,COST_RATES,3,FALSE)*Input_Tasks[[#This Row],[R4 After Hours]],0)</f>
        <v>0</v>
      </c>
      <c r="AP93" s="398">
        <f>IFERROR(VLOOKUP(RESOURCE_5_TYPE,COST_RATES,2,FALSE)*Input_Tasks[[#This Row],[R5 Business Hours]],0)+IFERROR(VLOOKUP(RESOURCE_5_TYPE,COST_RATES,3,FALSE)*Input_Tasks[[#This Row],[R5 After Hours]],0)</f>
        <v>0</v>
      </c>
      <c r="AQ93" s="399">
        <f>IFERROR(VLOOKUP(RESOURCE_1_TYPE,SELL_RATES,2,FALSE)*Input_Tasks[[#This Row],[R1 Business Hours]],0)+IFERROR(VLOOKUP(RESOURCE_1_TYPE,SELL_RATES,3,FALSE)*Input_Tasks[[#This Row],[R1 After Hours]],0)</f>
        <v>0</v>
      </c>
      <c r="AR93" s="398">
        <f>IFERROR(VLOOKUP(RESOURCE_2_TYPE,SELL_RATES,2,FALSE)*Input_Tasks[[#This Row],[R2 Business Hours]],0)+IFERROR(VLOOKUP(RESOURCE_2_TYPE,SELL_RATES,3,FALSE)*Input_Tasks[[#This Row],[R2 After Hours]],0)</f>
        <v>0</v>
      </c>
      <c r="AS93" s="398">
        <f>IFERROR(VLOOKUP(RESOURCE_3_TYPE,SELL_RATES,2,FALSE)*Input_Tasks[[#This Row],[R3 Business Hours]],0)+IFERROR(VLOOKUP(RESOURCE_3_TYPE,SELL_RATES,3,FALSE)*Input_Tasks[[#This Row],[R3 After Hours]],0)</f>
        <v>0</v>
      </c>
      <c r="AT93" s="398">
        <f>IFERROR(VLOOKUP(RESOURCE_4_TYPE,SELL_RATES,2,FALSE)*Input_Tasks[[#This Row],[R4 Business Hours]],0)+IFERROR(VLOOKUP(RESOURCE_4_TYPE,SELL_RATES,3,FALSE)*Input_Tasks[[#This Row],[R4 After Hours]],0)</f>
        <v>0</v>
      </c>
      <c r="AU93" s="398">
        <f>IFERROR(VLOOKUP(RESOURCE_5_TYPE,SELL_RATES,2,FALSE)*Input_Tasks[[#This Row],[R5 Business Hours]],0)+IFERROR(VLOOKUP(RESOURCE_5_TYPE,SELL_RATES,3,FALSE)*Input_Tasks[[#This Row],[R5 After Hours]],0)</f>
        <v>0</v>
      </c>
      <c r="AV93" s="400">
        <f>SUM(Input_Tasks[[#This Row],[Round Trips R1]:[Round Trips R5]])</f>
        <v>0</v>
      </c>
      <c r="AW93" s="401">
        <f>SUM(Input_Tasks[[#This Row],[Overnight StaysR1]:[Overnight StaysR5]])</f>
        <v>0</v>
      </c>
      <c r="AX93" s="401">
        <f>IF(AND(Input_Tasks[[#This Row],[Sell - Line Total]]&gt;0,OR(Input_Tasks[[#This Row],[Phase]]="",Input_Tasks[[#This Row],[Skill Required]]="",Input_Tasks[[#This Row],[Task Type]]="",Input_Tasks[[#This Row],[Description]]="")),1,0)</f>
        <v>0</v>
      </c>
      <c r="AY93" s="402">
        <f>IF(AND(Input_Tasks[[#This Row],[Task Type]]="ArchiTech Document Deliverable",Input_Tasks[[#This Row],[Hours]]&gt;0),1,0)</f>
        <v>0</v>
      </c>
      <c r="AZ9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9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9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9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9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9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9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9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9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9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9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9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9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93" s="405">
        <f>SUM(Input_Tasks[[#This Row],[R1 Business Hours]:[R1 After Hours]],Input_Tasks[[#This Row],[R2 Business Hours]:[R2 After Hours]],Input_Tasks[[#This Row],[R3 Business Hours]:[R3 After Hours]],Input_Tasks[[#This Row],[R4 Business Hours]:[R4 After Hours]],Input_Tasks[[#This Row],[R5 Business Hours]:[R5 After Hours]])</f>
        <v>0</v>
      </c>
    </row>
    <row r="94" spans="1:65">
      <c r="A94" s="384"/>
      <c r="B94" s="271"/>
      <c r="C94" s="271"/>
      <c r="D94" s="406"/>
      <c r="E94" s="385">
        <f>Input_Tasks[[#This Row],[Onsite Round Trips_Hidden]]</f>
        <v>0</v>
      </c>
      <c r="F94" s="385">
        <f>Input_Tasks[[#This Row],[Overnight Stays_Hidden]]</f>
        <v>0</v>
      </c>
      <c r="G94" s="385">
        <f>Input_Tasks[[#This Row],[Documents_Hidden]]</f>
        <v>0</v>
      </c>
      <c r="H94" s="387"/>
      <c r="I94" s="388"/>
      <c r="J94" s="389"/>
      <c r="K94" s="390"/>
      <c r="L94" s="390"/>
      <c r="M94" s="389"/>
      <c r="N94" s="390"/>
      <c r="O94" s="390"/>
      <c r="P94" s="389"/>
      <c r="Q94" s="390"/>
      <c r="R94" s="391"/>
      <c r="S94" s="389"/>
      <c r="T94" s="390"/>
      <c r="U94" s="391"/>
      <c r="V94" s="389"/>
      <c r="W94" s="390"/>
      <c r="X94" s="390"/>
      <c r="Y94" s="386" t="str">
        <f>Input_Tasks[[#This Row],[Onsite Round Trips_Hidden]]&amp;"/"&amp;Input_Tasks[[#This Row],[Overnight Stays_Hidden]]&amp;"/"&amp;Input_Tasks[[#This Row],[Documents_Hidden]]</f>
        <v>0/0/0</v>
      </c>
      <c r="Z94" s="392">
        <f>Input_Tasks[[#This Row],[R1 Cost_Hidden]]</f>
        <v>0</v>
      </c>
      <c r="AA94" s="393">
        <f>Input_Tasks[[#This Row],[R2 Cost_Hidden]]</f>
        <v>0</v>
      </c>
      <c r="AB94" s="393">
        <f>Input_Tasks[[#This Row],[R3 Cost_Hidden]]</f>
        <v>0</v>
      </c>
      <c r="AC94" s="393">
        <f>Input_Tasks[[#This Row],[R4 Cost_Hidden]]</f>
        <v>0</v>
      </c>
      <c r="AD94" s="394">
        <f>Input_Tasks[[#This Row],[R5 Cost_Hidden]]</f>
        <v>0</v>
      </c>
      <c r="AE94" s="395">
        <f>SUM(Input_Tasks[[#This Row],[R1 Cost]:[R5 Cost]])</f>
        <v>0</v>
      </c>
      <c r="AF94" s="392">
        <f>Input_Tasks[[#This Row],[R1 Sell_Hidden]]</f>
        <v>0</v>
      </c>
      <c r="AG94" s="393">
        <f>Input_Tasks[[#This Row],[R2 Sell_Hidden]]</f>
        <v>0</v>
      </c>
      <c r="AH94" s="393">
        <f>Input_Tasks[[#This Row],[R3 Sell_Hidden]]</f>
        <v>0</v>
      </c>
      <c r="AI94" s="393">
        <f>Input_Tasks[[#This Row],[R4 Sell_Hidden5]]</f>
        <v>0</v>
      </c>
      <c r="AJ94" s="394">
        <f>Input_Tasks[[#This Row],[R5 Sell_Hidden]]</f>
        <v>0</v>
      </c>
      <c r="AK94" s="396">
        <f>SUM(Input_Tasks[[#This Row],[R1 Sell]:[R5 Sell]])</f>
        <v>0</v>
      </c>
      <c r="AL94" s="397">
        <f>IFERROR(VLOOKUP(RESOURCE_1_TYPE,COST_RATES,2,FALSE)*Input_Tasks[[#This Row],[R1 Business Hours]],0)+IFERROR(VLOOKUP(RESOURCE_1_TYPE,COST_RATES,3,FALSE)*Input_Tasks[[#This Row],[R1 After Hours]],0)</f>
        <v>0</v>
      </c>
      <c r="AM94" s="398">
        <f>IFERROR(VLOOKUP(RESOURCE_2_TYPE,COST_RATES,2,FALSE)*Input_Tasks[[#This Row],[R2 Business Hours]],0)+IFERROR(VLOOKUP(RESOURCE_2_TYPE,COST_RATES,3,FALSE)*Input_Tasks[[#This Row],[R2 After Hours]],0)</f>
        <v>0</v>
      </c>
      <c r="AN94" s="398">
        <f>IFERROR(VLOOKUP(RESOURCE_3_TYPE,COST_RATES,2,FALSE)*Input_Tasks[[#This Row],[R3 Business Hours]],0)+IFERROR(VLOOKUP(RESOURCE_3_TYPE,COST_RATES,3,FALSE)*Input_Tasks[[#This Row],[R3 After Hours]],0)</f>
        <v>0</v>
      </c>
      <c r="AO94" s="398">
        <f>IFERROR(VLOOKUP(RESOURCE_4_TYPE,COST_RATES,2,FALSE)*Input_Tasks[[#This Row],[R4 Business Hours]],0)+IFERROR(VLOOKUP(RESOURCE_4_TYPE,COST_RATES,3,FALSE)*Input_Tasks[[#This Row],[R4 After Hours]],0)</f>
        <v>0</v>
      </c>
      <c r="AP94" s="398">
        <f>IFERROR(VLOOKUP(RESOURCE_5_TYPE,COST_RATES,2,FALSE)*Input_Tasks[[#This Row],[R5 Business Hours]],0)+IFERROR(VLOOKUP(RESOURCE_5_TYPE,COST_RATES,3,FALSE)*Input_Tasks[[#This Row],[R5 After Hours]],0)</f>
        <v>0</v>
      </c>
      <c r="AQ94" s="399">
        <f>IFERROR(VLOOKUP(RESOURCE_1_TYPE,SELL_RATES,2,FALSE)*Input_Tasks[[#This Row],[R1 Business Hours]],0)+IFERROR(VLOOKUP(RESOURCE_1_TYPE,SELL_RATES,3,FALSE)*Input_Tasks[[#This Row],[R1 After Hours]],0)</f>
        <v>0</v>
      </c>
      <c r="AR94" s="398">
        <f>IFERROR(VLOOKUP(RESOURCE_2_TYPE,SELL_RATES,2,FALSE)*Input_Tasks[[#This Row],[R2 Business Hours]],0)+IFERROR(VLOOKUP(RESOURCE_2_TYPE,SELL_RATES,3,FALSE)*Input_Tasks[[#This Row],[R2 After Hours]],0)</f>
        <v>0</v>
      </c>
      <c r="AS94" s="398">
        <f>IFERROR(VLOOKUP(RESOURCE_3_TYPE,SELL_RATES,2,FALSE)*Input_Tasks[[#This Row],[R3 Business Hours]],0)+IFERROR(VLOOKUP(RESOURCE_3_TYPE,SELL_RATES,3,FALSE)*Input_Tasks[[#This Row],[R3 After Hours]],0)</f>
        <v>0</v>
      </c>
      <c r="AT94" s="398">
        <f>IFERROR(VLOOKUP(RESOURCE_4_TYPE,SELL_RATES,2,FALSE)*Input_Tasks[[#This Row],[R4 Business Hours]],0)+IFERROR(VLOOKUP(RESOURCE_4_TYPE,SELL_RATES,3,FALSE)*Input_Tasks[[#This Row],[R4 After Hours]],0)</f>
        <v>0</v>
      </c>
      <c r="AU94" s="398">
        <f>IFERROR(VLOOKUP(RESOURCE_5_TYPE,SELL_RATES,2,FALSE)*Input_Tasks[[#This Row],[R5 Business Hours]],0)+IFERROR(VLOOKUP(RESOURCE_5_TYPE,SELL_RATES,3,FALSE)*Input_Tasks[[#This Row],[R5 After Hours]],0)</f>
        <v>0</v>
      </c>
      <c r="AV94" s="400">
        <f>SUM(Input_Tasks[[#This Row],[Round Trips R1]:[Round Trips R5]])</f>
        <v>0</v>
      </c>
      <c r="AW94" s="401">
        <f>SUM(Input_Tasks[[#This Row],[Overnight StaysR1]:[Overnight StaysR5]])</f>
        <v>0</v>
      </c>
      <c r="AX94" s="401">
        <f>IF(AND(Input_Tasks[[#This Row],[Sell - Line Total]]&gt;0,OR(Input_Tasks[[#This Row],[Phase]]="",Input_Tasks[[#This Row],[Skill Required]]="",Input_Tasks[[#This Row],[Task Type]]="",Input_Tasks[[#This Row],[Description]]="")),1,0)</f>
        <v>0</v>
      </c>
      <c r="AY94" s="402">
        <f>IF(AND(Input_Tasks[[#This Row],[Task Type]]="ArchiTech Document Deliverable",Input_Tasks[[#This Row],[Hours]]&gt;0),1,0)</f>
        <v>0</v>
      </c>
      <c r="AZ9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9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9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9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9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9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9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9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9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9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9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9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9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94" s="405">
        <f>SUM(Input_Tasks[[#This Row],[R1 Business Hours]:[R1 After Hours]],Input_Tasks[[#This Row],[R2 Business Hours]:[R2 After Hours]],Input_Tasks[[#This Row],[R3 Business Hours]:[R3 After Hours]],Input_Tasks[[#This Row],[R4 Business Hours]:[R4 After Hours]],Input_Tasks[[#This Row],[R5 Business Hours]:[R5 After Hours]])</f>
        <v>0</v>
      </c>
    </row>
    <row r="95" spans="1:65">
      <c r="A95" s="384"/>
      <c r="B95" s="271"/>
      <c r="C95" s="271"/>
      <c r="D95" s="406"/>
      <c r="E95" s="385">
        <f>Input_Tasks[[#This Row],[Onsite Round Trips_Hidden]]</f>
        <v>0</v>
      </c>
      <c r="F95" s="385">
        <f>Input_Tasks[[#This Row],[Overnight Stays_Hidden]]</f>
        <v>0</v>
      </c>
      <c r="G95" s="385">
        <f>Input_Tasks[[#This Row],[Documents_Hidden]]</f>
        <v>0</v>
      </c>
      <c r="H95" s="387"/>
      <c r="I95" s="388"/>
      <c r="J95" s="389"/>
      <c r="K95" s="390"/>
      <c r="L95" s="390"/>
      <c r="M95" s="389"/>
      <c r="N95" s="390"/>
      <c r="O95" s="390"/>
      <c r="P95" s="389"/>
      <c r="Q95" s="390"/>
      <c r="R95" s="391"/>
      <c r="S95" s="389"/>
      <c r="T95" s="390"/>
      <c r="U95" s="391"/>
      <c r="V95" s="389"/>
      <c r="W95" s="390"/>
      <c r="X95" s="390"/>
      <c r="Y95" s="386" t="str">
        <f>Input_Tasks[[#This Row],[Onsite Round Trips_Hidden]]&amp;"/"&amp;Input_Tasks[[#This Row],[Overnight Stays_Hidden]]&amp;"/"&amp;Input_Tasks[[#This Row],[Documents_Hidden]]</f>
        <v>0/0/0</v>
      </c>
      <c r="Z95" s="392">
        <f>Input_Tasks[[#This Row],[R1 Cost_Hidden]]</f>
        <v>0</v>
      </c>
      <c r="AA95" s="393">
        <f>Input_Tasks[[#This Row],[R2 Cost_Hidden]]</f>
        <v>0</v>
      </c>
      <c r="AB95" s="393">
        <f>Input_Tasks[[#This Row],[R3 Cost_Hidden]]</f>
        <v>0</v>
      </c>
      <c r="AC95" s="393">
        <f>Input_Tasks[[#This Row],[R4 Cost_Hidden]]</f>
        <v>0</v>
      </c>
      <c r="AD95" s="394">
        <f>Input_Tasks[[#This Row],[R5 Cost_Hidden]]</f>
        <v>0</v>
      </c>
      <c r="AE95" s="395">
        <f>SUM(Input_Tasks[[#This Row],[R1 Cost]:[R5 Cost]])</f>
        <v>0</v>
      </c>
      <c r="AF95" s="392">
        <f>Input_Tasks[[#This Row],[R1 Sell_Hidden]]</f>
        <v>0</v>
      </c>
      <c r="AG95" s="393">
        <f>Input_Tasks[[#This Row],[R2 Sell_Hidden]]</f>
        <v>0</v>
      </c>
      <c r="AH95" s="393">
        <f>Input_Tasks[[#This Row],[R3 Sell_Hidden]]</f>
        <v>0</v>
      </c>
      <c r="AI95" s="393">
        <f>Input_Tasks[[#This Row],[R4 Sell_Hidden5]]</f>
        <v>0</v>
      </c>
      <c r="AJ95" s="394">
        <f>Input_Tasks[[#This Row],[R5 Sell_Hidden]]</f>
        <v>0</v>
      </c>
      <c r="AK95" s="396">
        <f>SUM(Input_Tasks[[#This Row],[R1 Sell]:[R5 Sell]])</f>
        <v>0</v>
      </c>
      <c r="AL95" s="397">
        <f>IFERROR(VLOOKUP(RESOURCE_1_TYPE,COST_RATES,2,FALSE)*Input_Tasks[[#This Row],[R1 Business Hours]],0)+IFERROR(VLOOKUP(RESOURCE_1_TYPE,COST_RATES,3,FALSE)*Input_Tasks[[#This Row],[R1 After Hours]],0)</f>
        <v>0</v>
      </c>
      <c r="AM95" s="398">
        <f>IFERROR(VLOOKUP(RESOURCE_2_TYPE,COST_RATES,2,FALSE)*Input_Tasks[[#This Row],[R2 Business Hours]],0)+IFERROR(VLOOKUP(RESOURCE_2_TYPE,COST_RATES,3,FALSE)*Input_Tasks[[#This Row],[R2 After Hours]],0)</f>
        <v>0</v>
      </c>
      <c r="AN95" s="398">
        <f>IFERROR(VLOOKUP(RESOURCE_3_TYPE,COST_RATES,2,FALSE)*Input_Tasks[[#This Row],[R3 Business Hours]],0)+IFERROR(VLOOKUP(RESOURCE_3_TYPE,COST_RATES,3,FALSE)*Input_Tasks[[#This Row],[R3 After Hours]],0)</f>
        <v>0</v>
      </c>
      <c r="AO95" s="398">
        <f>IFERROR(VLOOKUP(RESOURCE_4_TYPE,COST_RATES,2,FALSE)*Input_Tasks[[#This Row],[R4 Business Hours]],0)+IFERROR(VLOOKUP(RESOURCE_4_TYPE,COST_RATES,3,FALSE)*Input_Tasks[[#This Row],[R4 After Hours]],0)</f>
        <v>0</v>
      </c>
      <c r="AP95" s="398">
        <f>IFERROR(VLOOKUP(RESOURCE_5_TYPE,COST_RATES,2,FALSE)*Input_Tasks[[#This Row],[R5 Business Hours]],0)+IFERROR(VLOOKUP(RESOURCE_5_TYPE,COST_RATES,3,FALSE)*Input_Tasks[[#This Row],[R5 After Hours]],0)</f>
        <v>0</v>
      </c>
      <c r="AQ95" s="399">
        <f>IFERROR(VLOOKUP(RESOURCE_1_TYPE,SELL_RATES,2,FALSE)*Input_Tasks[[#This Row],[R1 Business Hours]],0)+IFERROR(VLOOKUP(RESOURCE_1_TYPE,SELL_RATES,3,FALSE)*Input_Tasks[[#This Row],[R1 After Hours]],0)</f>
        <v>0</v>
      </c>
      <c r="AR95" s="398">
        <f>IFERROR(VLOOKUP(RESOURCE_2_TYPE,SELL_RATES,2,FALSE)*Input_Tasks[[#This Row],[R2 Business Hours]],0)+IFERROR(VLOOKUP(RESOURCE_2_TYPE,SELL_RATES,3,FALSE)*Input_Tasks[[#This Row],[R2 After Hours]],0)</f>
        <v>0</v>
      </c>
      <c r="AS95" s="398">
        <f>IFERROR(VLOOKUP(RESOURCE_3_TYPE,SELL_RATES,2,FALSE)*Input_Tasks[[#This Row],[R3 Business Hours]],0)+IFERROR(VLOOKUP(RESOURCE_3_TYPE,SELL_RATES,3,FALSE)*Input_Tasks[[#This Row],[R3 After Hours]],0)</f>
        <v>0</v>
      </c>
      <c r="AT95" s="398">
        <f>IFERROR(VLOOKUP(RESOURCE_4_TYPE,SELL_RATES,2,FALSE)*Input_Tasks[[#This Row],[R4 Business Hours]],0)+IFERROR(VLOOKUP(RESOURCE_4_TYPE,SELL_RATES,3,FALSE)*Input_Tasks[[#This Row],[R4 After Hours]],0)</f>
        <v>0</v>
      </c>
      <c r="AU95" s="398">
        <f>IFERROR(VLOOKUP(RESOURCE_5_TYPE,SELL_RATES,2,FALSE)*Input_Tasks[[#This Row],[R5 Business Hours]],0)+IFERROR(VLOOKUP(RESOURCE_5_TYPE,SELL_RATES,3,FALSE)*Input_Tasks[[#This Row],[R5 After Hours]],0)</f>
        <v>0</v>
      </c>
      <c r="AV95" s="400">
        <f>SUM(Input_Tasks[[#This Row],[Round Trips R1]:[Round Trips R5]])</f>
        <v>0</v>
      </c>
      <c r="AW95" s="401">
        <f>SUM(Input_Tasks[[#This Row],[Overnight StaysR1]:[Overnight StaysR5]])</f>
        <v>0</v>
      </c>
      <c r="AX95" s="401">
        <f>IF(AND(Input_Tasks[[#This Row],[Sell - Line Total]]&gt;0,OR(Input_Tasks[[#This Row],[Phase]]="",Input_Tasks[[#This Row],[Skill Required]]="",Input_Tasks[[#This Row],[Task Type]]="",Input_Tasks[[#This Row],[Description]]="")),1,0)</f>
        <v>0</v>
      </c>
      <c r="AY95" s="402">
        <f>IF(AND(Input_Tasks[[#This Row],[Task Type]]="ArchiTech Document Deliverable",Input_Tasks[[#This Row],[Hours]]&gt;0),1,0)</f>
        <v>0</v>
      </c>
      <c r="AZ9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9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9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9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9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9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9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9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9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9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9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9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9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95" s="405">
        <f>SUM(Input_Tasks[[#This Row],[R1 Business Hours]:[R1 After Hours]],Input_Tasks[[#This Row],[R2 Business Hours]:[R2 After Hours]],Input_Tasks[[#This Row],[R3 Business Hours]:[R3 After Hours]],Input_Tasks[[#This Row],[R4 Business Hours]:[R4 After Hours]],Input_Tasks[[#This Row],[R5 Business Hours]:[R5 After Hours]])</f>
        <v>0</v>
      </c>
    </row>
    <row r="96" spans="1:65">
      <c r="A96" s="384"/>
      <c r="B96" s="271"/>
      <c r="C96" s="271"/>
      <c r="D96" s="406"/>
      <c r="E96" s="385">
        <f>Input_Tasks[[#This Row],[Onsite Round Trips_Hidden]]</f>
        <v>0</v>
      </c>
      <c r="F96" s="385">
        <f>Input_Tasks[[#This Row],[Overnight Stays_Hidden]]</f>
        <v>0</v>
      </c>
      <c r="G96" s="385">
        <f>Input_Tasks[[#This Row],[Documents_Hidden]]</f>
        <v>0</v>
      </c>
      <c r="H96" s="387"/>
      <c r="I96" s="388"/>
      <c r="J96" s="389"/>
      <c r="K96" s="390"/>
      <c r="L96" s="390"/>
      <c r="M96" s="389"/>
      <c r="N96" s="390"/>
      <c r="O96" s="390"/>
      <c r="P96" s="389"/>
      <c r="Q96" s="390"/>
      <c r="R96" s="391"/>
      <c r="S96" s="389"/>
      <c r="T96" s="390"/>
      <c r="U96" s="391"/>
      <c r="V96" s="389"/>
      <c r="W96" s="390"/>
      <c r="X96" s="390"/>
      <c r="Y96" s="386" t="str">
        <f>Input_Tasks[[#This Row],[Onsite Round Trips_Hidden]]&amp;"/"&amp;Input_Tasks[[#This Row],[Overnight Stays_Hidden]]&amp;"/"&amp;Input_Tasks[[#This Row],[Documents_Hidden]]</f>
        <v>0/0/0</v>
      </c>
      <c r="Z96" s="392">
        <f>Input_Tasks[[#This Row],[R1 Cost_Hidden]]</f>
        <v>0</v>
      </c>
      <c r="AA96" s="393">
        <f>Input_Tasks[[#This Row],[R2 Cost_Hidden]]</f>
        <v>0</v>
      </c>
      <c r="AB96" s="393">
        <f>Input_Tasks[[#This Row],[R3 Cost_Hidden]]</f>
        <v>0</v>
      </c>
      <c r="AC96" s="393">
        <f>Input_Tasks[[#This Row],[R4 Cost_Hidden]]</f>
        <v>0</v>
      </c>
      <c r="AD96" s="394">
        <f>Input_Tasks[[#This Row],[R5 Cost_Hidden]]</f>
        <v>0</v>
      </c>
      <c r="AE96" s="395">
        <f>SUM(Input_Tasks[[#This Row],[R1 Cost]:[R5 Cost]])</f>
        <v>0</v>
      </c>
      <c r="AF96" s="392">
        <f>Input_Tasks[[#This Row],[R1 Sell_Hidden]]</f>
        <v>0</v>
      </c>
      <c r="AG96" s="393">
        <f>Input_Tasks[[#This Row],[R2 Sell_Hidden]]</f>
        <v>0</v>
      </c>
      <c r="AH96" s="393">
        <f>Input_Tasks[[#This Row],[R3 Sell_Hidden]]</f>
        <v>0</v>
      </c>
      <c r="AI96" s="393">
        <f>Input_Tasks[[#This Row],[R4 Sell_Hidden5]]</f>
        <v>0</v>
      </c>
      <c r="AJ96" s="394">
        <f>Input_Tasks[[#This Row],[R5 Sell_Hidden]]</f>
        <v>0</v>
      </c>
      <c r="AK96" s="396">
        <f>SUM(Input_Tasks[[#This Row],[R1 Sell]:[R5 Sell]])</f>
        <v>0</v>
      </c>
      <c r="AL96" s="397">
        <f>IFERROR(VLOOKUP(RESOURCE_1_TYPE,COST_RATES,2,FALSE)*Input_Tasks[[#This Row],[R1 Business Hours]],0)+IFERROR(VLOOKUP(RESOURCE_1_TYPE,COST_RATES,3,FALSE)*Input_Tasks[[#This Row],[R1 After Hours]],0)</f>
        <v>0</v>
      </c>
      <c r="AM96" s="398">
        <f>IFERROR(VLOOKUP(RESOURCE_2_TYPE,COST_RATES,2,FALSE)*Input_Tasks[[#This Row],[R2 Business Hours]],0)+IFERROR(VLOOKUP(RESOURCE_2_TYPE,COST_RATES,3,FALSE)*Input_Tasks[[#This Row],[R2 After Hours]],0)</f>
        <v>0</v>
      </c>
      <c r="AN96" s="398">
        <f>IFERROR(VLOOKUP(RESOURCE_3_TYPE,COST_RATES,2,FALSE)*Input_Tasks[[#This Row],[R3 Business Hours]],0)+IFERROR(VLOOKUP(RESOURCE_3_TYPE,COST_RATES,3,FALSE)*Input_Tasks[[#This Row],[R3 After Hours]],0)</f>
        <v>0</v>
      </c>
      <c r="AO96" s="398">
        <f>IFERROR(VLOOKUP(RESOURCE_4_TYPE,COST_RATES,2,FALSE)*Input_Tasks[[#This Row],[R4 Business Hours]],0)+IFERROR(VLOOKUP(RESOURCE_4_TYPE,COST_RATES,3,FALSE)*Input_Tasks[[#This Row],[R4 After Hours]],0)</f>
        <v>0</v>
      </c>
      <c r="AP96" s="398">
        <f>IFERROR(VLOOKUP(RESOURCE_5_TYPE,COST_RATES,2,FALSE)*Input_Tasks[[#This Row],[R5 Business Hours]],0)+IFERROR(VLOOKUP(RESOURCE_5_TYPE,COST_RATES,3,FALSE)*Input_Tasks[[#This Row],[R5 After Hours]],0)</f>
        <v>0</v>
      </c>
      <c r="AQ96" s="399">
        <f>IFERROR(VLOOKUP(RESOURCE_1_TYPE,SELL_RATES,2,FALSE)*Input_Tasks[[#This Row],[R1 Business Hours]],0)+IFERROR(VLOOKUP(RESOURCE_1_TYPE,SELL_RATES,3,FALSE)*Input_Tasks[[#This Row],[R1 After Hours]],0)</f>
        <v>0</v>
      </c>
      <c r="AR96" s="398">
        <f>IFERROR(VLOOKUP(RESOURCE_2_TYPE,SELL_RATES,2,FALSE)*Input_Tasks[[#This Row],[R2 Business Hours]],0)+IFERROR(VLOOKUP(RESOURCE_2_TYPE,SELL_RATES,3,FALSE)*Input_Tasks[[#This Row],[R2 After Hours]],0)</f>
        <v>0</v>
      </c>
      <c r="AS96" s="398">
        <f>IFERROR(VLOOKUP(RESOURCE_3_TYPE,SELL_RATES,2,FALSE)*Input_Tasks[[#This Row],[R3 Business Hours]],0)+IFERROR(VLOOKUP(RESOURCE_3_TYPE,SELL_RATES,3,FALSE)*Input_Tasks[[#This Row],[R3 After Hours]],0)</f>
        <v>0</v>
      </c>
      <c r="AT96" s="398">
        <f>IFERROR(VLOOKUP(RESOURCE_4_TYPE,SELL_RATES,2,FALSE)*Input_Tasks[[#This Row],[R4 Business Hours]],0)+IFERROR(VLOOKUP(RESOURCE_4_TYPE,SELL_RATES,3,FALSE)*Input_Tasks[[#This Row],[R4 After Hours]],0)</f>
        <v>0</v>
      </c>
      <c r="AU96" s="398">
        <f>IFERROR(VLOOKUP(RESOURCE_5_TYPE,SELL_RATES,2,FALSE)*Input_Tasks[[#This Row],[R5 Business Hours]],0)+IFERROR(VLOOKUP(RESOURCE_5_TYPE,SELL_RATES,3,FALSE)*Input_Tasks[[#This Row],[R5 After Hours]],0)</f>
        <v>0</v>
      </c>
      <c r="AV96" s="400">
        <f>SUM(Input_Tasks[[#This Row],[Round Trips R1]:[Round Trips R5]])</f>
        <v>0</v>
      </c>
      <c r="AW96" s="401">
        <f>SUM(Input_Tasks[[#This Row],[Overnight StaysR1]:[Overnight StaysR5]])</f>
        <v>0</v>
      </c>
      <c r="AX96" s="401">
        <f>IF(AND(Input_Tasks[[#This Row],[Sell - Line Total]]&gt;0,OR(Input_Tasks[[#This Row],[Phase]]="",Input_Tasks[[#This Row],[Skill Required]]="",Input_Tasks[[#This Row],[Task Type]]="",Input_Tasks[[#This Row],[Description]]="")),1,0)</f>
        <v>0</v>
      </c>
      <c r="AY96" s="402">
        <f>IF(AND(Input_Tasks[[#This Row],[Task Type]]="ArchiTech Document Deliverable",Input_Tasks[[#This Row],[Hours]]&gt;0),1,0)</f>
        <v>0</v>
      </c>
      <c r="AZ9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9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9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9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9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9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9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9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9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9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9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9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9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96" s="405">
        <f>SUM(Input_Tasks[[#This Row],[R1 Business Hours]:[R1 After Hours]],Input_Tasks[[#This Row],[R2 Business Hours]:[R2 After Hours]],Input_Tasks[[#This Row],[R3 Business Hours]:[R3 After Hours]],Input_Tasks[[#This Row],[R4 Business Hours]:[R4 After Hours]],Input_Tasks[[#This Row],[R5 Business Hours]:[R5 After Hours]])</f>
        <v>0</v>
      </c>
    </row>
    <row r="97" spans="1:65">
      <c r="A97" s="384"/>
      <c r="B97" s="271"/>
      <c r="C97" s="271"/>
      <c r="D97" s="406"/>
      <c r="E97" s="385">
        <f>Input_Tasks[[#This Row],[Onsite Round Trips_Hidden]]</f>
        <v>0</v>
      </c>
      <c r="F97" s="385">
        <f>Input_Tasks[[#This Row],[Overnight Stays_Hidden]]</f>
        <v>0</v>
      </c>
      <c r="G97" s="385">
        <f>Input_Tasks[[#This Row],[Documents_Hidden]]</f>
        <v>0</v>
      </c>
      <c r="H97" s="387"/>
      <c r="I97" s="388"/>
      <c r="J97" s="389"/>
      <c r="K97" s="390"/>
      <c r="L97" s="390"/>
      <c r="M97" s="389"/>
      <c r="N97" s="390"/>
      <c r="O97" s="390"/>
      <c r="P97" s="389"/>
      <c r="Q97" s="390"/>
      <c r="R97" s="391"/>
      <c r="S97" s="389"/>
      <c r="T97" s="390"/>
      <c r="U97" s="391"/>
      <c r="V97" s="389"/>
      <c r="W97" s="390"/>
      <c r="X97" s="390"/>
      <c r="Y97" s="386" t="str">
        <f>Input_Tasks[[#This Row],[Onsite Round Trips_Hidden]]&amp;"/"&amp;Input_Tasks[[#This Row],[Overnight Stays_Hidden]]&amp;"/"&amp;Input_Tasks[[#This Row],[Documents_Hidden]]</f>
        <v>0/0/0</v>
      </c>
      <c r="Z97" s="392">
        <f>Input_Tasks[[#This Row],[R1 Cost_Hidden]]</f>
        <v>0</v>
      </c>
      <c r="AA97" s="393">
        <f>Input_Tasks[[#This Row],[R2 Cost_Hidden]]</f>
        <v>0</v>
      </c>
      <c r="AB97" s="393">
        <f>Input_Tasks[[#This Row],[R3 Cost_Hidden]]</f>
        <v>0</v>
      </c>
      <c r="AC97" s="393">
        <f>Input_Tasks[[#This Row],[R4 Cost_Hidden]]</f>
        <v>0</v>
      </c>
      <c r="AD97" s="394">
        <f>Input_Tasks[[#This Row],[R5 Cost_Hidden]]</f>
        <v>0</v>
      </c>
      <c r="AE97" s="395">
        <f>SUM(Input_Tasks[[#This Row],[R1 Cost]:[R5 Cost]])</f>
        <v>0</v>
      </c>
      <c r="AF97" s="392">
        <f>Input_Tasks[[#This Row],[R1 Sell_Hidden]]</f>
        <v>0</v>
      </c>
      <c r="AG97" s="393">
        <f>Input_Tasks[[#This Row],[R2 Sell_Hidden]]</f>
        <v>0</v>
      </c>
      <c r="AH97" s="393">
        <f>Input_Tasks[[#This Row],[R3 Sell_Hidden]]</f>
        <v>0</v>
      </c>
      <c r="AI97" s="393">
        <f>Input_Tasks[[#This Row],[R4 Sell_Hidden5]]</f>
        <v>0</v>
      </c>
      <c r="AJ97" s="394">
        <f>Input_Tasks[[#This Row],[R5 Sell_Hidden]]</f>
        <v>0</v>
      </c>
      <c r="AK97" s="396">
        <f>SUM(Input_Tasks[[#This Row],[R1 Sell]:[R5 Sell]])</f>
        <v>0</v>
      </c>
      <c r="AL97" s="397">
        <f>IFERROR(VLOOKUP(RESOURCE_1_TYPE,COST_RATES,2,FALSE)*Input_Tasks[[#This Row],[R1 Business Hours]],0)+IFERROR(VLOOKUP(RESOURCE_1_TYPE,COST_RATES,3,FALSE)*Input_Tasks[[#This Row],[R1 After Hours]],0)</f>
        <v>0</v>
      </c>
      <c r="AM97" s="398">
        <f>IFERROR(VLOOKUP(RESOURCE_2_TYPE,COST_RATES,2,FALSE)*Input_Tasks[[#This Row],[R2 Business Hours]],0)+IFERROR(VLOOKUP(RESOURCE_2_TYPE,COST_RATES,3,FALSE)*Input_Tasks[[#This Row],[R2 After Hours]],0)</f>
        <v>0</v>
      </c>
      <c r="AN97" s="398">
        <f>IFERROR(VLOOKUP(RESOURCE_3_TYPE,COST_RATES,2,FALSE)*Input_Tasks[[#This Row],[R3 Business Hours]],0)+IFERROR(VLOOKUP(RESOURCE_3_TYPE,COST_RATES,3,FALSE)*Input_Tasks[[#This Row],[R3 After Hours]],0)</f>
        <v>0</v>
      </c>
      <c r="AO97" s="398">
        <f>IFERROR(VLOOKUP(RESOURCE_4_TYPE,COST_RATES,2,FALSE)*Input_Tasks[[#This Row],[R4 Business Hours]],0)+IFERROR(VLOOKUP(RESOURCE_4_TYPE,COST_RATES,3,FALSE)*Input_Tasks[[#This Row],[R4 After Hours]],0)</f>
        <v>0</v>
      </c>
      <c r="AP97" s="398">
        <f>IFERROR(VLOOKUP(RESOURCE_5_TYPE,COST_RATES,2,FALSE)*Input_Tasks[[#This Row],[R5 Business Hours]],0)+IFERROR(VLOOKUP(RESOURCE_5_TYPE,COST_RATES,3,FALSE)*Input_Tasks[[#This Row],[R5 After Hours]],0)</f>
        <v>0</v>
      </c>
      <c r="AQ97" s="399">
        <f>IFERROR(VLOOKUP(RESOURCE_1_TYPE,SELL_RATES,2,FALSE)*Input_Tasks[[#This Row],[R1 Business Hours]],0)+IFERROR(VLOOKUP(RESOURCE_1_TYPE,SELL_RATES,3,FALSE)*Input_Tasks[[#This Row],[R1 After Hours]],0)</f>
        <v>0</v>
      </c>
      <c r="AR97" s="398">
        <f>IFERROR(VLOOKUP(RESOURCE_2_TYPE,SELL_RATES,2,FALSE)*Input_Tasks[[#This Row],[R2 Business Hours]],0)+IFERROR(VLOOKUP(RESOURCE_2_TYPE,SELL_RATES,3,FALSE)*Input_Tasks[[#This Row],[R2 After Hours]],0)</f>
        <v>0</v>
      </c>
      <c r="AS97" s="398">
        <f>IFERROR(VLOOKUP(RESOURCE_3_TYPE,SELL_RATES,2,FALSE)*Input_Tasks[[#This Row],[R3 Business Hours]],0)+IFERROR(VLOOKUP(RESOURCE_3_TYPE,SELL_RATES,3,FALSE)*Input_Tasks[[#This Row],[R3 After Hours]],0)</f>
        <v>0</v>
      </c>
      <c r="AT97" s="398">
        <f>IFERROR(VLOOKUP(RESOURCE_4_TYPE,SELL_RATES,2,FALSE)*Input_Tasks[[#This Row],[R4 Business Hours]],0)+IFERROR(VLOOKUP(RESOURCE_4_TYPE,SELL_RATES,3,FALSE)*Input_Tasks[[#This Row],[R4 After Hours]],0)</f>
        <v>0</v>
      </c>
      <c r="AU97" s="398">
        <f>IFERROR(VLOOKUP(RESOURCE_5_TYPE,SELL_RATES,2,FALSE)*Input_Tasks[[#This Row],[R5 Business Hours]],0)+IFERROR(VLOOKUP(RESOURCE_5_TYPE,SELL_RATES,3,FALSE)*Input_Tasks[[#This Row],[R5 After Hours]],0)</f>
        <v>0</v>
      </c>
      <c r="AV97" s="400">
        <f>SUM(Input_Tasks[[#This Row],[Round Trips R1]:[Round Trips R5]])</f>
        <v>0</v>
      </c>
      <c r="AW97" s="401">
        <f>SUM(Input_Tasks[[#This Row],[Overnight StaysR1]:[Overnight StaysR5]])</f>
        <v>0</v>
      </c>
      <c r="AX97" s="401">
        <f>IF(AND(Input_Tasks[[#This Row],[Sell - Line Total]]&gt;0,OR(Input_Tasks[[#This Row],[Phase]]="",Input_Tasks[[#This Row],[Skill Required]]="",Input_Tasks[[#This Row],[Task Type]]="",Input_Tasks[[#This Row],[Description]]="")),1,0)</f>
        <v>0</v>
      </c>
      <c r="AY97" s="402">
        <f>IF(AND(Input_Tasks[[#This Row],[Task Type]]="ArchiTech Document Deliverable",Input_Tasks[[#This Row],[Hours]]&gt;0),1,0)</f>
        <v>0</v>
      </c>
      <c r="AZ9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9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9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9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9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9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9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9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9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9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9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9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9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97" s="405">
        <f>SUM(Input_Tasks[[#This Row],[R1 Business Hours]:[R1 After Hours]],Input_Tasks[[#This Row],[R2 Business Hours]:[R2 After Hours]],Input_Tasks[[#This Row],[R3 Business Hours]:[R3 After Hours]],Input_Tasks[[#This Row],[R4 Business Hours]:[R4 After Hours]],Input_Tasks[[#This Row],[R5 Business Hours]:[R5 After Hours]])</f>
        <v>0</v>
      </c>
    </row>
    <row r="98" spans="1:65">
      <c r="A98" s="384"/>
      <c r="B98" s="271"/>
      <c r="C98" s="271"/>
      <c r="D98" s="406"/>
      <c r="E98" s="385">
        <f>Input_Tasks[[#This Row],[Onsite Round Trips_Hidden]]</f>
        <v>0</v>
      </c>
      <c r="F98" s="385">
        <f>Input_Tasks[[#This Row],[Overnight Stays_Hidden]]</f>
        <v>0</v>
      </c>
      <c r="G98" s="385">
        <f>Input_Tasks[[#This Row],[Documents_Hidden]]</f>
        <v>0</v>
      </c>
      <c r="H98" s="387"/>
      <c r="I98" s="388"/>
      <c r="J98" s="389"/>
      <c r="K98" s="390"/>
      <c r="L98" s="390"/>
      <c r="M98" s="389"/>
      <c r="N98" s="390"/>
      <c r="O98" s="390"/>
      <c r="P98" s="389"/>
      <c r="Q98" s="390"/>
      <c r="R98" s="391"/>
      <c r="S98" s="389"/>
      <c r="T98" s="390"/>
      <c r="U98" s="391"/>
      <c r="V98" s="389"/>
      <c r="W98" s="390"/>
      <c r="X98" s="390"/>
      <c r="Y98" s="386" t="str">
        <f>Input_Tasks[[#This Row],[Onsite Round Trips_Hidden]]&amp;"/"&amp;Input_Tasks[[#This Row],[Overnight Stays_Hidden]]&amp;"/"&amp;Input_Tasks[[#This Row],[Documents_Hidden]]</f>
        <v>0/0/0</v>
      </c>
      <c r="Z98" s="392">
        <f>Input_Tasks[[#This Row],[R1 Cost_Hidden]]</f>
        <v>0</v>
      </c>
      <c r="AA98" s="393">
        <f>Input_Tasks[[#This Row],[R2 Cost_Hidden]]</f>
        <v>0</v>
      </c>
      <c r="AB98" s="393">
        <f>Input_Tasks[[#This Row],[R3 Cost_Hidden]]</f>
        <v>0</v>
      </c>
      <c r="AC98" s="393">
        <f>Input_Tasks[[#This Row],[R4 Cost_Hidden]]</f>
        <v>0</v>
      </c>
      <c r="AD98" s="394">
        <f>Input_Tasks[[#This Row],[R5 Cost_Hidden]]</f>
        <v>0</v>
      </c>
      <c r="AE98" s="395">
        <f>SUM(Input_Tasks[[#This Row],[R1 Cost]:[R5 Cost]])</f>
        <v>0</v>
      </c>
      <c r="AF98" s="392">
        <f>Input_Tasks[[#This Row],[R1 Sell_Hidden]]</f>
        <v>0</v>
      </c>
      <c r="AG98" s="393">
        <f>Input_Tasks[[#This Row],[R2 Sell_Hidden]]</f>
        <v>0</v>
      </c>
      <c r="AH98" s="393">
        <f>Input_Tasks[[#This Row],[R3 Sell_Hidden]]</f>
        <v>0</v>
      </c>
      <c r="AI98" s="393">
        <f>Input_Tasks[[#This Row],[R4 Sell_Hidden5]]</f>
        <v>0</v>
      </c>
      <c r="AJ98" s="394">
        <f>Input_Tasks[[#This Row],[R5 Sell_Hidden]]</f>
        <v>0</v>
      </c>
      <c r="AK98" s="396">
        <f>SUM(Input_Tasks[[#This Row],[R1 Sell]:[R5 Sell]])</f>
        <v>0</v>
      </c>
      <c r="AL98" s="397">
        <f>IFERROR(VLOOKUP(RESOURCE_1_TYPE,COST_RATES,2,FALSE)*Input_Tasks[[#This Row],[R1 Business Hours]],0)+IFERROR(VLOOKUP(RESOURCE_1_TYPE,COST_RATES,3,FALSE)*Input_Tasks[[#This Row],[R1 After Hours]],0)</f>
        <v>0</v>
      </c>
      <c r="AM98" s="398">
        <f>IFERROR(VLOOKUP(RESOURCE_2_TYPE,COST_RATES,2,FALSE)*Input_Tasks[[#This Row],[R2 Business Hours]],0)+IFERROR(VLOOKUP(RESOURCE_2_TYPE,COST_RATES,3,FALSE)*Input_Tasks[[#This Row],[R2 After Hours]],0)</f>
        <v>0</v>
      </c>
      <c r="AN98" s="398">
        <f>IFERROR(VLOOKUP(RESOURCE_3_TYPE,COST_RATES,2,FALSE)*Input_Tasks[[#This Row],[R3 Business Hours]],0)+IFERROR(VLOOKUP(RESOURCE_3_TYPE,COST_RATES,3,FALSE)*Input_Tasks[[#This Row],[R3 After Hours]],0)</f>
        <v>0</v>
      </c>
      <c r="AO98" s="398">
        <f>IFERROR(VLOOKUP(RESOURCE_4_TYPE,COST_RATES,2,FALSE)*Input_Tasks[[#This Row],[R4 Business Hours]],0)+IFERROR(VLOOKUP(RESOURCE_4_TYPE,COST_RATES,3,FALSE)*Input_Tasks[[#This Row],[R4 After Hours]],0)</f>
        <v>0</v>
      </c>
      <c r="AP98" s="398">
        <f>IFERROR(VLOOKUP(RESOURCE_5_TYPE,COST_RATES,2,FALSE)*Input_Tasks[[#This Row],[R5 Business Hours]],0)+IFERROR(VLOOKUP(RESOURCE_5_TYPE,COST_RATES,3,FALSE)*Input_Tasks[[#This Row],[R5 After Hours]],0)</f>
        <v>0</v>
      </c>
      <c r="AQ98" s="399">
        <f>IFERROR(VLOOKUP(RESOURCE_1_TYPE,SELL_RATES,2,FALSE)*Input_Tasks[[#This Row],[R1 Business Hours]],0)+IFERROR(VLOOKUP(RESOURCE_1_TYPE,SELL_RATES,3,FALSE)*Input_Tasks[[#This Row],[R1 After Hours]],0)</f>
        <v>0</v>
      </c>
      <c r="AR98" s="398">
        <f>IFERROR(VLOOKUP(RESOURCE_2_TYPE,SELL_RATES,2,FALSE)*Input_Tasks[[#This Row],[R2 Business Hours]],0)+IFERROR(VLOOKUP(RESOURCE_2_TYPE,SELL_RATES,3,FALSE)*Input_Tasks[[#This Row],[R2 After Hours]],0)</f>
        <v>0</v>
      </c>
      <c r="AS98" s="398">
        <f>IFERROR(VLOOKUP(RESOURCE_3_TYPE,SELL_RATES,2,FALSE)*Input_Tasks[[#This Row],[R3 Business Hours]],0)+IFERROR(VLOOKUP(RESOURCE_3_TYPE,SELL_RATES,3,FALSE)*Input_Tasks[[#This Row],[R3 After Hours]],0)</f>
        <v>0</v>
      </c>
      <c r="AT98" s="398">
        <f>IFERROR(VLOOKUP(RESOURCE_4_TYPE,SELL_RATES,2,FALSE)*Input_Tasks[[#This Row],[R4 Business Hours]],0)+IFERROR(VLOOKUP(RESOURCE_4_TYPE,SELL_RATES,3,FALSE)*Input_Tasks[[#This Row],[R4 After Hours]],0)</f>
        <v>0</v>
      </c>
      <c r="AU98" s="398">
        <f>IFERROR(VLOOKUP(RESOURCE_5_TYPE,SELL_RATES,2,FALSE)*Input_Tasks[[#This Row],[R5 Business Hours]],0)+IFERROR(VLOOKUP(RESOURCE_5_TYPE,SELL_RATES,3,FALSE)*Input_Tasks[[#This Row],[R5 After Hours]],0)</f>
        <v>0</v>
      </c>
      <c r="AV98" s="400">
        <f>SUM(Input_Tasks[[#This Row],[Round Trips R1]:[Round Trips R5]])</f>
        <v>0</v>
      </c>
      <c r="AW98" s="401">
        <f>SUM(Input_Tasks[[#This Row],[Overnight StaysR1]:[Overnight StaysR5]])</f>
        <v>0</v>
      </c>
      <c r="AX98" s="401">
        <f>IF(AND(Input_Tasks[[#This Row],[Sell - Line Total]]&gt;0,OR(Input_Tasks[[#This Row],[Phase]]="",Input_Tasks[[#This Row],[Skill Required]]="",Input_Tasks[[#This Row],[Task Type]]="",Input_Tasks[[#This Row],[Description]]="")),1,0)</f>
        <v>0</v>
      </c>
      <c r="AY98" s="402">
        <f>IF(AND(Input_Tasks[[#This Row],[Task Type]]="ArchiTech Document Deliverable",Input_Tasks[[#This Row],[Hours]]&gt;0),1,0)</f>
        <v>0</v>
      </c>
      <c r="AZ9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9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9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9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9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9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9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9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9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9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9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9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9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98" s="405">
        <f>SUM(Input_Tasks[[#This Row],[R1 Business Hours]:[R1 After Hours]],Input_Tasks[[#This Row],[R2 Business Hours]:[R2 After Hours]],Input_Tasks[[#This Row],[R3 Business Hours]:[R3 After Hours]],Input_Tasks[[#This Row],[R4 Business Hours]:[R4 After Hours]],Input_Tasks[[#This Row],[R5 Business Hours]:[R5 After Hours]])</f>
        <v>0</v>
      </c>
    </row>
    <row r="99" spans="1:65">
      <c r="A99" s="384"/>
      <c r="B99" s="271"/>
      <c r="C99" s="271"/>
      <c r="D99" s="406"/>
      <c r="E99" s="385">
        <f>Input_Tasks[[#This Row],[Onsite Round Trips_Hidden]]</f>
        <v>0</v>
      </c>
      <c r="F99" s="385">
        <f>Input_Tasks[[#This Row],[Overnight Stays_Hidden]]</f>
        <v>0</v>
      </c>
      <c r="G99" s="385">
        <f>Input_Tasks[[#This Row],[Documents_Hidden]]</f>
        <v>0</v>
      </c>
      <c r="H99" s="387"/>
      <c r="I99" s="388"/>
      <c r="J99" s="389"/>
      <c r="K99" s="390"/>
      <c r="L99" s="390"/>
      <c r="M99" s="389"/>
      <c r="N99" s="390"/>
      <c r="O99" s="390"/>
      <c r="P99" s="389"/>
      <c r="Q99" s="390"/>
      <c r="R99" s="391"/>
      <c r="S99" s="389"/>
      <c r="T99" s="390"/>
      <c r="U99" s="391"/>
      <c r="V99" s="389"/>
      <c r="W99" s="390"/>
      <c r="X99" s="390"/>
      <c r="Y99" s="386" t="str">
        <f>Input_Tasks[[#This Row],[Onsite Round Trips_Hidden]]&amp;"/"&amp;Input_Tasks[[#This Row],[Overnight Stays_Hidden]]&amp;"/"&amp;Input_Tasks[[#This Row],[Documents_Hidden]]</f>
        <v>0/0/0</v>
      </c>
      <c r="Z99" s="392">
        <f>Input_Tasks[[#This Row],[R1 Cost_Hidden]]</f>
        <v>0</v>
      </c>
      <c r="AA99" s="393">
        <f>Input_Tasks[[#This Row],[R2 Cost_Hidden]]</f>
        <v>0</v>
      </c>
      <c r="AB99" s="393">
        <f>Input_Tasks[[#This Row],[R3 Cost_Hidden]]</f>
        <v>0</v>
      </c>
      <c r="AC99" s="393">
        <f>Input_Tasks[[#This Row],[R4 Cost_Hidden]]</f>
        <v>0</v>
      </c>
      <c r="AD99" s="394">
        <f>Input_Tasks[[#This Row],[R5 Cost_Hidden]]</f>
        <v>0</v>
      </c>
      <c r="AE99" s="395">
        <f>SUM(Input_Tasks[[#This Row],[R1 Cost]:[R5 Cost]])</f>
        <v>0</v>
      </c>
      <c r="AF99" s="392">
        <f>Input_Tasks[[#This Row],[R1 Sell_Hidden]]</f>
        <v>0</v>
      </c>
      <c r="AG99" s="393">
        <f>Input_Tasks[[#This Row],[R2 Sell_Hidden]]</f>
        <v>0</v>
      </c>
      <c r="AH99" s="393">
        <f>Input_Tasks[[#This Row],[R3 Sell_Hidden]]</f>
        <v>0</v>
      </c>
      <c r="AI99" s="393">
        <f>Input_Tasks[[#This Row],[R4 Sell_Hidden5]]</f>
        <v>0</v>
      </c>
      <c r="AJ99" s="394">
        <f>Input_Tasks[[#This Row],[R5 Sell_Hidden]]</f>
        <v>0</v>
      </c>
      <c r="AK99" s="396">
        <f>SUM(Input_Tasks[[#This Row],[R1 Sell]:[R5 Sell]])</f>
        <v>0</v>
      </c>
      <c r="AL99" s="397">
        <f>IFERROR(VLOOKUP(RESOURCE_1_TYPE,COST_RATES,2,FALSE)*Input_Tasks[[#This Row],[R1 Business Hours]],0)+IFERROR(VLOOKUP(RESOURCE_1_TYPE,COST_RATES,3,FALSE)*Input_Tasks[[#This Row],[R1 After Hours]],0)</f>
        <v>0</v>
      </c>
      <c r="AM99" s="398">
        <f>IFERROR(VLOOKUP(RESOURCE_2_TYPE,COST_RATES,2,FALSE)*Input_Tasks[[#This Row],[R2 Business Hours]],0)+IFERROR(VLOOKUP(RESOURCE_2_TYPE,COST_RATES,3,FALSE)*Input_Tasks[[#This Row],[R2 After Hours]],0)</f>
        <v>0</v>
      </c>
      <c r="AN99" s="398">
        <f>IFERROR(VLOOKUP(RESOURCE_3_TYPE,COST_RATES,2,FALSE)*Input_Tasks[[#This Row],[R3 Business Hours]],0)+IFERROR(VLOOKUP(RESOURCE_3_TYPE,COST_RATES,3,FALSE)*Input_Tasks[[#This Row],[R3 After Hours]],0)</f>
        <v>0</v>
      </c>
      <c r="AO99" s="398">
        <f>IFERROR(VLOOKUP(RESOURCE_4_TYPE,COST_RATES,2,FALSE)*Input_Tasks[[#This Row],[R4 Business Hours]],0)+IFERROR(VLOOKUP(RESOURCE_4_TYPE,COST_RATES,3,FALSE)*Input_Tasks[[#This Row],[R4 After Hours]],0)</f>
        <v>0</v>
      </c>
      <c r="AP99" s="398">
        <f>IFERROR(VLOOKUP(RESOURCE_5_TYPE,COST_RATES,2,FALSE)*Input_Tasks[[#This Row],[R5 Business Hours]],0)+IFERROR(VLOOKUP(RESOURCE_5_TYPE,COST_RATES,3,FALSE)*Input_Tasks[[#This Row],[R5 After Hours]],0)</f>
        <v>0</v>
      </c>
      <c r="AQ99" s="399">
        <f>IFERROR(VLOOKUP(RESOURCE_1_TYPE,SELL_RATES,2,FALSE)*Input_Tasks[[#This Row],[R1 Business Hours]],0)+IFERROR(VLOOKUP(RESOURCE_1_TYPE,SELL_RATES,3,FALSE)*Input_Tasks[[#This Row],[R1 After Hours]],0)</f>
        <v>0</v>
      </c>
      <c r="AR99" s="398">
        <f>IFERROR(VLOOKUP(RESOURCE_2_TYPE,SELL_RATES,2,FALSE)*Input_Tasks[[#This Row],[R2 Business Hours]],0)+IFERROR(VLOOKUP(RESOURCE_2_TYPE,SELL_RATES,3,FALSE)*Input_Tasks[[#This Row],[R2 After Hours]],0)</f>
        <v>0</v>
      </c>
      <c r="AS99" s="398">
        <f>IFERROR(VLOOKUP(RESOURCE_3_TYPE,SELL_RATES,2,FALSE)*Input_Tasks[[#This Row],[R3 Business Hours]],0)+IFERROR(VLOOKUP(RESOURCE_3_TYPE,SELL_RATES,3,FALSE)*Input_Tasks[[#This Row],[R3 After Hours]],0)</f>
        <v>0</v>
      </c>
      <c r="AT99" s="398">
        <f>IFERROR(VLOOKUP(RESOURCE_4_TYPE,SELL_RATES,2,FALSE)*Input_Tasks[[#This Row],[R4 Business Hours]],0)+IFERROR(VLOOKUP(RESOURCE_4_TYPE,SELL_RATES,3,FALSE)*Input_Tasks[[#This Row],[R4 After Hours]],0)</f>
        <v>0</v>
      </c>
      <c r="AU99" s="398">
        <f>IFERROR(VLOOKUP(RESOURCE_5_TYPE,SELL_RATES,2,FALSE)*Input_Tasks[[#This Row],[R5 Business Hours]],0)+IFERROR(VLOOKUP(RESOURCE_5_TYPE,SELL_RATES,3,FALSE)*Input_Tasks[[#This Row],[R5 After Hours]],0)</f>
        <v>0</v>
      </c>
      <c r="AV99" s="400">
        <f>SUM(Input_Tasks[[#This Row],[Round Trips R1]:[Round Trips R5]])</f>
        <v>0</v>
      </c>
      <c r="AW99" s="401">
        <f>SUM(Input_Tasks[[#This Row],[Overnight StaysR1]:[Overnight StaysR5]])</f>
        <v>0</v>
      </c>
      <c r="AX99" s="401">
        <f>IF(AND(Input_Tasks[[#This Row],[Sell - Line Total]]&gt;0,OR(Input_Tasks[[#This Row],[Phase]]="",Input_Tasks[[#This Row],[Skill Required]]="",Input_Tasks[[#This Row],[Task Type]]="",Input_Tasks[[#This Row],[Description]]="")),1,0)</f>
        <v>0</v>
      </c>
      <c r="AY99" s="402">
        <f>IF(AND(Input_Tasks[[#This Row],[Task Type]]="ArchiTech Document Deliverable",Input_Tasks[[#This Row],[Hours]]&gt;0),1,0)</f>
        <v>0</v>
      </c>
      <c r="AZ9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9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9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9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9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9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9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9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9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9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9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9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9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99" s="405">
        <f>SUM(Input_Tasks[[#This Row],[R1 Business Hours]:[R1 After Hours]],Input_Tasks[[#This Row],[R2 Business Hours]:[R2 After Hours]],Input_Tasks[[#This Row],[R3 Business Hours]:[R3 After Hours]],Input_Tasks[[#This Row],[R4 Business Hours]:[R4 After Hours]],Input_Tasks[[#This Row],[R5 Business Hours]:[R5 After Hours]])</f>
        <v>0</v>
      </c>
    </row>
    <row r="100" spans="1:65">
      <c r="A100" s="384"/>
      <c r="B100" s="271"/>
      <c r="C100" s="271"/>
      <c r="D100" s="406"/>
      <c r="E100" s="385">
        <f>Input_Tasks[[#This Row],[Onsite Round Trips_Hidden]]</f>
        <v>0</v>
      </c>
      <c r="F100" s="385">
        <f>Input_Tasks[[#This Row],[Overnight Stays_Hidden]]</f>
        <v>0</v>
      </c>
      <c r="G100" s="385">
        <f>Input_Tasks[[#This Row],[Documents_Hidden]]</f>
        <v>0</v>
      </c>
      <c r="H100" s="387"/>
      <c r="I100" s="388"/>
      <c r="J100" s="389"/>
      <c r="K100" s="390"/>
      <c r="L100" s="390"/>
      <c r="M100" s="389"/>
      <c r="N100" s="390"/>
      <c r="O100" s="390"/>
      <c r="P100" s="389"/>
      <c r="Q100" s="390"/>
      <c r="R100" s="391"/>
      <c r="S100" s="389"/>
      <c r="T100" s="390"/>
      <c r="U100" s="391"/>
      <c r="V100" s="389"/>
      <c r="W100" s="390"/>
      <c r="X100" s="390"/>
      <c r="Y100" s="386" t="str">
        <f>Input_Tasks[[#This Row],[Onsite Round Trips_Hidden]]&amp;"/"&amp;Input_Tasks[[#This Row],[Overnight Stays_Hidden]]&amp;"/"&amp;Input_Tasks[[#This Row],[Documents_Hidden]]</f>
        <v>0/0/0</v>
      </c>
      <c r="Z100" s="392">
        <f>Input_Tasks[[#This Row],[R1 Cost_Hidden]]</f>
        <v>0</v>
      </c>
      <c r="AA100" s="393">
        <f>Input_Tasks[[#This Row],[R2 Cost_Hidden]]</f>
        <v>0</v>
      </c>
      <c r="AB100" s="393">
        <f>Input_Tasks[[#This Row],[R3 Cost_Hidden]]</f>
        <v>0</v>
      </c>
      <c r="AC100" s="393">
        <f>Input_Tasks[[#This Row],[R4 Cost_Hidden]]</f>
        <v>0</v>
      </c>
      <c r="AD100" s="394">
        <f>Input_Tasks[[#This Row],[R5 Cost_Hidden]]</f>
        <v>0</v>
      </c>
      <c r="AE100" s="395">
        <f>SUM(Input_Tasks[[#This Row],[R1 Cost]:[R5 Cost]])</f>
        <v>0</v>
      </c>
      <c r="AF100" s="392">
        <f>Input_Tasks[[#This Row],[R1 Sell_Hidden]]</f>
        <v>0</v>
      </c>
      <c r="AG100" s="393">
        <f>Input_Tasks[[#This Row],[R2 Sell_Hidden]]</f>
        <v>0</v>
      </c>
      <c r="AH100" s="393">
        <f>Input_Tasks[[#This Row],[R3 Sell_Hidden]]</f>
        <v>0</v>
      </c>
      <c r="AI100" s="393">
        <f>Input_Tasks[[#This Row],[R4 Sell_Hidden5]]</f>
        <v>0</v>
      </c>
      <c r="AJ100" s="394">
        <f>Input_Tasks[[#This Row],[R5 Sell_Hidden]]</f>
        <v>0</v>
      </c>
      <c r="AK100" s="396">
        <f>SUM(Input_Tasks[[#This Row],[R1 Sell]:[R5 Sell]])</f>
        <v>0</v>
      </c>
      <c r="AL100" s="397">
        <f>IFERROR(VLOOKUP(RESOURCE_1_TYPE,COST_RATES,2,FALSE)*Input_Tasks[[#This Row],[R1 Business Hours]],0)+IFERROR(VLOOKUP(RESOURCE_1_TYPE,COST_RATES,3,FALSE)*Input_Tasks[[#This Row],[R1 After Hours]],0)</f>
        <v>0</v>
      </c>
      <c r="AM100" s="398">
        <f>IFERROR(VLOOKUP(RESOURCE_2_TYPE,COST_RATES,2,FALSE)*Input_Tasks[[#This Row],[R2 Business Hours]],0)+IFERROR(VLOOKUP(RESOURCE_2_TYPE,COST_RATES,3,FALSE)*Input_Tasks[[#This Row],[R2 After Hours]],0)</f>
        <v>0</v>
      </c>
      <c r="AN100" s="398">
        <f>IFERROR(VLOOKUP(RESOURCE_3_TYPE,COST_RATES,2,FALSE)*Input_Tasks[[#This Row],[R3 Business Hours]],0)+IFERROR(VLOOKUP(RESOURCE_3_TYPE,COST_RATES,3,FALSE)*Input_Tasks[[#This Row],[R3 After Hours]],0)</f>
        <v>0</v>
      </c>
      <c r="AO100" s="398">
        <f>IFERROR(VLOOKUP(RESOURCE_4_TYPE,COST_RATES,2,FALSE)*Input_Tasks[[#This Row],[R4 Business Hours]],0)+IFERROR(VLOOKUP(RESOURCE_4_TYPE,COST_RATES,3,FALSE)*Input_Tasks[[#This Row],[R4 After Hours]],0)</f>
        <v>0</v>
      </c>
      <c r="AP100" s="398">
        <f>IFERROR(VLOOKUP(RESOURCE_5_TYPE,COST_RATES,2,FALSE)*Input_Tasks[[#This Row],[R5 Business Hours]],0)+IFERROR(VLOOKUP(RESOURCE_5_TYPE,COST_RATES,3,FALSE)*Input_Tasks[[#This Row],[R5 After Hours]],0)</f>
        <v>0</v>
      </c>
      <c r="AQ100" s="399">
        <f>IFERROR(VLOOKUP(RESOURCE_1_TYPE,SELL_RATES,2,FALSE)*Input_Tasks[[#This Row],[R1 Business Hours]],0)+IFERROR(VLOOKUP(RESOURCE_1_TYPE,SELL_RATES,3,FALSE)*Input_Tasks[[#This Row],[R1 After Hours]],0)</f>
        <v>0</v>
      </c>
      <c r="AR100" s="398">
        <f>IFERROR(VLOOKUP(RESOURCE_2_TYPE,SELL_RATES,2,FALSE)*Input_Tasks[[#This Row],[R2 Business Hours]],0)+IFERROR(VLOOKUP(RESOURCE_2_TYPE,SELL_RATES,3,FALSE)*Input_Tasks[[#This Row],[R2 After Hours]],0)</f>
        <v>0</v>
      </c>
      <c r="AS100" s="398">
        <f>IFERROR(VLOOKUP(RESOURCE_3_TYPE,SELL_RATES,2,FALSE)*Input_Tasks[[#This Row],[R3 Business Hours]],0)+IFERROR(VLOOKUP(RESOURCE_3_TYPE,SELL_RATES,3,FALSE)*Input_Tasks[[#This Row],[R3 After Hours]],0)</f>
        <v>0</v>
      </c>
      <c r="AT100" s="398">
        <f>IFERROR(VLOOKUP(RESOURCE_4_TYPE,SELL_RATES,2,FALSE)*Input_Tasks[[#This Row],[R4 Business Hours]],0)+IFERROR(VLOOKUP(RESOURCE_4_TYPE,SELL_RATES,3,FALSE)*Input_Tasks[[#This Row],[R4 After Hours]],0)</f>
        <v>0</v>
      </c>
      <c r="AU100" s="398">
        <f>IFERROR(VLOOKUP(RESOURCE_5_TYPE,SELL_RATES,2,FALSE)*Input_Tasks[[#This Row],[R5 Business Hours]],0)+IFERROR(VLOOKUP(RESOURCE_5_TYPE,SELL_RATES,3,FALSE)*Input_Tasks[[#This Row],[R5 After Hours]],0)</f>
        <v>0</v>
      </c>
      <c r="AV100" s="400">
        <f>SUM(Input_Tasks[[#This Row],[Round Trips R1]:[Round Trips R5]])</f>
        <v>0</v>
      </c>
      <c r="AW100" s="401">
        <f>SUM(Input_Tasks[[#This Row],[Overnight StaysR1]:[Overnight StaysR5]])</f>
        <v>0</v>
      </c>
      <c r="AX100" s="401">
        <f>IF(AND(Input_Tasks[[#This Row],[Sell - Line Total]]&gt;0,OR(Input_Tasks[[#This Row],[Phase]]="",Input_Tasks[[#This Row],[Skill Required]]="",Input_Tasks[[#This Row],[Task Type]]="",Input_Tasks[[#This Row],[Description]]="")),1,0)</f>
        <v>0</v>
      </c>
      <c r="AY100" s="402">
        <f>IF(AND(Input_Tasks[[#This Row],[Task Type]]="ArchiTech Document Deliverable",Input_Tasks[[#This Row],[Hours]]&gt;0),1,0)</f>
        <v>0</v>
      </c>
      <c r="AZ10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0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0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0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0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0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0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0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0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0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0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0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0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00" s="405">
        <f>SUM(Input_Tasks[[#This Row],[R1 Business Hours]:[R1 After Hours]],Input_Tasks[[#This Row],[R2 Business Hours]:[R2 After Hours]],Input_Tasks[[#This Row],[R3 Business Hours]:[R3 After Hours]],Input_Tasks[[#This Row],[R4 Business Hours]:[R4 After Hours]],Input_Tasks[[#This Row],[R5 Business Hours]:[R5 After Hours]])</f>
        <v>0</v>
      </c>
    </row>
    <row r="101" spans="1:65">
      <c r="A101" s="384"/>
      <c r="B101" s="271"/>
      <c r="C101" s="271"/>
      <c r="D101" s="406"/>
      <c r="E101" s="385">
        <f>Input_Tasks[[#This Row],[Onsite Round Trips_Hidden]]</f>
        <v>0</v>
      </c>
      <c r="F101" s="385">
        <f>Input_Tasks[[#This Row],[Overnight Stays_Hidden]]</f>
        <v>0</v>
      </c>
      <c r="G101" s="385">
        <f>Input_Tasks[[#This Row],[Documents_Hidden]]</f>
        <v>0</v>
      </c>
      <c r="H101" s="387"/>
      <c r="I101" s="388"/>
      <c r="J101" s="389"/>
      <c r="K101" s="390"/>
      <c r="L101" s="390"/>
      <c r="M101" s="389"/>
      <c r="N101" s="390"/>
      <c r="O101" s="390"/>
      <c r="P101" s="389"/>
      <c r="Q101" s="390"/>
      <c r="R101" s="391"/>
      <c r="S101" s="389"/>
      <c r="T101" s="390"/>
      <c r="U101" s="391"/>
      <c r="V101" s="389"/>
      <c r="W101" s="390"/>
      <c r="X101" s="390"/>
      <c r="Y101" s="386" t="str">
        <f>Input_Tasks[[#This Row],[Onsite Round Trips_Hidden]]&amp;"/"&amp;Input_Tasks[[#This Row],[Overnight Stays_Hidden]]&amp;"/"&amp;Input_Tasks[[#This Row],[Documents_Hidden]]</f>
        <v>0/0/0</v>
      </c>
      <c r="Z101" s="392">
        <f>Input_Tasks[[#This Row],[R1 Cost_Hidden]]</f>
        <v>0</v>
      </c>
      <c r="AA101" s="393">
        <f>Input_Tasks[[#This Row],[R2 Cost_Hidden]]</f>
        <v>0</v>
      </c>
      <c r="AB101" s="393">
        <f>Input_Tasks[[#This Row],[R3 Cost_Hidden]]</f>
        <v>0</v>
      </c>
      <c r="AC101" s="393">
        <f>Input_Tasks[[#This Row],[R4 Cost_Hidden]]</f>
        <v>0</v>
      </c>
      <c r="AD101" s="394">
        <f>Input_Tasks[[#This Row],[R5 Cost_Hidden]]</f>
        <v>0</v>
      </c>
      <c r="AE101" s="395">
        <f>SUM(Input_Tasks[[#This Row],[R1 Cost]:[R5 Cost]])</f>
        <v>0</v>
      </c>
      <c r="AF101" s="392">
        <f>Input_Tasks[[#This Row],[R1 Sell_Hidden]]</f>
        <v>0</v>
      </c>
      <c r="AG101" s="393">
        <f>Input_Tasks[[#This Row],[R2 Sell_Hidden]]</f>
        <v>0</v>
      </c>
      <c r="AH101" s="393">
        <f>Input_Tasks[[#This Row],[R3 Sell_Hidden]]</f>
        <v>0</v>
      </c>
      <c r="AI101" s="393">
        <f>Input_Tasks[[#This Row],[R4 Sell_Hidden5]]</f>
        <v>0</v>
      </c>
      <c r="AJ101" s="394">
        <f>Input_Tasks[[#This Row],[R5 Sell_Hidden]]</f>
        <v>0</v>
      </c>
      <c r="AK101" s="396">
        <f>SUM(Input_Tasks[[#This Row],[R1 Sell]:[R5 Sell]])</f>
        <v>0</v>
      </c>
      <c r="AL101" s="397">
        <f>IFERROR(VLOOKUP(RESOURCE_1_TYPE,COST_RATES,2,FALSE)*Input_Tasks[[#This Row],[R1 Business Hours]],0)+IFERROR(VLOOKUP(RESOURCE_1_TYPE,COST_RATES,3,FALSE)*Input_Tasks[[#This Row],[R1 After Hours]],0)</f>
        <v>0</v>
      </c>
      <c r="AM101" s="398">
        <f>IFERROR(VLOOKUP(RESOURCE_2_TYPE,COST_RATES,2,FALSE)*Input_Tasks[[#This Row],[R2 Business Hours]],0)+IFERROR(VLOOKUP(RESOURCE_2_TYPE,COST_RATES,3,FALSE)*Input_Tasks[[#This Row],[R2 After Hours]],0)</f>
        <v>0</v>
      </c>
      <c r="AN101" s="398">
        <f>IFERROR(VLOOKUP(RESOURCE_3_TYPE,COST_RATES,2,FALSE)*Input_Tasks[[#This Row],[R3 Business Hours]],0)+IFERROR(VLOOKUP(RESOURCE_3_TYPE,COST_RATES,3,FALSE)*Input_Tasks[[#This Row],[R3 After Hours]],0)</f>
        <v>0</v>
      </c>
      <c r="AO101" s="398">
        <f>IFERROR(VLOOKUP(RESOURCE_4_TYPE,COST_RATES,2,FALSE)*Input_Tasks[[#This Row],[R4 Business Hours]],0)+IFERROR(VLOOKUP(RESOURCE_4_TYPE,COST_RATES,3,FALSE)*Input_Tasks[[#This Row],[R4 After Hours]],0)</f>
        <v>0</v>
      </c>
      <c r="AP101" s="398">
        <f>IFERROR(VLOOKUP(RESOURCE_5_TYPE,COST_RATES,2,FALSE)*Input_Tasks[[#This Row],[R5 Business Hours]],0)+IFERROR(VLOOKUP(RESOURCE_5_TYPE,COST_RATES,3,FALSE)*Input_Tasks[[#This Row],[R5 After Hours]],0)</f>
        <v>0</v>
      </c>
      <c r="AQ101" s="399">
        <f>IFERROR(VLOOKUP(RESOURCE_1_TYPE,SELL_RATES,2,FALSE)*Input_Tasks[[#This Row],[R1 Business Hours]],0)+IFERROR(VLOOKUP(RESOURCE_1_TYPE,SELL_RATES,3,FALSE)*Input_Tasks[[#This Row],[R1 After Hours]],0)</f>
        <v>0</v>
      </c>
      <c r="AR101" s="398">
        <f>IFERROR(VLOOKUP(RESOURCE_2_TYPE,SELL_RATES,2,FALSE)*Input_Tasks[[#This Row],[R2 Business Hours]],0)+IFERROR(VLOOKUP(RESOURCE_2_TYPE,SELL_RATES,3,FALSE)*Input_Tasks[[#This Row],[R2 After Hours]],0)</f>
        <v>0</v>
      </c>
      <c r="AS101" s="398">
        <f>IFERROR(VLOOKUP(RESOURCE_3_TYPE,SELL_RATES,2,FALSE)*Input_Tasks[[#This Row],[R3 Business Hours]],0)+IFERROR(VLOOKUP(RESOURCE_3_TYPE,SELL_RATES,3,FALSE)*Input_Tasks[[#This Row],[R3 After Hours]],0)</f>
        <v>0</v>
      </c>
      <c r="AT101" s="398">
        <f>IFERROR(VLOOKUP(RESOURCE_4_TYPE,SELL_RATES,2,FALSE)*Input_Tasks[[#This Row],[R4 Business Hours]],0)+IFERROR(VLOOKUP(RESOURCE_4_TYPE,SELL_RATES,3,FALSE)*Input_Tasks[[#This Row],[R4 After Hours]],0)</f>
        <v>0</v>
      </c>
      <c r="AU101" s="398">
        <f>IFERROR(VLOOKUP(RESOURCE_5_TYPE,SELL_RATES,2,FALSE)*Input_Tasks[[#This Row],[R5 Business Hours]],0)+IFERROR(VLOOKUP(RESOURCE_5_TYPE,SELL_RATES,3,FALSE)*Input_Tasks[[#This Row],[R5 After Hours]],0)</f>
        <v>0</v>
      </c>
      <c r="AV101" s="400">
        <f>SUM(Input_Tasks[[#This Row],[Round Trips R1]:[Round Trips R5]])</f>
        <v>0</v>
      </c>
      <c r="AW101" s="401">
        <f>SUM(Input_Tasks[[#This Row],[Overnight StaysR1]:[Overnight StaysR5]])</f>
        <v>0</v>
      </c>
      <c r="AX101" s="401">
        <f>IF(AND(Input_Tasks[[#This Row],[Sell - Line Total]]&gt;0,OR(Input_Tasks[[#This Row],[Phase]]="",Input_Tasks[[#This Row],[Skill Required]]="",Input_Tasks[[#This Row],[Task Type]]="",Input_Tasks[[#This Row],[Description]]="")),1,0)</f>
        <v>0</v>
      </c>
      <c r="AY101" s="402">
        <f>IF(AND(Input_Tasks[[#This Row],[Task Type]]="ArchiTech Document Deliverable",Input_Tasks[[#This Row],[Hours]]&gt;0),1,0)</f>
        <v>0</v>
      </c>
      <c r="AZ10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0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0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0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0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0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0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0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0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0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0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0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0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01" s="405">
        <f>SUM(Input_Tasks[[#This Row],[R1 Business Hours]:[R1 After Hours]],Input_Tasks[[#This Row],[R2 Business Hours]:[R2 After Hours]],Input_Tasks[[#This Row],[R3 Business Hours]:[R3 After Hours]],Input_Tasks[[#This Row],[R4 Business Hours]:[R4 After Hours]],Input_Tasks[[#This Row],[R5 Business Hours]:[R5 After Hours]])</f>
        <v>0</v>
      </c>
    </row>
    <row r="102" spans="1:65">
      <c r="A102" s="384"/>
      <c r="B102" s="271"/>
      <c r="C102" s="271"/>
      <c r="D102" s="406"/>
      <c r="E102" s="385">
        <f>Input_Tasks[[#This Row],[Onsite Round Trips_Hidden]]</f>
        <v>0</v>
      </c>
      <c r="F102" s="385">
        <f>Input_Tasks[[#This Row],[Overnight Stays_Hidden]]</f>
        <v>0</v>
      </c>
      <c r="G102" s="385">
        <f>Input_Tasks[[#This Row],[Documents_Hidden]]</f>
        <v>0</v>
      </c>
      <c r="H102" s="387"/>
      <c r="I102" s="388"/>
      <c r="J102" s="389"/>
      <c r="K102" s="390"/>
      <c r="L102" s="390"/>
      <c r="M102" s="389"/>
      <c r="N102" s="390"/>
      <c r="O102" s="390"/>
      <c r="P102" s="389"/>
      <c r="Q102" s="390"/>
      <c r="R102" s="391"/>
      <c r="S102" s="389"/>
      <c r="T102" s="390"/>
      <c r="U102" s="391"/>
      <c r="V102" s="389"/>
      <c r="W102" s="390"/>
      <c r="X102" s="390"/>
      <c r="Y102" s="386" t="str">
        <f>Input_Tasks[[#This Row],[Onsite Round Trips_Hidden]]&amp;"/"&amp;Input_Tasks[[#This Row],[Overnight Stays_Hidden]]&amp;"/"&amp;Input_Tasks[[#This Row],[Documents_Hidden]]</f>
        <v>0/0/0</v>
      </c>
      <c r="Z102" s="392">
        <f>Input_Tasks[[#This Row],[R1 Cost_Hidden]]</f>
        <v>0</v>
      </c>
      <c r="AA102" s="393">
        <f>Input_Tasks[[#This Row],[R2 Cost_Hidden]]</f>
        <v>0</v>
      </c>
      <c r="AB102" s="393">
        <f>Input_Tasks[[#This Row],[R3 Cost_Hidden]]</f>
        <v>0</v>
      </c>
      <c r="AC102" s="393">
        <f>Input_Tasks[[#This Row],[R4 Cost_Hidden]]</f>
        <v>0</v>
      </c>
      <c r="AD102" s="394">
        <f>Input_Tasks[[#This Row],[R5 Cost_Hidden]]</f>
        <v>0</v>
      </c>
      <c r="AE102" s="395">
        <f>SUM(Input_Tasks[[#This Row],[R1 Cost]:[R5 Cost]])</f>
        <v>0</v>
      </c>
      <c r="AF102" s="392">
        <f>Input_Tasks[[#This Row],[R1 Sell_Hidden]]</f>
        <v>0</v>
      </c>
      <c r="AG102" s="393">
        <f>Input_Tasks[[#This Row],[R2 Sell_Hidden]]</f>
        <v>0</v>
      </c>
      <c r="AH102" s="393">
        <f>Input_Tasks[[#This Row],[R3 Sell_Hidden]]</f>
        <v>0</v>
      </c>
      <c r="AI102" s="393">
        <f>Input_Tasks[[#This Row],[R4 Sell_Hidden5]]</f>
        <v>0</v>
      </c>
      <c r="AJ102" s="394">
        <f>Input_Tasks[[#This Row],[R5 Sell_Hidden]]</f>
        <v>0</v>
      </c>
      <c r="AK102" s="396">
        <f>SUM(Input_Tasks[[#This Row],[R1 Sell]:[R5 Sell]])</f>
        <v>0</v>
      </c>
      <c r="AL102" s="397">
        <f>IFERROR(VLOOKUP(RESOURCE_1_TYPE,COST_RATES,2,FALSE)*Input_Tasks[[#This Row],[R1 Business Hours]],0)+IFERROR(VLOOKUP(RESOURCE_1_TYPE,COST_RATES,3,FALSE)*Input_Tasks[[#This Row],[R1 After Hours]],0)</f>
        <v>0</v>
      </c>
      <c r="AM102" s="398">
        <f>IFERROR(VLOOKUP(RESOURCE_2_TYPE,COST_RATES,2,FALSE)*Input_Tasks[[#This Row],[R2 Business Hours]],0)+IFERROR(VLOOKUP(RESOURCE_2_TYPE,COST_RATES,3,FALSE)*Input_Tasks[[#This Row],[R2 After Hours]],0)</f>
        <v>0</v>
      </c>
      <c r="AN102" s="398">
        <f>IFERROR(VLOOKUP(RESOURCE_3_TYPE,COST_RATES,2,FALSE)*Input_Tasks[[#This Row],[R3 Business Hours]],0)+IFERROR(VLOOKUP(RESOURCE_3_TYPE,COST_RATES,3,FALSE)*Input_Tasks[[#This Row],[R3 After Hours]],0)</f>
        <v>0</v>
      </c>
      <c r="AO102" s="398">
        <f>IFERROR(VLOOKUP(RESOURCE_4_TYPE,COST_RATES,2,FALSE)*Input_Tasks[[#This Row],[R4 Business Hours]],0)+IFERROR(VLOOKUP(RESOURCE_4_TYPE,COST_RATES,3,FALSE)*Input_Tasks[[#This Row],[R4 After Hours]],0)</f>
        <v>0</v>
      </c>
      <c r="AP102" s="398">
        <f>IFERROR(VLOOKUP(RESOURCE_5_TYPE,COST_RATES,2,FALSE)*Input_Tasks[[#This Row],[R5 Business Hours]],0)+IFERROR(VLOOKUP(RESOURCE_5_TYPE,COST_RATES,3,FALSE)*Input_Tasks[[#This Row],[R5 After Hours]],0)</f>
        <v>0</v>
      </c>
      <c r="AQ102" s="399">
        <f>IFERROR(VLOOKUP(RESOURCE_1_TYPE,SELL_RATES,2,FALSE)*Input_Tasks[[#This Row],[R1 Business Hours]],0)+IFERROR(VLOOKUP(RESOURCE_1_TYPE,SELL_RATES,3,FALSE)*Input_Tasks[[#This Row],[R1 After Hours]],0)</f>
        <v>0</v>
      </c>
      <c r="AR102" s="398">
        <f>IFERROR(VLOOKUP(RESOURCE_2_TYPE,SELL_RATES,2,FALSE)*Input_Tasks[[#This Row],[R2 Business Hours]],0)+IFERROR(VLOOKUP(RESOURCE_2_TYPE,SELL_RATES,3,FALSE)*Input_Tasks[[#This Row],[R2 After Hours]],0)</f>
        <v>0</v>
      </c>
      <c r="AS102" s="398">
        <f>IFERROR(VLOOKUP(RESOURCE_3_TYPE,SELL_RATES,2,FALSE)*Input_Tasks[[#This Row],[R3 Business Hours]],0)+IFERROR(VLOOKUP(RESOURCE_3_TYPE,SELL_RATES,3,FALSE)*Input_Tasks[[#This Row],[R3 After Hours]],0)</f>
        <v>0</v>
      </c>
      <c r="AT102" s="398">
        <f>IFERROR(VLOOKUP(RESOURCE_4_TYPE,SELL_RATES,2,FALSE)*Input_Tasks[[#This Row],[R4 Business Hours]],0)+IFERROR(VLOOKUP(RESOURCE_4_TYPE,SELL_RATES,3,FALSE)*Input_Tasks[[#This Row],[R4 After Hours]],0)</f>
        <v>0</v>
      </c>
      <c r="AU102" s="398">
        <f>IFERROR(VLOOKUP(RESOURCE_5_TYPE,SELL_RATES,2,FALSE)*Input_Tasks[[#This Row],[R5 Business Hours]],0)+IFERROR(VLOOKUP(RESOURCE_5_TYPE,SELL_RATES,3,FALSE)*Input_Tasks[[#This Row],[R5 After Hours]],0)</f>
        <v>0</v>
      </c>
      <c r="AV102" s="400">
        <f>SUM(Input_Tasks[[#This Row],[Round Trips R1]:[Round Trips R5]])</f>
        <v>0</v>
      </c>
      <c r="AW102" s="401">
        <f>SUM(Input_Tasks[[#This Row],[Overnight StaysR1]:[Overnight StaysR5]])</f>
        <v>0</v>
      </c>
      <c r="AX102" s="401">
        <f>IF(AND(Input_Tasks[[#This Row],[Sell - Line Total]]&gt;0,OR(Input_Tasks[[#This Row],[Phase]]="",Input_Tasks[[#This Row],[Skill Required]]="",Input_Tasks[[#This Row],[Task Type]]="",Input_Tasks[[#This Row],[Description]]="")),1,0)</f>
        <v>0</v>
      </c>
      <c r="AY102" s="402">
        <f>IF(AND(Input_Tasks[[#This Row],[Task Type]]="ArchiTech Document Deliverable",Input_Tasks[[#This Row],[Hours]]&gt;0),1,0)</f>
        <v>0</v>
      </c>
      <c r="AZ10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0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0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0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0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0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0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0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0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0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0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0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0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02" s="405">
        <f>SUM(Input_Tasks[[#This Row],[R1 Business Hours]:[R1 After Hours]],Input_Tasks[[#This Row],[R2 Business Hours]:[R2 After Hours]],Input_Tasks[[#This Row],[R3 Business Hours]:[R3 After Hours]],Input_Tasks[[#This Row],[R4 Business Hours]:[R4 After Hours]],Input_Tasks[[#This Row],[R5 Business Hours]:[R5 After Hours]])</f>
        <v>0</v>
      </c>
    </row>
    <row r="103" spans="1:65">
      <c r="A103" s="384"/>
      <c r="B103" s="271"/>
      <c r="C103" s="271"/>
      <c r="D103" s="406"/>
      <c r="E103" s="385">
        <f>Input_Tasks[[#This Row],[Onsite Round Trips_Hidden]]</f>
        <v>0</v>
      </c>
      <c r="F103" s="385">
        <f>Input_Tasks[[#This Row],[Overnight Stays_Hidden]]</f>
        <v>0</v>
      </c>
      <c r="G103" s="385">
        <f>Input_Tasks[[#This Row],[Documents_Hidden]]</f>
        <v>0</v>
      </c>
      <c r="H103" s="387"/>
      <c r="I103" s="388"/>
      <c r="J103" s="389"/>
      <c r="K103" s="390"/>
      <c r="L103" s="390"/>
      <c r="M103" s="389"/>
      <c r="N103" s="390"/>
      <c r="O103" s="390"/>
      <c r="P103" s="389"/>
      <c r="Q103" s="390"/>
      <c r="R103" s="391"/>
      <c r="S103" s="389"/>
      <c r="T103" s="390"/>
      <c r="U103" s="391"/>
      <c r="V103" s="389"/>
      <c r="W103" s="390"/>
      <c r="X103" s="390"/>
      <c r="Y103" s="386" t="str">
        <f>Input_Tasks[[#This Row],[Onsite Round Trips_Hidden]]&amp;"/"&amp;Input_Tasks[[#This Row],[Overnight Stays_Hidden]]&amp;"/"&amp;Input_Tasks[[#This Row],[Documents_Hidden]]</f>
        <v>0/0/0</v>
      </c>
      <c r="Z103" s="392">
        <f>Input_Tasks[[#This Row],[R1 Cost_Hidden]]</f>
        <v>0</v>
      </c>
      <c r="AA103" s="393">
        <f>Input_Tasks[[#This Row],[R2 Cost_Hidden]]</f>
        <v>0</v>
      </c>
      <c r="AB103" s="393">
        <f>Input_Tasks[[#This Row],[R3 Cost_Hidden]]</f>
        <v>0</v>
      </c>
      <c r="AC103" s="393">
        <f>Input_Tasks[[#This Row],[R4 Cost_Hidden]]</f>
        <v>0</v>
      </c>
      <c r="AD103" s="394">
        <f>Input_Tasks[[#This Row],[R5 Cost_Hidden]]</f>
        <v>0</v>
      </c>
      <c r="AE103" s="395">
        <f>SUM(Input_Tasks[[#This Row],[R1 Cost]:[R5 Cost]])</f>
        <v>0</v>
      </c>
      <c r="AF103" s="392">
        <f>Input_Tasks[[#This Row],[R1 Sell_Hidden]]</f>
        <v>0</v>
      </c>
      <c r="AG103" s="393">
        <f>Input_Tasks[[#This Row],[R2 Sell_Hidden]]</f>
        <v>0</v>
      </c>
      <c r="AH103" s="393">
        <f>Input_Tasks[[#This Row],[R3 Sell_Hidden]]</f>
        <v>0</v>
      </c>
      <c r="AI103" s="393">
        <f>Input_Tasks[[#This Row],[R4 Sell_Hidden5]]</f>
        <v>0</v>
      </c>
      <c r="AJ103" s="394">
        <f>Input_Tasks[[#This Row],[R5 Sell_Hidden]]</f>
        <v>0</v>
      </c>
      <c r="AK103" s="396">
        <f>SUM(Input_Tasks[[#This Row],[R1 Sell]:[R5 Sell]])</f>
        <v>0</v>
      </c>
      <c r="AL103" s="397">
        <f>IFERROR(VLOOKUP(RESOURCE_1_TYPE,COST_RATES,2,FALSE)*Input_Tasks[[#This Row],[R1 Business Hours]],0)+IFERROR(VLOOKUP(RESOURCE_1_TYPE,COST_RATES,3,FALSE)*Input_Tasks[[#This Row],[R1 After Hours]],0)</f>
        <v>0</v>
      </c>
      <c r="AM103" s="398">
        <f>IFERROR(VLOOKUP(RESOURCE_2_TYPE,COST_RATES,2,FALSE)*Input_Tasks[[#This Row],[R2 Business Hours]],0)+IFERROR(VLOOKUP(RESOURCE_2_TYPE,COST_RATES,3,FALSE)*Input_Tasks[[#This Row],[R2 After Hours]],0)</f>
        <v>0</v>
      </c>
      <c r="AN103" s="398">
        <f>IFERROR(VLOOKUP(RESOURCE_3_TYPE,COST_RATES,2,FALSE)*Input_Tasks[[#This Row],[R3 Business Hours]],0)+IFERROR(VLOOKUP(RESOURCE_3_TYPE,COST_RATES,3,FALSE)*Input_Tasks[[#This Row],[R3 After Hours]],0)</f>
        <v>0</v>
      </c>
      <c r="AO103" s="398">
        <f>IFERROR(VLOOKUP(RESOURCE_4_TYPE,COST_RATES,2,FALSE)*Input_Tasks[[#This Row],[R4 Business Hours]],0)+IFERROR(VLOOKUP(RESOURCE_4_TYPE,COST_RATES,3,FALSE)*Input_Tasks[[#This Row],[R4 After Hours]],0)</f>
        <v>0</v>
      </c>
      <c r="AP103" s="398">
        <f>IFERROR(VLOOKUP(RESOURCE_5_TYPE,COST_RATES,2,FALSE)*Input_Tasks[[#This Row],[R5 Business Hours]],0)+IFERROR(VLOOKUP(RESOURCE_5_TYPE,COST_RATES,3,FALSE)*Input_Tasks[[#This Row],[R5 After Hours]],0)</f>
        <v>0</v>
      </c>
      <c r="AQ103" s="399">
        <f>IFERROR(VLOOKUP(RESOURCE_1_TYPE,SELL_RATES,2,FALSE)*Input_Tasks[[#This Row],[R1 Business Hours]],0)+IFERROR(VLOOKUP(RESOURCE_1_TYPE,SELL_RATES,3,FALSE)*Input_Tasks[[#This Row],[R1 After Hours]],0)</f>
        <v>0</v>
      </c>
      <c r="AR103" s="398">
        <f>IFERROR(VLOOKUP(RESOURCE_2_TYPE,SELL_RATES,2,FALSE)*Input_Tasks[[#This Row],[R2 Business Hours]],0)+IFERROR(VLOOKUP(RESOURCE_2_TYPE,SELL_RATES,3,FALSE)*Input_Tasks[[#This Row],[R2 After Hours]],0)</f>
        <v>0</v>
      </c>
      <c r="AS103" s="398">
        <f>IFERROR(VLOOKUP(RESOURCE_3_TYPE,SELL_RATES,2,FALSE)*Input_Tasks[[#This Row],[R3 Business Hours]],0)+IFERROR(VLOOKUP(RESOURCE_3_TYPE,SELL_RATES,3,FALSE)*Input_Tasks[[#This Row],[R3 After Hours]],0)</f>
        <v>0</v>
      </c>
      <c r="AT103" s="398">
        <f>IFERROR(VLOOKUP(RESOURCE_4_TYPE,SELL_RATES,2,FALSE)*Input_Tasks[[#This Row],[R4 Business Hours]],0)+IFERROR(VLOOKUP(RESOURCE_4_TYPE,SELL_RATES,3,FALSE)*Input_Tasks[[#This Row],[R4 After Hours]],0)</f>
        <v>0</v>
      </c>
      <c r="AU103" s="398">
        <f>IFERROR(VLOOKUP(RESOURCE_5_TYPE,SELL_RATES,2,FALSE)*Input_Tasks[[#This Row],[R5 Business Hours]],0)+IFERROR(VLOOKUP(RESOURCE_5_TYPE,SELL_RATES,3,FALSE)*Input_Tasks[[#This Row],[R5 After Hours]],0)</f>
        <v>0</v>
      </c>
      <c r="AV103" s="400">
        <f>SUM(Input_Tasks[[#This Row],[Round Trips R1]:[Round Trips R5]])</f>
        <v>0</v>
      </c>
      <c r="AW103" s="401">
        <f>SUM(Input_Tasks[[#This Row],[Overnight StaysR1]:[Overnight StaysR5]])</f>
        <v>0</v>
      </c>
      <c r="AX103" s="401">
        <f>IF(AND(Input_Tasks[[#This Row],[Sell - Line Total]]&gt;0,OR(Input_Tasks[[#This Row],[Phase]]="",Input_Tasks[[#This Row],[Skill Required]]="",Input_Tasks[[#This Row],[Task Type]]="",Input_Tasks[[#This Row],[Description]]="")),1,0)</f>
        <v>0</v>
      </c>
      <c r="AY103" s="402">
        <f>IF(AND(Input_Tasks[[#This Row],[Task Type]]="ArchiTech Document Deliverable",Input_Tasks[[#This Row],[Hours]]&gt;0),1,0)</f>
        <v>0</v>
      </c>
      <c r="AZ10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0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0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0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0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0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0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0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0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0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0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0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0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03" s="405">
        <f>SUM(Input_Tasks[[#This Row],[R1 Business Hours]:[R1 After Hours]],Input_Tasks[[#This Row],[R2 Business Hours]:[R2 After Hours]],Input_Tasks[[#This Row],[R3 Business Hours]:[R3 After Hours]],Input_Tasks[[#This Row],[R4 Business Hours]:[R4 After Hours]],Input_Tasks[[#This Row],[R5 Business Hours]:[R5 After Hours]])</f>
        <v>0</v>
      </c>
    </row>
    <row r="104" spans="1:65">
      <c r="A104" s="384"/>
      <c r="B104" s="271"/>
      <c r="C104" s="271"/>
      <c r="D104" s="406"/>
      <c r="E104" s="385">
        <f>Input_Tasks[[#This Row],[Onsite Round Trips_Hidden]]</f>
        <v>0</v>
      </c>
      <c r="F104" s="385">
        <f>Input_Tasks[[#This Row],[Overnight Stays_Hidden]]</f>
        <v>0</v>
      </c>
      <c r="G104" s="385">
        <f>Input_Tasks[[#This Row],[Documents_Hidden]]</f>
        <v>0</v>
      </c>
      <c r="H104" s="387"/>
      <c r="I104" s="388"/>
      <c r="J104" s="389"/>
      <c r="K104" s="390"/>
      <c r="L104" s="390"/>
      <c r="M104" s="389"/>
      <c r="N104" s="390"/>
      <c r="O104" s="390"/>
      <c r="P104" s="389"/>
      <c r="Q104" s="390"/>
      <c r="R104" s="391"/>
      <c r="S104" s="389"/>
      <c r="T104" s="390"/>
      <c r="U104" s="391"/>
      <c r="V104" s="389"/>
      <c r="W104" s="390"/>
      <c r="X104" s="390"/>
      <c r="Y104" s="386" t="str">
        <f>Input_Tasks[[#This Row],[Onsite Round Trips_Hidden]]&amp;"/"&amp;Input_Tasks[[#This Row],[Overnight Stays_Hidden]]&amp;"/"&amp;Input_Tasks[[#This Row],[Documents_Hidden]]</f>
        <v>0/0/0</v>
      </c>
      <c r="Z104" s="392">
        <f>Input_Tasks[[#This Row],[R1 Cost_Hidden]]</f>
        <v>0</v>
      </c>
      <c r="AA104" s="393">
        <f>Input_Tasks[[#This Row],[R2 Cost_Hidden]]</f>
        <v>0</v>
      </c>
      <c r="AB104" s="393">
        <f>Input_Tasks[[#This Row],[R3 Cost_Hidden]]</f>
        <v>0</v>
      </c>
      <c r="AC104" s="393">
        <f>Input_Tasks[[#This Row],[R4 Cost_Hidden]]</f>
        <v>0</v>
      </c>
      <c r="AD104" s="394">
        <f>Input_Tasks[[#This Row],[R5 Cost_Hidden]]</f>
        <v>0</v>
      </c>
      <c r="AE104" s="395">
        <f>SUM(Input_Tasks[[#This Row],[R1 Cost]:[R5 Cost]])</f>
        <v>0</v>
      </c>
      <c r="AF104" s="392">
        <f>Input_Tasks[[#This Row],[R1 Sell_Hidden]]</f>
        <v>0</v>
      </c>
      <c r="AG104" s="393">
        <f>Input_Tasks[[#This Row],[R2 Sell_Hidden]]</f>
        <v>0</v>
      </c>
      <c r="AH104" s="393">
        <f>Input_Tasks[[#This Row],[R3 Sell_Hidden]]</f>
        <v>0</v>
      </c>
      <c r="AI104" s="393">
        <f>Input_Tasks[[#This Row],[R4 Sell_Hidden5]]</f>
        <v>0</v>
      </c>
      <c r="AJ104" s="394">
        <f>Input_Tasks[[#This Row],[R5 Sell_Hidden]]</f>
        <v>0</v>
      </c>
      <c r="AK104" s="396">
        <f>SUM(Input_Tasks[[#This Row],[R1 Sell]:[R5 Sell]])</f>
        <v>0</v>
      </c>
      <c r="AL104" s="397">
        <f>IFERROR(VLOOKUP(RESOURCE_1_TYPE,COST_RATES,2,FALSE)*Input_Tasks[[#This Row],[R1 Business Hours]],0)+IFERROR(VLOOKUP(RESOURCE_1_TYPE,COST_RATES,3,FALSE)*Input_Tasks[[#This Row],[R1 After Hours]],0)</f>
        <v>0</v>
      </c>
      <c r="AM104" s="398">
        <f>IFERROR(VLOOKUP(RESOURCE_2_TYPE,COST_RATES,2,FALSE)*Input_Tasks[[#This Row],[R2 Business Hours]],0)+IFERROR(VLOOKUP(RESOURCE_2_TYPE,COST_RATES,3,FALSE)*Input_Tasks[[#This Row],[R2 After Hours]],0)</f>
        <v>0</v>
      </c>
      <c r="AN104" s="398">
        <f>IFERROR(VLOOKUP(RESOURCE_3_TYPE,COST_RATES,2,FALSE)*Input_Tasks[[#This Row],[R3 Business Hours]],0)+IFERROR(VLOOKUP(RESOURCE_3_TYPE,COST_RATES,3,FALSE)*Input_Tasks[[#This Row],[R3 After Hours]],0)</f>
        <v>0</v>
      </c>
      <c r="AO104" s="398">
        <f>IFERROR(VLOOKUP(RESOURCE_4_TYPE,COST_RATES,2,FALSE)*Input_Tasks[[#This Row],[R4 Business Hours]],0)+IFERROR(VLOOKUP(RESOURCE_4_TYPE,COST_RATES,3,FALSE)*Input_Tasks[[#This Row],[R4 After Hours]],0)</f>
        <v>0</v>
      </c>
      <c r="AP104" s="398">
        <f>IFERROR(VLOOKUP(RESOURCE_5_TYPE,COST_RATES,2,FALSE)*Input_Tasks[[#This Row],[R5 Business Hours]],0)+IFERROR(VLOOKUP(RESOURCE_5_TYPE,COST_RATES,3,FALSE)*Input_Tasks[[#This Row],[R5 After Hours]],0)</f>
        <v>0</v>
      </c>
      <c r="AQ104" s="399">
        <f>IFERROR(VLOOKUP(RESOURCE_1_TYPE,SELL_RATES,2,FALSE)*Input_Tasks[[#This Row],[R1 Business Hours]],0)+IFERROR(VLOOKUP(RESOURCE_1_TYPE,SELL_RATES,3,FALSE)*Input_Tasks[[#This Row],[R1 After Hours]],0)</f>
        <v>0</v>
      </c>
      <c r="AR104" s="398">
        <f>IFERROR(VLOOKUP(RESOURCE_2_TYPE,SELL_RATES,2,FALSE)*Input_Tasks[[#This Row],[R2 Business Hours]],0)+IFERROR(VLOOKUP(RESOURCE_2_TYPE,SELL_RATES,3,FALSE)*Input_Tasks[[#This Row],[R2 After Hours]],0)</f>
        <v>0</v>
      </c>
      <c r="AS104" s="398">
        <f>IFERROR(VLOOKUP(RESOURCE_3_TYPE,SELL_RATES,2,FALSE)*Input_Tasks[[#This Row],[R3 Business Hours]],0)+IFERROR(VLOOKUP(RESOURCE_3_TYPE,SELL_RATES,3,FALSE)*Input_Tasks[[#This Row],[R3 After Hours]],0)</f>
        <v>0</v>
      </c>
      <c r="AT104" s="398">
        <f>IFERROR(VLOOKUP(RESOURCE_4_TYPE,SELL_RATES,2,FALSE)*Input_Tasks[[#This Row],[R4 Business Hours]],0)+IFERROR(VLOOKUP(RESOURCE_4_TYPE,SELL_RATES,3,FALSE)*Input_Tasks[[#This Row],[R4 After Hours]],0)</f>
        <v>0</v>
      </c>
      <c r="AU104" s="398">
        <f>IFERROR(VLOOKUP(RESOURCE_5_TYPE,SELL_RATES,2,FALSE)*Input_Tasks[[#This Row],[R5 Business Hours]],0)+IFERROR(VLOOKUP(RESOURCE_5_TYPE,SELL_RATES,3,FALSE)*Input_Tasks[[#This Row],[R5 After Hours]],0)</f>
        <v>0</v>
      </c>
      <c r="AV104" s="400">
        <f>SUM(Input_Tasks[[#This Row],[Round Trips R1]:[Round Trips R5]])</f>
        <v>0</v>
      </c>
      <c r="AW104" s="401">
        <f>SUM(Input_Tasks[[#This Row],[Overnight StaysR1]:[Overnight StaysR5]])</f>
        <v>0</v>
      </c>
      <c r="AX104" s="401">
        <f>IF(AND(Input_Tasks[[#This Row],[Sell - Line Total]]&gt;0,OR(Input_Tasks[[#This Row],[Phase]]="",Input_Tasks[[#This Row],[Skill Required]]="",Input_Tasks[[#This Row],[Task Type]]="",Input_Tasks[[#This Row],[Description]]="")),1,0)</f>
        <v>0</v>
      </c>
      <c r="AY104" s="402">
        <f>IF(AND(Input_Tasks[[#This Row],[Task Type]]="ArchiTech Document Deliverable",Input_Tasks[[#This Row],[Hours]]&gt;0),1,0)</f>
        <v>0</v>
      </c>
      <c r="AZ10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0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0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0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0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0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0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0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0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0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0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0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0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04" s="405">
        <f>SUM(Input_Tasks[[#This Row],[R1 Business Hours]:[R1 After Hours]],Input_Tasks[[#This Row],[R2 Business Hours]:[R2 After Hours]],Input_Tasks[[#This Row],[R3 Business Hours]:[R3 After Hours]],Input_Tasks[[#This Row],[R4 Business Hours]:[R4 After Hours]],Input_Tasks[[#This Row],[R5 Business Hours]:[R5 After Hours]])</f>
        <v>0</v>
      </c>
    </row>
    <row r="105" spans="1:65">
      <c r="A105" s="384"/>
      <c r="B105" s="271"/>
      <c r="C105" s="271"/>
      <c r="D105" s="406"/>
      <c r="E105" s="385">
        <f>Input_Tasks[[#This Row],[Onsite Round Trips_Hidden]]</f>
        <v>0</v>
      </c>
      <c r="F105" s="385">
        <f>Input_Tasks[[#This Row],[Overnight Stays_Hidden]]</f>
        <v>0</v>
      </c>
      <c r="G105" s="385">
        <f>Input_Tasks[[#This Row],[Documents_Hidden]]</f>
        <v>0</v>
      </c>
      <c r="H105" s="387"/>
      <c r="I105" s="388"/>
      <c r="J105" s="389"/>
      <c r="K105" s="390"/>
      <c r="L105" s="390"/>
      <c r="M105" s="389"/>
      <c r="N105" s="390"/>
      <c r="O105" s="390"/>
      <c r="P105" s="389"/>
      <c r="Q105" s="390"/>
      <c r="R105" s="391"/>
      <c r="S105" s="389"/>
      <c r="T105" s="390"/>
      <c r="U105" s="391"/>
      <c r="V105" s="389"/>
      <c r="W105" s="390"/>
      <c r="X105" s="390"/>
      <c r="Y105" s="386" t="str">
        <f>Input_Tasks[[#This Row],[Onsite Round Trips_Hidden]]&amp;"/"&amp;Input_Tasks[[#This Row],[Overnight Stays_Hidden]]&amp;"/"&amp;Input_Tasks[[#This Row],[Documents_Hidden]]</f>
        <v>0/0/0</v>
      </c>
      <c r="Z105" s="392">
        <f>Input_Tasks[[#This Row],[R1 Cost_Hidden]]</f>
        <v>0</v>
      </c>
      <c r="AA105" s="393">
        <f>Input_Tasks[[#This Row],[R2 Cost_Hidden]]</f>
        <v>0</v>
      </c>
      <c r="AB105" s="393">
        <f>Input_Tasks[[#This Row],[R3 Cost_Hidden]]</f>
        <v>0</v>
      </c>
      <c r="AC105" s="393">
        <f>Input_Tasks[[#This Row],[R4 Cost_Hidden]]</f>
        <v>0</v>
      </c>
      <c r="AD105" s="394">
        <f>Input_Tasks[[#This Row],[R5 Cost_Hidden]]</f>
        <v>0</v>
      </c>
      <c r="AE105" s="395">
        <f>SUM(Input_Tasks[[#This Row],[R1 Cost]:[R5 Cost]])</f>
        <v>0</v>
      </c>
      <c r="AF105" s="392">
        <f>Input_Tasks[[#This Row],[R1 Sell_Hidden]]</f>
        <v>0</v>
      </c>
      <c r="AG105" s="393">
        <f>Input_Tasks[[#This Row],[R2 Sell_Hidden]]</f>
        <v>0</v>
      </c>
      <c r="AH105" s="393">
        <f>Input_Tasks[[#This Row],[R3 Sell_Hidden]]</f>
        <v>0</v>
      </c>
      <c r="AI105" s="393">
        <f>Input_Tasks[[#This Row],[R4 Sell_Hidden5]]</f>
        <v>0</v>
      </c>
      <c r="AJ105" s="394">
        <f>Input_Tasks[[#This Row],[R5 Sell_Hidden]]</f>
        <v>0</v>
      </c>
      <c r="AK105" s="396">
        <f>SUM(Input_Tasks[[#This Row],[R1 Sell]:[R5 Sell]])</f>
        <v>0</v>
      </c>
      <c r="AL105" s="397">
        <f>IFERROR(VLOOKUP(RESOURCE_1_TYPE,COST_RATES,2,FALSE)*Input_Tasks[[#This Row],[R1 Business Hours]],0)+IFERROR(VLOOKUP(RESOURCE_1_TYPE,COST_RATES,3,FALSE)*Input_Tasks[[#This Row],[R1 After Hours]],0)</f>
        <v>0</v>
      </c>
      <c r="AM105" s="398">
        <f>IFERROR(VLOOKUP(RESOURCE_2_TYPE,COST_RATES,2,FALSE)*Input_Tasks[[#This Row],[R2 Business Hours]],0)+IFERROR(VLOOKUP(RESOURCE_2_TYPE,COST_RATES,3,FALSE)*Input_Tasks[[#This Row],[R2 After Hours]],0)</f>
        <v>0</v>
      </c>
      <c r="AN105" s="398">
        <f>IFERROR(VLOOKUP(RESOURCE_3_TYPE,COST_RATES,2,FALSE)*Input_Tasks[[#This Row],[R3 Business Hours]],0)+IFERROR(VLOOKUP(RESOURCE_3_TYPE,COST_RATES,3,FALSE)*Input_Tasks[[#This Row],[R3 After Hours]],0)</f>
        <v>0</v>
      </c>
      <c r="AO105" s="398">
        <f>IFERROR(VLOOKUP(RESOURCE_4_TYPE,COST_RATES,2,FALSE)*Input_Tasks[[#This Row],[R4 Business Hours]],0)+IFERROR(VLOOKUP(RESOURCE_4_TYPE,COST_RATES,3,FALSE)*Input_Tasks[[#This Row],[R4 After Hours]],0)</f>
        <v>0</v>
      </c>
      <c r="AP105" s="398">
        <f>IFERROR(VLOOKUP(RESOURCE_5_TYPE,COST_RATES,2,FALSE)*Input_Tasks[[#This Row],[R5 Business Hours]],0)+IFERROR(VLOOKUP(RESOURCE_5_TYPE,COST_RATES,3,FALSE)*Input_Tasks[[#This Row],[R5 After Hours]],0)</f>
        <v>0</v>
      </c>
      <c r="AQ105" s="399">
        <f>IFERROR(VLOOKUP(RESOURCE_1_TYPE,SELL_RATES,2,FALSE)*Input_Tasks[[#This Row],[R1 Business Hours]],0)+IFERROR(VLOOKUP(RESOURCE_1_TYPE,SELL_RATES,3,FALSE)*Input_Tasks[[#This Row],[R1 After Hours]],0)</f>
        <v>0</v>
      </c>
      <c r="AR105" s="398">
        <f>IFERROR(VLOOKUP(RESOURCE_2_TYPE,SELL_RATES,2,FALSE)*Input_Tasks[[#This Row],[R2 Business Hours]],0)+IFERROR(VLOOKUP(RESOURCE_2_TYPE,SELL_RATES,3,FALSE)*Input_Tasks[[#This Row],[R2 After Hours]],0)</f>
        <v>0</v>
      </c>
      <c r="AS105" s="398">
        <f>IFERROR(VLOOKUP(RESOURCE_3_TYPE,SELL_RATES,2,FALSE)*Input_Tasks[[#This Row],[R3 Business Hours]],0)+IFERROR(VLOOKUP(RESOURCE_3_TYPE,SELL_RATES,3,FALSE)*Input_Tasks[[#This Row],[R3 After Hours]],0)</f>
        <v>0</v>
      </c>
      <c r="AT105" s="398">
        <f>IFERROR(VLOOKUP(RESOURCE_4_TYPE,SELL_RATES,2,FALSE)*Input_Tasks[[#This Row],[R4 Business Hours]],0)+IFERROR(VLOOKUP(RESOURCE_4_TYPE,SELL_RATES,3,FALSE)*Input_Tasks[[#This Row],[R4 After Hours]],0)</f>
        <v>0</v>
      </c>
      <c r="AU105" s="398">
        <f>IFERROR(VLOOKUP(RESOURCE_5_TYPE,SELL_RATES,2,FALSE)*Input_Tasks[[#This Row],[R5 Business Hours]],0)+IFERROR(VLOOKUP(RESOURCE_5_TYPE,SELL_RATES,3,FALSE)*Input_Tasks[[#This Row],[R5 After Hours]],0)</f>
        <v>0</v>
      </c>
      <c r="AV105" s="400">
        <f>SUM(Input_Tasks[[#This Row],[Round Trips R1]:[Round Trips R5]])</f>
        <v>0</v>
      </c>
      <c r="AW105" s="401">
        <f>SUM(Input_Tasks[[#This Row],[Overnight StaysR1]:[Overnight StaysR5]])</f>
        <v>0</v>
      </c>
      <c r="AX105" s="401">
        <f>IF(AND(Input_Tasks[[#This Row],[Sell - Line Total]]&gt;0,OR(Input_Tasks[[#This Row],[Phase]]="",Input_Tasks[[#This Row],[Skill Required]]="",Input_Tasks[[#This Row],[Task Type]]="",Input_Tasks[[#This Row],[Description]]="")),1,0)</f>
        <v>0</v>
      </c>
      <c r="AY105" s="402">
        <f>IF(AND(Input_Tasks[[#This Row],[Task Type]]="ArchiTech Document Deliverable",Input_Tasks[[#This Row],[Hours]]&gt;0),1,0)</f>
        <v>0</v>
      </c>
      <c r="AZ10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0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0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0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0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0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0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0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0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0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0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0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0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05" s="405">
        <f>SUM(Input_Tasks[[#This Row],[R1 Business Hours]:[R1 After Hours]],Input_Tasks[[#This Row],[R2 Business Hours]:[R2 After Hours]],Input_Tasks[[#This Row],[R3 Business Hours]:[R3 After Hours]],Input_Tasks[[#This Row],[R4 Business Hours]:[R4 After Hours]],Input_Tasks[[#This Row],[R5 Business Hours]:[R5 After Hours]])</f>
        <v>0</v>
      </c>
    </row>
    <row r="106" spans="1:65">
      <c r="A106" s="384"/>
      <c r="B106" s="271"/>
      <c r="C106" s="271"/>
      <c r="D106" s="406"/>
      <c r="E106" s="385">
        <f>Input_Tasks[[#This Row],[Onsite Round Trips_Hidden]]</f>
        <v>0</v>
      </c>
      <c r="F106" s="385">
        <f>Input_Tasks[[#This Row],[Overnight Stays_Hidden]]</f>
        <v>0</v>
      </c>
      <c r="G106" s="385">
        <f>Input_Tasks[[#This Row],[Documents_Hidden]]</f>
        <v>0</v>
      </c>
      <c r="H106" s="387"/>
      <c r="I106" s="388"/>
      <c r="J106" s="389"/>
      <c r="K106" s="390"/>
      <c r="L106" s="390"/>
      <c r="M106" s="389"/>
      <c r="N106" s="390"/>
      <c r="O106" s="390"/>
      <c r="P106" s="389"/>
      <c r="Q106" s="390"/>
      <c r="R106" s="391"/>
      <c r="S106" s="389"/>
      <c r="T106" s="390"/>
      <c r="U106" s="391"/>
      <c r="V106" s="389"/>
      <c r="W106" s="390"/>
      <c r="X106" s="390"/>
      <c r="Y106" s="386" t="str">
        <f>Input_Tasks[[#This Row],[Onsite Round Trips_Hidden]]&amp;"/"&amp;Input_Tasks[[#This Row],[Overnight Stays_Hidden]]&amp;"/"&amp;Input_Tasks[[#This Row],[Documents_Hidden]]</f>
        <v>0/0/0</v>
      </c>
      <c r="Z106" s="392">
        <f>Input_Tasks[[#This Row],[R1 Cost_Hidden]]</f>
        <v>0</v>
      </c>
      <c r="AA106" s="393">
        <f>Input_Tasks[[#This Row],[R2 Cost_Hidden]]</f>
        <v>0</v>
      </c>
      <c r="AB106" s="393">
        <f>Input_Tasks[[#This Row],[R3 Cost_Hidden]]</f>
        <v>0</v>
      </c>
      <c r="AC106" s="393">
        <f>Input_Tasks[[#This Row],[R4 Cost_Hidden]]</f>
        <v>0</v>
      </c>
      <c r="AD106" s="394">
        <f>Input_Tasks[[#This Row],[R5 Cost_Hidden]]</f>
        <v>0</v>
      </c>
      <c r="AE106" s="395">
        <f>SUM(Input_Tasks[[#This Row],[R1 Cost]:[R5 Cost]])</f>
        <v>0</v>
      </c>
      <c r="AF106" s="392">
        <f>Input_Tasks[[#This Row],[R1 Sell_Hidden]]</f>
        <v>0</v>
      </c>
      <c r="AG106" s="393">
        <f>Input_Tasks[[#This Row],[R2 Sell_Hidden]]</f>
        <v>0</v>
      </c>
      <c r="AH106" s="393">
        <f>Input_Tasks[[#This Row],[R3 Sell_Hidden]]</f>
        <v>0</v>
      </c>
      <c r="AI106" s="393">
        <f>Input_Tasks[[#This Row],[R4 Sell_Hidden5]]</f>
        <v>0</v>
      </c>
      <c r="AJ106" s="394">
        <f>Input_Tasks[[#This Row],[R5 Sell_Hidden]]</f>
        <v>0</v>
      </c>
      <c r="AK106" s="396">
        <f>SUM(Input_Tasks[[#This Row],[R1 Sell]:[R5 Sell]])</f>
        <v>0</v>
      </c>
      <c r="AL106" s="397">
        <f>IFERROR(VLOOKUP(RESOURCE_1_TYPE,COST_RATES,2,FALSE)*Input_Tasks[[#This Row],[R1 Business Hours]],0)+IFERROR(VLOOKUP(RESOURCE_1_TYPE,COST_RATES,3,FALSE)*Input_Tasks[[#This Row],[R1 After Hours]],0)</f>
        <v>0</v>
      </c>
      <c r="AM106" s="398">
        <f>IFERROR(VLOOKUP(RESOURCE_2_TYPE,COST_RATES,2,FALSE)*Input_Tasks[[#This Row],[R2 Business Hours]],0)+IFERROR(VLOOKUP(RESOURCE_2_TYPE,COST_RATES,3,FALSE)*Input_Tasks[[#This Row],[R2 After Hours]],0)</f>
        <v>0</v>
      </c>
      <c r="AN106" s="398">
        <f>IFERROR(VLOOKUP(RESOURCE_3_TYPE,COST_RATES,2,FALSE)*Input_Tasks[[#This Row],[R3 Business Hours]],0)+IFERROR(VLOOKUP(RESOURCE_3_TYPE,COST_RATES,3,FALSE)*Input_Tasks[[#This Row],[R3 After Hours]],0)</f>
        <v>0</v>
      </c>
      <c r="AO106" s="398">
        <f>IFERROR(VLOOKUP(RESOURCE_4_TYPE,COST_RATES,2,FALSE)*Input_Tasks[[#This Row],[R4 Business Hours]],0)+IFERROR(VLOOKUP(RESOURCE_4_TYPE,COST_RATES,3,FALSE)*Input_Tasks[[#This Row],[R4 After Hours]],0)</f>
        <v>0</v>
      </c>
      <c r="AP106" s="398">
        <f>IFERROR(VLOOKUP(RESOURCE_5_TYPE,COST_RATES,2,FALSE)*Input_Tasks[[#This Row],[R5 Business Hours]],0)+IFERROR(VLOOKUP(RESOURCE_5_TYPE,COST_RATES,3,FALSE)*Input_Tasks[[#This Row],[R5 After Hours]],0)</f>
        <v>0</v>
      </c>
      <c r="AQ106" s="399">
        <f>IFERROR(VLOOKUP(RESOURCE_1_TYPE,SELL_RATES,2,FALSE)*Input_Tasks[[#This Row],[R1 Business Hours]],0)+IFERROR(VLOOKUP(RESOURCE_1_TYPE,SELL_RATES,3,FALSE)*Input_Tasks[[#This Row],[R1 After Hours]],0)</f>
        <v>0</v>
      </c>
      <c r="AR106" s="398">
        <f>IFERROR(VLOOKUP(RESOURCE_2_TYPE,SELL_RATES,2,FALSE)*Input_Tasks[[#This Row],[R2 Business Hours]],0)+IFERROR(VLOOKUP(RESOURCE_2_TYPE,SELL_RATES,3,FALSE)*Input_Tasks[[#This Row],[R2 After Hours]],0)</f>
        <v>0</v>
      </c>
      <c r="AS106" s="398">
        <f>IFERROR(VLOOKUP(RESOURCE_3_TYPE,SELL_RATES,2,FALSE)*Input_Tasks[[#This Row],[R3 Business Hours]],0)+IFERROR(VLOOKUP(RESOURCE_3_TYPE,SELL_RATES,3,FALSE)*Input_Tasks[[#This Row],[R3 After Hours]],0)</f>
        <v>0</v>
      </c>
      <c r="AT106" s="398">
        <f>IFERROR(VLOOKUP(RESOURCE_4_TYPE,SELL_RATES,2,FALSE)*Input_Tasks[[#This Row],[R4 Business Hours]],0)+IFERROR(VLOOKUP(RESOURCE_4_TYPE,SELL_RATES,3,FALSE)*Input_Tasks[[#This Row],[R4 After Hours]],0)</f>
        <v>0</v>
      </c>
      <c r="AU106" s="398">
        <f>IFERROR(VLOOKUP(RESOURCE_5_TYPE,SELL_RATES,2,FALSE)*Input_Tasks[[#This Row],[R5 Business Hours]],0)+IFERROR(VLOOKUP(RESOURCE_5_TYPE,SELL_RATES,3,FALSE)*Input_Tasks[[#This Row],[R5 After Hours]],0)</f>
        <v>0</v>
      </c>
      <c r="AV106" s="400">
        <f>SUM(Input_Tasks[[#This Row],[Round Trips R1]:[Round Trips R5]])</f>
        <v>0</v>
      </c>
      <c r="AW106" s="401">
        <f>SUM(Input_Tasks[[#This Row],[Overnight StaysR1]:[Overnight StaysR5]])</f>
        <v>0</v>
      </c>
      <c r="AX106" s="401">
        <f>IF(AND(Input_Tasks[[#This Row],[Sell - Line Total]]&gt;0,OR(Input_Tasks[[#This Row],[Phase]]="",Input_Tasks[[#This Row],[Skill Required]]="",Input_Tasks[[#This Row],[Task Type]]="",Input_Tasks[[#This Row],[Description]]="")),1,0)</f>
        <v>0</v>
      </c>
      <c r="AY106" s="402">
        <f>IF(AND(Input_Tasks[[#This Row],[Task Type]]="ArchiTech Document Deliverable",Input_Tasks[[#This Row],[Hours]]&gt;0),1,0)</f>
        <v>0</v>
      </c>
      <c r="AZ10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0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0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0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0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0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0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0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0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0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0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0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0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06" s="405">
        <f>SUM(Input_Tasks[[#This Row],[R1 Business Hours]:[R1 After Hours]],Input_Tasks[[#This Row],[R2 Business Hours]:[R2 After Hours]],Input_Tasks[[#This Row],[R3 Business Hours]:[R3 After Hours]],Input_Tasks[[#This Row],[R4 Business Hours]:[R4 After Hours]],Input_Tasks[[#This Row],[R5 Business Hours]:[R5 After Hours]])</f>
        <v>0</v>
      </c>
    </row>
    <row r="107" spans="1:65">
      <c r="A107" s="384"/>
      <c r="B107" s="271"/>
      <c r="C107" s="271"/>
      <c r="D107" s="406"/>
      <c r="E107" s="385">
        <f>Input_Tasks[[#This Row],[Onsite Round Trips_Hidden]]</f>
        <v>0</v>
      </c>
      <c r="F107" s="385">
        <f>Input_Tasks[[#This Row],[Overnight Stays_Hidden]]</f>
        <v>0</v>
      </c>
      <c r="G107" s="385">
        <f>Input_Tasks[[#This Row],[Documents_Hidden]]</f>
        <v>0</v>
      </c>
      <c r="H107" s="387"/>
      <c r="I107" s="388"/>
      <c r="J107" s="389"/>
      <c r="K107" s="390"/>
      <c r="L107" s="390"/>
      <c r="M107" s="389"/>
      <c r="N107" s="390"/>
      <c r="O107" s="390"/>
      <c r="P107" s="389"/>
      <c r="Q107" s="390"/>
      <c r="R107" s="391"/>
      <c r="S107" s="389"/>
      <c r="T107" s="390"/>
      <c r="U107" s="391"/>
      <c r="V107" s="389"/>
      <c r="W107" s="390"/>
      <c r="X107" s="390"/>
      <c r="Y107" s="386" t="str">
        <f>Input_Tasks[[#This Row],[Onsite Round Trips_Hidden]]&amp;"/"&amp;Input_Tasks[[#This Row],[Overnight Stays_Hidden]]&amp;"/"&amp;Input_Tasks[[#This Row],[Documents_Hidden]]</f>
        <v>0/0/0</v>
      </c>
      <c r="Z107" s="392">
        <f>Input_Tasks[[#This Row],[R1 Cost_Hidden]]</f>
        <v>0</v>
      </c>
      <c r="AA107" s="393">
        <f>Input_Tasks[[#This Row],[R2 Cost_Hidden]]</f>
        <v>0</v>
      </c>
      <c r="AB107" s="393">
        <f>Input_Tasks[[#This Row],[R3 Cost_Hidden]]</f>
        <v>0</v>
      </c>
      <c r="AC107" s="393">
        <f>Input_Tasks[[#This Row],[R4 Cost_Hidden]]</f>
        <v>0</v>
      </c>
      <c r="AD107" s="394">
        <f>Input_Tasks[[#This Row],[R5 Cost_Hidden]]</f>
        <v>0</v>
      </c>
      <c r="AE107" s="395">
        <f>SUM(Input_Tasks[[#This Row],[R1 Cost]:[R5 Cost]])</f>
        <v>0</v>
      </c>
      <c r="AF107" s="392">
        <f>Input_Tasks[[#This Row],[R1 Sell_Hidden]]</f>
        <v>0</v>
      </c>
      <c r="AG107" s="393">
        <f>Input_Tasks[[#This Row],[R2 Sell_Hidden]]</f>
        <v>0</v>
      </c>
      <c r="AH107" s="393">
        <f>Input_Tasks[[#This Row],[R3 Sell_Hidden]]</f>
        <v>0</v>
      </c>
      <c r="AI107" s="393">
        <f>Input_Tasks[[#This Row],[R4 Sell_Hidden5]]</f>
        <v>0</v>
      </c>
      <c r="AJ107" s="394">
        <f>Input_Tasks[[#This Row],[R5 Sell_Hidden]]</f>
        <v>0</v>
      </c>
      <c r="AK107" s="396">
        <f>SUM(Input_Tasks[[#This Row],[R1 Sell]:[R5 Sell]])</f>
        <v>0</v>
      </c>
      <c r="AL107" s="397">
        <f>IFERROR(VLOOKUP(RESOURCE_1_TYPE,COST_RATES,2,FALSE)*Input_Tasks[[#This Row],[R1 Business Hours]],0)+IFERROR(VLOOKUP(RESOURCE_1_TYPE,COST_RATES,3,FALSE)*Input_Tasks[[#This Row],[R1 After Hours]],0)</f>
        <v>0</v>
      </c>
      <c r="AM107" s="398">
        <f>IFERROR(VLOOKUP(RESOURCE_2_TYPE,COST_RATES,2,FALSE)*Input_Tasks[[#This Row],[R2 Business Hours]],0)+IFERROR(VLOOKUP(RESOURCE_2_TYPE,COST_RATES,3,FALSE)*Input_Tasks[[#This Row],[R2 After Hours]],0)</f>
        <v>0</v>
      </c>
      <c r="AN107" s="398">
        <f>IFERROR(VLOOKUP(RESOURCE_3_TYPE,COST_RATES,2,FALSE)*Input_Tasks[[#This Row],[R3 Business Hours]],0)+IFERROR(VLOOKUP(RESOURCE_3_TYPE,COST_RATES,3,FALSE)*Input_Tasks[[#This Row],[R3 After Hours]],0)</f>
        <v>0</v>
      </c>
      <c r="AO107" s="398">
        <f>IFERROR(VLOOKUP(RESOURCE_4_TYPE,COST_RATES,2,FALSE)*Input_Tasks[[#This Row],[R4 Business Hours]],0)+IFERROR(VLOOKUP(RESOURCE_4_TYPE,COST_RATES,3,FALSE)*Input_Tasks[[#This Row],[R4 After Hours]],0)</f>
        <v>0</v>
      </c>
      <c r="AP107" s="398">
        <f>IFERROR(VLOOKUP(RESOURCE_5_TYPE,COST_RATES,2,FALSE)*Input_Tasks[[#This Row],[R5 Business Hours]],0)+IFERROR(VLOOKUP(RESOURCE_5_TYPE,COST_RATES,3,FALSE)*Input_Tasks[[#This Row],[R5 After Hours]],0)</f>
        <v>0</v>
      </c>
      <c r="AQ107" s="399">
        <f>IFERROR(VLOOKUP(RESOURCE_1_TYPE,SELL_RATES,2,FALSE)*Input_Tasks[[#This Row],[R1 Business Hours]],0)+IFERROR(VLOOKUP(RESOURCE_1_TYPE,SELL_RATES,3,FALSE)*Input_Tasks[[#This Row],[R1 After Hours]],0)</f>
        <v>0</v>
      </c>
      <c r="AR107" s="398">
        <f>IFERROR(VLOOKUP(RESOURCE_2_TYPE,SELL_RATES,2,FALSE)*Input_Tasks[[#This Row],[R2 Business Hours]],0)+IFERROR(VLOOKUP(RESOURCE_2_TYPE,SELL_RATES,3,FALSE)*Input_Tasks[[#This Row],[R2 After Hours]],0)</f>
        <v>0</v>
      </c>
      <c r="AS107" s="398">
        <f>IFERROR(VLOOKUP(RESOURCE_3_TYPE,SELL_RATES,2,FALSE)*Input_Tasks[[#This Row],[R3 Business Hours]],0)+IFERROR(VLOOKUP(RESOURCE_3_TYPE,SELL_RATES,3,FALSE)*Input_Tasks[[#This Row],[R3 After Hours]],0)</f>
        <v>0</v>
      </c>
      <c r="AT107" s="398">
        <f>IFERROR(VLOOKUP(RESOURCE_4_TYPE,SELL_RATES,2,FALSE)*Input_Tasks[[#This Row],[R4 Business Hours]],0)+IFERROR(VLOOKUP(RESOURCE_4_TYPE,SELL_RATES,3,FALSE)*Input_Tasks[[#This Row],[R4 After Hours]],0)</f>
        <v>0</v>
      </c>
      <c r="AU107" s="398">
        <f>IFERROR(VLOOKUP(RESOURCE_5_TYPE,SELL_RATES,2,FALSE)*Input_Tasks[[#This Row],[R5 Business Hours]],0)+IFERROR(VLOOKUP(RESOURCE_5_TYPE,SELL_RATES,3,FALSE)*Input_Tasks[[#This Row],[R5 After Hours]],0)</f>
        <v>0</v>
      </c>
      <c r="AV107" s="400">
        <f>SUM(Input_Tasks[[#This Row],[Round Trips R1]:[Round Trips R5]])</f>
        <v>0</v>
      </c>
      <c r="AW107" s="401">
        <f>SUM(Input_Tasks[[#This Row],[Overnight StaysR1]:[Overnight StaysR5]])</f>
        <v>0</v>
      </c>
      <c r="AX107" s="401">
        <f>IF(AND(Input_Tasks[[#This Row],[Sell - Line Total]]&gt;0,OR(Input_Tasks[[#This Row],[Phase]]="",Input_Tasks[[#This Row],[Skill Required]]="",Input_Tasks[[#This Row],[Task Type]]="",Input_Tasks[[#This Row],[Description]]="")),1,0)</f>
        <v>0</v>
      </c>
      <c r="AY107" s="402">
        <f>IF(AND(Input_Tasks[[#This Row],[Task Type]]="ArchiTech Document Deliverable",Input_Tasks[[#This Row],[Hours]]&gt;0),1,0)</f>
        <v>0</v>
      </c>
      <c r="AZ10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0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0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0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0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0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0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0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0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0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0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0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0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07" s="405">
        <f>SUM(Input_Tasks[[#This Row],[R1 Business Hours]:[R1 After Hours]],Input_Tasks[[#This Row],[R2 Business Hours]:[R2 After Hours]],Input_Tasks[[#This Row],[R3 Business Hours]:[R3 After Hours]],Input_Tasks[[#This Row],[R4 Business Hours]:[R4 After Hours]],Input_Tasks[[#This Row],[R5 Business Hours]:[R5 After Hours]])</f>
        <v>0</v>
      </c>
    </row>
    <row r="108" spans="1:65">
      <c r="A108" s="384"/>
      <c r="B108" s="271"/>
      <c r="C108" s="271"/>
      <c r="D108" s="406"/>
      <c r="E108" s="385">
        <f>Input_Tasks[[#This Row],[Onsite Round Trips_Hidden]]</f>
        <v>0</v>
      </c>
      <c r="F108" s="385">
        <f>Input_Tasks[[#This Row],[Overnight Stays_Hidden]]</f>
        <v>0</v>
      </c>
      <c r="G108" s="385">
        <f>Input_Tasks[[#This Row],[Documents_Hidden]]</f>
        <v>0</v>
      </c>
      <c r="H108" s="387"/>
      <c r="I108" s="388"/>
      <c r="J108" s="389"/>
      <c r="K108" s="390"/>
      <c r="L108" s="390"/>
      <c r="M108" s="389"/>
      <c r="N108" s="390"/>
      <c r="O108" s="390"/>
      <c r="P108" s="389"/>
      <c r="Q108" s="390"/>
      <c r="R108" s="391"/>
      <c r="S108" s="389"/>
      <c r="T108" s="390"/>
      <c r="U108" s="391"/>
      <c r="V108" s="389"/>
      <c r="W108" s="390"/>
      <c r="X108" s="390"/>
      <c r="Y108" s="386" t="str">
        <f>Input_Tasks[[#This Row],[Onsite Round Trips_Hidden]]&amp;"/"&amp;Input_Tasks[[#This Row],[Overnight Stays_Hidden]]&amp;"/"&amp;Input_Tasks[[#This Row],[Documents_Hidden]]</f>
        <v>0/0/0</v>
      </c>
      <c r="Z108" s="392">
        <f>Input_Tasks[[#This Row],[R1 Cost_Hidden]]</f>
        <v>0</v>
      </c>
      <c r="AA108" s="393">
        <f>Input_Tasks[[#This Row],[R2 Cost_Hidden]]</f>
        <v>0</v>
      </c>
      <c r="AB108" s="393">
        <f>Input_Tasks[[#This Row],[R3 Cost_Hidden]]</f>
        <v>0</v>
      </c>
      <c r="AC108" s="393">
        <f>Input_Tasks[[#This Row],[R4 Cost_Hidden]]</f>
        <v>0</v>
      </c>
      <c r="AD108" s="394">
        <f>Input_Tasks[[#This Row],[R5 Cost_Hidden]]</f>
        <v>0</v>
      </c>
      <c r="AE108" s="395">
        <f>SUM(Input_Tasks[[#This Row],[R1 Cost]:[R5 Cost]])</f>
        <v>0</v>
      </c>
      <c r="AF108" s="392">
        <f>Input_Tasks[[#This Row],[R1 Sell_Hidden]]</f>
        <v>0</v>
      </c>
      <c r="AG108" s="393">
        <f>Input_Tasks[[#This Row],[R2 Sell_Hidden]]</f>
        <v>0</v>
      </c>
      <c r="AH108" s="393">
        <f>Input_Tasks[[#This Row],[R3 Sell_Hidden]]</f>
        <v>0</v>
      </c>
      <c r="AI108" s="393">
        <f>Input_Tasks[[#This Row],[R4 Sell_Hidden5]]</f>
        <v>0</v>
      </c>
      <c r="AJ108" s="394">
        <f>Input_Tasks[[#This Row],[R5 Sell_Hidden]]</f>
        <v>0</v>
      </c>
      <c r="AK108" s="396">
        <f>SUM(Input_Tasks[[#This Row],[R1 Sell]:[R5 Sell]])</f>
        <v>0</v>
      </c>
      <c r="AL108" s="397">
        <f>IFERROR(VLOOKUP(RESOURCE_1_TYPE,COST_RATES,2,FALSE)*Input_Tasks[[#This Row],[R1 Business Hours]],0)+IFERROR(VLOOKUP(RESOURCE_1_TYPE,COST_RATES,3,FALSE)*Input_Tasks[[#This Row],[R1 After Hours]],0)</f>
        <v>0</v>
      </c>
      <c r="AM108" s="398">
        <f>IFERROR(VLOOKUP(RESOURCE_2_TYPE,COST_RATES,2,FALSE)*Input_Tasks[[#This Row],[R2 Business Hours]],0)+IFERROR(VLOOKUP(RESOURCE_2_TYPE,COST_RATES,3,FALSE)*Input_Tasks[[#This Row],[R2 After Hours]],0)</f>
        <v>0</v>
      </c>
      <c r="AN108" s="398">
        <f>IFERROR(VLOOKUP(RESOURCE_3_TYPE,COST_RATES,2,FALSE)*Input_Tasks[[#This Row],[R3 Business Hours]],0)+IFERROR(VLOOKUP(RESOURCE_3_TYPE,COST_RATES,3,FALSE)*Input_Tasks[[#This Row],[R3 After Hours]],0)</f>
        <v>0</v>
      </c>
      <c r="AO108" s="398">
        <f>IFERROR(VLOOKUP(RESOURCE_4_TYPE,COST_RATES,2,FALSE)*Input_Tasks[[#This Row],[R4 Business Hours]],0)+IFERROR(VLOOKUP(RESOURCE_4_TYPE,COST_RATES,3,FALSE)*Input_Tasks[[#This Row],[R4 After Hours]],0)</f>
        <v>0</v>
      </c>
      <c r="AP108" s="398">
        <f>IFERROR(VLOOKUP(RESOURCE_5_TYPE,COST_RATES,2,FALSE)*Input_Tasks[[#This Row],[R5 Business Hours]],0)+IFERROR(VLOOKUP(RESOURCE_5_TYPE,COST_RATES,3,FALSE)*Input_Tasks[[#This Row],[R5 After Hours]],0)</f>
        <v>0</v>
      </c>
      <c r="AQ108" s="399">
        <f>IFERROR(VLOOKUP(RESOURCE_1_TYPE,SELL_RATES,2,FALSE)*Input_Tasks[[#This Row],[R1 Business Hours]],0)+IFERROR(VLOOKUP(RESOURCE_1_TYPE,SELL_RATES,3,FALSE)*Input_Tasks[[#This Row],[R1 After Hours]],0)</f>
        <v>0</v>
      </c>
      <c r="AR108" s="398">
        <f>IFERROR(VLOOKUP(RESOURCE_2_TYPE,SELL_RATES,2,FALSE)*Input_Tasks[[#This Row],[R2 Business Hours]],0)+IFERROR(VLOOKUP(RESOURCE_2_TYPE,SELL_RATES,3,FALSE)*Input_Tasks[[#This Row],[R2 After Hours]],0)</f>
        <v>0</v>
      </c>
      <c r="AS108" s="398">
        <f>IFERROR(VLOOKUP(RESOURCE_3_TYPE,SELL_RATES,2,FALSE)*Input_Tasks[[#This Row],[R3 Business Hours]],0)+IFERROR(VLOOKUP(RESOURCE_3_TYPE,SELL_RATES,3,FALSE)*Input_Tasks[[#This Row],[R3 After Hours]],0)</f>
        <v>0</v>
      </c>
      <c r="AT108" s="398">
        <f>IFERROR(VLOOKUP(RESOURCE_4_TYPE,SELL_RATES,2,FALSE)*Input_Tasks[[#This Row],[R4 Business Hours]],0)+IFERROR(VLOOKUP(RESOURCE_4_TYPE,SELL_RATES,3,FALSE)*Input_Tasks[[#This Row],[R4 After Hours]],0)</f>
        <v>0</v>
      </c>
      <c r="AU108" s="398">
        <f>IFERROR(VLOOKUP(RESOURCE_5_TYPE,SELL_RATES,2,FALSE)*Input_Tasks[[#This Row],[R5 Business Hours]],0)+IFERROR(VLOOKUP(RESOURCE_5_TYPE,SELL_RATES,3,FALSE)*Input_Tasks[[#This Row],[R5 After Hours]],0)</f>
        <v>0</v>
      </c>
      <c r="AV108" s="400">
        <f>SUM(Input_Tasks[[#This Row],[Round Trips R1]:[Round Trips R5]])</f>
        <v>0</v>
      </c>
      <c r="AW108" s="401">
        <f>SUM(Input_Tasks[[#This Row],[Overnight StaysR1]:[Overnight StaysR5]])</f>
        <v>0</v>
      </c>
      <c r="AX108" s="401">
        <f>IF(AND(Input_Tasks[[#This Row],[Sell - Line Total]]&gt;0,OR(Input_Tasks[[#This Row],[Phase]]="",Input_Tasks[[#This Row],[Skill Required]]="",Input_Tasks[[#This Row],[Task Type]]="",Input_Tasks[[#This Row],[Description]]="")),1,0)</f>
        <v>0</v>
      </c>
      <c r="AY108" s="402">
        <f>IF(AND(Input_Tasks[[#This Row],[Task Type]]="ArchiTech Document Deliverable",Input_Tasks[[#This Row],[Hours]]&gt;0),1,0)</f>
        <v>0</v>
      </c>
      <c r="AZ10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0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0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0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0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0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0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0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0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0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0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0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0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08" s="405">
        <f>SUM(Input_Tasks[[#This Row],[R1 Business Hours]:[R1 After Hours]],Input_Tasks[[#This Row],[R2 Business Hours]:[R2 After Hours]],Input_Tasks[[#This Row],[R3 Business Hours]:[R3 After Hours]],Input_Tasks[[#This Row],[R4 Business Hours]:[R4 After Hours]],Input_Tasks[[#This Row],[R5 Business Hours]:[R5 After Hours]])</f>
        <v>0</v>
      </c>
    </row>
    <row r="109" spans="1:65">
      <c r="A109" s="384"/>
      <c r="B109" s="271"/>
      <c r="C109" s="271"/>
      <c r="D109" s="406"/>
      <c r="E109" s="385">
        <f>Input_Tasks[[#This Row],[Onsite Round Trips_Hidden]]</f>
        <v>0</v>
      </c>
      <c r="F109" s="385">
        <f>Input_Tasks[[#This Row],[Overnight Stays_Hidden]]</f>
        <v>0</v>
      </c>
      <c r="G109" s="385">
        <f>Input_Tasks[[#This Row],[Documents_Hidden]]</f>
        <v>0</v>
      </c>
      <c r="H109" s="387"/>
      <c r="I109" s="388"/>
      <c r="J109" s="389"/>
      <c r="K109" s="390"/>
      <c r="L109" s="390"/>
      <c r="M109" s="389"/>
      <c r="N109" s="390"/>
      <c r="O109" s="390"/>
      <c r="P109" s="389"/>
      <c r="Q109" s="390"/>
      <c r="R109" s="391"/>
      <c r="S109" s="389"/>
      <c r="T109" s="390"/>
      <c r="U109" s="391"/>
      <c r="V109" s="389"/>
      <c r="W109" s="390"/>
      <c r="X109" s="390"/>
      <c r="Y109" s="386" t="str">
        <f>Input_Tasks[[#This Row],[Onsite Round Trips_Hidden]]&amp;"/"&amp;Input_Tasks[[#This Row],[Overnight Stays_Hidden]]&amp;"/"&amp;Input_Tasks[[#This Row],[Documents_Hidden]]</f>
        <v>0/0/0</v>
      </c>
      <c r="Z109" s="392">
        <f>Input_Tasks[[#This Row],[R1 Cost_Hidden]]</f>
        <v>0</v>
      </c>
      <c r="AA109" s="393">
        <f>Input_Tasks[[#This Row],[R2 Cost_Hidden]]</f>
        <v>0</v>
      </c>
      <c r="AB109" s="393">
        <f>Input_Tasks[[#This Row],[R3 Cost_Hidden]]</f>
        <v>0</v>
      </c>
      <c r="AC109" s="393">
        <f>Input_Tasks[[#This Row],[R4 Cost_Hidden]]</f>
        <v>0</v>
      </c>
      <c r="AD109" s="394">
        <f>Input_Tasks[[#This Row],[R5 Cost_Hidden]]</f>
        <v>0</v>
      </c>
      <c r="AE109" s="395">
        <f>SUM(Input_Tasks[[#This Row],[R1 Cost]:[R5 Cost]])</f>
        <v>0</v>
      </c>
      <c r="AF109" s="392">
        <f>Input_Tasks[[#This Row],[R1 Sell_Hidden]]</f>
        <v>0</v>
      </c>
      <c r="AG109" s="393">
        <f>Input_Tasks[[#This Row],[R2 Sell_Hidden]]</f>
        <v>0</v>
      </c>
      <c r="AH109" s="393">
        <f>Input_Tasks[[#This Row],[R3 Sell_Hidden]]</f>
        <v>0</v>
      </c>
      <c r="AI109" s="393">
        <f>Input_Tasks[[#This Row],[R4 Sell_Hidden5]]</f>
        <v>0</v>
      </c>
      <c r="AJ109" s="394">
        <f>Input_Tasks[[#This Row],[R5 Sell_Hidden]]</f>
        <v>0</v>
      </c>
      <c r="AK109" s="396">
        <f>SUM(Input_Tasks[[#This Row],[R1 Sell]:[R5 Sell]])</f>
        <v>0</v>
      </c>
      <c r="AL109" s="397">
        <f>IFERROR(VLOOKUP(RESOURCE_1_TYPE,COST_RATES,2,FALSE)*Input_Tasks[[#This Row],[R1 Business Hours]],0)+IFERROR(VLOOKUP(RESOURCE_1_TYPE,COST_RATES,3,FALSE)*Input_Tasks[[#This Row],[R1 After Hours]],0)</f>
        <v>0</v>
      </c>
      <c r="AM109" s="398">
        <f>IFERROR(VLOOKUP(RESOURCE_2_TYPE,COST_RATES,2,FALSE)*Input_Tasks[[#This Row],[R2 Business Hours]],0)+IFERROR(VLOOKUP(RESOURCE_2_TYPE,COST_RATES,3,FALSE)*Input_Tasks[[#This Row],[R2 After Hours]],0)</f>
        <v>0</v>
      </c>
      <c r="AN109" s="398">
        <f>IFERROR(VLOOKUP(RESOURCE_3_TYPE,COST_RATES,2,FALSE)*Input_Tasks[[#This Row],[R3 Business Hours]],0)+IFERROR(VLOOKUP(RESOURCE_3_TYPE,COST_RATES,3,FALSE)*Input_Tasks[[#This Row],[R3 After Hours]],0)</f>
        <v>0</v>
      </c>
      <c r="AO109" s="398">
        <f>IFERROR(VLOOKUP(RESOURCE_4_TYPE,COST_RATES,2,FALSE)*Input_Tasks[[#This Row],[R4 Business Hours]],0)+IFERROR(VLOOKUP(RESOURCE_4_TYPE,COST_RATES,3,FALSE)*Input_Tasks[[#This Row],[R4 After Hours]],0)</f>
        <v>0</v>
      </c>
      <c r="AP109" s="398">
        <f>IFERROR(VLOOKUP(RESOURCE_5_TYPE,COST_RATES,2,FALSE)*Input_Tasks[[#This Row],[R5 Business Hours]],0)+IFERROR(VLOOKUP(RESOURCE_5_TYPE,COST_RATES,3,FALSE)*Input_Tasks[[#This Row],[R5 After Hours]],0)</f>
        <v>0</v>
      </c>
      <c r="AQ109" s="399">
        <f>IFERROR(VLOOKUP(RESOURCE_1_TYPE,SELL_RATES,2,FALSE)*Input_Tasks[[#This Row],[R1 Business Hours]],0)+IFERROR(VLOOKUP(RESOURCE_1_TYPE,SELL_RATES,3,FALSE)*Input_Tasks[[#This Row],[R1 After Hours]],0)</f>
        <v>0</v>
      </c>
      <c r="AR109" s="398">
        <f>IFERROR(VLOOKUP(RESOURCE_2_TYPE,SELL_RATES,2,FALSE)*Input_Tasks[[#This Row],[R2 Business Hours]],0)+IFERROR(VLOOKUP(RESOURCE_2_TYPE,SELL_RATES,3,FALSE)*Input_Tasks[[#This Row],[R2 After Hours]],0)</f>
        <v>0</v>
      </c>
      <c r="AS109" s="398">
        <f>IFERROR(VLOOKUP(RESOURCE_3_TYPE,SELL_RATES,2,FALSE)*Input_Tasks[[#This Row],[R3 Business Hours]],0)+IFERROR(VLOOKUP(RESOURCE_3_TYPE,SELL_RATES,3,FALSE)*Input_Tasks[[#This Row],[R3 After Hours]],0)</f>
        <v>0</v>
      </c>
      <c r="AT109" s="398">
        <f>IFERROR(VLOOKUP(RESOURCE_4_TYPE,SELL_RATES,2,FALSE)*Input_Tasks[[#This Row],[R4 Business Hours]],0)+IFERROR(VLOOKUP(RESOURCE_4_TYPE,SELL_RATES,3,FALSE)*Input_Tasks[[#This Row],[R4 After Hours]],0)</f>
        <v>0</v>
      </c>
      <c r="AU109" s="398">
        <f>IFERROR(VLOOKUP(RESOURCE_5_TYPE,SELL_RATES,2,FALSE)*Input_Tasks[[#This Row],[R5 Business Hours]],0)+IFERROR(VLOOKUP(RESOURCE_5_TYPE,SELL_RATES,3,FALSE)*Input_Tasks[[#This Row],[R5 After Hours]],0)</f>
        <v>0</v>
      </c>
      <c r="AV109" s="400">
        <f>SUM(Input_Tasks[[#This Row],[Round Trips R1]:[Round Trips R5]])</f>
        <v>0</v>
      </c>
      <c r="AW109" s="401">
        <f>SUM(Input_Tasks[[#This Row],[Overnight StaysR1]:[Overnight StaysR5]])</f>
        <v>0</v>
      </c>
      <c r="AX109" s="401">
        <f>IF(AND(Input_Tasks[[#This Row],[Sell - Line Total]]&gt;0,OR(Input_Tasks[[#This Row],[Phase]]="",Input_Tasks[[#This Row],[Skill Required]]="",Input_Tasks[[#This Row],[Task Type]]="",Input_Tasks[[#This Row],[Description]]="")),1,0)</f>
        <v>0</v>
      </c>
      <c r="AY109" s="402">
        <f>IF(AND(Input_Tasks[[#This Row],[Task Type]]="ArchiTech Document Deliverable",Input_Tasks[[#This Row],[Hours]]&gt;0),1,0)</f>
        <v>0</v>
      </c>
      <c r="AZ10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0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0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0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0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0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0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0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0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0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0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0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0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09" s="405">
        <f>SUM(Input_Tasks[[#This Row],[R1 Business Hours]:[R1 After Hours]],Input_Tasks[[#This Row],[R2 Business Hours]:[R2 After Hours]],Input_Tasks[[#This Row],[R3 Business Hours]:[R3 After Hours]],Input_Tasks[[#This Row],[R4 Business Hours]:[R4 After Hours]],Input_Tasks[[#This Row],[R5 Business Hours]:[R5 After Hours]])</f>
        <v>0</v>
      </c>
    </row>
    <row r="110" spans="1:65">
      <c r="A110" s="384"/>
      <c r="B110" s="271"/>
      <c r="C110" s="271"/>
      <c r="D110" s="406"/>
      <c r="E110" s="385">
        <f>Input_Tasks[[#This Row],[Onsite Round Trips_Hidden]]</f>
        <v>0</v>
      </c>
      <c r="F110" s="385">
        <f>Input_Tasks[[#This Row],[Overnight Stays_Hidden]]</f>
        <v>0</v>
      </c>
      <c r="G110" s="385">
        <f>Input_Tasks[[#This Row],[Documents_Hidden]]</f>
        <v>0</v>
      </c>
      <c r="H110" s="387"/>
      <c r="I110" s="388"/>
      <c r="J110" s="389"/>
      <c r="K110" s="390"/>
      <c r="L110" s="390"/>
      <c r="M110" s="389"/>
      <c r="N110" s="390"/>
      <c r="O110" s="390"/>
      <c r="P110" s="389"/>
      <c r="Q110" s="390"/>
      <c r="R110" s="391"/>
      <c r="S110" s="389"/>
      <c r="T110" s="390"/>
      <c r="U110" s="391"/>
      <c r="V110" s="389"/>
      <c r="W110" s="390"/>
      <c r="X110" s="390"/>
      <c r="Y110" s="386" t="str">
        <f>Input_Tasks[[#This Row],[Onsite Round Trips_Hidden]]&amp;"/"&amp;Input_Tasks[[#This Row],[Overnight Stays_Hidden]]&amp;"/"&amp;Input_Tasks[[#This Row],[Documents_Hidden]]</f>
        <v>0/0/0</v>
      </c>
      <c r="Z110" s="392">
        <f>Input_Tasks[[#This Row],[R1 Cost_Hidden]]</f>
        <v>0</v>
      </c>
      <c r="AA110" s="393">
        <f>Input_Tasks[[#This Row],[R2 Cost_Hidden]]</f>
        <v>0</v>
      </c>
      <c r="AB110" s="393">
        <f>Input_Tasks[[#This Row],[R3 Cost_Hidden]]</f>
        <v>0</v>
      </c>
      <c r="AC110" s="393">
        <f>Input_Tasks[[#This Row],[R4 Cost_Hidden]]</f>
        <v>0</v>
      </c>
      <c r="AD110" s="394">
        <f>Input_Tasks[[#This Row],[R5 Cost_Hidden]]</f>
        <v>0</v>
      </c>
      <c r="AE110" s="395">
        <f>SUM(Input_Tasks[[#This Row],[R1 Cost]:[R5 Cost]])</f>
        <v>0</v>
      </c>
      <c r="AF110" s="392">
        <f>Input_Tasks[[#This Row],[R1 Sell_Hidden]]</f>
        <v>0</v>
      </c>
      <c r="AG110" s="393">
        <f>Input_Tasks[[#This Row],[R2 Sell_Hidden]]</f>
        <v>0</v>
      </c>
      <c r="AH110" s="393">
        <f>Input_Tasks[[#This Row],[R3 Sell_Hidden]]</f>
        <v>0</v>
      </c>
      <c r="AI110" s="393">
        <f>Input_Tasks[[#This Row],[R4 Sell_Hidden5]]</f>
        <v>0</v>
      </c>
      <c r="AJ110" s="394">
        <f>Input_Tasks[[#This Row],[R5 Sell_Hidden]]</f>
        <v>0</v>
      </c>
      <c r="AK110" s="396">
        <f>SUM(Input_Tasks[[#This Row],[R1 Sell]:[R5 Sell]])</f>
        <v>0</v>
      </c>
      <c r="AL110" s="397">
        <f>IFERROR(VLOOKUP(RESOURCE_1_TYPE,COST_RATES,2,FALSE)*Input_Tasks[[#This Row],[R1 Business Hours]],0)+IFERROR(VLOOKUP(RESOURCE_1_TYPE,COST_RATES,3,FALSE)*Input_Tasks[[#This Row],[R1 After Hours]],0)</f>
        <v>0</v>
      </c>
      <c r="AM110" s="398">
        <f>IFERROR(VLOOKUP(RESOURCE_2_TYPE,COST_RATES,2,FALSE)*Input_Tasks[[#This Row],[R2 Business Hours]],0)+IFERROR(VLOOKUP(RESOURCE_2_TYPE,COST_RATES,3,FALSE)*Input_Tasks[[#This Row],[R2 After Hours]],0)</f>
        <v>0</v>
      </c>
      <c r="AN110" s="398">
        <f>IFERROR(VLOOKUP(RESOURCE_3_TYPE,COST_RATES,2,FALSE)*Input_Tasks[[#This Row],[R3 Business Hours]],0)+IFERROR(VLOOKUP(RESOURCE_3_TYPE,COST_RATES,3,FALSE)*Input_Tasks[[#This Row],[R3 After Hours]],0)</f>
        <v>0</v>
      </c>
      <c r="AO110" s="398">
        <f>IFERROR(VLOOKUP(RESOURCE_4_TYPE,COST_RATES,2,FALSE)*Input_Tasks[[#This Row],[R4 Business Hours]],0)+IFERROR(VLOOKUP(RESOURCE_4_TYPE,COST_RATES,3,FALSE)*Input_Tasks[[#This Row],[R4 After Hours]],0)</f>
        <v>0</v>
      </c>
      <c r="AP110" s="398">
        <f>IFERROR(VLOOKUP(RESOURCE_5_TYPE,COST_RATES,2,FALSE)*Input_Tasks[[#This Row],[R5 Business Hours]],0)+IFERROR(VLOOKUP(RESOURCE_5_TYPE,COST_RATES,3,FALSE)*Input_Tasks[[#This Row],[R5 After Hours]],0)</f>
        <v>0</v>
      </c>
      <c r="AQ110" s="399">
        <f>IFERROR(VLOOKUP(RESOURCE_1_TYPE,SELL_RATES,2,FALSE)*Input_Tasks[[#This Row],[R1 Business Hours]],0)+IFERROR(VLOOKUP(RESOURCE_1_TYPE,SELL_RATES,3,FALSE)*Input_Tasks[[#This Row],[R1 After Hours]],0)</f>
        <v>0</v>
      </c>
      <c r="AR110" s="398">
        <f>IFERROR(VLOOKUP(RESOURCE_2_TYPE,SELL_RATES,2,FALSE)*Input_Tasks[[#This Row],[R2 Business Hours]],0)+IFERROR(VLOOKUP(RESOURCE_2_TYPE,SELL_RATES,3,FALSE)*Input_Tasks[[#This Row],[R2 After Hours]],0)</f>
        <v>0</v>
      </c>
      <c r="AS110" s="398">
        <f>IFERROR(VLOOKUP(RESOURCE_3_TYPE,SELL_RATES,2,FALSE)*Input_Tasks[[#This Row],[R3 Business Hours]],0)+IFERROR(VLOOKUP(RESOURCE_3_TYPE,SELL_RATES,3,FALSE)*Input_Tasks[[#This Row],[R3 After Hours]],0)</f>
        <v>0</v>
      </c>
      <c r="AT110" s="398">
        <f>IFERROR(VLOOKUP(RESOURCE_4_TYPE,SELL_RATES,2,FALSE)*Input_Tasks[[#This Row],[R4 Business Hours]],0)+IFERROR(VLOOKUP(RESOURCE_4_TYPE,SELL_RATES,3,FALSE)*Input_Tasks[[#This Row],[R4 After Hours]],0)</f>
        <v>0</v>
      </c>
      <c r="AU110" s="398">
        <f>IFERROR(VLOOKUP(RESOURCE_5_TYPE,SELL_RATES,2,FALSE)*Input_Tasks[[#This Row],[R5 Business Hours]],0)+IFERROR(VLOOKUP(RESOURCE_5_TYPE,SELL_RATES,3,FALSE)*Input_Tasks[[#This Row],[R5 After Hours]],0)</f>
        <v>0</v>
      </c>
      <c r="AV110" s="400">
        <f>SUM(Input_Tasks[[#This Row],[Round Trips R1]:[Round Trips R5]])</f>
        <v>0</v>
      </c>
      <c r="AW110" s="401">
        <f>SUM(Input_Tasks[[#This Row],[Overnight StaysR1]:[Overnight StaysR5]])</f>
        <v>0</v>
      </c>
      <c r="AX110" s="401">
        <f>IF(AND(Input_Tasks[[#This Row],[Sell - Line Total]]&gt;0,OR(Input_Tasks[[#This Row],[Phase]]="",Input_Tasks[[#This Row],[Skill Required]]="",Input_Tasks[[#This Row],[Task Type]]="",Input_Tasks[[#This Row],[Description]]="")),1,0)</f>
        <v>0</v>
      </c>
      <c r="AY110" s="402">
        <f>IF(AND(Input_Tasks[[#This Row],[Task Type]]="ArchiTech Document Deliverable",Input_Tasks[[#This Row],[Hours]]&gt;0),1,0)</f>
        <v>0</v>
      </c>
      <c r="AZ11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1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1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1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1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1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1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1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1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1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1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1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1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10" s="405">
        <f>SUM(Input_Tasks[[#This Row],[R1 Business Hours]:[R1 After Hours]],Input_Tasks[[#This Row],[R2 Business Hours]:[R2 After Hours]],Input_Tasks[[#This Row],[R3 Business Hours]:[R3 After Hours]],Input_Tasks[[#This Row],[R4 Business Hours]:[R4 After Hours]],Input_Tasks[[#This Row],[R5 Business Hours]:[R5 After Hours]])</f>
        <v>0</v>
      </c>
    </row>
    <row r="111" spans="1:65">
      <c r="A111" s="384"/>
      <c r="B111" s="271"/>
      <c r="C111" s="271"/>
      <c r="D111" s="406"/>
      <c r="E111" s="385">
        <f>Input_Tasks[[#This Row],[Onsite Round Trips_Hidden]]</f>
        <v>0</v>
      </c>
      <c r="F111" s="385">
        <f>Input_Tasks[[#This Row],[Overnight Stays_Hidden]]</f>
        <v>0</v>
      </c>
      <c r="G111" s="385">
        <f>Input_Tasks[[#This Row],[Documents_Hidden]]</f>
        <v>0</v>
      </c>
      <c r="H111" s="387"/>
      <c r="I111" s="388"/>
      <c r="J111" s="389"/>
      <c r="K111" s="390"/>
      <c r="L111" s="390"/>
      <c r="M111" s="389"/>
      <c r="N111" s="390"/>
      <c r="O111" s="390"/>
      <c r="P111" s="389"/>
      <c r="Q111" s="390"/>
      <c r="R111" s="391"/>
      <c r="S111" s="389"/>
      <c r="T111" s="390"/>
      <c r="U111" s="391"/>
      <c r="V111" s="389"/>
      <c r="W111" s="390"/>
      <c r="X111" s="390"/>
      <c r="Y111" s="386" t="str">
        <f>Input_Tasks[[#This Row],[Onsite Round Trips_Hidden]]&amp;"/"&amp;Input_Tasks[[#This Row],[Overnight Stays_Hidden]]&amp;"/"&amp;Input_Tasks[[#This Row],[Documents_Hidden]]</f>
        <v>0/0/0</v>
      </c>
      <c r="Z111" s="392">
        <f>Input_Tasks[[#This Row],[R1 Cost_Hidden]]</f>
        <v>0</v>
      </c>
      <c r="AA111" s="393">
        <f>Input_Tasks[[#This Row],[R2 Cost_Hidden]]</f>
        <v>0</v>
      </c>
      <c r="AB111" s="393">
        <f>Input_Tasks[[#This Row],[R3 Cost_Hidden]]</f>
        <v>0</v>
      </c>
      <c r="AC111" s="393">
        <f>Input_Tasks[[#This Row],[R4 Cost_Hidden]]</f>
        <v>0</v>
      </c>
      <c r="AD111" s="394">
        <f>Input_Tasks[[#This Row],[R5 Cost_Hidden]]</f>
        <v>0</v>
      </c>
      <c r="AE111" s="395">
        <f>SUM(Input_Tasks[[#This Row],[R1 Cost]:[R5 Cost]])</f>
        <v>0</v>
      </c>
      <c r="AF111" s="392">
        <f>Input_Tasks[[#This Row],[R1 Sell_Hidden]]</f>
        <v>0</v>
      </c>
      <c r="AG111" s="393">
        <f>Input_Tasks[[#This Row],[R2 Sell_Hidden]]</f>
        <v>0</v>
      </c>
      <c r="AH111" s="393">
        <f>Input_Tasks[[#This Row],[R3 Sell_Hidden]]</f>
        <v>0</v>
      </c>
      <c r="AI111" s="393">
        <f>Input_Tasks[[#This Row],[R4 Sell_Hidden5]]</f>
        <v>0</v>
      </c>
      <c r="AJ111" s="394">
        <f>Input_Tasks[[#This Row],[R5 Sell_Hidden]]</f>
        <v>0</v>
      </c>
      <c r="AK111" s="396">
        <f>SUM(Input_Tasks[[#This Row],[R1 Sell]:[R5 Sell]])</f>
        <v>0</v>
      </c>
      <c r="AL111" s="397">
        <f>IFERROR(VLOOKUP(RESOURCE_1_TYPE,COST_RATES,2,FALSE)*Input_Tasks[[#This Row],[R1 Business Hours]],0)+IFERROR(VLOOKUP(RESOURCE_1_TYPE,COST_RATES,3,FALSE)*Input_Tasks[[#This Row],[R1 After Hours]],0)</f>
        <v>0</v>
      </c>
      <c r="AM111" s="398">
        <f>IFERROR(VLOOKUP(RESOURCE_2_TYPE,COST_RATES,2,FALSE)*Input_Tasks[[#This Row],[R2 Business Hours]],0)+IFERROR(VLOOKUP(RESOURCE_2_TYPE,COST_RATES,3,FALSE)*Input_Tasks[[#This Row],[R2 After Hours]],0)</f>
        <v>0</v>
      </c>
      <c r="AN111" s="398">
        <f>IFERROR(VLOOKUP(RESOURCE_3_TYPE,COST_RATES,2,FALSE)*Input_Tasks[[#This Row],[R3 Business Hours]],0)+IFERROR(VLOOKUP(RESOURCE_3_TYPE,COST_RATES,3,FALSE)*Input_Tasks[[#This Row],[R3 After Hours]],0)</f>
        <v>0</v>
      </c>
      <c r="AO111" s="398">
        <f>IFERROR(VLOOKUP(RESOURCE_4_TYPE,COST_RATES,2,FALSE)*Input_Tasks[[#This Row],[R4 Business Hours]],0)+IFERROR(VLOOKUP(RESOURCE_4_TYPE,COST_RATES,3,FALSE)*Input_Tasks[[#This Row],[R4 After Hours]],0)</f>
        <v>0</v>
      </c>
      <c r="AP111" s="398">
        <f>IFERROR(VLOOKUP(RESOURCE_5_TYPE,COST_RATES,2,FALSE)*Input_Tasks[[#This Row],[R5 Business Hours]],0)+IFERROR(VLOOKUP(RESOURCE_5_TYPE,COST_RATES,3,FALSE)*Input_Tasks[[#This Row],[R5 After Hours]],0)</f>
        <v>0</v>
      </c>
      <c r="AQ111" s="399">
        <f>IFERROR(VLOOKUP(RESOURCE_1_TYPE,SELL_RATES,2,FALSE)*Input_Tasks[[#This Row],[R1 Business Hours]],0)+IFERROR(VLOOKUP(RESOURCE_1_TYPE,SELL_RATES,3,FALSE)*Input_Tasks[[#This Row],[R1 After Hours]],0)</f>
        <v>0</v>
      </c>
      <c r="AR111" s="398">
        <f>IFERROR(VLOOKUP(RESOURCE_2_TYPE,SELL_RATES,2,FALSE)*Input_Tasks[[#This Row],[R2 Business Hours]],0)+IFERROR(VLOOKUP(RESOURCE_2_TYPE,SELL_RATES,3,FALSE)*Input_Tasks[[#This Row],[R2 After Hours]],0)</f>
        <v>0</v>
      </c>
      <c r="AS111" s="398">
        <f>IFERROR(VLOOKUP(RESOURCE_3_TYPE,SELL_RATES,2,FALSE)*Input_Tasks[[#This Row],[R3 Business Hours]],0)+IFERROR(VLOOKUP(RESOURCE_3_TYPE,SELL_RATES,3,FALSE)*Input_Tasks[[#This Row],[R3 After Hours]],0)</f>
        <v>0</v>
      </c>
      <c r="AT111" s="398">
        <f>IFERROR(VLOOKUP(RESOURCE_4_TYPE,SELL_RATES,2,FALSE)*Input_Tasks[[#This Row],[R4 Business Hours]],0)+IFERROR(VLOOKUP(RESOURCE_4_TYPE,SELL_RATES,3,FALSE)*Input_Tasks[[#This Row],[R4 After Hours]],0)</f>
        <v>0</v>
      </c>
      <c r="AU111" s="398">
        <f>IFERROR(VLOOKUP(RESOURCE_5_TYPE,SELL_RATES,2,FALSE)*Input_Tasks[[#This Row],[R5 Business Hours]],0)+IFERROR(VLOOKUP(RESOURCE_5_TYPE,SELL_RATES,3,FALSE)*Input_Tasks[[#This Row],[R5 After Hours]],0)</f>
        <v>0</v>
      </c>
      <c r="AV111" s="400">
        <f>SUM(Input_Tasks[[#This Row],[Round Trips R1]:[Round Trips R5]])</f>
        <v>0</v>
      </c>
      <c r="AW111" s="401">
        <f>SUM(Input_Tasks[[#This Row],[Overnight StaysR1]:[Overnight StaysR5]])</f>
        <v>0</v>
      </c>
      <c r="AX111" s="401">
        <f>IF(AND(Input_Tasks[[#This Row],[Sell - Line Total]]&gt;0,OR(Input_Tasks[[#This Row],[Phase]]="",Input_Tasks[[#This Row],[Skill Required]]="",Input_Tasks[[#This Row],[Task Type]]="",Input_Tasks[[#This Row],[Description]]="")),1,0)</f>
        <v>0</v>
      </c>
      <c r="AY111" s="402">
        <f>IF(AND(Input_Tasks[[#This Row],[Task Type]]="ArchiTech Document Deliverable",Input_Tasks[[#This Row],[Hours]]&gt;0),1,0)</f>
        <v>0</v>
      </c>
      <c r="AZ11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1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1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1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1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1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1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1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1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1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1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1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1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11" s="405">
        <f>SUM(Input_Tasks[[#This Row],[R1 Business Hours]:[R1 After Hours]],Input_Tasks[[#This Row],[R2 Business Hours]:[R2 After Hours]],Input_Tasks[[#This Row],[R3 Business Hours]:[R3 After Hours]],Input_Tasks[[#This Row],[R4 Business Hours]:[R4 After Hours]],Input_Tasks[[#This Row],[R5 Business Hours]:[R5 After Hours]])</f>
        <v>0</v>
      </c>
    </row>
    <row r="112" spans="1:65">
      <c r="A112" s="384"/>
      <c r="B112" s="271"/>
      <c r="C112" s="271"/>
      <c r="D112" s="406"/>
      <c r="E112" s="385">
        <f>Input_Tasks[[#This Row],[Onsite Round Trips_Hidden]]</f>
        <v>0</v>
      </c>
      <c r="F112" s="385">
        <f>Input_Tasks[[#This Row],[Overnight Stays_Hidden]]</f>
        <v>0</v>
      </c>
      <c r="G112" s="385">
        <f>Input_Tasks[[#This Row],[Documents_Hidden]]</f>
        <v>0</v>
      </c>
      <c r="H112" s="387"/>
      <c r="I112" s="388"/>
      <c r="J112" s="389"/>
      <c r="K112" s="390"/>
      <c r="L112" s="390"/>
      <c r="M112" s="389"/>
      <c r="N112" s="390"/>
      <c r="O112" s="390"/>
      <c r="P112" s="389"/>
      <c r="Q112" s="390"/>
      <c r="R112" s="391"/>
      <c r="S112" s="389"/>
      <c r="T112" s="390"/>
      <c r="U112" s="391"/>
      <c r="V112" s="389"/>
      <c r="W112" s="390"/>
      <c r="X112" s="390"/>
      <c r="Y112" s="386" t="str">
        <f>Input_Tasks[[#This Row],[Onsite Round Trips_Hidden]]&amp;"/"&amp;Input_Tasks[[#This Row],[Overnight Stays_Hidden]]&amp;"/"&amp;Input_Tasks[[#This Row],[Documents_Hidden]]</f>
        <v>0/0/0</v>
      </c>
      <c r="Z112" s="392">
        <f>Input_Tasks[[#This Row],[R1 Cost_Hidden]]</f>
        <v>0</v>
      </c>
      <c r="AA112" s="393">
        <f>Input_Tasks[[#This Row],[R2 Cost_Hidden]]</f>
        <v>0</v>
      </c>
      <c r="AB112" s="393">
        <f>Input_Tasks[[#This Row],[R3 Cost_Hidden]]</f>
        <v>0</v>
      </c>
      <c r="AC112" s="393">
        <f>Input_Tasks[[#This Row],[R4 Cost_Hidden]]</f>
        <v>0</v>
      </c>
      <c r="AD112" s="394">
        <f>Input_Tasks[[#This Row],[R5 Cost_Hidden]]</f>
        <v>0</v>
      </c>
      <c r="AE112" s="395">
        <f>SUM(Input_Tasks[[#This Row],[R1 Cost]:[R5 Cost]])</f>
        <v>0</v>
      </c>
      <c r="AF112" s="392">
        <f>Input_Tasks[[#This Row],[R1 Sell_Hidden]]</f>
        <v>0</v>
      </c>
      <c r="AG112" s="393">
        <f>Input_Tasks[[#This Row],[R2 Sell_Hidden]]</f>
        <v>0</v>
      </c>
      <c r="AH112" s="393">
        <f>Input_Tasks[[#This Row],[R3 Sell_Hidden]]</f>
        <v>0</v>
      </c>
      <c r="AI112" s="393">
        <f>Input_Tasks[[#This Row],[R4 Sell_Hidden5]]</f>
        <v>0</v>
      </c>
      <c r="AJ112" s="394">
        <f>Input_Tasks[[#This Row],[R5 Sell_Hidden]]</f>
        <v>0</v>
      </c>
      <c r="AK112" s="396">
        <f>SUM(Input_Tasks[[#This Row],[R1 Sell]:[R5 Sell]])</f>
        <v>0</v>
      </c>
      <c r="AL112" s="397">
        <f>IFERROR(VLOOKUP(RESOURCE_1_TYPE,COST_RATES,2,FALSE)*Input_Tasks[[#This Row],[R1 Business Hours]],0)+IFERROR(VLOOKUP(RESOURCE_1_TYPE,COST_RATES,3,FALSE)*Input_Tasks[[#This Row],[R1 After Hours]],0)</f>
        <v>0</v>
      </c>
      <c r="AM112" s="398">
        <f>IFERROR(VLOOKUP(RESOURCE_2_TYPE,COST_RATES,2,FALSE)*Input_Tasks[[#This Row],[R2 Business Hours]],0)+IFERROR(VLOOKUP(RESOURCE_2_TYPE,COST_RATES,3,FALSE)*Input_Tasks[[#This Row],[R2 After Hours]],0)</f>
        <v>0</v>
      </c>
      <c r="AN112" s="398">
        <f>IFERROR(VLOOKUP(RESOURCE_3_TYPE,COST_RATES,2,FALSE)*Input_Tasks[[#This Row],[R3 Business Hours]],0)+IFERROR(VLOOKUP(RESOURCE_3_TYPE,COST_RATES,3,FALSE)*Input_Tasks[[#This Row],[R3 After Hours]],0)</f>
        <v>0</v>
      </c>
      <c r="AO112" s="398">
        <f>IFERROR(VLOOKUP(RESOURCE_4_TYPE,COST_RATES,2,FALSE)*Input_Tasks[[#This Row],[R4 Business Hours]],0)+IFERROR(VLOOKUP(RESOURCE_4_TYPE,COST_RATES,3,FALSE)*Input_Tasks[[#This Row],[R4 After Hours]],0)</f>
        <v>0</v>
      </c>
      <c r="AP112" s="398">
        <f>IFERROR(VLOOKUP(RESOURCE_5_TYPE,COST_RATES,2,FALSE)*Input_Tasks[[#This Row],[R5 Business Hours]],0)+IFERROR(VLOOKUP(RESOURCE_5_TYPE,COST_RATES,3,FALSE)*Input_Tasks[[#This Row],[R5 After Hours]],0)</f>
        <v>0</v>
      </c>
      <c r="AQ112" s="399">
        <f>IFERROR(VLOOKUP(RESOURCE_1_TYPE,SELL_RATES,2,FALSE)*Input_Tasks[[#This Row],[R1 Business Hours]],0)+IFERROR(VLOOKUP(RESOURCE_1_TYPE,SELL_RATES,3,FALSE)*Input_Tasks[[#This Row],[R1 After Hours]],0)</f>
        <v>0</v>
      </c>
      <c r="AR112" s="398">
        <f>IFERROR(VLOOKUP(RESOURCE_2_TYPE,SELL_RATES,2,FALSE)*Input_Tasks[[#This Row],[R2 Business Hours]],0)+IFERROR(VLOOKUP(RESOURCE_2_TYPE,SELL_RATES,3,FALSE)*Input_Tasks[[#This Row],[R2 After Hours]],0)</f>
        <v>0</v>
      </c>
      <c r="AS112" s="398">
        <f>IFERROR(VLOOKUP(RESOURCE_3_TYPE,SELL_RATES,2,FALSE)*Input_Tasks[[#This Row],[R3 Business Hours]],0)+IFERROR(VLOOKUP(RESOURCE_3_TYPE,SELL_RATES,3,FALSE)*Input_Tasks[[#This Row],[R3 After Hours]],0)</f>
        <v>0</v>
      </c>
      <c r="AT112" s="398">
        <f>IFERROR(VLOOKUP(RESOURCE_4_TYPE,SELL_RATES,2,FALSE)*Input_Tasks[[#This Row],[R4 Business Hours]],0)+IFERROR(VLOOKUP(RESOURCE_4_TYPE,SELL_RATES,3,FALSE)*Input_Tasks[[#This Row],[R4 After Hours]],0)</f>
        <v>0</v>
      </c>
      <c r="AU112" s="398">
        <f>IFERROR(VLOOKUP(RESOURCE_5_TYPE,SELL_RATES,2,FALSE)*Input_Tasks[[#This Row],[R5 Business Hours]],0)+IFERROR(VLOOKUP(RESOURCE_5_TYPE,SELL_RATES,3,FALSE)*Input_Tasks[[#This Row],[R5 After Hours]],0)</f>
        <v>0</v>
      </c>
      <c r="AV112" s="400">
        <f>SUM(Input_Tasks[[#This Row],[Round Trips R1]:[Round Trips R5]])</f>
        <v>0</v>
      </c>
      <c r="AW112" s="401">
        <f>SUM(Input_Tasks[[#This Row],[Overnight StaysR1]:[Overnight StaysR5]])</f>
        <v>0</v>
      </c>
      <c r="AX112" s="401">
        <f>IF(AND(Input_Tasks[[#This Row],[Sell - Line Total]]&gt;0,OR(Input_Tasks[[#This Row],[Phase]]="",Input_Tasks[[#This Row],[Skill Required]]="",Input_Tasks[[#This Row],[Task Type]]="",Input_Tasks[[#This Row],[Description]]="")),1,0)</f>
        <v>0</v>
      </c>
      <c r="AY112" s="402">
        <f>IF(AND(Input_Tasks[[#This Row],[Task Type]]="ArchiTech Document Deliverable",Input_Tasks[[#This Row],[Hours]]&gt;0),1,0)</f>
        <v>0</v>
      </c>
      <c r="AZ11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1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1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1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1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1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1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1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1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1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1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1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1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12" s="405">
        <f>SUM(Input_Tasks[[#This Row],[R1 Business Hours]:[R1 After Hours]],Input_Tasks[[#This Row],[R2 Business Hours]:[R2 After Hours]],Input_Tasks[[#This Row],[R3 Business Hours]:[R3 After Hours]],Input_Tasks[[#This Row],[R4 Business Hours]:[R4 After Hours]],Input_Tasks[[#This Row],[R5 Business Hours]:[R5 After Hours]])</f>
        <v>0</v>
      </c>
    </row>
    <row r="113" spans="1:65">
      <c r="A113" s="384"/>
      <c r="B113" s="271"/>
      <c r="C113" s="271"/>
      <c r="D113" s="406"/>
      <c r="E113" s="385">
        <f>Input_Tasks[[#This Row],[Onsite Round Trips_Hidden]]</f>
        <v>0</v>
      </c>
      <c r="F113" s="385">
        <f>Input_Tasks[[#This Row],[Overnight Stays_Hidden]]</f>
        <v>0</v>
      </c>
      <c r="G113" s="385">
        <f>Input_Tasks[[#This Row],[Documents_Hidden]]</f>
        <v>0</v>
      </c>
      <c r="H113" s="387"/>
      <c r="I113" s="388"/>
      <c r="J113" s="389"/>
      <c r="K113" s="390"/>
      <c r="L113" s="390"/>
      <c r="M113" s="389"/>
      <c r="N113" s="390"/>
      <c r="O113" s="390"/>
      <c r="P113" s="389"/>
      <c r="Q113" s="390"/>
      <c r="R113" s="391"/>
      <c r="S113" s="389"/>
      <c r="T113" s="390"/>
      <c r="U113" s="391"/>
      <c r="V113" s="389"/>
      <c r="W113" s="390"/>
      <c r="X113" s="390"/>
      <c r="Y113" s="386" t="str">
        <f>Input_Tasks[[#This Row],[Onsite Round Trips_Hidden]]&amp;"/"&amp;Input_Tasks[[#This Row],[Overnight Stays_Hidden]]&amp;"/"&amp;Input_Tasks[[#This Row],[Documents_Hidden]]</f>
        <v>0/0/0</v>
      </c>
      <c r="Z113" s="392">
        <f>Input_Tasks[[#This Row],[R1 Cost_Hidden]]</f>
        <v>0</v>
      </c>
      <c r="AA113" s="393">
        <f>Input_Tasks[[#This Row],[R2 Cost_Hidden]]</f>
        <v>0</v>
      </c>
      <c r="AB113" s="393">
        <f>Input_Tasks[[#This Row],[R3 Cost_Hidden]]</f>
        <v>0</v>
      </c>
      <c r="AC113" s="393">
        <f>Input_Tasks[[#This Row],[R4 Cost_Hidden]]</f>
        <v>0</v>
      </c>
      <c r="AD113" s="394">
        <f>Input_Tasks[[#This Row],[R5 Cost_Hidden]]</f>
        <v>0</v>
      </c>
      <c r="AE113" s="395">
        <f>SUM(Input_Tasks[[#This Row],[R1 Cost]:[R5 Cost]])</f>
        <v>0</v>
      </c>
      <c r="AF113" s="392">
        <f>Input_Tasks[[#This Row],[R1 Sell_Hidden]]</f>
        <v>0</v>
      </c>
      <c r="AG113" s="393">
        <f>Input_Tasks[[#This Row],[R2 Sell_Hidden]]</f>
        <v>0</v>
      </c>
      <c r="AH113" s="393">
        <f>Input_Tasks[[#This Row],[R3 Sell_Hidden]]</f>
        <v>0</v>
      </c>
      <c r="AI113" s="393">
        <f>Input_Tasks[[#This Row],[R4 Sell_Hidden5]]</f>
        <v>0</v>
      </c>
      <c r="AJ113" s="394">
        <f>Input_Tasks[[#This Row],[R5 Sell_Hidden]]</f>
        <v>0</v>
      </c>
      <c r="AK113" s="396">
        <f>SUM(Input_Tasks[[#This Row],[R1 Sell]:[R5 Sell]])</f>
        <v>0</v>
      </c>
      <c r="AL113" s="397">
        <f>IFERROR(VLOOKUP(RESOURCE_1_TYPE,COST_RATES,2,FALSE)*Input_Tasks[[#This Row],[R1 Business Hours]],0)+IFERROR(VLOOKUP(RESOURCE_1_TYPE,COST_RATES,3,FALSE)*Input_Tasks[[#This Row],[R1 After Hours]],0)</f>
        <v>0</v>
      </c>
      <c r="AM113" s="398">
        <f>IFERROR(VLOOKUP(RESOURCE_2_TYPE,COST_RATES,2,FALSE)*Input_Tasks[[#This Row],[R2 Business Hours]],0)+IFERROR(VLOOKUP(RESOURCE_2_TYPE,COST_RATES,3,FALSE)*Input_Tasks[[#This Row],[R2 After Hours]],0)</f>
        <v>0</v>
      </c>
      <c r="AN113" s="398">
        <f>IFERROR(VLOOKUP(RESOURCE_3_TYPE,COST_RATES,2,FALSE)*Input_Tasks[[#This Row],[R3 Business Hours]],0)+IFERROR(VLOOKUP(RESOURCE_3_TYPE,COST_RATES,3,FALSE)*Input_Tasks[[#This Row],[R3 After Hours]],0)</f>
        <v>0</v>
      </c>
      <c r="AO113" s="398">
        <f>IFERROR(VLOOKUP(RESOURCE_4_TYPE,COST_RATES,2,FALSE)*Input_Tasks[[#This Row],[R4 Business Hours]],0)+IFERROR(VLOOKUP(RESOURCE_4_TYPE,COST_RATES,3,FALSE)*Input_Tasks[[#This Row],[R4 After Hours]],0)</f>
        <v>0</v>
      </c>
      <c r="AP113" s="398">
        <f>IFERROR(VLOOKUP(RESOURCE_5_TYPE,COST_RATES,2,FALSE)*Input_Tasks[[#This Row],[R5 Business Hours]],0)+IFERROR(VLOOKUP(RESOURCE_5_TYPE,COST_RATES,3,FALSE)*Input_Tasks[[#This Row],[R5 After Hours]],0)</f>
        <v>0</v>
      </c>
      <c r="AQ113" s="399">
        <f>IFERROR(VLOOKUP(RESOURCE_1_TYPE,SELL_RATES,2,FALSE)*Input_Tasks[[#This Row],[R1 Business Hours]],0)+IFERROR(VLOOKUP(RESOURCE_1_TYPE,SELL_RATES,3,FALSE)*Input_Tasks[[#This Row],[R1 After Hours]],0)</f>
        <v>0</v>
      </c>
      <c r="AR113" s="398">
        <f>IFERROR(VLOOKUP(RESOURCE_2_TYPE,SELL_RATES,2,FALSE)*Input_Tasks[[#This Row],[R2 Business Hours]],0)+IFERROR(VLOOKUP(RESOURCE_2_TYPE,SELL_RATES,3,FALSE)*Input_Tasks[[#This Row],[R2 After Hours]],0)</f>
        <v>0</v>
      </c>
      <c r="AS113" s="398">
        <f>IFERROR(VLOOKUP(RESOURCE_3_TYPE,SELL_RATES,2,FALSE)*Input_Tasks[[#This Row],[R3 Business Hours]],0)+IFERROR(VLOOKUP(RESOURCE_3_TYPE,SELL_RATES,3,FALSE)*Input_Tasks[[#This Row],[R3 After Hours]],0)</f>
        <v>0</v>
      </c>
      <c r="AT113" s="398">
        <f>IFERROR(VLOOKUP(RESOURCE_4_TYPE,SELL_RATES,2,FALSE)*Input_Tasks[[#This Row],[R4 Business Hours]],0)+IFERROR(VLOOKUP(RESOURCE_4_TYPE,SELL_RATES,3,FALSE)*Input_Tasks[[#This Row],[R4 After Hours]],0)</f>
        <v>0</v>
      </c>
      <c r="AU113" s="398">
        <f>IFERROR(VLOOKUP(RESOURCE_5_TYPE,SELL_RATES,2,FALSE)*Input_Tasks[[#This Row],[R5 Business Hours]],0)+IFERROR(VLOOKUP(RESOURCE_5_TYPE,SELL_RATES,3,FALSE)*Input_Tasks[[#This Row],[R5 After Hours]],0)</f>
        <v>0</v>
      </c>
      <c r="AV113" s="400">
        <f>SUM(Input_Tasks[[#This Row],[Round Trips R1]:[Round Trips R5]])</f>
        <v>0</v>
      </c>
      <c r="AW113" s="401">
        <f>SUM(Input_Tasks[[#This Row],[Overnight StaysR1]:[Overnight StaysR5]])</f>
        <v>0</v>
      </c>
      <c r="AX113" s="401">
        <f>IF(AND(Input_Tasks[[#This Row],[Sell - Line Total]]&gt;0,OR(Input_Tasks[[#This Row],[Phase]]="",Input_Tasks[[#This Row],[Skill Required]]="",Input_Tasks[[#This Row],[Task Type]]="",Input_Tasks[[#This Row],[Description]]="")),1,0)</f>
        <v>0</v>
      </c>
      <c r="AY113" s="402">
        <f>IF(AND(Input_Tasks[[#This Row],[Task Type]]="ArchiTech Document Deliverable",Input_Tasks[[#This Row],[Hours]]&gt;0),1,0)</f>
        <v>0</v>
      </c>
      <c r="AZ11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1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1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1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1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1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1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1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1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1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1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1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1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13" s="405">
        <f>SUM(Input_Tasks[[#This Row],[R1 Business Hours]:[R1 After Hours]],Input_Tasks[[#This Row],[R2 Business Hours]:[R2 After Hours]],Input_Tasks[[#This Row],[R3 Business Hours]:[R3 After Hours]],Input_Tasks[[#This Row],[R4 Business Hours]:[R4 After Hours]],Input_Tasks[[#This Row],[R5 Business Hours]:[R5 After Hours]])</f>
        <v>0</v>
      </c>
    </row>
    <row r="114" spans="1:65">
      <c r="A114" s="384"/>
      <c r="B114" s="271"/>
      <c r="C114" s="271"/>
      <c r="D114" s="406"/>
      <c r="E114" s="385">
        <f>Input_Tasks[[#This Row],[Onsite Round Trips_Hidden]]</f>
        <v>0</v>
      </c>
      <c r="F114" s="385">
        <f>Input_Tasks[[#This Row],[Overnight Stays_Hidden]]</f>
        <v>0</v>
      </c>
      <c r="G114" s="385">
        <f>Input_Tasks[[#This Row],[Documents_Hidden]]</f>
        <v>0</v>
      </c>
      <c r="H114" s="387"/>
      <c r="I114" s="388"/>
      <c r="J114" s="389"/>
      <c r="K114" s="390"/>
      <c r="L114" s="390"/>
      <c r="M114" s="389"/>
      <c r="N114" s="390"/>
      <c r="O114" s="390"/>
      <c r="P114" s="389"/>
      <c r="Q114" s="390"/>
      <c r="R114" s="391"/>
      <c r="S114" s="389"/>
      <c r="T114" s="390"/>
      <c r="U114" s="391"/>
      <c r="V114" s="389"/>
      <c r="W114" s="390"/>
      <c r="X114" s="390"/>
      <c r="Y114" s="386" t="str">
        <f>Input_Tasks[[#This Row],[Onsite Round Trips_Hidden]]&amp;"/"&amp;Input_Tasks[[#This Row],[Overnight Stays_Hidden]]&amp;"/"&amp;Input_Tasks[[#This Row],[Documents_Hidden]]</f>
        <v>0/0/0</v>
      </c>
      <c r="Z114" s="392">
        <f>Input_Tasks[[#This Row],[R1 Cost_Hidden]]</f>
        <v>0</v>
      </c>
      <c r="AA114" s="393">
        <f>Input_Tasks[[#This Row],[R2 Cost_Hidden]]</f>
        <v>0</v>
      </c>
      <c r="AB114" s="393">
        <f>Input_Tasks[[#This Row],[R3 Cost_Hidden]]</f>
        <v>0</v>
      </c>
      <c r="AC114" s="393">
        <f>Input_Tasks[[#This Row],[R4 Cost_Hidden]]</f>
        <v>0</v>
      </c>
      <c r="AD114" s="394">
        <f>Input_Tasks[[#This Row],[R5 Cost_Hidden]]</f>
        <v>0</v>
      </c>
      <c r="AE114" s="395">
        <f>SUM(Input_Tasks[[#This Row],[R1 Cost]:[R5 Cost]])</f>
        <v>0</v>
      </c>
      <c r="AF114" s="392">
        <f>Input_Tasks[[#This Row],[R1 Sell_Hidden]]</f>
        <v>0</v>
      </c>
      <c r="AG114" s="393">
        <f>Input_Tasks[[#This Row],[R2 Sell_Hidden]]</f>
        <v>0</v>
      </c>
      <c r="AH114" s="393">
        <f>Input_Tasks[[#This Row],[R3 Sell_Hidden]]</f>
        <v>0</v>
      </c>
      <c r="AI114" s="393">
        <f>Input_Tasks[[#This Row],[R4 Sell_Hidden5]]</f>
        <v>0</v>
      </c>
      <c r="AJ114" s="394">
        <f>Input_Tasks[[#This Row],[R5 Sell_Hidden]]</f>
        <v>0</v>
      </c>
      <c r="AK114" s="396">
        <f>SUM(Input_Tasks[[#This Row],[R1 Sell]:[R5 Sell]])</f>
        <v>0</v>
      </c>
      <c r="AL114" s="397">
        <f>IFERROR(VLOOKUP(RESOURCE_1_TYPE,COST_RATES,2,FALSE)*Input_Tasks[[#This Row],[R1 Business Hours]],0)+IFERROR(VLOOKUP(RESOURCE_1_TYPE,COST_RATES,3,FALSE)*Input_Tasks[[#This Row],[R1 After Hours]],0)</f>
        <v>0</v>
      </c>
      <c r="AM114" s="398">
        <f>IFERROR(VLOOKUP(RESOURCE_2_TYPE,COST_RATES,2,FALSE)*Input_Tasks[[#This Row],[R2 Business Hours]],0)+IFERROR(VLOOKUP(RESOURCE_2_TYPE,COST_RATES,3,FALSE)*Input_Tasks[[#This Row],[R2 After Hours]],0)</f>
        <v>0</v>
      </c>
      <c r="AN114" s="398">
        <f>IFERROR(VLOOKUP(RESOURCE_3_TYPE,COST_RATES,2,FALSE)*Input_Tasks[[#This Row],[R3 Business Hours]],0)+IFERROR(VLOOKUP(RESOURCE_3_TYPE,COST_RATES,3,FALSE)*Input_Tasks[[#This Row],[R3 After Hours]],0)</f>
        <v>0</v>
      </c>
      <c r="AO114" s="398">
        <f>IFERROR(VLOOKUP(RESOURCE_4_TYPE,COST_RATES,2,FALSE)*Input_Tasks[[#This Row],[R4 Business Hours]],0)+IFERROR(VLOOKUP(RESOURCE_4_TYPE,COST_RATES,3,FALSE)*Input_Tasks[[#This Row],[R4 After Hours]],0)</f>
        <v>0</v>
      </c>
      <c r="AP114" s="398">
        <f>IFERROR(VLOOKUP(RESOURCE_5_TYPE,COST_RATES,2,FALSE)*Input_Tasks[[#This Row],[R5 Business Hours]],0)+IFERROR(VLOOKUP(RESOURCE_5_TYPE,COST_RATES,3,FALSE)*Input_Tasks[[#This Row],[R5 After Hours]],0)</f>
        <v>0</v>
      </c>
      <c r="AQ114" s="399">
        <f>IFERROR(VLOOKUP(RESOURCE_1_TYPE,SELL_RATES,2,FALSE)*Input_Tasks[[#This Row],[R1 Business Hours]],0)+IFERROR(VLOOKUP(RESOURCE_1_TYPE,SELL_RATES,3,FALSE)*Input_Tasks[[#This Row],[R1 After Hours]],0)</f>
        <v>0</v>
      </c>
      <c r="AR114" s="398">
        <f>IFERROR(VLOOKUP(RESOURCE_2_TYPE,SELL_RATES,2,FALSE)*Input_Tasks[[#This Row],[R2 Business Hours]],0)+IFERROR(VLOOKUP(RESOURCE_2_TYPE,SELL_RATES,3,FALSE)*Input_Tasks[[#This Row],[R2 After Hours]],0)</f>
        <v>0</v>
      </c>
      <c r="AS114" s="398">
        <f>IFERROR(VLOOKUP(RESOURCE_3_TYPE,SELL_RATES,2,FALSE)*Input_Tasks[[#This Row],[R3 Business Hours]],0)+IFERROR(VLOOKUP(RESOURCE_3_TYPE,SELL_RATES,3,FALSE)*Input_Tasks[[#This Row],[R3 After Hours]],0)</f>
        <v>0</v>
      </c>
      <c r="AT114" s="398">
        <f>IFERROR(VLOOKUP(RESOURCE_4_TYPE,SELL_RATES,2,FALSE)*Input_Tasks[[#This Row],[R4 Business Hours]],0)+IFERROR(VLOOKUP(RESOURCE_4_TYPE,SELL_RATES,3,FALSE)*Input_Tasks[[#This Row],[R4 After Hours]],0)</f>
        <v>0</v>
      </c>
      <c r="AU114" s="398">
        <f>IFERROR(VLOOKUP(RESOURCE_5_TYPE,SELL_RATES,2,FALSE)*Input_Tasks[[#This Row],[R5 Business Hours]],0)+IFERROR(VLOOKUP(RESOURCE_5_TYPE,SELL_RATES,3,FALSE)*Input_Tasks[[#This Row],[R5 After Hours]],0)</f>
        <v>0</v>
      </c>
      <c r="AV114" s="400">
        <f>SUM(Input_Tasks[[#This Row],[Round Trips R1]:[Round Trips R5]])</f>
        <v>0</v>
      </c>
      <c r="AW114" s="401">
        <f>SUM(Input_Tasks[[#This Row],[Overnight StaysR1]:[Overnight StaysR5]])</f>
        <v>0</v>
      </c>
      <c r="AX114" s="401">
        <f>IF(AND(Input_Tasks[[#This Row],[Sell - Line Total]]&gt;0,OR(Input_Tasks[[#This Row],[Phase]]="",Input_Tasks[[#This Row],[Skill Required]]="",Input_Tasks[[#This Row],[Task Type]]="",Input_Tasks[[#This Row],[Description]]="")),1,0)</f>
        <v>0</v>
      </c>
      <c r="AY114" s="402">
        <f>IF(AND(Input_Tasks[[#This Row],[Task Type]]="ArchiTech Document Deliverable",Input_Tasks[[#This Row],[Hours]]&gt;0),1,0)</f>
        <v>0</v>
      </c>
      <c r="AZ11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1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1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1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1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1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1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1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1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1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1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1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1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14" s="405">
        <f>SUM(Input_Tasks[[#This Row],[R1 Business Hours]:[R1 After Hours]],Input_Tasks[[#This Row],[R2 Business Hours]:[R2 After Hours]],Input_Tasks[[#This Row],[R3 Business Hours]:[R3 After Hours]],Input_Tasks[[#This Row],[R4 Business Hours]:[R4 After Hours]],Input_Tasks[[#This Row],[R5 Business Hours]:[R5 After Hours]])</f>
        <v>0</v>
      </c>
    </row>
    <row r="115" spans="1:65">
      <c r="A115" s="384"/>
      <c r="B115" s="271"/>
      <c r="C115" s="271"/>
      <c r="D115" s="406"/>
      <c r="E115" s="385">
        <f>Input_Tasks[[#This Row],[Onsite Round Trips_Hidden]]</f>
        <v>0</v>
      </c>
      <c r="F115" s="385">
        <f>Input_Tasks[[#This Row],[Overnight Stays_Hidden]]</f>
        <v>0</v>
      </c>
      <c r="G115" s="385">
        <f>Input_Tasks[[#This Row],[Documents_Hidden]]</f>
        <v>0</v>
      </c>
      <c r="H115" s="387"/>
      <c r="I115" s="388"/>
      <c r="J115" s="389"/>
      <c r="K115" s="390"/>
      <c r="L115" s="390"/>
      <c r="M115" s="389"/>
      <c r="N115" s="390"/>
      <c r="O115" s="390"/>
      <c r="P115" s="389"/>
      <c r="Q115" s="390"/>
      <c r="R115" s="391"/>
      <c r="S115" s="389"/>
      <c r="T115" s="390"/>
      <c r="U115" s="391"/>
      <c r="V115" s="389"/>
      <c r="W115" s="390"/>
      <c r="X115" s="390"/>
      <c r="Y115" s="386" t="str">
        <f>Input_Tasks[[#This Row],[Onsite Round Trips_Hidden]]&amp;"/"&amp;Input_Tasks[[#This Row],[Overnight Stays_Hidden]]&amp;"/"&amp;Input_Tasks[[#This Row],[Documents_Hidden]]</f>
        <v>0/0/0</v>
      </c>
      <c r="Z115" s="392">
        <f>Input_Tasks[[#This Row],[R1 Cost_Hidden]]</f>
        <v>0</v>
      </c>
      <c r="AA115" s="393">
        <f>Input_Tasks[[#This Row],[R2 Cost_Hidden]]</f>
        <v>0</v>
      </c>
      <c r="AB115" s="393">
        <f>Input_Tasks[[#This Row],[R3 Cost_Hidden]]</f>
        <v>0</v>
      </c>
      <c r="AC115" s="393">
        <f>Input_Tasks[[#This Row],[R4 Cost_Hidden]]</f>
        <v>0</v>
      </c>
      <c r="AD115" s="394">
        <f>Input_Tasks[[#This Row],[R5 Cost_Hidden]]</f>
        <v>0</v>
      </c>
      <c r="AE115" s="395">
        <f>SUM(Input_Tasks[[#This Row],[R1 Cost]:[R5 Cost]])</f>
        <v>0</v>
      </c>
      <c r="AF115" s="392">
        <f>Input_Tasks[[#This Row],[R1 Sell_Hidden]]</f>
        <v>0</v>
      </c>
      <c r="AG115" s="393">
        <f>Input_Tasks[[#This Row],[R2 Sell_Hidden]]</f>
        <v>0</v>
      </c>
      <c r="AH115" s="393">
        <f>Input_Tasks[[#This Row],[R3 Sell_Hidden]]</f>
        <v>0</v>
      </c>
      <c r="AI115" s="393">
        <f>Input_Tasks[[#This Row],[R4 Sell_Hidden5]]</f>
        <v>0</v>
      </c>
      <c r="AJ115" s="394">
        <f>Input_Tasks[[#This Row],[R5 Sell_Hidden]]</f>
        <v>0</v>
      </c>
      <c r="AK115" s="396">
        <f>SUM(Input_Tasks[[#This Row],[R1 Sell]:[R5 Sell]])</f>
        <v>0</v>
      </c>
      <c r="AL115" s="397">
        <f>IFERROR(VLOOKUP(RESOURCE_1_TYPE,COST_RATES,2,FALSE)*Input_Tasks[[#This Row],[R1 Business Hours]],0)+IFERROR(VLOOKUP(RESOURCE_1_TYPE,COST_RATES,3,FALSE)*Input_Tasks[[#This Row],[R1 After Hours]],0)</f>
        <v>0</v>
      </c>
      <c r="AM115" s="398">
        <f>IFERROR(VLOOKUP(RESOURCE_2_TYPE,COST_RATES,2,FALSE)*Input_Tasks[[#This Row],[R2 Business Hours]],0)+IFERROR(VLOOKUP(RESOURCE_2_TYPE,COST_RATES,3,FALSE)*Input_Tasks[[#This Row],[R2 After Hours]],0)</f>
        <v>0</v>
      </c>
      <c r="AN115" s="398">
        <f>IFERROR(VLOOKUP(RESOURCE_3_TYPE,COST_RATES,2,FALSE)*Input_Tasks[[#This Row],[R3 Business Hours]],0)+IFERROR(VLOOKUP(RESOURCE_3_TYPE,COST_RATES,3,FALSE)*Input_Tasks[[#This Row],[R3 After Hours]],0)</f>
        <v>0</v>
      </c>
      <c r="AO115" s="398">
        <f>IFERROR(VLOOKUP(RESOURCE_4_TYPE,COST_RATES,2,FALSE)*Input_Tasks[[#This Row],[R4 Business Hours]],0)+IFERROR(VLOOKUP(RESOURCE_4_TYPE,COST_RATES,3,FALSE)*Input_Tasks[[#This Row],[R4 After Hours]],0)</f>
        <v>0</v>
      </c>
      <c r="AP115" s="398">
        <f>IFERROR(VLOOKUP(RESOURCE_5_TYPE,COST_RATES,2,FALSE)*Input_Tasks[[#This Row],[R5 Business Hours]],0)+IFERROR(VLOOKUP(RESOURCE_5_TYPE,COST_RATES,3,FALSE)*Input_Tasks[[#This Row],[R5 After Hours]],0)</f>
        <v>0</v>
      </c>
      <c r="AQ115" s="399">
        <f>IFERROR(VLOOKUP(RESOURCE_1_TYPE,SELL_RATES,2,FALSE)*Input_Tasks[[#This Row],[R1 Business Hours]],0)+IFERROR(VLOOKUP(RESOURCE_1_TYPE,SELL_RATES,3,FALSE)*Input_Tasks[[#This Row],[R1 After Hours]],0)</f>
        <v>0</v>
      </c>
      <c r="AR115" s="398">
        <f>IFERROR(VLOOKUP(RESOURCE_2_TYPE,SELL_RATES,2,FALSE)*Input_Tasks[[#This Row],[R2 Business Hours]],0)+IFERROR(VLOOKUP(RESOURCE_2_TYPE,SELL_RATES,3,FALSE)*Input_Tasks[[#This Row],[R2 After Hours]],0)</f>
        <v>0</v>
      </c>
      <c r="AS115" s="398">
        <f>IFERROR(VLOOKUP(RESOURCE_3_TYPE,SELL_RATES,2,FALSE)*Input_Tasks[[#This Row],[R3 Business Hours]],0)+IFERROR(VLOOKUP(RESOURCE_3_TYPE,SELL_RATES,3,FALSE)*Input_Tasks[[#This Row],[R3 After Hours]],0)</f>
        <v>0</v>
      </c>
      <c r="AT115" s="398">
        <f>IFERROR(VLOOKUP(RESOURCE_4_TYPE,SELL_RATES,2,FALSE)*Input_Tasks[[#This Row],[R4 Business Hours]],0)+IFERROR(VLOOKUP(RESOURCE_4_TYPE,SELL_RATES,3,FALSE)*Input_Tasks[[#This Row],[R4 After Hours]],0)</f>
        <v>0</v>
      </c>
      <c r="AU115" s="398">
        <f>IFERROR(VLOOKUP(RESOURCE_5_TYPE,SELL_RATES,2,FALSE)*Input_Tasks[[#This Row],[R5 Business Hours]],0)+IFERROR(VLOOKUP(RESOURCE_5_TYPE,SELL_RATES,3,FALSE)*Input_Tasks[[#This Row],[R5 After Hours]],0)</f>
        <v>0</v>
      </c>
      <c r="AV115" s="400">
        <f>SUM(Input_Tasks[[#This Row],[Round Trips R1]:[Round Trips R5]])</f>
        <v>0</v>
      </c>
      <c r="AW115" s="401">
        <f>SUM(Input_Tasks[[#This Row],[Overnight StaysR1]:[Overnight StaysR5]])</f>
        <v>0</v>
      </c>
      <c r="AX115" s="401">
        <f>IF(AND(Input_Tasks[[#This Row],[Sell - Line Total]]&gt;0,OR(Input_Tasks[[#This Row],[Phase]]="",Input_Tasks[[#This Row],[Skill Required]]="",Input_Tasks[[#This Row],[Task Type]]="",Input_Tasks[[#This Row],[Description]]="")),1,0)</f>
        <v>0</v>
      </c>
      <c r="AY115" s="402">
        <f>IF(AND(Input_Tasks[[#This Row],[Task Type]]="ArchiTech Document Deliverable",Input_Tasks[[#This Row],[Hours]]&gt;0),1,0)</f>
        <v>0</v>
      </c>
      <c r="AZ11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1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1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1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1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1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1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1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1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1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1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1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1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15" s="405">
        <f>SUM(Input_Tasks[[#This Row],[R1 Business Hours]:[R1 After Hours]],Input_Tasks[[#This Row],[R2 Business Hours]:[R2 After Hours]],Input_Tasks[[#This Row],[R3 Business Hours]:[R3 After Hours]],Input_Tasks[[#This Row],[R4 Business Hours]:[R4 After Hours]],Input_Tasks[[#This Row],[R5 Business Hours]:[R5 After Hours]])</f>
        <v>0</v>
      </c>
    </row>
    <row r="116" spans="1:65">
      <c r="A116" s="384"/>
      <c r="B116" s="271"/>
      <c r="C116" s="271"/>
      <c r="D116" s="406"/>
      <c r="E116" s="385">
        <f>Input_Tasks[[#This Row],[Onsite Round Trips_Hidden]]</f>
        <v>0</v>
      </c>
      <c r="F116" s="385">
        <f>Input_Tasks[[#This Row],[Overnight Stays_Hidden]]</f>
        <v>0</v>
      </c>
      <c r="G116" s="385">
        <f>Input_Tasks[[#This Row],[Documents_Hidden]]</f>
        <v>0</v>
      </c>
      <c r="H116" s="387"/>
      <c r="I116" s="388"/>
      <c r="J116" s="389"/>
      <c r="K116" s="390"/>
      <c r="L116" s="390"/>
      <c r="M116" s="389"/>
      <c r="N116" s="390"/>
      <c r="O116" s="390"/>
      <c r="P116" s="389"/>
      <c r="Q116" s="390"/>
      <c r="R116" s="391"/>
      <c r="S116" s="389"/>
      <c r="T116" s="390"/>
      <c r="U116" s="391"/>
      <c r="V116" s="389"/>
      <c r="W116" s="390"/>
      <c r="X116" s="390"/>
      <c r="Y116" s="386" t="str">
        <f>Input_Tasks[[#This Row],[Onsite Round Trips_Hidden]]&amp;"/"&amp;Input_Tasks[[#This Row],[Overnight Stays_Hidden]]&amp;"/"&amp;Input_Tasks[[#This Row],[Documents_Hidden]]</f>
        <v>0/0/0</v>
      </c>
      <c r="Z116" s="392">
        <f>Input_Tasks[[#This Row],[R1 Cost_Hidden]]</f>
        <v>0</v>
      </c>
      <c r="AA116" s="393">
        <f>Input_Tasks[[#This Row],[R2 Cost_Hidden]]</f>
        <v>0</v>
      </c>
      <c r="AB116" s="393">
        <f>Input_Tasks[[#This Row],[R3 Cost_Hidden]]</f>
        <v>0</v>
      </c>
      <c r="AC116" s="393">
        <f>Input_Tasks[[#This Row],[R4 Cost_Hidden]]</f>
        <v>0</v>
      </c>
      <c r="AD116" s="394">
        <f>Input_Tasks[[#This Row],[R5 Cost_Hidden]]</f>
        <v>0</v>
      </c>
      <c r="AE116" s="395">
        <f>SUM(Input_Tasks[[#This Row],[R1 Cost]:[R5 Cost]])</f>
        <v>0</v>
      </c>
      <c r="AF116" s="392">
        <f>Input_Tasks[[#This Row],[R1 Sell_Hidden]]</f>
        <v>0</v>
      </c>
      <c r="AG116" s="393">
        <f>Input_Tasks[[#This Row],[R2 Sell_Hidden]]</f>
        <v>0</v>
      </c>
      <c r="AH116" s="393">
        <f>Input_Tasks[[#This Row],[R3 Sell_Hidden]]</f>
        <v>0</v>
      </c>
      <c r="AI116" s="393">
        <f>Input_Tasks[[#This Row],[R4 Sell_Hidden5]]</f>
        <v>0</v>
      </c>
      <c r="AJ116" s="394">
        <f>Input_Tasks[[#This Row],[R5 Sell_Hidden]]</f>
        <v>0</v>
      </c>
      <c r="AK116" s="396">
        <f>SUM(Input_Tasks[[#This Row],[R1 Sell]:[R5 Sell]])</f>
        <v>0</v>
      </c>
      <c r="AL116" s="397">
        <f>IFERROR(VLOOKUP(RESOURCE_1_TYPE,COST_RATES,2,FALSE)*Input_Tasks[[#This Row],[R1 Business Hours]],0)+IFERROR(VLOOKUP(RESOURCE_1_TYPE,COST_RATES,3,FALSE)*Input_Tasks[[#This Row],[R1 After Hours]],0)</f>
        <v>0</v>
      </c>
      <c r="AM116" s="398">
        <f>IFERROR(VLOOKUP(RESOURCE_2_TYPE,COST_RATES,2,FALSE)*Input_Tasks[[#This Row],[R2 Business Hours]],0)+IFERROR(VLOOKUP(RESOURCE_2_TYPE,COST_RATES,3,FALSE)*Input_Tasks[[#This Row],[R2 After Hours]],0)</f>
        <v>0</v>
      </c>
      <c r="AN116" s="398">
        <f>IFERROR(VLOOKUP(RESOURCE_3_TYPE,COST_RATES,2,FALSE)*Input_Tasks[[#This Row],[R3 Business Hours]],0)+IFERROR(VLOOKUP(RESOURCE_3_TYPE,COST_RATES,3,FALSE)*Input_Tasks[[#This Row],[R3 After Hours]],0)</f>
        <v>0</v>
      </c>
      <c r="AO116" s="398">
        <f>IFERROR(VLOOKUP(RESOURCE_4_TYPE,COST_RATES,2,FALSE)*Input_Tasks[[#This Row],[R4 Business Hours]],0)+IFERROR(VLOOKUP(RESOURCE_4_TYPE,COST_RATES,3,FALSE)*Input_Tasks[[#This Row],[R4 After Hours]],0)</f>
        <v>0</v>
      </c>
      <c r="AP116" s="398">
        <f>IFERROR(VLOOKUP(RESOURCE_5_TYPE,COST_RATES,2,FALSE)*Input_Tasks[[#This Row],[R5 Business Hours]],0)+IFERROR(VLOOKUP(RESOURCE_5_TYPE,COST_RATES,3,FALSE)*Input_Tasks[[#This Row],[R5 After Hours]],0)</f>
        <v>0</v>
      </c>
      <c r="AQ116" s="399">
        <f>IFERROR(VLOOKUP(RESOURCE_1_TYPE,SELL_RATES,2,FALSE)*Input_Tasks[[#This Row],[R1 Business Hours]],0)+IFERROR(VLOOKUP(RESOURCE_1_TYPE,SELL_RATES,3,FALSE)*Input_Tasks[[#This Row],[R1 After Hours]],0)</f>
        <v>0</v>
      </c>
      <c r="AR116" s="398">
        <f>IFERROR(VLOOKUP(RESOURCE_2_TYPE,SELL_RATES,2,FALSE)*Input_Tasks[[#This Row],[R2 Business Hours]],0)+IFERROR(VLOOKUP(RESOURCE_2_TYPE,SELL_RATES,3,FALSE)*Input_Tasks[[#This Row],[R2 After Hours]],0)</f>
        <v>0</v>
      </c>
      <c r="AS116" s="398">
        <f>IFERROR(VLOOKUP(RESOURCE_3_TYPE,SELL_RATES,2,FALSE)*Input_Tasks[[#This Row],[R3 Business Hours]],0)+IFERROR(VLOOKUP(RESOURCE_3_TYPE,SELL_RATES,3,FALSE)*Input_Tasks[[#This Row],[R3 After Hours]],0)</f>
        <v>0</v>
      </c>
      <c r="AT116" s="398">
        <f>IFERROR(VLOOKUP(RESOURCE_4_TYPE,SELL_RATES,2,FALSE)*Input_Tasks[[#This Row],[R4 Business Hours]],0)+IFERROR(VLOOKUP(RESOURCE_4_TYPE,SELL_RATES,3,FALSE)*Input_Tasks[[#This Row],[R4 After Hours]],0)</f>
        <v>0</v>
      </c>
      <c r="AU116" s="398">
        <f>IFERROR(VLOOKUP(RESOURCE_5_TYPE,SELL_RATES,2,FALSE)*Input_Tasks[[#This Row],[R5 Business Hours]],0)+IFERROR(VLOOKUP(RESOURCE_5_TYPE,SELL_RATES,3,FALSE)*Input_Tasks[[#This Row],[R5 After Hours]],0)</f>
        <v>0</v>
      </c>
      <c r="AV116" s="400">
        <f>SUM(Input_Tasks[[#This Row],[Round Trips R1]:[Round Trips R5]])</f>
        <v>0</v>
      </c>
      <c r="AW116" s="401">
        <f>SUM(Input_Tasks[[#This Row],[Overnight StaysR1]:[Overnight StaysR5]])</f>
        <v>0</v>
      </c>
      <c r="AX116" s="401">
        <f>IF(AND(Input_Tasks[[#This Row],[Sell - Line Total]]&gt;0,OR(Input_Tasks[[#This Row],[Phase]]="",Input_Tasks[[#This Row],[Skill Required]]="",Input_Tasks[[#This Row],[Task Type]]="",Input_Tasks[[#This Row],[Description]]="")),1,0)</f>
        <v>0</v>
      </c>
      <c r="AY116" s="402">
        <f>IF(AND(Input_Tasks[[#This Row],[Task Type]]="ArchiTech Document Deliverable",Input_Tasks[[#This Row],[Hours]]&gt;0),1,0)</f>
        <v>0</v>
      </c>
      <c r="AZ11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1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1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1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1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1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1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1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1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1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1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1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1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16" s="405">
        <f>SUM(Input_Tasks[[#This Row],[R1 Business Hours]:[R1 After Hours]],Input_Tasks[[#This Row],[R2 Business Hours]:[R2 After Hours]],Input_Tasks[[#This Row],[R3 Business Hours]:[R3 After Hours]],Input_Tasks[[#This Row],[R4 Business Hours]:[R4 After Hours]],Input_Tasks[[#This Row],[R5 Business Hours]:[R5 After Hours]])</f>
        <v>0</v>
      </c>
    </row>
    <row r="117" spans="1:65">
      <c r="A117" s="384"/>
      <c r="B117" s="271"/>
      <c r="C117" s="271"/>
      <c r="D117" s="406"/>
      <c r="E117" s="385">
        <f>Input_Tasks[[#This Row],[Onsite Round Trips_Hidden]]</f>
        <v>0</v>
      </c>
      <c r="F117" s="385">
        <f>Input_Tasks[[#This Row],[Overnight Stays_Hidden]]</f>
        <v>0</v>
      </c>
      <c r="G117" s="385">
        <f>Input_Tasks[[#This Row],[Documents_Hidden]]</f>
        <v>0</v>
      </c>
      <c r="H117" s="387"/>
      <c r="I117" s="388"/>
      <c r="J117" s="389"/>
      <c r="K117" s="390"/>
      <c r="L117" s="390"/>
      <c r="M117" s="389"/>
      <c r="N117" s="390"/>
      <c r="O117" s="390"/>
      <c r="P117" s="389"/>
      <c r="Q117" s="390"/>
      <c r="R117" s="391"/>
      <c r="S117" s="389"/>
      <c r="T117" s="390"/>
      <c r="U117" s="391"/>
      <c r="V117" s="389"/>
      <c r="W117" s="390"/>
      <c r="X117" s="390"/>
      <c r="Y117" s="386" t="str">
        <f>Input_Tasks[[#This Row],[Onsite Round Trips_Hidden]]&amp;"/"&amp;Input_Tasks[[#This Row],[Overnight Stays_Hidden]]&amp;"/"&amp;Input_Tasks[[#This Row],[Documents_Hidden]]</f>
        <v>0/0/0</v>
      </c>
      <c r="Z117" s="392">
        <f>Input_Tasks[[#This Row],[R1 Cost_Hidden]]</f>
        <v>0</v>
      </c>
      <c r="AA117" s="393">
        <f>Input_Tasks[[#This Row],[R2 Cost_Hidden]]</f>
        <v>0</v>
      </c>
      <c r="AB117" s="393">
        <f>Input_Tasks[[#This Row],[R3 Cost_Hidden]]</f>
        <v>0</v>
      </c>
      <c r="AC117" s="393">
        <f>Input_Tasks[[#This Row],[R4 Cost_Hidden]]</f>
        <v>0</v>
      </c>
      <c r="AD117" s="394">
        <f>Input_Tasks[[#This Row],[R5 Cost_Hidden]]</f>
        <v>0</v>
      </c>
      <c r="AE117" s="395">
        <f>SUM(Input_Tasks[[#This Row],[R1 Cost]:[R5 Cost]])</f>
        <v>0</v>
      </c>
      <c r="AF117" s="392">
        <f>Input_Tasks[[#This Row],[R1 Sell_Hidden]]</f>
        <v>0</v>
      </c>
      <c r="AG117" s="393">
        <f>Input_Tasks[[#This Row],[R2 Sell_Hidden]]</f>
        <v>0</v>
      </c>
      <c r="AH117" s="393">
        <f>Input_Tasks[[#This Row],[R3 Sell_Hidden]]</f>
        <v>0</v>
      </c>
      <c r="AI117" s="393">
        <f>Input_Tasks[[#This Row],[R4 Sell_Hidden5]]</f>
        <v>0</v>
      </c>
      <c r="AJ117" s="394">
        <f>Input_Tasks[[#This Row],[R5 Sell_Hidden]]</f>
        <v>0</v>
      </c>
      <c r="AK117" s="396">
        <f>SUM(Input_Tasks[[#This Row],[R1 Sell]:[R5 Sell]])</f>
        <v>0</v>
      </c>
      <c r="AL117" s="397">
        <f>IFERROR(VLOOKUP(RESOURCE_1_TYPE,COST_RATES,2,FALSE)*Input_Tasks[[#This Row],[R1 Business Hours]],0)+IFERROR(VLOOKUP(RESOURCE_1_TYPE,COST_RATES,3,FALSE)*Input_Tasks[[#This Row],[R1 After Hours]],0)</f>
        <v>0</v>
      </c>
      <c r="AM117" s="398">
        <f>IFERROR(VLOOKUP(RESOURCE_2_TYPE,COST_RATES,2,FALSE)*Input_Tasks[[#This Row],[R2 Business Hours]],0)+IFERROR(VLOOKUP(RESOURCE_2_TYPE,COST_RATES,3,FALSE)*Input_Tasks[[#This Row],[R2 After Hours]],0)</f>
        <v>0</v>
      </c>
      <c r="AN117" s="398">
        <f>IFERROR(VLOOKUP(RESOURCE_3_TYPE,COST_RATES,2,FALSE)*Input_Tasks[[#This Row],[R3 Business Hours]],0)+IFERROR(VLOOKUP(RESOURCE_3_TYPE,COST_RATES,3,FALSE)*Input_Tasks[[#This Row],[R3 After Hours]],0)</f>
        <v>0</v>
      </c>
      <c r="AO117" s="398">
        <f>IFERROR(VLOOKUP(RESOURCE_4_TYPE,COST_RATES,2,FALSE)*Input_Tasks[[#This Row],[R4 Business Hours]],0)+IFERROR(VLOOKUP(RESOURCE_4_TYPE,COST_RATES,3,FALSE)*Input_Tasks[[#This Row],[R4 After Hours]],0)</f>
        <v>0</v>
      </c>
      <c r="AP117" s="398">
        <f>IFERROR(VLOOKUP(RESOURCE_5_TYPE,COST_RATES,2,FALSE)*Input_Tasks[[#This Row],[R5 Business Hours]],0)+IFERROR(VLOOKUP(RESOURCE_5_TYPE,COST_RATES,3,FALSE)*Input_Tasks[[#This Row],[R5 After Hours]],0)</f>
        <v>0</v>
      </c>
      <c r="AQ117" s="399">
        <f>IFERROR(VLOOKUP(RESOURCE_1_TYPE,SELL_RATES,2,FALSE)*Input_Tasks[[#This Row],[R1 Business Hours]],0)+IFERROR(VLOOKUP(RESOURCE_1_TYPE,SELL_RATES,3,FALSE)*Input_Tasks[[#This Row],[R1 After Hours]],0)</f>
        <v>0</v>
      </c>
      <c r="AR117" s="398">
        <f>IFERROR(VLOOKUP(RESOURCE_2_TYPE,SELL_RATES,2,FALSE)*Input_Tasks[[#This Row],[R2 Business Hours]],0)+IFERROR(VLOOKUP(RESOURCE_2_TYPE,SELL_RATES,3,FALSE)*Input_Tasks[[#This Row],[R2 After Hours]],0)</f>
        <v>0</v>
      </c>
      <c r="AS117" s="398">
        <f>IFERROR(VLOOKUP(RESOURCE_3_TYPE,SELL_RATES,2,FALSE)*Input_Tasks[[#This Row],[R3 Business Hours]],0)+IFERROR(VLOOKUP(RESOURCE_3_TYPE,SELL_RATES,3,FALSE)*Input_Tasks[[#This Row],[R3 After Hours]],0)</f>
        <v>0</v>
      </c>
      <c r="AT117" s="398">
        <f>IFERROR(VLOOKUP(RESOURCE_4_TYPE,SELL_RATES,2,FALSE)*Input_Tasks[[#This Row],[R4 Business Hours]],0)+IFERROR(VLOOKUP(RESOURCE_4_TYPE,SELL_RATES,3,FALSE)*Input_Tasks[[#This Row],[R4 After Hours]],0)</f>
        <v>0</v>
      </c>
      <c r="AU117" s="398">
        <f>IFERROR(VLOOKUP(RESOURCE_5_TYPE,SELL_RATES,2,FALSE)*Input_Tasks[[#This Row],[R5 Business Hours]],0)+IFERROR(VLOOKUP(RESOURCE_5_TYPE,SELL_RATES,3,FALSE)*Input_Tasks[[#This Row],[R5 After Hours]],0)</f>
        <v>0</v>
      </c>
      <c r="AV117" s="400">
        <f>SUM(Input_Tasks[[#This Row],[Round Trips R1]:[Round Trips R5]])</f>
        <v>0</v>
      </c>
      <c r="AW117" s="401">
        <f>SUM(Input_Tasks[[#This Row],[Overnight StaysR1]:[Overnight StaysR5]])</f>
        <v>0</v>
      </c>
      <c r="AX117" s="401">
        <f>IF(AND(Input_Tasks[[#This Row],[Sell - Line Total]]&gt;0,OR(Input_Tasks[[#This Row],[Phase]]="",Input_Tasks[[#This Row],[Skill Required]]="",Input_Tasks[[#This Row],[Task Type]]="",Input_Tasks[[#This Row],[Description]]="")),1,0)</f>
        <v>0</v>
      </c>
      <c r="AY117" s="402">
        <f>IF(AND(Input_Tasks[[#This Row],[Task Type]]="ArchiTech Document Deliverable",Input_Tasks[[#This Row],[Hours]]&gt;0),1,0)</f>
        <v>0</v>
      </c>
      <c r="AZ11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1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1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1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1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1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1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1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1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1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1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1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1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17" s="405">
        <f>SUM(Input_Tasks[[#This Row],[R1 Business Hours]:[R1 After Hours]],Input_Tasks[[#This Row],[R2 Business Hours]:[R2 After Hours]],Input_Tasks[[#This Row],[R3 Business Hours]:[R3 After Hours]],Input_Tasks[[#This Row],[R4 Business Hours]:[R4 After Hours]],Input_Tasks[[#This Row],[R5 Business Hours]:[R5 After Hours]])</f>
        <v>0</v>
      </c>
    </row>
    <row r="118" spans="1:65">
      <c r="A118" s="384"/>
      <c r="B118" s="271"/>
      <c r="C118" s="271"/>
      <c r="D118" s="406"/>
      <c r="E118" s="385">
        <f>Input_Tasks[[#This Row],[Onsite Round Trips_Hidden]]</f>
        <v>0</v>
      </c>
      <c r="F118" s="385">
        <f>Input_Tasks[[#This Row],[Overnight Stays_Hidden]]</f>
        <v>0</v>
      </c>
      <c r="G118" s="385">
        <f>Input_Tasks[[#This Row],[Documents_Hidden]]</f>
        <v>0</v>
      </c>
      <c r="H118" s="387"/>
      <c r="I118" s="388"/>
      <c r="J118" s="389"/>
      <c r="K118" s="390"/>
      <c r="L118" s="390"/>
      <c r="M118" s="389"/>
      <c r="N118" s="390"/>
      <c r="O118" s="390"/>
      <c r="P118" s="389"/>
      <c r="Q118" s="390"/>
      <c r="R118" s="391"/>
      <c r="S118" s="389"/>
      <c r="T118" s="390"/>
      <c r="U118" s="391"/>
      <c r="V118" s="389"/>
      <c r="W118" s="390"/>
      <c r="X118" s="390"/>
      <c r="Y118" s="386" t="str">
        <f>Input_Tasks[[#This Row],[Onsite Round Trips_Hidden]]&amp;"/"&amp;Input_Tasks[[#This Row],[Overnight Stays_Hidden]]&amp;"/"&amp;Input_Tasks[[#This Row],[Documents_Hidden]]</f>
        <v>0/0/0</v>
      </c>
      <c r="Z118" s="392">
        <f>Input_Tasks[[#This Row],[R1 Cost_Hidden]]</f>
        <v>0</v>
      </c>
      <c r="AA118" s="393">
        <f>Input_Tasks[[#This Row],[R2 Cost_Hidden]]</f>
        <v>0</v>
      </c>
      <c r="AB118" s="393">
        <f>Input_Tasks[[#This Row],[R3 Cost_Hidden]]</f>
        <v>0</v>
      </c>
      <c r="AC118" s="393">
        <f>Input_Tasks[[#This Row],[R4 Cost_Hidden]]</f>
        <v>0</v>
      </c>
      <c r="AD118" s="394">
        <f>Input_Tasks[[#This Row],[R5 Cost_Hidden]]</f>
        <v>0</v>
      </c>
      <c r="AE118" s="395">
        <f>SUM(Input_Tasks[[#This Row],[R1 Cost]:[R5 Cost]])</f>
        <v>0</v>
      </c>
      <c r="AF118" s="392">
        <f>Input_Tasks[[#This Row],[R1 Sell_Hidden]]</f>
        <v>0</v>
      </c>
      <c r="AG118" s="393">
        <f>Input_Tasks[[#This Row],[R2 Sell_Hidden]]</f>
        <v>0</v>
      </c>
      <c r="AH118" s="393">
        <f>Input_Tasks[[#This Row],[R3 Sell_Hidden]]</f>
        <v>0</v>
      </c>
      <c r="AI118" s="393">
        <f>Input_Tasks[[#This Row],[R4 Sell_Hidden5]]</f>
        <v>0</v>
      </c>
      <c r="AJ118" s="394">
        <f>Input_Tasks[[#This Row],[R5 Sell_Hidden]]</f>
        <v>0</v>
      </c>
      <c r="AK118" s="396">
        <f>SUM(Input_Tasks[[#This Row],[R1 Sell]:[R5 Sell]])</f>
        <v>0</v>
      </c>
      <c r="AL118" s="397">
        <f>IFERROR(VLOOKUP(RESOURCE_1_TYPE,COST_RATES,2,FALSE)*Input_Tasks[[#This Row],[R1 Business Hours]],0)+IFERROR(VLOOKUP(RESOURCE_1_TYPE,COST_RATES,3,FALSE)*Input_Tasks[[#This Row],[R1 After Hours]],0)</f>
        <v>0</v>
      </c>
      <c r="AM118" s="398">
        <f>IFERROR(VLOOKUP(RESOURCE_2_TYPE,COST_RATES,2,FALSE)*Input_Tasks[[#This Row],[R2 Business Hours]],0)+IFERROR(VLOOKUP(RESOURCE_2_TYPE,COST_RATES,3,FALSE)*Input_Tasks[[#This Row],[R2 After Hours]],0)</f>
        <v>0</v>
      </c>
      <c r="AN118" s="398">
        <f>IFERROR(VLOOKUP(RESOURCE_3_TYPE,COST_RATES,2,FALSE)*Input_Tasks[[#This Row],[R3 Business Hours]],0)+IFERROR(VLOOKUP(RESOURCE_3_TYPE,COST_RATES,3,FALSE)*Input_Tasks[[#This Row],[R3 After Hours]],0)</f>
        <v>0</v>
      </c>
      <c r="AO118" s="398">
        <f>IFERROR(VLOOKUP(RESOURCE_4_TYPE,COST_RATES,2,FALSE)*Input_Tasks[[#This Row],[R4 Business Hours]],0)+IFERROR(VLOOKUP(RESOURCE_4_TYPE,COST_RATES,3,FALSE)*Input_Tasks[[#This Row],[R4 After Hours]],0)</f>
        <v>0</v>
      </c>
      <c r="AP118" s="398">
        <f>IFERROR(VLOOKUP(RESOURCE_5_TYPE,COST_RATES,2,FALSE)*Input_Tasks[[#This Row],[R5 Business Hours]],0)+IFERROR(VLOOKUP(RESOURCE_5_TYPE,COST_RATES,3,FALSE)*Input_Tasks[[#This Row],[R5 After Hours]],0)</f>
        <v>0</v>
      </c>
      <c r="AQ118" s="399">
        <f>IFERROR(VLOOKUP(RESOURCE_1_TYPE,SELL_RATES,2,FALSE)*Input_Tasks[[#This Row],[R1 Business Hours]],0)+IFERROR(VLOOKUP(RESOURCE_1_TYPE,SELL_RATES,3,FALSE)*Input_Tasks[[#This Row],[R1 After Hours]],0)</f>
        <v>0</v>
      </c>
      <c r="AR118" s="398">
        <f>IFERROR(VLOOKUP(RESOURCE_2_TYPE,SELL_RATES,2,FALSE)*Input_Tasks[[#This Row],[R2 Business Hours]],0)+IFERROR(VLOOKUP(RESOURCE_2_TYPE,SELL_RATES,3,FALSE)*Input_Tasks[[#This Row],[R2 After Hours]],0)</f>
        <v>0</v>
      </c>
      <c r="AS118" s="398">
        <f>IFERROR(VLOOKUP(RESOURCE_3_TYPE,SELL_RATES,2,FALSE)*Input_Tasks[[#This Row],[R3 Business Hours]],0)+IFERROR(VLOOKUP(RESOURCE_3_TYPE,SELL_RATES,3,FALSE)*Input_Tasks[[#This Row],[R3 After Hours]],0)</f>
        <v>0</v>
      </c>
      <c r="AT118" s="398">
        <f>IFERROR(VLOOKUP(RESOURCE_4_TYPE,SELL_RATES,2,FALSE)*Input_Tasks[[#This Row],[R4 Business Hours]],0)+IFERROR(VLOOKUP(RESOURCE_4_TYPE,SELL_RATES,3,FALSE)*Input_Tasks[[#This Row],[R4 After Hours]],0)</f>
        <v>0</v>
      </c>
      <c r="AU118" s="398">
        <f>IFERROR(VLOOKUP(RESOURCE_5_TYPE,SELL_RATES,2,FALSE)*Input_Tasks[[#This Row],[R5 Business Hours]],0)+IFERROR(VLOOKUP(RESOURCE_5_TYPE,SELL_RATES,3,FALSE)*Input_Tasks[[#This Row],[R5 After Hours]],0)</f>
        <v>0</v>
      </c>
      <c r="AV118" s="400">
        <f>SUM(Input_Tasks[[#This Row],[Round Trips R1]:[Round Trips R5]])</f>
        <v>0</v>
      </c>
      <c r="AW118" s="401">
        <f>SUM(Input_Tasks[[#This Row],[Overnight StaysR1]:[Overnight StaysR5]])</f>
        <v>0</v>
      </c>
      <c r="AX118" s="401">
        <f>IF(AND(Input_Tasks[[#This Row],[Sell - Line Total]]&gt;0,OR(Input_Tasks[[#This Row],[Phase]]="",Input_Tasks[[#This Row],[Skill Required]]="",Input_Tasks[[#This Row],[Task Type]]="",Input_Tasks[[#This Row],[Description]]="")),1,0)</f>
        <v>0</v>
      </c>
      <c r="AY118" s="402">
        <f>IF(AND(Input_Tasks[[#This Row],[Task Type]]="ArchiTech Document Deliverable",Input_Tasks[[#This Row],[Hours]]&gt;0),1,0)</f>
        <v>0</v>
      </c>
      <c r="AZ11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1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1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1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1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1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1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1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1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1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1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1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1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18" s="405">
        <f>SUM(Input_Tasks[[#This Row],[R1 Business Hours]:[R1 After Hours]],Input_Tasks[[#This Row],[R2 Business Hours]:[R2 After Hours]],Input_Tasks[[#This Row],[R3 Business Hours]:[R3 After Hours]],Input_Tasks[[#This Row],[R4 Business Hours]:[R4 After Hours]],Input_Tasks[[#This Row],[R5 Business Hours]:[R5 After Hours]])</f>
        <v>0</v>
      </c>
    </row>
    <row r="119" spans="1:65">
      <c r="A119" s="384"/>
      <c r="B119" s="271"/>
      <c r="C119" s="271"/>
      <c r="D119" s="406"/>
      <c r="E119" s="385">
        <f>Input_Tasks[[#This Row],[Onsite Round Trips_Hidden]]</f>
        <v>0</v>
      </c>
      <c r="F119" s="385">
        <f>Input_Tasks[[#This Row],[Overnight Stays_Hidden]]</f>
        <v>0</v>
      </c>
      <c r="G119" s="385">
        <f>Input_Tasks[[#This Row],[Documents_Hidden]]</f>
        <v>0</v>
      </c>
      <c r="H119" s="387"/>
      <c r="I119" s="388"/>
      <c r="J119" s="389"/>
      <c r="K119" s="390"/>
      <c r="L119" s="390"/>
      <c r="M119" s="389"/>
      <c r="N119" s="390"/>
      <c r="O119" s="390"/>
      <c r="P119" s="389"/>
      <c r="Q119" s="390"/>
      <c r="R119" s="391"/>
      <c r="S119" s="389"/>
      <c r="T119" s="390"/>
      <c r="U119" s="391"/>
      <c r="V119" s="389"/>
      <c r="W119" s="390"/>
      <c r="X119" s="390"/>
      <c r="Y119" s="386" t="str">
        <f>Input_Tasks[[#This Row],[Onsite Round Trips_Hidden]]&amp;"/"&amp;Input_Tasks[[#This Row],[Overnight Stays_Hidden]]&amp;"/"&amp;Input_Tasks[[#This Row],[Documents_Hidden]]</f>
        <v>0/0/0</v>
      </c>
      <c r="Z119" s="392">
        <f>Input_Tasks[[#This Row],[R1 Cost_Hidden]]</f>
        <v>0</v>
      </c>
      <c r="AA119" s="393">
        <f>Input_Tasks[[#This Row],[R2 Cost_Hidden]]</f>
        <v>0</v>
      </c>
      <c r="AB119" s="393">
        <f>Input_Tasks[[#This Row],[R3 Cost_Hidden]]</f>
        <v>0</v>
      </c>
      <c r="AC119" s="393">
        <f>Input_Tasks[[#This Row],[R4 Cost_Hidden]]</f>
        <v>0</v>
      </c>
      <c r="AD119" s="394">
        <f>Input_Tasks[[#This Row],[R5 Cost_Hidden]]</f>
        <v>0</v>
      </c>
      <c r="AE119" s="395">
        <f>SUM(Input_Tasks[[#This Row],[R1 Cost]:[R5 Cost]])</f>
        <v>0</v>
      </c>
      <c r="AF119" s="392">
        <f>Input_Tasks[[#This Row],[R1 Sell_Hidden]]</f>
        <v>0</v>
      </c>
      <c r="AG119" s="393">
        <f>Input_Tasks[[#This Row],[R2 Sell_Hidden]]</f>
        <v>0</v>
      </c>
      <c r="AH119" s="393">
        <f>Input_Tasks[[#This Row],[R3 Sell_Hidden]]</f>
        <v>0</v>
      </c>
      <c r="AI119" s="393">
        <f>Input_Tasks[[#This Row],[R4 Sell_Hidden5]]</f>
        <v>0</v>
      </c>
      <c r="AJ119" s="394">
        <f>Input_Tasks[[#This Row],[R5 Sell_Hidden]]</f>
        <v>0</v>
      </c>
      <c r="AK119" s="396">
        <f>SUM(Input_Tasks[[#This Row],[R1 Sell]:[R5 Sell]])</f>
        <v>0</v>
      </c>
      <c r="AL119" s="397">
        <f>IFERROR(VLOOKUP(RESOURCE_1_TYPE,COST_RATES,2,FALSE)*Input_Tasks[[#This Row],[R1 Business Hours]],0)+IFERROR(VLOOKUP(RESOURCE_1_TYPE,COST_RATES,3,FALSE)*Input_Tasks[[#This Row],[R1 After Hours]],0)</f>
        <v>0</v>
      </c>
      <c r="AM119" s="398">
        <f>IFERROR(VLOOKUP(RESOURCE_2_TYPE,COST_RATES,2,FALSE)*Input_Tasks[[#This Row],[R2 Business Hours]],0)+IFERROR(VLOOKUP(RESOURCE_2_TYPE,COST_RATES,3,FALSE)*Input_Tasks[[#This Row],[R2 After Hours]],0)</f>
        <v>0</v>
      </c>
      <c r="AN119" s="398">
        <f>IFERROR(VLOOKUP(RESOURCE_3_TYPE,COST_RATES,2,FALSE)*Input_Tasks[[#This Row],[R3 Business Hours]],0)+IFERROR(VLOOKUP(RESOURCE_3_TYPE,COST_RATES,3,FALSE)*Input_Tasks[[#This Row],[R3 After Hours]],0)</f>
        <v>0</v>
      </c>
      <c r="AO119" s="398">
        <f>IFERROR(VLOOKUP(RESOURCE_4_TYPE,COST_RATES,2,FALSE)*Input_Tasks[[#This Row],[R4 Business Hours]],0)+IFERROR(VLOOKUP(RESOURCE_4_TYPE,COST_RATES,3,FALSE)*Input_Tasks[[#This Row],[R4 After Hours]],0)</f>
        <v>0</v>
      </c>
      <c r="AP119" s="398">
        <f>IFERROR(VLOOKUP(RESOURCE_5_TYPE,COST_RATES,2,FALSE)*Input_Tasks[[#This Row],[R5 Business Hours]],0)+IFERROR(VLOOKUP(RESOURCE_5_TYPE,COST_RATES,3,FALSE)*Input_Tasks[[#This Row],[R5 After Hours]],0)</f>
        <v>0</v>
      </c>
      <c r="AQ119" s="399">
        <f>IFERROR(VLOOKUP(RESOURCE_1_TYPE,SELL_RATES,2,FALSE)*Input_Tasks[[#This Row],[R1 Business Hours]],0)+IFERROR(VLOOKUP(RESOURCE_1_TYPE,SELL_RATES,3,FALSE)*Input_Tasks[[#This Row],[R1 After Hours]],0)</f>
        <v>0</v>
      </c>
      <c r="AR119" s="398">
        <f>IFERROR(VLOOKUP(RESOURCE_2_TYPE,SELL_RATES,2,FALSE)*Input_Tasks[[#This Row],[R2 Business Hours]],0)+IFERROR(VLOOKUP(RESOURCE_2_TYPE,SELL_RATES,3,FALSE)*Input_Tasks[[#This Row],[R2 After Hours]],0)</f>
        <v>0</v>
      </c>
      <c r="AS119" s="398">
        <f>IFERROR(VLOOKUP(RESOURCE_3_TYPE,SELL_RATES,2,FALSE)*Input_Tasks[[#This Row],[R3 Business Hours]],0)+IFERROR(VLOOKUP(RESOURCE_3_TYPE,SELL_RATES,3,FALSE)*Input_Tasks[[#This Row],[R3 After Hours]],0)</f>
        <v>0</v>
      </c>
      <c r="AT119" s="398">
        <f>IFERROR(VLOOKUP(RESOURCE_4_TYPE,SELL_RATES,2,FALSE)*Input_Tasks[[#This Row],[R4 Business Hours]],0)+IFERROR(VLOOKUP(RESOURCE_4_TYPE,SELL_RATES,3,FALSE)*Input_Tasks[[#This Row],[R4 After Hours]],0)</f>
        <v>0</v>
      </c>
      <c r="AU119" s="398">
        <f>IFERROR(VLOOKUP(RESOURCE_5_TYPE,SELL_RATES,2,FALSE)*Input_Tasks[[#This Row],[R5 Business Hours]],0)+IFERROR(VLOOKUP(RESOURCE_5_TYPE,SELL_RATES,3,FALSE)*Input_Tasks[[#This Row],[R5 After Hours]],0)</f>
        <v>0</v>
      </c>
      <c r="AV119" s="400">
        <f>SUM(Input_Tasks[[#This Row],[Round Trips R1]:[Round Trips R5]])</f>
        <v>0</v>
      </c>
      <c r="AW119" s="401">
        <f>SUM(Input_Tasks[[#This Row],[Overnight StaysR1]:[Overnight StaysR5]])</f>
        <v>0</v>
      </c>
      <c r="AX119" s="401">
        <f>IF(AND(Input_Tasks[[#This Row],[Sell - Line Total]]&gt;0,OR(Input_Tasks[[#This Row],[Phase]]="",Input_Tasks[[#This Row],[Skill Required]]="",Input_Tasks[[#This Row],[Task Type]]="",Input_Tasks[[#This Row],[Description]]="")),1,0)</f>
        <v>0</v>
      </c>
      <c r="AY119" s="402">
        <f>IF(AND(Input_Tasks[[#This Row],[Task Type]]="ArchiTech Document Deliverable",Input_Tasks[[#This Row],[Hours]]&gt;0),1,0)</f>
        <v>0</v>
      </c>
      <c r="AZ11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1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1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1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1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1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1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1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1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1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1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1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1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19" s="405">
        <f>SUM(Input_Tasks[[#This Row],[R1 Business Hours]:[R1 After Hours]],Input_Tasks[[#This Row],[R2 Business Hours]:[R2 After Hours]],Input_Tasks[[#This Row],[R3 Business Hours]:[R3 After Hours]],Input_Tasks[[#This Row],[R4 Business Hours]:[R4 After Hours]],Input_Tasks[[#This Row],[R5 Business Hours]:[R5 After Hours]])</f>
        <v>0</v>
      </c>
    </row>
    <row r="120" spans="1:65">
      <c r="A120" s="384"/>
      <c r="B120" s="271"/>
      <c r="C120" s="271"/>
      <c r="D120" s="406"/>
      <c r="E120" s="385">
        <f>Input_Tasks[[#This Row],[Onsite Round Trips_Hidden]]</f>
        <v>0</v>
      </c>
      <c r="F120" s="385">
        <f>Input_Tasks[[#This Row],[Overnight Stays_Hidden]]</f>
        <v>0</v>
      </c>
      <c r="G120" s="385">
        <f>Input_Tasks[[#This Row],[Documents_Hidden]]</f>
        <v>0</v>
      </c>
      <c r="H120" s="387"/>
      <c r="I120" s="388"/>
      <c r="J120" s="389"/>
      <c r="K120" s="390"/>
      <c r="L120" s="390"/>
      <c r="M120" s="389"/>
      <c r="N120" s="390"/>
      <c r="O120" s="390"/>
      <c r="P120" s="389"/>
      <c r="Q120" s="390"/>
      <c r="R120" s="391"/>
      <c r="S120" s="389"/>
      <c r="T120" s="390"/>
      <c r="U120" s="391"/>
      <c r="V120" s="389"/>
      <c r="W120" s="390"/>
      <c r="X120" s="390"/>
      <c r="Y120" s="386" t="str">
        <f>Input_Tasks[[#This Row],[Onsite Round Trips_Hidden]]&amp;"/"&amp;Input_Tasks[[#This Row],[Overnight Stays_Hidden]]&amp;"/"&amp;Input_Tasks[[#This Row],[Documents_Hidden]]</f>
        <v>0/0/0</v>
      </c>
      <c r="Z120" s="392">
        <f>Input_Tasks[[#This Row],[R1 Cost_Hidden]]</f>
        <v>0</v>
      </c>
      <c r="AA120" s="393">
        <f>Input_Tasks[[#This Row],[R2 Cost_Hidden]]</f>
        <v>0</v>
      </c>
      <c r="AB120" s="393">
        <f>Input_Tasks[[#This Row],[R3 Cost_Hidden]]</f>
        <v>0</v>
      </c>
      <c r="AC120" s="393">
        <f>Input_Tasks[[#This Row],[R4 Cost_Hidden]]</f>
        <v>0</v>
      </c>
      <c r="AD120" s="394">
        <f>Input_Tasks[[#This Row],[R5 Cost_Hidden]]</f>
        <v>0</v>
      </c>
      <c r="AE120" s="395">
        <f>SUM(Input_Tasks[[#This Row],[R1 Cost]:[R5 Cost]])</f>
        <v>0</v>
      </c>
      <c r="AF120" s="392">
        <f>Input_Tasks[[#This Row],[R1 Sell_Hidden]]</f>
        <v>0</v>
      </c>
      <c r="AG120" s="393">
        <f>Input_Tasks[[#This Row],[R2 Sell_Hidden]]</f>
        <v>0</v>
      </c>
      <c r="AH120" s="393">
        <f>Input_Tasks[[#This Row],[R3 Sell_Hidden]]</f>
        <v>0</v>
      </c>
      <c r="AI120" s="393">
        <f>Input_Tasks[[#This Row],[R4 Sell_Hidden5]]</f>
        <v>0</v>
      </c>
      <c r="AJ120" s="394">
        <f>Input_Tasks[[#This Row],[R5 Sell_Hidden]]</f>
        <v>0</v>
      </c>
      <c r="AK120" s="396">
        <f>SUM(Input_Tasks[[#This Row],[R1 Sell]:[R5 Sell]])</f>
        <v>0</v>
      </c>
      <c r="AL120" s="397">
        <f>IFERROR(VLOOKUP(RESOURCE_1_TYPE,COST_RATES,2,FALSE)*Input_Tasks[[#This Row],[R1 Business Hours]],0)+IFERROR(VLOOKUP(RESOURCE_1_TYPE,COST_RATES,3,FALSE)*Input_Tasks[[#This Row],[R1 After Hours]],0)</f>
        <v>0</v>
      </c>
      <c r="AM120" s="398">
        <f>IFERROR(VLOOKUP(RESOURCE_2_TYPE,COST_RATES,2,FALSE)*Input_Tasks[[#This Row],[R2 Business Hours]],0)+IFERROR(VLOOKUP(RESOURCE_2_TYPE,COST_RATES,3,FALSE)*Input_Tasks[[#This Row],[R2 After Hours]],0)</f>
        <v>0</v>
      </c>
      <c r="AN120" s="398">
        <f>IFERROR(VLOOKUP(RESOURCE_3_TYPE,COST_RATES,2,FALSE)*Input_Tasks[[#This Row],[R3 Business Hours]],0)+IFERROR(VLOOKUP(RESOURCE_3_TYPE,COST_RATES,3,FALSE)*Input_Tasks[[#This Row],[R3 After Hours]],0)</f>
        <v>0</v>
      </c>
      <c r="AO120" s="398">
        <f>IFERROR(VLOOKUP(RESOURCE_4_TYPE,COST_RATES,2,FALSE)*Input_Tasks[[#This Row],[R4 Business Hours]],0)+IFERROR(VLOOKUP(RESOURCE_4_TYPE,COST_RATES,3,FALSE)*Input_Tasks[[#This Row],[R4 After Hours]],0)</f>
        <v>0</v>
      </c>
      <c r="AP120" s="398">
        <f>IFERROR(VLOOKUP(RESOURCE_5_TYPE,COST_RATES,2,FALSE)*Input_Tasks[[#This Row],[R5 Business Hours]],0)+IFERROR(VLOOKUP(RESOURCE_5_TYPE,COST_RATES,3,FALSE)*Input_Tasks[[#This Row],[R5 After Hours]],0)</f>
        <v>0</v>
      </c>
      <c r="AQ120" s="399">
        <f>IFERROR(VLOOKUP(RESOURCE_1_TYPE,SELL_RATES,2,FALSE)*Input_Tasks[[#This Row],[R1 Business Hours]],0)+IFERROR(VLOOKUP(RESOURCE_1_TYPE,SELL_RATES,3,FALSE)*Input_Tasks[[#This Row],[R1 After Hours]],0)</f>
        <v>0</v>
      </c>
      <c r="AR120" s="398">
        <f>IFERROR(VLOOKUP(RESOURCE_2_TYPE,SELL_RATES,2,FALSE)*Input_Tasks[[#This Row],[R2 Business Hours]],0)+IFERROR(VLOOKUP(RESOURCE_2_TYPE,SELL_RATES,3,FALSE)*Input_Tasks[[#This Row],[R2 After Hours]],0)</f>
        <v>0</v>
      </c>
      <c r="AS120" s="398">
        <f>IFERROR(VLOOKUP(RESOURCE_3_TYPE,SELL_RATES,2,FALSE)*Input_Tasks[[#This Row],[R3 Business Hours]],0)+IFERROR(VLOOKUP(RESOURCE_3_TYPE,SELL_RATES,3,FALSE)*Input_Tasks[[#This Row],[R3 After Hours]],0)</f>
        <v>0</v>
      </c>
      <c r="AT120" s="398">
        <f>IFERROR(VLOOKUP(RESOURCE_4_TYPE,SELL_RATES,2,FALSE)*Input_Tasks[[#This Row],[R4 Business Hours]],0)+IFERROR(VLOOKUP(RESOURCE_4_TYPE,SELL_RATES,3,FALSE)*Input_Tasks[[#This Row],[R4 After Hours]],0)</f>
        <v>0</v>
      </c>
      <c r="AU120" s="398">
        <f>IFERROR(VLOOKUP(RESOURCE_5_TYPE,SELL_RATES,2,FALSE)*Input_Tasks[[#This Row],[R5 Business Hours]],0)+IFERROR(VLOOKUP(RESOURCE_5_TYPE,SELL_RATES,3,FALSE)*Input_Tasks[[#This Row],[R5 After Hours]],0)</f>
        <v>0</v>
      </c>
      <c r="AV120" s="400">
        <f>SUM(Input_Tasks[[#This Row],[Round Trips R1]:[Round Trips R5]])</f>
        <v>0</v>
      </c>
      <c r="AW120" s="401">
        <f>SUM(Input_Tasks[[#This Row],[Overnight StaysR1]:[Overnight StaysR5]])</f>
        <v>0</v>
      </c>
      <c r="AX120" s="401">
        <f>IF(AND(Input_Tasks[[#This Row],[Sell - Line Total]]&gt;0,OR(Input_Tasks[[#This Row],[Phase]]="",Input_Tasks[[#This Row],[Skill Required]]="",Input_Tasks[[#This Row],[Task Type]]="",Input_Tasks[[#This Row],[Description]]="")),1,0)</f>
        <v>0</v>
      </c>
      <c r="AY120" s="402">
        <f>IF(AND(Input_Tasks[[#This Row],[Task Type]]="ArchiTech Document Deliverable",Input_Tasks[[#This Row],[Hours]]&gt;0),1,0)</f>
        <v>0</v>
      </c>
      <c r="AZ12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2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2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2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2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2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2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2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2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2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2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2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2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20" s="405">
        <f>SUM(Input_Tasks[[#This Row],[R1 Business Hours]:[R1 After Hours]],Input_Tasks[[#This Row],[R2 Business Hours]:[R2 After Hours]],Input_Tasks[[#This Row],[R3 Business Hours]:[R3 After Hours]],Input_Tasks[[#This Row],[R4 Business Hours]:[R4 After Hours]],Input_Tasks[[#This Row],[R5 Business Hours]:[R5 After Hours]])</f>
        <v>0</v>
      </c>
    </row>
    <row r="121" spans="1:65">
      <c r="A121" s="384"/>
      <c r="B121" s="271"/>
      <c r="C121" s="271"/>
      <c r="D121" s="406"/>
      <c r="E121" s="385">
        <f>Input_Tasks[[#This Row],[Onsite Round Trips_Hidden]]</f>
        <v>0</v>
      </c>
      <c r="F121" s="385">
        <f>Input_Tasks[[#This Row],[Overnight Stays_Hidden]]</f>
        <v>0</v>
      </c>
      <c r="G121" s="385">
        <f>Input_Tasks[[#This Row],[Documents_Hidden]]</f>
        <v>0</v>
      </c>
      <c r="H121" s="387"/>
      <c r="I121" s="388"/>
      <c r="J121" s="389"/>
      <c r="K121" s="390"/>
      <c r="L121" s="390"/>
      <c r="M121" s="389"/>
      <c r="N121" s="390"/>
      <c r="O121" s="390"/>
      <c r="P121" s="389"/>
      <c r="Q121" s="390"/>
      <c r="R121" s="391"/>
      <c r="S121" s="389"/>
      <c r="T121" s="390"/>
      <c r="U121" s="391"/>
      <c r="V121" s="389"/>
      <c r="W121" s="390"/>
      <c r="X121" s="390"/>
      <c r="Y121" s="386" t="str">
        <f>Input_Tasks[[#This Row],[Onsite Round Trips_Hidden]]&amp;"/"&amp;Input_Tasks[[#This Row],[Overnight Stays_Hidden]]&amp;"/"&amp;Input_Tasks[[#This Row],[Documents_Hidden]]</f>
        <v>0/0/0</v>
      </c>
      <c r="Z121" s="392">
        <f>Input_Tasks[[#This Row],[R1 Cost_Hidden]]</f>
        <v>0</v>
      </c>
      <c r="AA121" s="393">
        <f>Input_Tasks[[#This Row],[R2 Cost_Hidden]]</f>
        <v>0</v>
      </c>
      <c r="AB121" s="393">
        <f>Input_Tasks[[#This Row],[R3 Cost_Hidden]]</f>
        <v>0</v>
      </c>
      <c r="AC121" s="393">
        <f>Input_Tasks[[#This Row],[R4 Cost_Hidden]]</f>
        <v>0</v>
      </c>
      <c r="AD121" s="394">
        <f>Input_Tasks[[#This Row],[R5 Cost_Hidden]]</f>
        <v>0</v>
      </c>
      <c r="AE121" s="395">
        <f>SUM(Input_Tasks[[#This Row],[R1 Cost]:[R5 Cost]])</f>
        <v>0</v>
      </c>
      <c r="AF121" s="392">
        <f>Input_Tasks[[#This Row],[R1 Sell_Hidden]]</f>
        <v>0</v>
      </c>
      <c r="AG121" s="393">
        <f>Input_Tasks[[#This Row],[R2 Sell_Hidden]]</f>
        <v>0</v>
      </c>
      <c r="AH121" s="393">
        <f>Input_Tasks[[#This Row],[R3 Sell_Hidden]]</f>
        <v>0</v>
      </c>
      <c r="AI121" s="393">
        <f>Input_Tasks[[#This Row],[R4 Sell_Hidden5]]</f>
        <v>0</v>
      </c>
      <c r="AJ121" s="394">
        <f>Input_Tasks[[#This Row],[R5 Sell_Hidden]]</f>
        <v>0</v>
      </c>
      <c r="AK121" s="396">
        <f>SUM(Input_Tasks[[#This Row],[R1 Sell]:[R5 Sell]])</f>
        <v>0</v>
      </c>
      <c r="AL121" s="397">
        <f>IFERROR(VLOOKUP(RESOURCE_1_TYPE,COST_RATES,2,FALSE)*Input_Tasks[[#This Row],[R1 Business Hours]],0)+IFERROR(VLOOKUP(RESOURCE_1_TYPE,COST_RATES,3,FALSE)*Input_Tasks[[#This Row],[R1 After Hours]],0)</f>
        <v>0</v>
      </c>
      <c r="AM121" s="398">
        <f>IFERROR(VLOOKUP(RESOURCE_2_TYPE,COST_RATES,2,FALSE)*Input_Tasks[[#This Row],[R2 Business Hours]],0)+IFERROR(VLOOKUP(RESOURCE_2_TYPE,COST_RATES,3,FALSE)*Input_Tasks[[#This Row],[R2 After Hours]],0)</f>
        <v>0</v>
      </c>
      <c r="AN121" s="398">
        <f>IFERROR(VLOOKUP(RESOURCE_3_TYPE,COST_RATES,2,FALSE)*Input_Tasks[[#This Row],[R3 Business Hours]],0)+IFERROR(VLOOKUP(RESOURCE_3_TYPE,COST_RATES,3,FALSE)*Input_Tasks[[#This Row],[R3 After Hours]],0)</f>
        <v>0</v>
      </c>
      <c r="AO121" s="398">
        <f>IFERROR(VLOOKUP(RESOURCE_4_TYPE,COST_RATES,2,FALSE)*Input_Tasks[[#This Row],[R4 Business Hours]],0)+IFERROR(VLOOKUP(RESOURCE_4_TYPE,COST_RATES,3,FALSE)*Input_Tasks[[#This Row],[R4 After Hours]],0)</f>
        <v>0</v>
      </c>
      <c r="AP121" s="398">
        <f>IFERROR(VLOOKUP(RESOURCE_5_TYPE,COST_RATES,2,FALSE)*Input_Tasks[[#This Row],[R5 Business Hours]],0)+IFERROR(VLOOKUP(RESOURCE_5_TYPE,COST_RATES,3,FALSE)*Input_Tasks[[#This Row],[R5 After Hours]],0)</f>
        <v>0</v>
      </c>
      <c r="AQ121" s="399">
        <f>IFERROR(VLOOKUP(RESOURCE_1_TYPE,SELL_RATES,2,FALSE)*Input_Tasks[[#This Row],[R1 Business Hours]],0)+IFERROR(VLOOKUP(RESOURCE_1_TYPE,SELL_RATES,3,FALSE)*Input_Tasks[[#This Row],[R1 After Hours]],0)</f>
        <v>0</v>
      </c>
      <c r="AR121" s="398">
        <f>IFERROR(VLOOKUP(RESOURCE_2_TYPE,SELL_RATES,2,FALSE)*Input_Tasks[[#This Row],[R2 Business Hours]],0)+IFERROR(VLOOKUP(RESOURCE_2_TYPE,SELL_RATES,3,FALSE)*Input_Tasks[[#This Row],[R2 After Hours]],0)</f>
        <v>0</v>
      </c>
      <c r="AS121" s="398">
        <f>IFERROR(VLOOKUP(RESOURCE_3_TYPE,SELL_RATES,2,FALSE)*Input_Tasks[[#This Row],[R3 Business Hours]],0)+IFERROR(VLOOKUP(RESOURCE_3_TYPE,SELL_RATES,3,FALSE)*Input_Tasks[[#This Row],[R3 After Hours]],0)</f>
        <v>0</v>
      </c>
      <c r="AT121" s="398">
        <f>IFERROR(VLOOKUP(RESOURCE_4_TYPE,SELL_RATES,2,FALSE)*Input_Tasks[[#This Row],[R4 Business Hours]],0)+IFERROR(VLOOKUP(RESOURCE_4_TYPE,SELL_RATES,3,FALSE)*Input_Tasks[[#This Row],[R4 After Hours]],0)</f>
        <v>0</v>
      </c>
      <c r="AU121" s="398">
        <f>IFERROR(VLOOKUP(RESOURCE_5_TYPE,SELL_RATES,2,FALSE)*Input_Tasks[[#This Row],[R5 Business Hours]],0)+IFERROR(VLOOKUP(RESOURCE_5_TYPE,SELL_RATES,3,FALSE)*Input_Tasks[[#This Row],[R5 After Hours]],0)</f>
        <v>0</v>
      </c>
      <c r="AV121" s="400">
        <f>SUM(Input_Tasks[[#This Row],[Round Trips R1]:[Round Trips R5]])</f>
        <v>0</v>
      </c>
      <c r="AW121" s="401">
        <f>SUM(Input_Tasks[[#This Row],[Overnight StaysR1]:[Overnight StaysR5]])</f>
        <v>0</v>
      </c>
      <c r="AX121" s="401">
        <f>IF(AND(Input_Tasks[[#This Row],[Sell - Line Total]]&gt;0,OR(Input_Tasks[[#This Row],[Phase]]="",Input_Tasks[[#This Row],[Skill Required]]="",Input_Tasks[[#This Row],[Task Type]]="",Input_Tasks[[#This Row],[Description]]="")),1,0)</f>
        <v>0</v>
      </c>
      <c r="AY121" s="402">
        <f>IF(AND(Input_Tasks[[#This Row],[Task Type]]="ArchiTech Document Deliverable",Input_Tasks[[#This Row],[Hours]]&gt;0),1,0)</f>
        <v>0</v>
      </c>
      <c r="AZ12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2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2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2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2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2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2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2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2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2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2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2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2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21" s="405">
        <f>SUM(Input_Tasks[[#This Row],[R1 Business Hours]:[R1 After Hours]],Input_Tasks[[#This Row],[R2 Business Hours]:[R2 After Hours]],Input_Tasks[[#This Row],[R3 Business Hours]:[R3 After Hours]],Input_Tasks[[#This Row],[R4 Business Hours]:[R4 After Hours]],Input_Tasks[[#This Row],[R5 Business Hours]:[R5 After Hours]])</f>
        <v>0</v>
      </c>
    </row>
    <row r="122" spans="1:65">
      <c r="A122" s="384"/>
      <c r="B122" s="271"/>
      <c r="C122" s="271"/>
      <c r="D122" s="406"/>
      <c r="E122" s="385">
        <f>Input_Tasks[[#This Row],[Onsite Round Trips_Hidden]]</f>
        <v>0</v>
      </c>
      <c r="F122" s="385">
        <f>Input_Tasks[[#This Row],[Overnight Stays_Hidden]]</f>
        <v>0</v>
      </c>
      <c r="G122" s="385">
        <f>Input_Tasks[[#This Row],[Documents_Hidden]]</f>
        <v>0</v>
      </c>
      <c r="H122" s="387"/>
      <c r="I122" s="388"/>
      <c r="J122" s="389"/>
      <c r="K122" s="390"/>
      <c r="L122" s="390"/>
      <c r="M122" s="389"/>
      <c r="N122" s="390"/>
      <c r="O122" s="390"/>
      <c r="P122" s="389"/>
      <c r="Q122" s="390"/>
      <c r="R122" s="391"/>
      <c r="S122" s="389"/>
      <c r="T122" s="390"/>
      <c r="U122" s="391"/>
      <c r="V122" s="389"/>
      <c r="W122" s="390"/>
      <c r="X122" s="390"/>
      <c r="Y122" s="386" t="str">
        <f>Input_Tasks[[#This Row],[Onsite Round Trips_Hidden]]&amp;"/"&amp;Input_Tasks[[#This Row],[Overnight Stays_Hidden]]&amp;"/"&amp;Input_Tasks[[#This Row],[Documents_Hidden]]</f>
        <v>0/0/0</v>
      </c>
      <c r="Z122" s="392">
        <f>Input_Tasks[[#This Row],[R1 Cost_Hidden]]</f>
        <v>0</v>
      </c>
      <c r="AA122" s="393">
        <f>Input_Tasks[[#This Row],[R2 Cost_Hidden]]</f>
        <v>0</v>
      </c>
      <c r="AB122" s="393">
        <f>Input_Tasks[[#This Row],[R3 Cost_Hidden]]</f>
        <v>0</v>
      </c>
      <c r="AC122" s="393">
        <f>Input_Tasks[[#This Row],[R4 Cost_Hidden]]</f>
        <v>0</v>
      </c>
      <c r="AD122" s="394">
        <f>Input_Tasks[[#This Row],[R5 Cost_Hidden]]</f>
        <v>0</v>
      </c>
      <c r="AE122" s="395">
        <f>SUM(Input_Tasks[[#This Row],[R1 Cost]:[R5 Cost]])</f>
        <v>0</v>
      </c>
      <c r="AF122" s="392">
        <f>Input_Tasks[[#This Row],[R1 Sell_Hidden]]</f>
        <v>0</v>
      </c>
      <c r="AG122" s="393">
        <f>Input_Tasks[[#This Row],[R2 Sell_Hidden]]</f>
        <v>0</v>
      </c>
      <c r="AH122" s="393">
        <f>Input_Tasks[[#This Row],[R3 Sell_Hidden]]</f>
        <v>0</v>
      </c>
      <c r="AI122" s="393">
        <f>Input_Tasks[[#This Row],[R4 Sell_Hidden5]]</f>
        <v>0</v>
      </c>
      <c r="AJ122" s="394">
        <f>Input_Tasks[[#This Row],[R5 Sell_Hidden]]</f>
        <v>0</v>
      </c>
      <c r="AK122" s="396">
        <f>SUM(Input_Tasks[[#This Row],[R1 Sell]:[R5 Sell]])</f>
        <v>0</v>
      </c>
      <c r="AL122" s="397">
        <f>IFERROR(VLOOKUP(RESOURCE_1_TYPE,COST_RATES,2,FALSE)*Input_Tasks[[#This Row],[R1 Business Hours]],0)+IFERROR(VLOOKUP(RESOURCE_1_TYPE,COST_RATES,3,FALSE)*Input_Tasks[[#This Row],[R1 After Hours]],0)</f>
        <v>0</v>
      </c>
      <c r="AM122" s="398">
        <f>IFERROR(VLOOKUP(RESOURCE_2_TYPE,COST_RATES,2,FALSE)*Input_Tasks[[#This Row],[R2 Business Hours]],0)+IFERROR(VLOOKUP(RESOURCE_2_TYPE,COST_RATES,3,FALSE)*Input_Tasks[[#This Row],[R2 After Hours]],0)</f>
        <v>0</v>
      </c>
      <c r="AN122" s="398">
        <f>IFERROR(VLOOKUP(RESOURCE_3_TYPE,COST_RATES,2,FALSE)*Input_Tasks[[#This Row],[R3 Business Hours]],0)+IFERROR(VLOOKUP(RESOURCE_3_TYPE,COST_RATES,3,FALSE)*Input_Tasks[[#This Row],[R3 After Hours]],0)</f>
        <v>0</v>
      </c>
      <c r="AO122" s="398">
        <f>IFERROR(VLOOKUP(RESOURCE_4_TYPE,COST_RATES,2,FALSE)*Input_Tasks[[#This Row],[R4 Business Hours]],0)+IFERROR(VLOOKUP(RESOURCE_4_TYPE,COST_RATES,3,FALSE)*Input_Tasks[[#This Row],[R4 After Hours]],0)</f>
        <v>0</v>
      </c>
      <c r="AP122" s="398">
        <f>IFERROR(VLOOKUP(RESOURCE_5_TYPE,COST_RATES,2,FALSE)*Input_Tasks[[#This Row],[R5 Business Hours]],0)+IFERROR(VLOOKUP(RESOURCE_5_TYPE,COST_RATES,3,FALSE)*Input_Tasks[[#This Row],[R5 After Hours]],0)</f>
        <v>0</v>
      </c>
      <c r="AQ122" s="399">
        <f>IFERROR(VLOOKUP(RESOURCE_1_TYPE,SELL_RATES,2,FALSE)*Input_Tasks[[#This Row],[R1 Business Hours]],0)+IFERROR(VLOOKUP(RESOURCE_1_TYPE,SELL_RATES,3,FALSE)*Input_Tasks[[#This Row],[R1 After Hours]],0)</f>
        <v>0</v>
      </c>
      <c r="AR122" s="398">
        <f>IFERROR(VLOOKUP(RESOURCE_2_TYPE,SELL_RATES,2,FALSE)*Input_Tasks[[#This Row],[R2 Business Hours]],0)+IFERROR(VLOOKUP(RESOURCE_2_TYPE,SELL_RATES,3,FALSE)*Input_Tasks[[#This Row],[R2 After Hours]],0)</f>
        <v>0</v>
      </c>
      <c r="AS122" s="398">
        <f>IFERROR(VLOOKUP(RESOURCE_3_TYPE,SELL_RATES,2,FALSE)*Input_Tasks[[#This Row],[R3 Business Hours]],0)+IFERROR(VLOOKUP(RESOURCE_3_TYPE,SELL_RATES,3,FALSE)*Input_Tasks[[#This Row],[R3 After Hours]],0)</f>
        <v>0</v>
      </c>
      <c r="AT122" s="398">
        <f>IFERROR(VLOOKUP(RESOURCE_4_TYPE,SELL_RATES,2,FALSE)*Input_Tasks[[#This Row],[R4 Business Hours]],0)+IFERROR(VLOOKUP(RESOURCE_4_TYPE,SELL_RATES,3,FALSE)*Input_Tasks[[#This Row],[R4 After Hours]],0)</f>
        <v>0</v>
      </c>
      <c r="AU122" s="398">
        <f>IFERROR(VLOOKUP(RESOURCE_5_TYPE,SELL_RATES,2,FALSE)*Input_Tasks[[#This Row],[R5 Business Hours]],0)+IFERROR(VLOOKUP(RESOURCE_5_TYPE,SELL_RATES,3,FALSE)*Input_Tasks[[#This Row],[R5 After Hours]],0)</f>
        <v>0</v>
      </c>
      <c r="AV122" s="400">
        <f>SUM(Input_Tasks[[#This Row],[Round Trips R1]:[Round Trips R5]])</f>
        <v>0</v>
      </c>
      <c r="AW122" s="401">
        <f>SUM(Input_Tasks[[#This Row],[Overnight StaysR1]:[Overnight StaysR5]])</f>
        <v>0</v>
      </c>
      <c r="AX122" s="401">
        <f>IF(AND(Input_Tasks[[#This Row],[Sell - Line Total]]&gt;0,OR(Input_Tasks[[#This Row],[Phase]]="",Input_Tasks[[#This Row],[Skill Required]]="",Input_Tasks[[#This Row],[Task Type]]="",Input_Tasks[[#This Row],[Description]]="")),1,0)</f>
        <v>0</v>
      </c>
      <c r="AY122" s="402">
        <f>IF(AND(Input_Tasks[[#This Row],[Task Type]]="ArchiTech Document Deliverable",Input_Tasks[[#This Row],[Hours]]&gt;0),1,0)</f>
        <v>0</v>
      </c>
      <c r="AZ12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2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2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2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2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2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2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2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2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2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2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2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2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22" s="405">
        <f>SUM(Input_Tasks[[#This Row],[R1 Business Hours]:[R1 After Hours]],Input_Tasks[[#This Row],[R2 Business Hours]:[R2 After Hours]],Input_Tasks[[#This Row],[R3 Business Hours]:[R3 After Hours]],Input_Tasks[[#This Row],[R4 Business Hours]:[R4 After Hours]],Input_Tasks[[#This Row],[R5 Business Hours]:[R5 After Hours]])</f>
        <v>0</v>
      </c>
    </row>
    <row r="123" spans="1:65">
      <c r="A123" s="384"/>
      <c r="B123" s="271"/>
      <c r="C123" s="271"/>
      <c r="D123" s="406"/>
      <c r="E123" s="385">
        <f>Input_Tasks[[#This Row],[Onsite Round Trips_Hidden]]</f>
        <v>0</v>
      </c>
      <c r="F123" s="385">
        <f>Input_Tasks[[#This Row],[Overnight Stays_Hidden]]</f>
        <v>0</v>
      </c>
      <c r="G123" s="385">
        <f>Input_Tasks[[#This Row],[Documents_Hidden]]</f>
        <v>0</v>
      </c>
      <c r="H123" s="387"/>
      <c r="I123" s="388"/>
      <c r="J123" s="389"/>
      <c r="K123" s="390"/>
      <c r="L123" s="390"/>
      <c r="M123" s="389"/>
      <c r="N123" s="390"/>
      <c r="O123" s="390"/>
      <c r="P123" s="389"/>
      <c r="Q123" s="390"/>
      <c r="R123" s="391"/>
      <c r="S123" s="389"/>
      <c r="T123" s="390"/>
      <c r="U123" s="391"/>
      <c r="V123" s="389"/>
      <c r="W123" s="390"/>
      <c r="X123" s="390"/>
      <c r="Y123" s="386" t="str">
        <f>Input_Tasks[[#This Row],[Onsite Round Trips_Hidden]]&amp;"/"&amp;Input_Tasks[[#This Row],[Overnight Stays_Hidden]]&amp;"/"&amp;Input_Tasks[[#This Row],[Documents_Hidden]]</f>
        <v>0/0/0</v>
      </c>
      <c r="Z123" s="392">
        <f>Input_Tasks[[#This Row],[R1 Cost_Hidden]]</f>
        <v>0</v>
      </c>
      <c r="AA123" s="393">
        <f>Input_Tasks[[#This Row],[R2 Cost_Hidden]]</f>
        <v>0</v>
      </c>
      <c r="AB123" s="393">
        <f>Input_Tasks[[#This Row],[R3 Cost_Hidden]]</f>
        <v>0</v>
      </c>
      <c r="AC123" s="393">
        <f>Input_Tasks[[#This Row],[R4 Cost_Hidden]]</f>
        <v>0</v>
      </c>
      <c r="AD123" s="394">
        <f>Input_Tasks[[#This Row],[R5 Cost_Hidden]]</f>
        <v>0</v>
      </c>
      <c r="AE123" s="395">
        <f>SUM(Input_Tasks[[#This Row],[R1 Cost]:[R5 Cost]])</f>
        <v>0</v>
      </c>
      <c r="AF123" s="392">
        <f>Input_Tasks[[#This Row],[R1 Sell_Hidden]]</f>
        <v>0</v>
      </c>
      <c r="AG123" s="393">
        <f>Input_Tasks[[#This Row],[R2 Sell_Hidden]]</f>
        <v>0</v>
      </c>
      <c r="AH123" s="393">
        <f>Input_Tasks[[#This Row],[R3 Sell_Hidden]]</f>
        <v>0</v>
      </c>
      <c r="AI123" s="393">
        <f>Input_Tasks[[#This Row],[R4 Sell_Hidden5]]</f>
        <v>0</v>
      </c>
      <c r="AJ123" s="394">
        <f>Input_Tasks[[#This Row],[R5 Sell_Hidden]]</f>
        <v>0</v>
      </c>
      <c r="AK123" s="396">
        <f>SUM(Input_Tasks[[#This Row],[R1 Sell]:[R5 Sell]])</f>
        <v>0</v>
      </c>
      <c r="AL123" s="397">
        <f>IFERROR(VLOOKUP(RESOURCE_1_TYPE,COST_RATES,2,FALSE)*Input_Tasks[[#This Row],[R1 Business Hours]],0)+IFERROR(VLOOKUP(RESOURCE_1_TYPE,COST_RATES,3,FALSE)*Input_Tasks[[#This Row],[R1 After Hours]],0)</f>
        <v>0</v>
      </c>
      <c r="AM123" s="398">
        <f>IFERROR(VLOOKUP(RESOURCE_2_TYPE,COST_RATES,2,FALSE)*Input_Tasks[[#This Row],[R2 Business Hours]],0)+IFERROR(VLOOKUP(RESOURCE_2_TYPE,COST_RATES,3,FALSE)*Input_Tasks[[#This Row],[R2 After Hours]],0)</f>
        <v>0</v>
      </c>
      <c r="AN123" s="398">
        <f>IFERROR(VLOOKUP(RESOURCE_3_TYPE,COST_RATES,2,FALSE)*Input_Tasks[[#This Row],[R3 Business Hours]],0)+IFERROR(VLOOKUP(RESOURCE_3_TYPE,COST_RATES,3,FALSE)*Input_Tasks[[#This Row],[R3 After Hours]],0)</f>
        <v>0</v>
      </c>
      <c r="AO123" s="398">
        <f>IFERROR(VLOOKUP(RESOURCE_4_TYPE,COST_RATES,2,FALSE)*Input_Tasks[[#This Row],[R4 Business Hours]],0)+IFERROR(VLOOKUP(RESOURCE_4_TYPE,COST_RATES,3,FALSE)*Input_Tasks[[#This Row],[R4 After Hours]],0)</f>
        <v>0</v>
      </c>
      <c r="AP123" s="398">
        <f>IFERROR(VLOOKUP(RESOURCE_5_TYPE,COST_RATES,2,FALSE)*Input_Tasks[[#This Row],[R5 Business Hours]],0)+IFERROR(VLOOKUP(RESOURCE_5_TYPE,COST_RATES,3,FALSE)*Input_Tasks[[#This Row],[R5 After Hours]],0)</f>
        <v>0</v>
      </c>
      <c r="AQ123" s="399">
        <f>IFERROR(VLOOKUP(RESOURCE_1_TYPE,SELL_RATES,2,FALSE)*Input_Tasks[[#This Row],[R1 Business Hours]],0)+IFERROR(VLOOKUP(RESOURCE_1_TYPE,SELL_RATES,3,FALSE)*Input_Tasks[[#This Row],[R1 After Hours]],0)</f>
        <v>0</v>
      </c>
      <c r="AR123" s="398">
        <f>IFERROR(VLOOKUP(RESOURCE_2_TYPE,SELL_RATES,2,FALSE)*Input_Tasks[[#This Row],[R2 Business Hours]],0)+IFERROR(VLOOKUP(RESOURCE_2_TYPE,SELL_RATES,3,FALSE)*Input_Tasks[[#This Row],[R2 After Hours]],0)</f>
        <v>0</v>
      </c>
      <c r="AS123" s="398">
        <f>IFERROR(VLOOKUP(RESOURCE_3_TYPE,SELL_RATES,2,FALSE)*Input_Tasks[[#This Row],[R3 Business Hours]],0)+IFERROR(VLOOKUP(RESOURCE_3_TYPE,SELL_RATES,3,FALSE)*Input_Tasks[[#This Row],[R3 After Hours]],0)</f>
        <v>0</v>
      </c>
      <c r="AT123" s="398">
        <f>IFERROR(VLOOKUP(RESOURCE_4_TYPE,SELL_RATES,2,FALSE)*Input_Tasks[[#This Row],[R4 Business Hours]],0)+IFERROR(VLOOKUP(RESOURCE_4_TYPE,SELL_RATES,3,FALSE)*Input_Tasks[[#This Row],[R4 After Hours]],0)</f>
        <v>0</v>
      </c>
      <c r="AU123" s="398">
        <f>IFERROR(VLOOKUP(RESOURCE_5_TYPE,SELL_RATES,2,FALSE)*Input_Tasks[[#This Row],[R5 Business Hours]],0)+IFERROR(VLOOKUP(RESOURCE_5_TYPE,SELL_RATES,3,FALSE)*Input_Tasks[[#This Row],[R5 After Hours]],0)</f>
        <v>0</v>
      </c>
      <c r="AV123" s="400">
        <f>SUM(Input_Tasks[[#This Row],[Round Trips R1]:[Round Trips R5]])</f>
        <v>0</v>
      </c>
      <c r="AW123" s="401">
        <f>SUM(Input_Tasks[[#This Row],[Overnight StaysR1]:[Overnight StaysR5]])</f>
        <v>0</v>
      </c>
      <c r="AX123" s="401">
        <f>IF(AND(Input_Tasks[[#This Row],[Sell - Line Total]]&gt;0,OR(Input_Tasks[[#This Row],[Phase]]="",Input_Tasks[[#This Row],[Skill Required]]="",Input_Tasks[[#This Row],[Task Type]]="",Input_Tasks[[#This Row],[Description]]="")),1,0)</f>
        <v>0</v>
      </c>
      <c r="AY123" s="402">
        <f>IF(AND(Input_Tasks[[#This Row],[Task Type]]="ArchiTech Document Deliverable",Input_Tasks[[#This Row],[Hours]]&gt;0),1,0)</f>
        <v>0</v>
      </c>
      <c r="AZ12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2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2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2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2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2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2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2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2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2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2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2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2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23" s="405">
        <f>SUM(Input_Tasks[[#This Row],[R1 Business Hours]:[R1 After Hours]],Input_Tasks[[#This Row],[R2 Business Hours]:[R2 After Hours]],Input_Tasks[[#This Row],[R3 Business Hours]:[R3 After Hours]],Input_Tasks[[#This Row],[R4 Business Hours]:[R4 After Hours]],Input_Tasks[[#This Row],[R5 Business Hours]:[R5 After Hours]])</f>
        <v>0</v>
      </c>
    </row>
    <row r="124" spans="1:65">
      <c r="A124" s="384"/>
      <c r="B124" s="271"/>
      <c r="C124" s="271"/>
      <c r="D124" s="406"/>
      <c r="E124" s="385">
        <f>Input_Tasks[[#This Row],[Onsite Round Trips_Hidden]]</f>
        <v>0</v>
      </c>
      <c r="F124" s="385">
        <f>Input_Tasks[[#This Row],[Overnight Stays_Hidden]]</f>
        <v>0</v>
      </c>
      <c r="G124" s="385">
        <f>Input_Tasks[[#This Row],[Documents_Hidden]]</f>
        <v>0</v>
      </c>
      <c r="H124" s="387"/>
      <c r="I124" s="388"/>
      <c r="J124" s="389"/>
      <c r="K124" s="390"/>
      <c r="L124" s="390"/>
      <c r="M124" s="389"/>
      <c r="N124" s="390"/>
      <c r="O124" s="390"/>
      <c r="P124" s="389"/>
      <c r="Q124" s="390"/>
      <c r="R124" s="391"/>
      <c r="S124" s="389"/>
      <c r="T124" s="390"/>
      <c r="U124" s="391"/>
      <c r="V124" s="389"/>
      <c r="W124" s="390"/>
      <c r="X124" s="390"/>
      <c r="Y124" s="386" t="str">
        <f>Input_Tasks[[#This Row],[Onsite Round Trips_Hidden]]&amp;"/"&amp;Input_Tasks[[#This Row],[Overnight Stays_Hidden]]&amp;"/"&amp;Input_Tasks[[#This Row],[Documents_Hidden]]</f>
        <v>0/0/0</v>
      </c>
      <c r="Z124" s="392">
        <f>Input_Tasks[[#This Row],[R1 Cost_Hidden]]</f>
        <v>0</v>
      </c>
      <c r="AA124" s="393">
        <f>Input_Tasks[[#This Row],[R2 Cost_Hidden]]</f>
        <v>0</v>
      </c>
      <c r="AB124" s="393">
        <f>Input_Tasks[[#This Row],[R3 Cost_Hidden]]</f>
        <v>0</v>
      </c>
      <c r="AC124" s="393">
        <f>Input_Tasks[[#This Row],[R4 Cost_Hidden]]</f>
        <v>0</v>
      </c>
      <c r="AD124" s="394">
        <f>Input_Tasks[[#This Row],[R5 Cost_Hidden]]</f>
        <v>0</v>
      </c>
      <c r="AE124" s="395">
        <f>SUM(Input_Tasks[[#This Row],[R1 Cost]:[R5 Cost]])</f>
        <v>0</v>
      </c>
      <c r="AF124" s="392">
        <f>Input_Tasks[[#This Row],[R1 Sell_Hidden]]</f>
        <v>0</v>
      </c>
      <c r="AG124" s="393">
        <f>Input_Tasks[[#This Row],[R2 Sell_Hidden]]</f>
        <v>0</v>
      </c>
      <c r="AH124" s="393">
        <f>Input_Tasks[[#This Row],[R3 Sell_Hidden]]</f>
        <v>0</v>
      </c>
      <c r="AI124" s="393">
        <f>Input_Tasks[[#This Row],[R4 Sell_Hidden5]]</f>
        <v>0</v>
      </c>
      <c r="AJ124" s="394">
        <f>Input_Tasks[[#This Row],[R5 Sell_Hidden]]</f>
        <v>0</v>
      </c>
      <c r="AK124" s="396">
        <f>SUM(Input_Tasks[[#This Row],[R1 Sell]:[R5 Sell]])</f>
        <v>0</v>
      </c>
      <c r="AL124" s="397">
        <f>IFERROR(VLOOKUP(RESOURCE_1_TYPE,COST_RATES,2,FALSE)*Input_Tasks[[#This Row],[R1 Business Hours]],0)+IFERROR(VLOOKUP(RESOURCE_1_TYPE,COST_RATES,3,FALSE)*Input_Tasks[[#This Row],[R1 After Hours]],0)</f>
        <v>0</v>
      </c>
      <c r="AM124" s="398">
        <f>IFERROR(VLOOKUP(RESOURCE_2_TYPE,COST_RATES,2,FALSE)*Input_Tasks[[#This Row],[R2 Business Hours]],0)+IFERROR(VLOOKUP(RESOURCE_2_TYPE,COST_RATES,3,FALSE)*Input_Tasks[[#This Row],[R2 After Hours]],0)</f>
        <v>0</v>
      </c>
      <c r="AN124" s="398">
        <f>IFERROR(VLOOKUP(RESOURCE_3_TYPE,COST_RATES,2,FALSE)*Input_Tasks[[#This Row],[R3 Business Hours]],0)+IFERROR(VLOOKUP(RESOURCE_3_TYPE,COST_RATES,3,FALSE)*Input_Tasks[[#This Row],[R3 After Hours]],0)</f>
        <v>0</v>
      </c>
      <c r="AO124" s="398">
        <f>IFERROR(VLOOKUP(RESOURCE_4_TYPE,COST_RATES,2,FALSE)*Input_Tasks[[#This Row],[R4 Business Hours]],0)+IFERROR(VLOOKUP(RESOURCE_4_TYPE,COST_RATES,3,FALSE)*Input_Tasks[[#This Row],[R4 After Hours]],0)</f>
        <v>0</v>
      </c>
      <c r="AP124" s="398">
        <f>IFERROR(VLOOKUP(RESOURCE_5_TYPE,COST_RATES,2,FALSE)*Input_Tasks[[#This Row],[R5 Business Hours]],0)+IFERROR(VLOOKUP(RESOURCE_5_TYPE,COST_RATES,3,FALSE)*Input_Tasks[[#This Row],[R5 After Hours]],0)</f>
        <v>0</v>
      </c>
      <c r="AQ124" s="399">
        <f>IFERROR(VLOOKUP(RESOURCE_1_TYPE,SELL_RATES,2,FALSE)*Input_Tasks[[#This Row],[R1 Business Hours]],0)+IFERROR(VLOOKUP(RESOURCE_1_TYPE,SELL_RATES,3,FALSE)*Input_Tasks[[#This Row],[R1 After Hours]],0)</f>
        <v>0</v>
      </c>
      <c r="AR124" s="398">
        <f>IFERROR(VLOOKUP(RESOURCE_2_TYPE,SELL_RATES,2,FALSE)*Input_Tasks[[#This Row],[R2 Business Hours]],0)+IFERROR(VLOOKUP(RESOURCE_2_TYPE,SELL_RATES,3,FALSE)*Input_Tasks[[#This Row],[R2 After Hours]],0)</f>
        <v>0</v>
      </c>
      <c r="AS124" s="398">
        <f>IFERROR(VLOOKUP(RESOURCE_3_TYPE,SELL_RATES,2,FALSE)*Input_Tasks[[#This Row],[R3 Business Hours]],0)+IFERROR(VLOOKUP(RESOURCE_3_TYPE,SELL_RATES,3,FALSE)*Input_Tasks[[#This Row],[R3 After Hours]],0)</f>
        <v>0</v>
      </c>
      <c r="AT124" s="398">
        <f>IFERROR(VLOOKUP(RESOURCE_4_TYPE,SELL_RATES,2,FALSE)*Input_Tasks[[#This Row],[R4 Business Hours]],0)+IFERROR(VLOOKUP(RESOURCE_4_TYPE,SELL_RATES,3,FALSE)*Input_Tasks[[#This Row],[R4 After Hours]],0)</f>
        <v>0</v>
      </c>
      <c r="AU124" s="398">
        <f>IFERROR(VLOOKUP(RESOURCE_5_TYPE,SELL_RATES,2,FALSE)*Input_Tasks[[#This Row],[R5 Business Hours]],0)+IFERROR(VLOOKUP(RESOURCE_5_TYPE,SELL_RATES,3,FALSE)*Input_Tasks[[#This Row],[R5 After Hours]],0)</f>
        <v>0</v>
      </c>
      <c r="AV124" s="400">
        <f>SUM(Input_Tasks[[#This Row],[Round Trips R1]:[Round Trips R5]])</f>
        <v>0</v>
      </c>
      <c r="AW124" s="401">
        <f>SUM(Input_Tasks[[#This Row],[Overnight StaysR1]:[Overnight StaysR5]])</f>
        <v>0</v>
      </c>
      <c r="AX124" s="401">
        <f>IF(AND(Input_Tasks[[#This Row],[Sell - Line Total]]&gt;0,OR(Input_Tasks[[#This Row],[Phase]]="",Input_Tasks[[#This Row],[Skill Required]]="",Input_Tasks[[#This Row],[Task Type]]="",Input_Tasks[[#This Row],[Description]]="")),1,0)</f>
        <v>0</v>
      </c>
      <c r="AY124" s="402">
        <f>IF(AND(Input_Tasks[[#This Row],[Task Type]]="ArchiTech Document Deliverable",Input_Tasks[[#This Row],[Hours]]&gt;0),1,0)</f>
        <v>0</v>
      </c>
      <c r="AZ12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2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2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2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2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2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2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2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2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2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2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2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2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24" s="405">
        <f>SUM(Input_Tasks[[#This Row],[R1 Business Hours]:[R1 After Hours]],Input_Tasks[[#This Row],[R2 Business Hours]:[R2 After Hours]],Input_Tasks[[#This Row],[R3 Business Hours]:[R3 After Hours]],Input_Tasks[[#This Row],[R4 Business Hours]:[R4 After Hours]],Input_Tasks[[#This Row],[R5 Business Hours]:[R5 After Hours]])</f>
        <v>0</v>
      </c>
    </row>
    <row r="125" spans="1:65">
      <c r="A125" s="384"/>
      <c r="B125" s="271"/>
      <c r="C125" s="271"/>
      <c r="D125" s="406"/>
      <c r="E125" s="385">
        <f>Input_Tasks[[#This Row],[Onsite Round Trips_Hidden]]</f>
        <v>0</v>
      </c>
      <c r="F125" s="385">
        <f>Input_Tasks[[#This Row],[Overnight Stays_Hidden]]</f>
        <v>0</v>
      </c>
      <c r="G125" s="385">
        <f>Input_Tasks[[#This Row],[Documents_Hidden]]</f>
        <v>0</v>
      </c>
      <c r="H125" s="387"/>
      <c r="I125" s="388"/>
      <c r="J125" s="389"/>
      <c r="K125" s="390"/>
      <c r="L125" s="390"/>
      <c r="M125" s="389"/>
      <c r="N125" s="390"/>
      <c r="O125" s="390"/>
      <c r="P125" s="389"/>
      <c r="Q125" s="390"/>
      <c r="R125" s="391"/>
      <c r="S125" s="389"/>
      <c r="T125" s="390"/>
      <c r="U125" s="391"/>
      <c r="V125" s="389"/>
      <c r="W125" s="390"/>
      <c r="X125" s="390"/>
      <c r="Y125" s="386" t="str">
        <f>Input_Tasks[[#This Row],[Onsite Round Trips_Hidden]]&amp;"/"&amp;Input_Tasks[[#This Row],[Overnight Stays_Hidden]]&amp;"/"&amp;Input_Tasks[[#This Row],[Documents_Hidden]]</f>
        <v>0/0/0</v>
      </c>
      <c r="Z125" s="392">
        <f>Input_Tasks[[#This Row],[R1 Cost_Hidden]]</f>
        <v>0</v>
      </c>
      <c r="AA125" s="393">
        <f>Input_Tasks[[#This Row],[R2 Cost_Hidden]]</f>
        <v>0</v>
      </c>
      <c r="AB125" s="393">
        <f>Input_Tasks[[#This Row],[R3 Cost_Hidden]]</f>
        <v>0</v>
      </c>
      <c r="AC125" s="393">
        <f>Input_Tasks[[#This Row],[R4 Cost_Hidden]]</f>
        <v>0</v>
      </c>
      <c r="AD125" s="394">
        <f>Input_Tasks[[#This Row],[R5 Cost_Hidden]]</f>
        <v>0</v>
      </c>
      <c r="AE125" s="395">
        <f>SUM(Input_Tasks[[#This Row],[R1 Cost]:[R5 Cost]])</f>
        <v>0</v>
      </c>
      <c r="AF125" s="392">
        <f>Input_Tasks[[#This Row],[R1 Sell_Hidden]]</f>
        <v>0</v>
      </c>
      <c r="AG125" s="393">
        <f>Input_Tasks[[#This Row],[R2 Sell_Hidden]]</f>
        <v>0</v>
      </c>
      <c r="AH125" s="393">
        <f>Input_Tasks[[#This Row],[R3 Sell_Hidden]]</f>
        <v>0</v>
      </c>
      <c r="AI125" s="393">
        <f>Input_Tasks[[#This Row],[R4 Sell_Hidden5]]</f>
        <v>0</v>
      </c>
      <c r="AJ125" s="394">
        <f>Input_Tasks[[#This Row],[R5 Sell_Hidden]]</f>
        <v>0</v>
      </c>
      <c r="AK125" s="396">
        <f>SUM(Input_Tasks[[#This Row],[R1 Sell]:[R5 Sell]])</f>
        <v>0</v>
      </c>
      <c r="AL125" s="397">
        <f>IFERROR(VLOOKUP(RESOURCE_1_TYPE,COST_RATES,2,FALSE)*Input_Tasks[[#This Row],[R1 Business Hours]],0)+IFERROR(VLOOKUP(RESOURCE_1_TYPE,COST_RATES,3,FALSE)*Input_Tasks[[#This Row],[R1 After Hours]],0)</f>
        <v>0</v>
      </c>
      <c r="AM125" s="398">
        <f>IFERROR(VLOOKUP(RESOURCE_2_TYPE,COST_RATES,2,FALSE)*Input_Tasks[[#This Row],[R2 Business Hours]],0)+IFERROR(VLOOKUP(RESOURCE_2_TYPE,COST_RATES,3,FALSE)*Input_Tasks[[#This Row],[R2 After Hours]],0)</f>
        <v>0</v>
      </c>
      <c r="AN125" s="398">
        <f>IFERROR(VLOOKUP(RESOURCE_3_TYPE,COST_RATES,2,FALSE)*Input_Tasks[[#This Row],[R3 Business Hours]],0)+IFERROR(VLOOKUP(RESOURCE_3_TYPE,COST_RATES,3,FALSE)*Input_Tasks[[#This Row],[R3 After Hours]],0)</f>
        <v>0</v>
      </c>
      <c r="AO125" s="398">
        <f>IFERROR(VLOOKUP(RESOURCE_4_TYPE,COST_RATES,2,FALSE)*Input_Tasks[[#This Row],[R4 Business Hours]],0)+IFERROR(VLOOKUP(RESOURCE_4_TYPE,COST_RATES,3,FALSE)*Input_Tasks[[#This Row],[R4 After Hours]],0)</f>
        <v>0</v>
      </c>
      <c r="AP125" s="398">
        <f>IFERROR(VLOOKUP(RESOURCE_5_TYPE,COST_RATES,2,FALSE)*Input_Tasks[[#This Row],[R5 Business Hours]],0)+IFERROR(VLOOKUP(RESOURCE_5_TYPE,COST_RATES,3,FALSE)*Input_Tasks[[#This Row],[R5 After Hours]],0)</f>
        <v>0</v>
      </c>
      <c r="AQ125" s="399">
        <f>IFERROR(VLOOKUP(RESOURCE_1_TYPE,SELL_RATES,2,FALSE)*Input_Tasks[[#This Row],[R1 Business Hours]],0)+IFERROR(VLOOKUP(RESOURCE_1_TYPE,SELL_RATES,3,FALSE)*Input_Tasks[[#This Row],[R1 After Hours]],0)</f>
        <v>0</v>
      </c>
      <c r="AR125" s="398">
        <f>IFERROR(VLOOKUP(RESOURCE_2_TYPE,SELL_RATES,2,FALSE)*Input_Tasks[[#This Row],[R2 Business Hours]],0)+IFERROR(VLOOKUP(RESOURCE_2_TYPE,SELL_RATES,3,FALSE)*Input_Tasks[[#This Row],[R2 After Hours]],0)</f>
        <v>0</v>
      </c>
      <c r="AS125" s="398">
        <f>IFERROR(VLOOKUP(RESOURCE_3_TYPE,SELL_RATES,2,FALSE)*Input_Tasks[[#This Row],[R3 Business Hours]],0)+IFERROR(VLOOKUP(RESOURCE_3_TYPE,SELL_RATES,3,FALSE)*Input_Tasks[[#This Row],[R3 After Hours]],0)</f>
        <v>0</v>
      </c>
      <c r="AT125" s="398">
        <f>IFERROR(VLOOKUP(RESOURCE_4_TYPE,SELL_RATES,2,FALSE)*Input_Tasks[[#This Row],[R4 Business Hours]],0)+IFERROR(VLOOKUP(RESOURCE_4_TYPE,SELL_RATES,3,FALSE)*Input_Tasks[[#This Row],[R4 After Hours]],0)</f>
        <v>0</v>
      </c>
      <c r="AU125" s="398">
        <f>IFERROR(VLOOKUP(RESOURCE_5_TYPE,SELL_RATES,2,FALSE)*Input_Tasks[[#This Row],[R5 Business Hours]],0)+IFERROR(VLOOKUP(RESOURCE_5_TYPE,SELL_RATES,3,FALSE)*Input_Tasks[[#This Row],[R5 After Hours]],0)</f>
        <v>0</v>
      </c>
      <c r="AV125" s="400">
        <f>SUM(Input_Tasks[[#This Row],[Round Trips R1]:[Round Trips R5]])</f>
        <v>0</v>
      </c>
      <c r="AW125" s="401">
        <f>SUM(Input_Tasks[[#This Row],[Overnight StaysR1]:[Overnight StaysR5]])</f>
        <v>0</v>
      </c>
      <c r="AX125" s="401">
        <f>IF(AND(Input_Tasks[[#This Row],[Sell - Line Total]]&gt;0,OR(Input_Tasks[[#This Row],[Phase]]="",Input_Tasks[[#This Row],[Skill Required]]="",Input_Tasks[[#This Row],[Task Type]]="",Input_Tasks[[#This Row],[Description]]="")),1,0)</f>
        <v>0</v>
      </c>
      <c r="AY125" s="402">
        <f>IF(AND(Input_Tasks[[#This Row],[Task Type]]="ArchiTech Document Deliverable",Input_Tasks[[#This Row],[Hours]]&gt;0),1,0)</f>
        <v>0</v>
      </c>
      <c r="AZ12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2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2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2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2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2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2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2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2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2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2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2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2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25" s="405">
        <f>SUM(Input_Tasks[[#This Row],[R1 Business Hours]:[R1 After Hours]],Input_Tasks[[#This Row],[R2 Business Hours]:[R2 After Hours]],Input_Tasks[[#This Row],[R3 Business Hours]:[R3 After Hours]],Input_Tasks[[#This Row],[R4 Business Hours]:[R4 After Hours]],Input_Tasks[[#This Row],[R5 Business Hours]:[R5 After Hours]])</f>
        <v>0</v>
      </c>
    </row>
    <row r="126" spans="1:65">
      <c r="A126" s="384"/>
      <c r="B126" s="271"/>
      <c r="C126" s="271"/>
      <c r="D126" s="406"/>
      <c r="E126" s="385">
        <f>Input_Tasks[[#This Row],[Onsite Round Trips_Hidden]]</f>
        <v>0</v>
      </c>
      <c r="F126" s="385">
        <f>Input_Tasks[[#This Row],[Overnight Stays_Hidden]]</f>
        <v>0</v>
      </c>
      <c r="G126" s="385">
        <f>Input_Tasks[[#This Row],[Documents_Hidden]]</f>
        <v>0</v>
      </c>
      <c r="H126" s="387"/>
      <c r="I126" s="388"/>
      <c r="J126" s="389"/>
      <c r="K126" s="390"/>
      <c r="L126" s="390"/>
      <c r="M126" s="389"/>
      <c r="N126" s="390"/>
      <c r="O126" s="390"/>
      <c r="P126" s="389"/>
      <c r="Q126" s="390"/>
      <c r="R126" s="391"/>
      <c r="S126" s="389"/>
      <c r="T126" s="390"/>
      <c r="U126" s="391"/>
      <c r="V126" s="389"/>
      <c r="W126" s="390"/>
      <c r="X126" s="390"/>
      <c r="Y126" s="386" t="str">
        <f>Input_Tasks[[#This Row],[Onsite Round Trips_Hidden]]&amp;"/"&amp;Input_Tasks[[#This Row],[Overnight Stays_Hidden]]&amp;"/"&amp;Input_Tasks[[#This Row],[Documents_Hidden]]</f>
        <v>0/0/0</v>
      </c>
      <c r="Z126" s="392">
        <f>Input_Tasks[[#This Row],[R1 Cost_Hidden]]</f>
        <v>0</v>
      </c>
      <c r="AA126" s="393">
        <f>Input_Tasks[[#This Row],[R2 Cost_Hidden]]</f>
        <v>0</v>
      </c>
      <c r="AB126" s="393">
        <f>Input_Tasks[[#This Row],[R3 Cost_Hidden]]</f>
        <v>0</v>
      </c>
      <c r="AC126" s="393">
        <f>Input_Tasks[[#This Row],[R4 Cost_Hidden]]</f>
        <v>0</v>
      </c>
      <c r="AD126" s="394">
        <f>Input_Tasks[[#This Row],[R5 Cost_Hidden]]</f>
        <v>0</v>
      </c>
      <c r="AE126" s="395">
        <f>SUM(Input_Tasks[[#This Row],[R1 Cost]:[R5 Cost]])</f>
        <v>0</v>
      </c>
      <c r="AF126" s="392">
        <f>Input_Tasks[[#This Row],[R1 Sell_Hidden]]</f>
        <v>0</v>
      </c>
      <c r="AG126" s="393">
        <f>Input_Tasks[[#This Row],[R2 Sell_Hidden]]</f>
        <v>0</v>
      </c>
      <c r="AH126" s="393">
        <f>Input_Tasks[[#This Row],[R3 Sell_Hidden]]</f>
        <v>0</v>
      </c>
      <c r="AI126" s="393">
        <f>Input_Tasks[[#This Row],[R4 Sell_Hidden5]]</f>
        <v>0</v>
      </c>
      <c r="AJ126" s="394">
        <f>Input_Tasks[[#This Row],[R5 Sell_Hidden]]</f>
        <v>0</v>
      </c>
      <c r="AK126" s="396">
        <f>SUM(Input_Tasks[[#This Row],[R1 Sell]:[R5 Sell]])</f>
        <v>0</v>
      </c>
      <c r="AL126" s="397">
        <f>IFERROR(VLOOKUP(RESOURCE_1_TYPE,COST_RATES,2,FALSE)*Input_Tasks[[#This Row],[R1 Business Hours]],0)+IFERROR(VLOOKUP(RESOURCE_1_TYPE,COST_RATES,3,FALSE)*Input_Tasks[[#This Row],[R1 After Hours]],0)</f>
        <v>0</v>
      </c>
      <c r="AM126" s="398">
        <f>IFERROR(VLOOKUP(RESOURCE_2_TYPE,COST_RATES,2,FALSE)*Input_Tasks[[#This Row],[R2 Business Hours]],0)+IFERROR(VLOOKUP(RESOURCE_2_TYPE,COST_RATES,3,FALSE)*Input_Tasks[[#This Row],[R2 After Hours]],0)</f>
        <v>0</v>
      </c>
      <c r="AN126" s="398">
        <f>IFERROR(VLOOKUP(RESOURCE_3_TYPE,COST_RATES,2,FALSE)*Input_Tasks[[#This Row],[R3 Business Hours]],0)+IFERROR(VLOOKUP(RESOURCE_3_TYPE,COST_RATES,3,FALSE)*Input_Tasks[[#This Row],[R3 After Hours]],0)</f>
        <v>0</v>
      </c>
      <c r="AO126" s="398">
        <f>IFERROR(VLOOKUP(RESOURCE_4_TYPE,COST_RATES,2,FALSE)*Input_Tasks[[#This Row],[R4 Business Hours]],0)+IFERROR(VLOOKUP(RESOURCE_4_TYPE,COST_RATES,3,FALSE)*Input_Tasks[[#This Row],[R4 After Hours]],0)</f>
        <v>0</v>
      </c>
      <c r="AP126" s="398">
        <f>IFERROR(VLOOKUP(RESOURCE_5_TYPE,COST_RATES,2,FALSE)*Input_Tasks[[#This Row],[R5 Business Hours]],0)+IFERROR(VLOOKUP(RESOURCE_5_TYPE,COST_RATES,3,FALSE)*Input_Tasks[[#This Row],[R5 After Hours]],0)</f>
        <v>0</v>
      </c>
      <c r="AQ126" s="399">
        <f>IFERROR(VLOOKUP(RESOURCE_1_TYPE,SELL_RATES,2,FALSE)*Input_Tasks[[#This Row],[R1 Business Hours]],0)+IFERROR(VLOOKUP(RESOURCE_1_TYPE,SELL_RATES,3,FALSE)*Input_Tasks[[#This Row],[R1 After Hours]],0)</f>
        <v>0</v>
      </c>
      <c r="AR126" s="398">
        <f>IFERROR(VLOOKUP(RESOURCE_2_TYPE,SELL_RATES,2,FALSE)*Input_Tasks[[#This Row],[R2 Business Hours]],0)+IFERROR(VLOOKUP(RESOURCE_2_TYPE,SELL_RATES,3,FALSE)*Input_Tasks[[#This Row],[R2 After Hours]],0)</f>
        <v>0</v>
      </c>
      <c r="AS126" s="398">
        <f>IFERROR(VLOOKUP(RESOURCE_3_TYPE,SELL_RATES,2,FALSE)*Input_Tasks[[#This Row],[R3 Business Hours]],0)+IFERROR(VLOOKUP(RESOURCE_3_TYPE,SELL_RATES,3,FALSE)*Input_Tasks[[#This Row],[R3 After Hours]],0)</f>
        <v>0</v>
      </c>
      <c r="AT126" s="398">
        <f>IFERROR(VLOOKUP(RESOURCE_4_TYPE,SELL_RATES,2,FALSE)*Input_Tasks[[#This Row],[R4 Business Hours]],0)+IFERROR(VLOOKUP(RESOURCE_4_TYPE,SELL_RATES,3,FALSE)*Input_Tasks[[#This Row],[R4 After Hours]],0)</f>
        <v>0</v>
      </c>
      <c r="AU126" s="398">
        <f>IFERROR(VLOOKUP(RESOURCE_5_TYPE,SELL_RATES,2,FALSE)*Input_Tasks[[#This Row],[R5 Business Hours]],0)+IFERROR(VLOOKUP(RESOURCE_5_TYPE,SELL_RATES,3,FALSE)*Input_Tasks[[#This Row],[R5 After Hours]],0)</f>
        <v>0</v>
      </c>
      <c r="AV126" s="400">
        <f>SUM(Input_Tasks[[#This Row],[Round Trips R1]:[Round Trips R5]])</f>
        <v>0</v>
      </c>
      <c r="AW126" s="401">
        <f>SUM(Input_Tasks[[#This Row],[Overnight StaysR1]:[Overnight StaysR5]])</f>
        <v>0</v>
      </c>
      <c r="AX126" s="401">
        <f>IF(AND(Input_Tasks[[#This Row],[Sell - Line Total]]&gt;0,OR(Input_Tasks[[#This Row],[Phase]]="",Input_Tasks[[#This Row],[Skill Required]]="",Input_Tasks[[#This Row],[Task Type]]="",Input_Tasks[[#This Row],[Description]]="")),1,0)</f>
        <v>0</v>
      </c>
      <c r="AY126" s="402">
        <f>IF(AND(Input_Tasks[[#This Row],[Task Type]]="ArchiTech Document Deliverable",Input_Tasks[[#This Row],[Hours]]&gt;0),1,0)</f>
        <v>0</v>
      </c>
      <c r="AZ12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2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2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2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2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2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2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2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2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2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2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2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2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26" s="405">
        <f>SUM(Input_Tasks[[#This Row],[R1 Business Hours]:[R1 After Hours]],Input_Tasks[[#This Row],[R2 Business Hours]:[R2 After Hours]],Input_Tasks[[#This Row],[R3 Business Hours]:[R3 After Hours]],Input_Tasks[[#This Row],[R4 Business Hours]:[R4 After Hours]],Input_Tasks[[#This Row],[R5 Business Hours]:[R5 After Hours]])</f>
        <v>0</v>
      </c>
    </row>
    <row r="127" spans="1:65">
      <c r="A127" s="384"/>
      <c r="B127" s="271"/>
      <c r="C127" s="271"/>
      <c r="D127" s="406"/>
      <c r="E127" s="385">
        <f>Input_Tasks[[#This Row],[Onsite Round Trips_Hidden]]</f>
        <v>0</v>
      </c>
      <c r="F127" s="385">
        <f>Input_Tasks[[#This Row],[Overnight Stays_Hidden]]</f>
        <v>0</v>
      </c>
      <c r="G127" s="385">
        <f>Input_Tasks[[#This Row],[Documents_Hidden]]</f>
        <v>0</v>
      </c>
      <c r="H127" s="387"/>
      <c r="I127" s="388"/>
      <c r="J127" s="389"/>
      <c r="K127" s="390"/>
      <c r="L127" s="390"/>
      <c r="M127" s="389"/>
      <c r="N127" s="390"/>
      <c r="O127" s="390"/>
      <c r="P127" s="389"/>
      <c r="Q127" s="390"/>
      <c r="R127" s="391"/>
      <c r="S127" s="389"/>
      <c r="T127" s="390"/>
      <c r="U127" s="391"/>
      <c r="V127" s="389"/>
      <c r="W127" s="390"/>
      <c r="X127" s="390"/>
      <c r="Y127" s="386" t="str">
        <f>Input_Tasks[[#This Row],[Onsite Round Trips_Hidden]]&amp;"/"&amp;Input_Tasks[[#This Row],[Overnight Stays_Hidden]]&amp;"/"&amp;Input_Tasks[[#This Row],[Documents_Hidden]]</f>
        <v>0/0/0</v>
      </c>
      <c r="Z127" s="392">
        <f>Input_Tasks[[#This Row],[R1 Cost_Hidden]]</f>
        <v>0</v>
      </c>
      <c r="AA127" s="393">
        <f>Input_Tasks[[#This Row],[R2 Cost_Hidden]]</f>
        <v>0</v>
      </c>
      <c r="AB127" s="393">
        <f>Input_Tasks[[#This Row],[R3 Cost_Hidden]]</f>
        <v>0</v>
      </c>
      <c r="AC127" s="393">
        <f>Input_Tasks[[#This Row],[R4 Cost_Hidden]]</f>
        <v>0</v>
      </c>
      <c r="AD127" s="394">
        <f>Input_Tasks[[#This Row],[R5 Cost_Hidden]]</f>
        <v>0</v>
      </c>
      <c r="AE127" s="395">
        <f>SUM(Input_Tasks[[#This Row],[R1 Cost]:[R5 Cost]])</f>
        <v>0</v>
      </c>
      <c r="AF127" s="392">
        <f>Input_Tasks[[#This Row],[R1 Sell_Hidden]]</f>
        <v>0</v>
      </c>
      <c r="AG127" s="393">
        <f>Input_Tasks[[#This Row],[R2 Sell_Hidden]]</f>
        <v>0</v>
      </c>
      <c r="AH127" s="393">
        <f>Input_Tasks[[#This Row],[R3 Sell_Hidden]]</f>
        <v>0</v>
      </c>
      <c r="AI127" s="393">
        <f>Input_Tasks[[#This Row],[R4 Sell_Hidden5]]</f>
        <v>0</v>
      </c>
      <c r="AJ127" s="394">
        <f>Input_Tasks[[#This Row],[R5 Sell_Hidden]]</f>
        <v>0</v>
      </c>
      <c r="AK127" s="396">
        <f>SUM(Input_Tasks[[#This Row],[R1 Sell]:[R5 Sell]])</f>
        <v>0</v>
      </c>
      <c r="AL127" s="397">
        <f>IFERROR(VLOOKUP(RESOURCE_1_TYPE,COST_RATES,2,FALSE)*Input_Tasks[[#This Row],[R1 Business Hours]],0)+IFERROR(VLOOKUP(RESOURCE_1_TYPE,COST_RATES,3,FALSE)*Input_Tasks[[#This Row],[R1 After Hours]],0)</f>
        <v>0</v>
      </c>
      <c r="AM127" s="398">
        <f>IFERROR(VLOOKUP(RESOURCE_2_TYPE,COST_RATES,2,FALSE)*Input_Tasks[[#This Row],[R2 Business Hours]],0)+IFERROR(VLOOKUP(RESOURCE_2_TYPE,COST_RATES,3,FALSE)*Input_Tasks[[#This Row],[R2 After Hours]],0)</f>
        <v>0</v>
      </c>
      <c r="AN127" s="398">
        <f>IFERROR(VLOOKUP(RESOURCE_3_TYPE,COST_RATES,2,FALSE)*Input_Tasks[[#This Row],[R3 Business Hours]],0)+IFERROR(VLOOKUP(RESOURCE_3_TYPE,COST_RATES,3,FALSE)*Input_Tasks[[#This Row],[R3 After Hours]],0)</f>
        <v>0</v>
      </c>
      <c r="AO127" s="398">
        <f>IFERROR(VLOOKUP(RESOURCE_4_TYPE,COST_RATES,2,FALSE)*Input_Tasks[[#This Row],[R4 Business Hours]],0)+IFERROR(VLOOKUP(RESOURCE_4_TYPE,COST_RATES,3,FALSE)*Input_Tasks[[#This Row],[R4 After Hours]],0)</f>
        <v>0</v>
      </c>
      <c r="AP127" s="398">
        <f>IFERROR(VLOOKUP(RESOURCE_5_TYPE,COST_RATES,2,FALSE)*Input_Tasks[[#This Row],[R5 Business Hours]],0)+IFERROR(VLOOKUP(RESOURCE_5_TYPE,COST_RATES,3,FALSE)*Input_Tasks[[#This Row],[R5 After Hours]],0)</f>
        <v>0</v>
      </c>
      <c r="AQ127" s="399">
        <f>IFERROR(VLOOKUP(RESOURCE_1_TYPE,SELL_RATES,2,FALSE)*Input_Tasks[[#This Row],[R1 Business Hours]],0)+IFERROR(VLOOKUP(RESOURCE_1_TYPE,SELL_RATES,3,FALSE)*Input_Tasks[[#This Row],[R1 After Hours]],0)</f>
        <v>0</v>
      </c>
      <c r="AR127" s="398">
        <f>IFERROR(VLOOKUP(RESOURCE_2_TYPE,SELL_RATES,2,FALSE)*Input_Tasks[[#This Row],[R2 Business Hours]],0)+IFERROR(VLOOKUP(RESOURCE_2_TYPE,SELL_RATES,3,FALSE)*Input_Tasks[[#This Row],[R2 After Hours]],0)</f>
        <v>0</v>
      </c>
      <c r="AS127" s="398">
        <f>IFERROR(VLOOKUP(RESOURCE_3_TYPE,SELL_RATES,2,FALSE)*Input_Tasks[[#This Row],[R3 Business Hours]],0)+IFERROR(VLOOKUP(RESOURCE_3_TYPE,SELL_RATES,3,FALSE)*Input_Tasks[[#This Row],[R3 After Hours]],0)</f>
        <v>0</v>
      </c>
      <c r="AT127" s="398">
        <f>IFERROR(VLOOKUP(RESOURCE_4_TYPE,SELL_RATES,2,FALSE)*Input_Tasks[[#This Row],[R4 Business Hours]],0)+IFERROR(VLOOKUP(RESOURCE_4_TYPE,SELL_RATES,3,FALSE)*Input_Tasks[[#This Row],[R4 After Hours]],0)</f>
        <v>0</v>
      </c>
      <c r="AU127" s="398">
        <f>IFERROR(VLOOKUP(RESOURCE_5_TYPE,SELL_RATES,2,FALSE)*Input_Tasks[[#This Row],[R5 Business Hours]],0)+IFERROR(VLOOKUP(RESOURCE_5_TYPE,SELL_RATES,3,FALSE)*Input_Tasks[[#This Row],[R5 After Hours]],0)</f>
        <v>0</v>
      </c>
      <c r="AV127" s="400">
        <f>SUM(Input_Tasks[[#This Row],[Round Trips R1]:[Round Trips R5]])</f>
        <v>0</v>
      </c>
      <c r="AW127" s="401">
        <f>SUM(Input_Tasks[[#This Row],[Overnight StaysR1]:[Overnight StaysR5]])</f>
        <v>0</v>
      </c>
      <c r="AX127" s="401">
        <f>IF(AND(Input_Tasks[[#This Row],[Sell - Line Total]]&gt;0,OR(Input_Tasks[[#This Row],[Phase]]="",Input_Tasks[[#This Row],[Skill Required]]="",Input_Tasks[[#This Row],[Task Type]]="",Input_Tasks[[#This Row],[Description]]="")),1,0)</f>
        <v>0</v>
      </c>
      <c r="AY127" s="402">
        <f>IF(AND(Input_Tasks[[#This Row],[Task Type]]="ArchiTech Document Deliverable",Input_Tasks[[#This Row],[Hours]]&gt;0),1,0)</f>
        <v>0</v>
      </c>
      <c r="AZ12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2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2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2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2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2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2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2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2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2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2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2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2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27" s="405">
        <f>SUM(Input_Tasks[[#This Row],[R1 Business Hours]:[R1 After Hours]],Input_Tasks[[#This Row],[R2 Business Hours]:[R2 After Hours]],Input_Tasks[[#This Row],[R3 Business Hours]:[R3 After Hours]],Input_Tasks[[#This Row],[R4 Business Hours]:[R4 After Hours]],Input_Tasks[[#This Row],[R5 Business Hours]:[R5 After Hours]])</f>
        <v>0</v>
      </c>
    </row>
    <row r="128" spans="1:65">
      <c r="A128" s="384"/>
      <c r="B128" s="271"/>
      <c r="C128" s="271"/>
      <c r="D128" s="406"/>
      <c r="E128" s="385">
        <f>Input_Tasks[[#This Row],[Onsite Round Trips_Hidden]]</f>
        <v>0</v>
      </c>
      <c r="F128" s="385">
        <f>Input_Tasks[[#This Row],[Overnight Stays_Hidden]]</f>
        <v>0</v>
      </c>
      <c r="G128" s="385">
        <f>Input_Tasks[[#This Row],[Documents_Hidden]]</f>
        <v>0</v>
      </c>
      <c r="H128" s="387"/>
      <c r="I128" s="388"/>
      <c r="J128" s="389"/>
      <c r="K128" s="390"/>
      <c r="L128" s="390"/>
      <c r="M128" s="389"/>
      <c r="N128" s="390"/>
      <c r="O128" s="390"/>
      <c r="P128" s="389"/>
      <c r="Q128" s="390"/>
      <c r="R128" s="391"/>
      <c r="S128" s="389"/>
      <c r="T128" s="390"/>
      <c r="U128" s="391"/>
      <c r="V128" s="389"/>
      <c r="W128" s="390"/>
      <c r="X128" s="390"/>
      <c r="Y128" s="386" t="str">
        <f>Input_Tasks[[#This Row],[Onsite Round Trips_Hidden]]&amp;"/"&amp;Input_Tasks[[#This Row],[Overnight Stays_Hidden]]&amp;"/"&amp;Input_Tasks[[#This Row],[Documents_Hidden]]</f>
        <v>0/0/0</v>
      </c>
      <c r="Z128" s="392">
        <f>Input_Tasks[[#This Row],[R1 Cost_Hidden]]</f>
        <v>0</v>
      </c>
      <c r="AA128" s="393">
        <f>Input_Tasks[[#This Row],[R2 Cost_Hidden]]</f>
        <v>0</v>
      </c>
      <c r="AB128" s="393">
        <f>Input_Tasks[[#This Row],[R3 Cost_Hidden]]</f>
        <v>0</v>
      </c>
      <c r="AC128" s="393">
        <f>Input_Tasks[[#This Row],[R4 Cost_Hidden]]</f>
        <v>0</v>
      </c>
      <c r="AD128" s="394">
        <f>Input_Tasks[[#This Row],[R5 Cost_Hidden]]</f>
        <v>0</v>
      </c>
      <c r="AE128" s="395">
        <f>SUM(Input_Tasks[[#This Row],[R1 Cost]:[R5 Cost]])</f>
        <v>0</v>
      </c>
      <c r="AF128" s="392">
        <f>Input_Tasks[[#This Row],[R1 Sell_Hidden]]</f>
        <v>0</v>
      </c>
      <c r="AG128" s="393">
        <f>Input_Tasks[[#This Row],[R2 Sell_Hidden]]</f>
        <v>0</v>
      </c>
      <c r="AH128" s="393">
        <f>Input_Tasks[[#This Row],[R3 Sell_Hidden]]</f>
        <v>0</v>
      </c>
      <c r="AI128" s="393">
        <f>Input_Tasks[[#This Row],[R4 Sell_Hidden5]]</f>
        <v>0</v>
      </c>
      <c r="AJ128" s="394">
        <f>Input_Tasks[[#This Row],[R5 Sell_Hidden]]</f>
        <v>0</v>
      </c>
      <c r="AK128" s="396">
        <f>SUM(Input_Tasks[[#This Row],[R1 Sell]:[R5 Sell]])</f>
        <v>0</v>
      </c>
      <c r="AL128" s="397">
        <f>IFERROR(VLOOKUP(RESOURCE_1_TYPE,COST_RATES,2,FALSE)*Input_Tasks[[#This Row],[R1 Business Hours]],0)+IFERROR(VLOOKUP(RESOURCE_1_TYPE,COST_RATES,3,FALSE)*Input_Tasks[[#This Row],[R1 After Hours]],0)</f>
        <v>0</v>
      </c>
      <c r="AM128" s="398">
        <f>IFERROR(VLOOKUP(RESOURCE_2_TYPE,COST_RATES,2,FALSE)*Input_Tasks[[#This Row],[R2 Business Hours]],0)+IFERROR(VLOOKUP(RESOURCE_2_TYPE,COST_RATES,3,FALSE)*Input_Tasks[[#This Row],[R2 After Hours]],0)</f>
        <v>0</v>
      </c>
      <c r="AN128" s="398">
        <f>IFERROR(VLOOKUP(RESOURCE_3_TYPE,COST_RATES,2,FALSE)*Input_Tasks[[#This Row],[R3 Business Hours]],0)+IFERROR(VLOOKUP(RESOURCE_3_TYPE,COST_RATES,3,FALSE)*Input_Tasks[[#This Row],[R3 After Hours]],0)</f>
        <v>0</v>
      </c>
      <c r="AO128" s="398">
        <f>IFERROR(VLOOKUP(RESOURCE_4_TYPE,COST_RATES,2,FALSE)*Input_Tasks[[#This Row],[R4 Business Hours]],0)+IFERROR(VLOOKUP(RESOURCE_4_TYPE,COST_RATES,3,FALSE)*Input_Tasks[[#This Row],[R4 After Hours]],0)</f>
        <v>0</v>
      </c>
      <c r="AP128" s="398">
        <f>IFERROR(VLOOKUP(RESOURCE_5_TYPE,COST_RATES,2,FALSE)*Input_Tasks[[#This Row],[R5 Business Hours]],0)+IFERROR(VLOOKUP(RESOURCE_5_TYPE,COST_RATES,3,FALSE)*Input_Tasks[[#This Row],[R5 After Hours]],0)</f>
        <v>0</v>
      </c>
      <c r="AQ128" s="399">
        <f>IFERROR(VLOOKUP(RESOURCE_1_TYPE,SELL_RATES,2,FALSE)*Input_Tasks[[#This Row],[R1 Business Hours]],0)+IFERROR(VLOOKUP(RESOURCE_1_TYPE,SELL_RATES,3,FALSE)*Input_Tasks[[#This Row],[R1 After Hours]],0)</f>
        <v>0</v>
      </c>
      <c r="AR128" s="398">
        <f>IFERROR(VLOOKUP(RESOURCE_2_TYPE,SELL_RATES,2,FALSE)*Input_Tasks[[#This Row],[R2 Business Hours]],0)+IFERROR(VLOOKUP(RESOURCE_2_TYPE,SELL_RATES,3,FALSE)*Input_Tasks[[#This Row],[R2 After Hours]],0)</f>
        <v>0</v>
      </c>
      <c r="AS128" s="398">
        <f>IFERROR(VLOOKUP(RESOURCE_3_TYPE,SELL_RATES,2,FALSE)*Input_Tasks[[#This Row],[R3 Business Hours]],0)+IFERROR(VLOOKUP(RESOURCE_3_TYPE,SELL_RATES,3,FALSE)*Input_Tasks[[#This Row],[R3 After Hours]],0)</f>
        <v>0</v>
      </c>
      <c r="AT128" s="398">
        <f>IFERROR(VLOOKUP(RESOURCE_4_TYPE,SELL_RATES,2,FALSE)*Input_Tasks[[#This Row],[R4 Business Hours]],0)+IFERROR(VLOOKUP(RESOURCE_4_TYPE,SELL_RATES,3,FALSE)*Input_Tasks[[#This Row],[R4 After Hours]],0)</f>
        <v>0</v>
      </c>
      <c r="AU128" s="398">
        <f>IFERROR(VLOOKUP(RESOURCE_5_TYPE,SELL_RATES,2,FALSE)*Input_Tasks[[#This Row],[R5 Business Hours]],0)+IFERROR(VLOOKUP(RESOURCE_5_TYPE,SELL_RATES,3,FALSE)*Input_Tasks[[#This Row],[R5 After Hours]],0)</f>
        <v>0</v>
      </c>
      <c r="AV128" s="400">
        <f>SUM(Input_Tasks[[#This Row],[Round Trips R1]:[Round Trips R5]])</f>
        <v>0</v>
      </c>
      <c r="AW128" s="401">
        <f>SUM(Input_Tasks[[#This Row],[Overnight StaysR1]:[Overnight StaysR5]])</f>
        <v>0</v>
      </c>
      <c r="AX128" s="401">
        <f>IF(AND(Input_Tasks[[#This Row],[Sell - Line Total]]&gt;0,OR(Input_Tasks[[#This Row],[Phase]]="",Input_Tasks[[#This Row],[Skill Required]]="",Input_Tasks[[#This Row],[Task Type]]="",Input_Tasks[[#This Row],[Description]]="")),1,0)</f>
        <v>0</v>
      </c>
      <c r="AY128" s="402">
        <f>IF(AND(Input_Tasks[[#This Row],[Task Type]]="ArchiTech Document Deliverable",Input_Tasks[[#This Row],[Hours]]&gt;0),1,0)</f>
        <v>0</v>
      </c>
      <c r="AZ12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2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2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2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2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2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2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2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2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2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2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2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2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28" s="405">
        <f>SUM(Input_Tasks[[#This Row],[R1 Business Hours]:[R1 After Hours]],Input_Tasks[[#This Row],[R2 Business Hours]:[R2 After Hours]],Input_Tasks[[#This Row],[R3 Business Hours]:[R3 After Hours]],Input_Tasks[[#This Row],[R4 Business Hours]:[R4 After Hours]],Input_Tasks[[#This Row],[R5 Business Hours]:[R5 After Hours]])</f>
        <v>0</v>
      </c>
    </row>
    <row r="129" spans="1:65">
      <c r="A129" s="384"/>
      <c r="B129" s="271"/>
      <c r="C129" s="271"/>
      <c r="D129" s="406"/>
      <c r="E129" s="385">
        <f>Input_Tasks[[#This Row],[Onsite Round Trips_Hidden]]</f>
        <v>0</v>
      </c>
      <c r="F129" s="385">
        <f>Input_Tasks[[#This Row],[Overnight Stays_Hidden]]</f>
        <v>0</v>
      </c>
      <c r="G129" s="385">
        <f>Input_Tasks[[#This Row],[Documents_Hidden]]</f>
        <v>0</v>
      </c>
      <c r="H129" s="387"/>
      <c r="I129" s="388"/>
      <c r="J129" s="389"/>
      <c r="K129" s="390"/>
      <c r="L129" s="390"/>
      <c r="M129" s="389"/>
      <c r="N129" s="390"/>
      <c r="O129" s="390"/>
      <c r="P129" s="389"/>
      <c r="Q129" s="390"/>
      <c r="R129" s="391"/>
      <c r="S129" s="389"/>
      <c r="T129" s="390"/>
      <c r="U129" s="391"/>
      <c r="V129" s="389"/>
      <c r="W129" s="390"/>
      <c r="X129" s="390"/>
      <c r="Y129" s="386" t="str">
        <f>Input_Tasks[[#This Row],[Onsite Round Trips_Hidden]]&amp;"/"&amp;Input_Tasks[[#This Row],[Overnight Stays_Hidden]]&amp;"/"&amp;Input_Tasks[[#This Row],[Documents_Hidden]]</f>
        <v>0/0/0</v>
      </c>
      <c r="Z129" s="392">
        <f>Input_Tasks[[#This Row],[R1 Cost_Hidden]]</f>
        <v>0</v>
      </c>
      <c r="AA129" s="393">
        <f>Input_Tasks[[#This Row],[R2 Cost_Hidden]]</f>
        <v>0</v>
      </c>
      <c r="AB129" s="393">
        <f>Input_Tasks[[#This Row],[R3 Cost_Hidden]]</f>
        <v>0</v>
      </c>
      <c r="AC129" s="393">
        <f>Input_Tasks[[#This Row],[R4 Cost_Hidden]]</f>
        <v>0</v>
      </c>
      <c r="AD129" s="394">
        <f>Input_Tasks[[#This Row],[R5 Cost_Hidden]]</f>
        <v>0</v>
      </c>
      <c r="AE129" s="395">
        <f>SUM(Input_Tasks[[#This Row],[R1 Cost]:[R5 Cost]])</f>
        <v>0</v>
      </c>
      <c r="AF129" s="392">
        <f>Input_Tasks[[#This Row],[R1 Sell_Hidden]]</f>
        <v>0</v>
      </c>
      <c r="AG129" s="393">
        <f>Input_Tasks[[#This Row],[R2 Sell_Hidden]]</f>
        <v>0</v>
      </c>
      <c r="AH129" s="393">
        <f>Input_Tasks[[#This Row],[R3 Sell_Hidden]]</f>
        <v>0</v>
      </c>
      <c r="AI129" s="393">
        <f>Input_Tasks[[#This Row],[R4 Sell_Hidden5]]</f>
        <v>0</v>
      </c>
      <c r="AJ129" s="394">
        <f>Input_Tasks[[#This Row],[R5 Sell_Hidden]]</f>
        <v>0</v>
      </c>
      <c r="AK129" s="396">
        <f>SUM(Input_Tasks[[#This Row],[R1 Sell]:[R5 Sell]])</f>
        <v>0</v>
      </c>
      <c r="AL129" s="397">
        <f>IFERROR(VLOOKUP(RESOURCE_1_TYPE,COST_RATES,2,FALSE)*Input_Tasks[[#This Row],[R1 Business Hours]],0)+IFERROR(VLOOKUP(RESOURCE_1_TYPE,COST_RATES,3,FALSE)*Input_Tasks[[#This Row],[R1 After Hours]],0)</f>
        <v>0</v>
      </c>
      <c r="AM129" s="398">
        <f>IFERROR(VLOOKUP(RESOURCE_2_TYPE,COST_RATES,2,FALSE)*Input_Tasks[[#This Row],[R2 Business Hours]],0)+IFERROR(VLOOKUP(RESOURCE_2_TYPE,COST_RATES,3,FALSE)*Input_Tasks[[#This Row],[R2 After Hours]],0)</f>
        <v>0</v>
      </c>
      <c r="AN129" s="398">
        <f>IFERROR(VLOOKUP(RESOURCE_3_TYPE,COST_RATES,2,FALSE)*Input_Tasks[[#This Row],[R3 Business Hours]],0)+IFERROR(VLOOKUP(RESOURCE_3_TYPE,COST_RATES,3,FALSE)*Input_Tasks[[#This Row],[R3 After Hours]],0)</f>
        <v>0</v>
      </c>
      <c r="AO129" s="398">
        <f>IFERROR(VLOOKUP(RESOURCE_4_TYPE,COST_RATES,2,FALSE)*Input_Tasks[[#This Row],[R4 Business Hours]],0)+IFERROR(VLOOKUP(RESOURCE_4_TYPE,COST_RATES,3,FALSE)*Input_Tasks[[#This Row],[R4 After Hours]],0)</f>
        <v>0</v>
      </c>
      <c r="AP129" s="398">
        <f>IFERROR(VLOOKUP(RESOURCE_5_TYPE,COST_RATES,2,FALSE)*Input_Tasks[[#This Row],[R5 Business Hours]],0)+IFERROR(VLOOKUP(RESOURCE_5_TYPE,COST_RATES,3,FALSE)*Input_Tasks[[#This Row],[R5 After Hours]],0)</f>
        <v>0</v>
      </c>
      <c r="AQ129" s="399">
        <f>IFERROR(VLOOKUP(RESOURCE_1_TYPE,SELL_RATES,2,FALSE)*Input_Tasks[[#This Row],[R1 Business Hours]],0)+IFERROR(VLOOKUP(RESOURCE_1_TYPE,SELL_RATES,3,FALSE)*Input_Tasks[[#This Row],[R1 After Hours]],0)</f>
        <v>0</v>
      </c>
      <c r="AR129" s="398">
        <f>IFERROR(VLOOKUP(RESOURCE_2_TYPE,SELL_RATES,2,FALSE)*Input_Tasks[[#This Row],[R2 Business Hours]],0)+IFERROR(VLOOKUP(RESOURCE_2_TYPE,SELL_RATES,3,FALSE)*Input_Tasks[[#This Row],[R2 After Hours]],0)</f>
        <v>0</v>
      </c>
      <c r="AS129" s="398">
        <f>IFERROR(VLOOKUP(RESOURCE_3_TYPE,SELL_RATES,2,FALSE)*Input_Tasks[[#This Row],[R3 Business Hours]],0)+IFERROR(VLOOKUP(RESOURCE_3_TYPE,SELL_RATES,3,FALSE)*Input_Tasks[[#This Row],[R3 After Hours]],0)</f>
        <v>0</v>
      </c>
      <c r="AT129" s="398">
        <f>IFERROR(VLOOKUP(RESOURCE_4_TYPE,SELL_RATES,2,FALSE)*Input_Tasks[[#This Row],[R4 Business Hours]],0)+IFERROR(VLOOKUP(RESOURCE_4_TYPE,SELL_RATES,3,FALSE)*Input_Tasks[[#This Row],[R4 After Hours]],0)</f>
        <v>0</v>
      </c>
      <c r="AU129" s="398">
        <f>IFERROR(VLOOKUP(RESOURCE_5_TYPE,SELL_RATES,2,FALSE)*Input_Tasks[[#This Row],[R5 Business Hours]],0)+IFERROR(VLOOKUP(RESOURCE_5_TYPE,SELL_RATES,3,FALSE)*Input_Tasks[[#This Row],[R5 After Hours]],0)</f>
        <v>0</v>
      </c>
      <c r="AV129" s="400">
        <f>SUM(Input_Tasks[[#This Row],[Round Trips R1]:[Round Trips R5]])</f>
        <v>0</v>
      </c>
      <c r="AW129" s="401">
        <f>SUM(Input_Tasks[[#This Row],[Overnight StaysR1]:[Overnight StaysR5]])</f>
        <v>0</v>
      </c>
      <c r="AX129" s="401">
        <f>IF(AND(Input_Tasks[[#This Row],[Sell - Line Total]]&gt;0,OR(Input_Tasks[[#This Row],[Phase]]="",Input_Tasks[[#This Row],[Skill Required]]="",Input_Tasks[[#This Row],[Task Type]]="",Input_Tasks[[#This Row],[Description]]="")),1,0)</f>
        <v>0</v>
      </c>
      <c r="AY129" s="402">
        <f>IF(AND(Input_Tasks[[#This Row],[Task Type]]="ArchiTech Document Deliverable",Input_Tasks[[#This Row],[Hours]]&gt;0),1,0)</f>
        <v>0</v>
      </c>
      <c r="AZ12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2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2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2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2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2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2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2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2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2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2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2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2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29" s="405">
        <f>SUM(Input_Tasks[[#This Row],[R1 Business Hours]:[R1 After Hours]],Input_Tasks[[#This Row],[R2 Business Hours]:[R2 After Hours]],Input_Tasks[[#This Row],[R3 Business Hours]:[R3 After Hours]],Input_Tasks[[#This Row],[R4 Business Hours]:[R4 After Hours]],Input_Tasks[[#This Row],[R5 Business Hours]:[R5 After Hours]])</f>
        <v>0</v>
      </c>
    </row>
    <row r="130" spans="1:65">
      <c r="A130" s="384"/>
      <c r="B130" s="271"/>
      <c r="C130" s="271"/>
      <c r="D130" s="406"/>
      <c r="E130" s="385">
        <f>Input_Tasks[[#This Row],[Onsite Round Trips_Hidden]]</f>
        <v>0</v>
      </c>
      <c r="F130" s="385">
        <f>Input_Tasks[[#This Row],[Overnight Stays_Hidden]]</f>
        <v>0</v>
      </c>
      <c r="G130" s="385">
        <f>Input_Tasks[[#This Row],[Documents_Hidden]]</f>
        <v>0</v>
      </c>
      <c r="H130" s="387"/>
      <c r="I130" s="388"/>
      <c r="J130" s="389"/>
      <c r="K130" s="390"/>
      <c r="L130" s="390"/>
      <c r="M130" s="389"/>
      <c r="N130" s="390"/>
      <c r="O130" s="390"/>
      <c r="P130" s="389"/>
      <c r="Q130" s="390"/>
      <c r="R130" s="391"/>
      <c r="S130" s="389"/>
      <c r="T130" s="390"/>
      <c r="U130" s="391"/>
      <c r="V130" s="389"/>
      <c r="W130" s="390"/>
      <c r="X130" s="390"/>
      <c r="Y130" s="386" t="str">
        <f>Input_Tasks[[#This Row],[Onsite Round Trips_Hidden]]&amp;"/"&amp;Input_Tasks[[#This Row],[Overnight Stays_Hidden]]&amp;"/"&amp;Input_Tasks[[#This Row],[Documents_Hidden]]</f>
        <v>0/0/0</v>
      </c>
      <c r="Z130" s="392">
        <f>Input_Tasks[[#This Row],[R1 Cost_Hidden]]</f>
        <v>0</v>
      </c>
      <c r="AA130" s="393">
        <f>Input_Tasks[[#This Row],[R2 Cost_Hidden]]</f>
        <v>0</v>
      </c>
      <c r="AB130" s="393">
        <f>Input_Tasks[[#This Row],[R3 Cost_Hidden]]</f>
        <v>0</v>
      </c>
      <c r="AC130" s="393">
        <f>Input_Tasks[[#This Row],[R4 Cost_Hidden]]</f>
        <v>0</v>
      </c>
      <c r="AD130" s="394">
        <f>Input_Tasks[[#This Row],[R5 Cost_Hidden]]</f>
        <v>0</v>
      </c>
      <c r="AE130" s="395">
        <f>SUM(Input_Tasks[[#This Row],[R1 Cost]:[R5 Cost]])</f>
        <v>0</v>
      </c>
      <c r="AF130" s="392">
        <f>Input_Tasks[[#This Row],[R1 Sell_Hidden]]</f>
        <v>0</v>
      </c>
      <c r="AG130" s="393">
        <f>Input_Tasks[[#This Row],[R2 Sell_Hidden]]</f>
        <v>0</v>
      </c>
      <c r="AH130" s="393">
        <f>Input_Tasks[[#This Row],[R3 Sell_Hidden]]</f>
        <v>0</v>
      </c>
      <c r="AI130" s="393">
        <f>Input_Tasks[[#This Row],[R4 Sell_Hidden5]]</f>
        <v>0</v>
      </c>
      <c r="AJ130" s="394">
        <f>Input_Tasks[[#This Row],[R5 Sell_Hidden]]</f>
        <v>0</v>
      </c>
      <c r="AK130" s="396">
        <f>SUM(Input_Tasks[[#This Row],[R1 Sell]:[R5 Sell]])</f>
        <v>0</v>
      </c>
      <c r="AL130" s="397">
        <f>IFERROR(VLOOKUP(RESOURCE_1_TYPE,COST_RATES,2,FALSE)*Input_Tasks[[#This Row],[R1 Business Hours]],0)+IFERROR(VLOOKUP(RESOURCE_1_TYPE,COST_RATES,3,FALSE)*Input_Tasks[[#This Row],[R1 After Hours]],0)</f>
        <v>0</v>
      </c>
      <c r="AM130" s="398">
        <f>IFERROR(VLOOKUP(RESOURCE_2_TYPE,COST_RATES,2,FALSE)*Input_Tasks[[#This Row],[R2 Business Hours]],0)+IFERROR(VLOOKUP(RESOURCE_2_TYPE,COST_RATES,3,FALSE)*Input_Tasks[[#This Row],[R2 After Hours]],0)</f>
        <v>0</v>
      </c>
      <c r="AN130" s="398">
        <f>IFERROR(VLOOKUP(RESOURCE_3_TYPE,COST_RATES,2,FALSE)*Input_Tasks[[#This Row],[R3 Business Hours]],0)+IFERROR(VLOOKUP(RESOURCE_3_TYPE,COST_RATES,3,FALSE)*Input_Tasks[[#This Row],[R3 After Hours]],0)</f>
        <v>0</v>
      </c>
      <c r="AO130" s="398">
        <f>IFERROR(VLOOKUP(RESOURCE_4_TYPE,COST_RATES,2,FALSE)*Input_Tasks[[#This Row],[R4 Business Hours]],0)+IFERROR(VLOOKUP(RESOURCE_4_TYPE,COST_RATES,3,FALSE)*Input_Tasks[[#This Row],[R4 After Hours]],0)</f>
        <v>0</v>
      </c>
      <c r="AP130" s="398">
        <f>IFERROR(VLOOKUP(RESOURCE_5_TYPE,COST_RATES,2,FALSE)*Input_Tasks[[#This Row],[R5 Business Hours]],0)+IFERROR(VLOOKUP(RESOURCE_5_TYPE,COST_RATES,3,FALSE)*Input_Tasks[[#This Row],[R5 After Hours]],0)</f>
        <v>0</v>
      </c>
      <c r="AQ130" s="399">
        <f>IFERROR(VLOOKUP(RESOURCE_1_TYPE,SELL_RATES,2,FALSE)*Input_Tasks[[#This Row],[R1 Business Hours]],0)+IFERROR(VLOOKUP(RESOURCE_1_TYPE,SELL_RATES,3,FALSE)*Input_Tasks[[#This Row],[R1 After Hours]],0)</f>
        <v>0</v>
      </c>
      <c r="AR130" s="398">
        <f>IFERROR(VLOOKUP(RESOURCE_2_TYPE,SELL_RATES,2,FALSE)*Input_Tasks[[#This Row],[R2 Business Hours]],0)+IFERROR(VLOOKUP(RESOURCE_2_TYPE,SELL_RATES,3,FALSE)*Input_Tasks[[#This Row],[R2 After Hours]],0)</f>
        <v>0</v>
      </c>
      <c r="AS130" s="398">
        <f>IFERROR(VLOOKUP(RESOURCE_3_TYPE,SELL_RATES,2,FALSE)*Input_Tasks[[#This Row],[R3 Business Hours]],0)+IFERROR(VLOOKUP(RESOURCE_3_TYPE,SELL_RATES,3,FALSE)*Input_Tasks[[#This Row],[R3 After Hours]],0)</f>
        <v>0</v>
      </c>
      <c r="AT130" s="398">
        <f>IFERROR(VLOOKUP(RESOURCE_4_TYPE,SELL_RATES,2,FALSE)*Input_Tasks[[#This Row],[R4 Business Hours]],0)+IFERROR(VLOOKUP(RESOURCE_4_TYPE,SELL_RATES,3,FALSE)*Input_Tasks[[#This Row],[R4 After Hours]],0)</f>
        <v>0</v>
      </c>
      <c r="AU130" s="398">
        <f>IFERROR(VLOOKUP(RESOURCE_5_TYPE,SELL_RATES,2,FALSE)*Input_Tasks[[#This Row],[R5 Business Hours]],0)+IFERROR(VLOOKUP(RESOURCE_5_TYPE,SELL_RATES,3,FALSE)*Input_Tasks[[#This Row],[R5 After Hours]],0)</f>
        <v>0</v>
      </c>
      <c r="AV130" s="400">
        <f>SUM(Input_Tasks[[#This Row],[Round Trips R1]:[Round Trips R5]])</f>
        <v>0</v>
      </c>
      <c r="AW130" s="401">
        <f>SUM(Input_Tasks[[#This Row],[Overnight StaysR1]:[Overnight StaysR5]])</f>
        <v>0</v>
      </c>
      <c r="AX130" s="401">
        <f>IF(AND(Input_Tasks[[#This Row],[Sell - Line Total]]&gt;0,OR(Input_Tasks[[#This Row],[Phase]]="",Input_Tasks[[#This Row],[Skill Required]]="",Input_Tasks[[#This Row],[Task Type]]="",Input_Tasks[[#This Row],[Description]]="")),1,0)</f>
        <v>0</v>
      </c>
      <c r="AY130" s="402">
        <f>IF(AND(Input_Tasks[[#This Row],[Task Type]]="ArchiTech Document Deliverable",Input_Tasks[[#This Row],[Hours]]&gt;0),1,0)</f>
        <v>0</v>
      </c>
      <c r="AZ13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3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3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3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3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3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3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3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3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3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3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3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3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30" s="405">
        <f>SUM(Input_Tasks[[#This Row],[R1 Business Hours]:[R1 After Hours]],Input_Tasks[[#This Row],[R2 Business Hours]:[R2 After Hours]],Input_Tasks[[#This Row],[R3 Business Hours]:[R3 After Hours]],Input_Tasks[[#This Row],[R4 Business Hours]:[R4 After Hours]],Input_Tasks[[#This Row],[R5 Business Hours]:[R5 After Hours]])</f>
        <v>0</v>
      </c>
    </row>
    <row r="131" spans="1:65">
      <c r="A131" s="384"/>
      <c r="B131" s="271"/>
      <c r="C131" s="271"/>
      <c r="D131" s="406"/>
      <c r="E131" s="385">
        <f>Input_Tasks[[#This Row],[Onsite Round Trips_Hidden]]</f>
        <v>0</v>
      </c>
      <c r="F131" s="385">
        <f>Input_Tasks[[#This Row],[Overnight Stays_Hidden]]</f>
        <v>0</v>
      </c>
      <c r="G131" s="385">
        <f>Input_Tasks[[#This Row],[Documents_Hidden]]</f>
        <v>0</v>
      </c>
      <c r="H131" s="387"/>
      <c r="I131" s="388"/>
      <c r="J131" s="389"/>
      <c r="K131" s="390"/>
      <c r="L131" s="390"/>
      <c r="M131" s="389"/>
      <c r="N131" s="390"/>
      <c r="O131" s="390"/>
      <c r="P131" s="389"/>
      <c r="Q131" s="390"/>
      <c r="R131" s="391"/>
      <c r="S131" s="389"/>
      <c r="T131" s="390"/>
      <c r="U131" s="391"/>
      <c r="V131" s="389"/>
      <c r="W131" s="390"/>
      <c r="X131" s="390"/>
      <c r="Y131" s="386" t="str">
        <f>Input_Tasks[[#This Row],[Onsite Round Trips_Hidden]]&amp;"/"&amp;Input_Tasks[[#This Row],[Overnight Stays_Hidden]]&amp;"/"&amp;Input_Tasks[[#This Row],[Documents_Hidden]]</f>
        <v>0/0/0</v>
      </c>
      <c r="Z131" s="392">
        <f>Input_Tasks[[#This Row],[R1 Cost_Hidden]]</f>
        <v>0</v>
      </c>
      <c r="AA131" s="393">
        <f>Input_Tasks[[#This Row],[R2 Cost_Hidden]]</f>
        <v>0</v>
      </c>
      <c r="AB131" s="393">
        <f>Input_Tasks[[#This Row],[R3 Cost_Hidden]]</f>
        <v>0</v>
      </c>
      <c r="AC131" s="393">
        <f>Input_Tasks[[#This Row],[R4 Cost_Hidden]]</f>
        <v>0</v>
      </c>
      <c r="AD131" s="394">
        <f>Input_Tasks[[#This Row],[R5 Cost_Hidden]]</f>
        <v>0</v>
      </c>
      <c r="AE131" s="395">
        <f>SUM(Input_Tasks[[#This Row],[R1 Cost]:[R5 Cost]])</f>
        <v>0</v>
      </c>
      <c r="AF131" s="392">
        <f>Input_Tasks[[#This Row],[R1 Sell_Hidden]]</f>
        <v>0</v>
      </c>
      <c r="AG131" s="393">
        <f>Input_Tasks[[#This Row],[R2 Sell_Hidden]]</f>
        <v>0</v>
      </c>
      <c r="AH131" s="393">
        <f>Input_Tasks[[#This Row],[R3 Sell_Hidden]]</f>
        <v>0</v>
      </c>
      <c r="AI131" s="393">
        <f>Input_Tasks[[#This Row],[R4 Sell_Hidden5]]</f>
        <v>0</v>
      </c>
      <c r="AJ131" s="394">
        <f>Input_Tasks[[#This Row],[R5 Sell_Hidden]]</f>
        <v>0</v>
      </c>
      <c r="AK131" s="396">
        <f>SUM(Input_Tasks[[#This Row],[R1 Sell]:[R5 Sell]])</f>
        <v>0</v>
      </c>
      <c r="AL131" s="397">
        <f>IFERROR(VLOOKUP(RESOURCE_1_TYPE,COST_RATES,2,FALSE)*Input_Tasks[[#This Row],[R1 Business Hours]],0)+IFERROR(VLOOKUP(RESOURCE_1_TYPE,COST_RATES,3,FALSE)*Input_Tasks[[#This Row],[R1 After Hours]],0)</f>
        <v>0</v>
      </c>
      <c r="AM131" s="398">
        <f>IFERROR(VLOOKUP(RESOURCE_2_TYPE,COST_RATES,2,FALSE)*Input_Tasks[[#This Row],[R2 Business Hours]],0)+IFERROR(VLOOKUP(RESOURCE_2_TYPE,COST_RATES,3,FALSE)*Input_Tasks[[#This Row],[R2 After Hours]],0)</f>
        <v>0</v>
      </c>
      <c r="AN131" s="398">
        <f>IFERROR(VLOOKUP(RESOURCE_3_TYPE,COST_RATES,2,FALSE)*Input_Tasks[[#This Row],[R3 Business Hours]],0)+IFERROR(VLOOKUP(RESOURCE_3_TYPE,COST_RATES,3,FALSE)*Input_Tasks[[#This Row],[R3 After Hours]],0)</f>
        <v>0</v>
      </c>
      <c r="AO131" s="398">
        <f>IFERROR(VLOOKUP(RESOURCE_4_TYPE,COST_RATES,2,FALSE)*Input_Tasks[[#This Row],[R4 Business Hours]],0)+IFERROR(VLOOKUP(RESOURCE_4_TYPE,COST_RATES,3,FALSE)*Input_Tasks[[#This Row],[R4 After Hours]],0)</f>
        <v>0</v>
      </c>
      <c r="AP131" s="398">
        <f>IFERROR(VLOOKUP(RESOURCE_5_TYPE,COST_RATES,2,FALSE)*Input_Tasks[[#This Row],[R5 Business Hours]],0)+IFERROR(VLOOKUP(RESOURCE_5_TYPE,COST_RATES,3,FALSE)*Input_Tasks[[#This Row],[R5 After Hours]],0)</f>
        <v>0</v>
      </c>
      <c r="AQ131" s="399">
        <f>IFERROR(VLOOKUP(RESOURCE_1_TYPE,SELL_RATES,2,FALSE)*Input_Tasks[[#This Row],[R1 Business Hours]],0)+IFERROR(VLOOKUP(RESOURCE_1_TYPE,SELL_RATES,3,FALSE)*Input_Tasks[[#This Row],[R1 After Hours]],0)</f>
        <v>0</v>
      </c>
      <c r="AR131" s="398">
        <f>IFERROR(VLOOKUP(RESOURCE_2_TYPE,SELL_RATES,2,FALSE)*Input_Tasks[[#This Row],[R2 Business Hours]],0)+IFERROR(VLOOKUP(RESOURCE_2_TYPE,SELL_RATES,3,FALSE)*Input_Tasks[[#This Row],[R2 After Hours]],0)</f>
        <v>0</v>
      </c>
      <c r="AS131" s="398">
        <f>IFERROR(VLOOKUP(RESOURCE_3_TYPE,SELL_RATES,2,FALSE)*Input_Tasks[[#This Row],[R3 Business Hours]],0)+IFERROR(VLOOKUP(RESOURCE_3_TYPE,SELL_RATES,3,FALSE)*Input_Tasks[[#This Row],[R3 After Hours]],0)</f>
        <v>0</v>
      </c>
      <c r="AT131" s="398">
        <f>IFERROR(VLOOKUP(RESOURCE_4_TYPE,SELL_RATES,2,FALSE)*Input_Tasks[[#This Row],[R4 Business Hours]],0)+IFERROR(VLOOKUP(RESOURCE_4_TYPE,SELL_RATES,3,FALSE)*Input_Tasks[[#This Row],[R4 After Hours]],0)</f>
        <v>0</v>
      </c>
      <c r="AU131" s="398">
        <f>IFERROR(VLOOKUP(RESOURCE_5_TYPE,SELL_RATES,2,FALSE)*Input_Tasks[[#This Row],[R5 Business Hours]],0)+IFERROR(VLOOKUP(RESOURCE_5_TYPE,SELL_RATES,3,FALSE)*Input_Tasks[[#This Row],[R5 After Hours]],0)</f>
        <v>0</v>
      </c>
      <c r="AV131" s="400">
        <f>SUM(Input_Tasks[[#This Row],[Round Trips R1]:[Round Trips R5]])</f>
        <v>0</v>
      </c>
      <c r="AW131" s="401">
        <f>SUM(Input_Tasks[[#This Row],[Overnight StaysR1]:[Overnight StaysR5]])</f>
        <v>0</v>
      </c>
      <c r="AX131" s="401">
        <f>IF(AND(Input_Tasks[[#This Row],[Sell - Line Total]]&gt;0,OR(Input_Tasks[[#This Row],[Phase]]="",Input_Tasks[[#This Row],[Skill Required]]="",Input_Tasks[[#This Row],[Task Type]]="",Input_Tasks[[#This Row],[Description]]="")),1,0)</f>
        <v>0</v>
      </c>
      <c r="AY131" s="402">
        <f>IF(AND(Input_Tasks[[#This Row],[Task Type]]="ArchiTech Document Deliverable",Input_Tasks[[#This Row],[Hours]]&gt;0),1,0)</f>
        <v>0</v>
      </c>
      <c r="AZ13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3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3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3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3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3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3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3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3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3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3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3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3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31" s="405">
        <f>SUM(Input_Tasks[[#This Row],[R1 Business Hours]:[R1 After Hours]],Input_Tasks[[#This Row],[R2 Business Hours]:[R2 After Hours]],Input_Tasks[[#This Row],[R3 Business Hours]:[R3 After Hours]],Input_Tasks[[#This Row],[R4 Business Hours]:[R4 After Hours]],Input_Tasks[[#This Row],[R5 Business Hours]:[R5 After Hours]])</f>
        <v>0</v>
      </c>
    </row>
    <row r="132" spans="1:65">
      <c r="A132" s="384"/>
      <c r="B132" s="271"/>
      <c r="C132" s="271"/>
      <c r="D132" s="406"/>
      <c r="E132" s="385">
        <f>Input_Tasks[[#This Row],[Onsite Round Trips_Hidden]]</f>
        <v>0</v>
      </c>
      <c r="F132" s="385">
        <f>Input_Tasks[[#This Row],[Overnight Stays_Hidden]]</f>
        <v>0</v>
      </c>
      <c r="G132" s="385">
        <f>Input_Tasks[[#This Row],[Documents_Hidden]]</f>
        <v>0</v>
      </c>
      <c r="H132" s="387"/>
      <c r="I132" s="388"/>
      <c r="J132" s="389"/>
      <c r="K132" s="390"/>
      <c r="L132" s="390"/>
      <c r="M132" s="389"/>
      <c r="N132" s="390"/>
      <c r="O132" s="390"/>
      <c r="P132" s="389"/>
      <c r="Q132" s="390"/>
      <c r="R132" s="391"/>
      <c r="S132" s="389"/>
      <c r="T132" s="390"/>
      <c r="U132" s="391"/>
      <c r="V132" s="389"/>
      <c r="W132" s="390"/>
      <c r="X132" s="390"/>
      <c r="Y132" s="386" t="str">
        <f>Input_Tasks[[#This Row],[Onsite Round Trips_Hidden]]&amp;"/"&amp;Input_Tasks[[#This Row],[Overnight Stays_Hidden]]&amp;"/"&amp;Input_Tasks[[#This Row],[Documents_Hidden]]</f>
        <v>0/0/0</v>
      </c>
      <c r="Z132" s="392">
        <f>Input_Tasks[[#This Row],[R1 Cost_Hidden]]</f>
        <v>0</v>
      </c>
      <c r="AA132" s="393">
        <f>Input_Tasks[[#This Row],[R2 Cost_Hidden]]</f>
        <v>0</v>
      </c>
      <c r="AB132" s="393">
        <f>Input_Tasks[[#This Row],[R3 Cost_Hidden]]</f>
        <v>0</v>
      </c>
      <c r="AC132" s="393">
        <f>Input_Tasks[[#This Row],[R4 Cost_Hidden]]</f>
        <v>0</v>
      </c>
      <c r="AD132" s="394">
        <f>Input_Tasks[[#This Row],[R5 Cost_Hidden]]</f>
        <v>0</v>
      </c>
      <c r="AE132" s="395">
        <f>SUM(Input_Tasks[[#This Row],[R1 Cost]:[R5 Cost]])</f>
        <v>0</v>
      </c>
      <c r="AF132" s="392">
        <f>Input_Tasks[[#This Row],[R1 Sell_Hidden]]</f>
        <v>0</v>
      </c>
      <c r="AG132" s="393">
        <f>Input_Tasks[[#This Row],[R2 Sell_Hidden]]</f>
        <v>0</v>
      </c>
      <c r="AH132" s="393">
        <f>Input_Tasks[[#This Row],[R3 Sell_Hidden]]</f>
        <v>0</v>
      </c>
      <c r="AI132" s="393">
        <f>Input_Tasks[[#This Row],[R4 Sell_Hidden5]]</f>
        <v>0</v>
      </c>
      <c r="AJ132" s="394">
        <f>Input_Tasks[[#This Row],[R5 Sell_Hidden]]</f>
        <v>0</v>
      </c>
      <c r="AK132" s="396">
        <f>SUM(Input_Tasks[[#This Row],[R1 Sell]:[R5 Sell]])</f>
        <v>0</v>
      </c>
      <c r="AL132" s="397">
        <f>IFERROR(VLOOKUP(RESOURCE_1_TYPE,COST_RATES,2,FALSE)*Input_Tasks[[#This Row],[R1 Business Hours]],0)+IFERROR(VLOOKUP(RESOURCE_1_TYPE,COST_RATES,3,FALSE)*Input_Tasks[[#This Row],[R1 After Hours]],0)</f>
        <v>0</v>
      </c>
      <c r="AM132" s="398">
        <f>IFERROR(VLOOKUP(RESOURCE_2_TYPE,COST_RATES,2,FALSE)*Input_Tasks[[#This Row],[R2 Business Hours]],0)+IFERROR(VLOOKUP(RESOURCE_2_TYPE,COST_RATES,3,FALSE)*Input_Tasks[[#This Row],[R2 After Hours]],0)</f>
        <v>0</v>
      </c>
      <c r="AN132" s="398">
        <f>IFERROR(VLOOKUP(RESOURCE_3_TYPE,COST_RATES,2,FALSE)*Input_Tasks[[#This Row],[R3 Business Hours]],0)+IFERROR(VLOOKUP(RESOURCE_3_TYPE,COST_RATES,3,FALSE)*Input_Tasks[[#This Row],[R3 After Hours]],0)</f>
        <v>0</v>
      </c>
      <c r="AO132" s="398">
        <f>IFERROR(VLOOKUP(RESOURCE_4_TYPE,COST_RATES,2,FALSE)*Input_Tasks[[#This Row],[R4 Business Hours]],0)+IFERROR(VLOOKUP(RESOURCE_4_TYPE,COST_RATES,3,FALSE)*Input_Tasks[[#This Row],[R4 After Hours]],0)</f>
        <v>0</v>
      </c>
      <c r="AP132" s="398">
        <f>IFERROR(VLOOKUP(RESOURCE_5_TYPE,COST_RATES,2,FALSE)*Input_Tasks[[#This Row],[R5 Business Hours]],0)+IFERROR(VLOOKUP(RESOURCE_5_TYPE,COST_RATES,3,FALSE)*Input_Tasks[[#This Row],[R5 After Hours]],0)</f>
        <v>0</v>
      </c>
      <c r="AQ132" s="399">
        <f>IFERROR(VLOOKUP(RESOURCE_1_TYPE,SELL_RATES,2,FALSE)*Input_Tasks[[#This Row],[R1 Business Hours]],0)+IFERROR(VLOOKUP(RESOURCE_1_TYPE,SELL_RATES,3,FALSE)*Input_Tasks[[#This Row],[R1 After Hours]],0)</f>
        <v>0</v>
      </c>
      <c r="AR132" s="398">
        <f>IFERROR(VLOOKUP(RESOURCE_2_TYPE,SELL_RATES,2,FALSE)*Input_Tasks[[#This Row],[R2 Business Hours]],0)+IFERROR(VLOOKUP(RESOURCE_2_TYPE,SELL_RATES,3,FALSE)*Input_Tasks[[#This Row],[R2 After Hours]],0)</f>
        <v>0</v>
      </c>
      <c r="AS132" s="398">
        <f>IFERROR(VLOOKUP(RESOURCE_3_TYPE,SELL_RATES,2,FALSE)*Input_Tasks[[#This Row],[R3 Business Hours]],0)+IFERROR(VLOOKUP(RESOURCE_3_TYPE,SELL_RATES,3,FALSE)*Input_Tasks[[#This Row],[R3 After Hours]],0)</f>
        <v>0</v>
      </c>
      <c r="AT132" s="398">
        <f>IFERROR(VLOOKUP(RESOURCE_4_TYPE,SELL_RATES,2,FALSE)*Input_Tasks[[#This Row],[R4 Business Hours]],0)+IFERROR(VLOOKUP(RESOURCE_4_TYPE,SELL_RATES,3,FALSE)*Input_Tasks[[#This Row],[R4 After Hours]],0)</f>
        <v>0</v>
      </c>
      <c r="AU132" s="398">
        <f>IFERROR(VLOOKUP(RESOURCE_5_TYPE,SELL_RATES,2,FALSE)*Input_Tasks[[#This Row],[R5 Business Hours]],0)+IFERROR(VLOOKUP(RESOURCE_5_TYPE,SELL_RATES,3,FALSE)*Input_Tasks[[#This Row],[R5 After Hours]],0)</f>
        <v>0</v>
      </c>
      <c r="AV132" s="400">
        <f>SUM(Input_Tasks[[#This Row],[Round Trips R1]:[Round Trips R5]])</f>
        <v>0</v>
      </c>
      <c r="AW132" s="401">
        <f>SUM(Input_Tasks[[#This Row],[Overnight StaysR1]:[Overnight StaysR5]])</f>
        <v>0</v>
      </c>
      <c r="AX132" s="401">
        <f>IF(AND(Input_Tasks[[#This Row],[Sell - Line Total]]&gt;0,OR(Input_Tasks[[#This Row],[Phase]]="",Input_Tasks[[#This Row],[Skill Required]]="",Input_Tasks[[#This Row],[Task Type]]="",Input_Tasks[[#This Row],[Description]]="")),1,0)</f>
        <v>0</v>
      </c>
      <c r="AY132" s="402">
        <f>IF(AND(Input_Tasks[[#This Row],[Task Type]]="ArchiTech Document Deliverable",Input_Tasks[[#This Row],[Hours]]&gt;0),1,0)</f>
        <v>0</v>
      </c>
      <c r="AZ13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3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3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3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3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3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3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3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3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3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3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3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3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32" s="405">
        <f>SUM(Input_Tasks[[#This Row],[R1 Business Hours]:[R1 After Hours]],Input_Tasks[[#This Row],[R2 Business Hours]:[R2 After Hours]],Input_Tasks[[#This Row],[R3 Business Hours]:[R3 After Hours]],Input_Tasks[[#This Row],[R4 Business Hours]:[R4 After Hours]],Input_Tasks[[#This Row],[R5 Business Hours]:[R5 After Hours]])</f>
        <v>0</v>
      </c>
    </row>
    <row r="133" spans="1:65">
      <c r="A133" s="384"/>
      <c r="B133" s="271"/>
      <c r="C133" s="271"/>
      <c r="D133" s="406"/>
      <c r="E133" s="385">
        <f>Input_Tasks[[#This Row],[Onsite Round Trips_Hidden]]</f>
        <v>0</v>
      </c>
      <c r="F133" s="385">
        <f>Input_Tasks[[#This Row],[Overnight Stays_Hidden]]</f>
        <v>0</v>
      </c>
      <c r="G133" s="385">
        <f>Input_Tasks[[#This Row],[Documents_Hidden]]</f>
        <v>0</v>
      </c>
      <c r="H133" s="387"/>
      <c r="I133" s="388"/>
      <c r="J133" s="389"/>
      <c r="K133" s="390"/>
      <c r="L133" s="390"/>
      <c r="M133" s="389"/>
      <c r="N133" s="390"/>
      <c r="O133" s="390"/>
      <c r="P133" s="389"/>
      <c r="Q133" s="390"/>
      <c r="R133" s="391"/>
      <c r="S133" s="389"/>
      <c r="T133" s="390"/>
      <c r="U133" s="391"/>
      <c r="V133" s="389"/>
      <c r="W133" s="390"/>
      <c r="X133" s="390"/>
      <c r="Y133" s="386" t="str">
        <f>Input_Tasks[[#This Row],[Onsite Round Trips_Hidden]]&amp;"/"&amp;Input_Tasks[[#This Row],[Overnight Stays_Hidden]]&amp;"/"&amp;Input_Tasks[[#This Row],[Documents_Hidden]]</f>
        <v>0/0/0</v>
      </c>
      <c r="Z133" s="392">
        <f>Input_Tasks[[#This Row],[R1 Cost_Hidden]]</f>
        <v>0</v>
      </c>
      <c r="AA133" s="393">
        <f>Input_Tasks[[#This Row],[R2 Cost_Hidden]]</f>
        <v>0</v>
      </c>
      <c r="AB133" s="393">
        <f>Input_Tasks[[#This Row],[R3 Cost_Hidden]]</f>
        <v>0</v>
      </c>
      <c r="AC133" s="393">
        <f>Input_Tasks[[#This Row],[R4 Cost_Hidden]]</f>
        <v>0</v>
      </c>
      <c r="AD133" s="394">
        <f>Input_Tasks[[#This Row],[R5 Cost_Hidden]]</f>
        <v>0</v>
      </c>
      <c r="AE133" s="395">
        <f>SUM(Input_Tasks[[#This Row],[R1 Cost]:[R5 Cost]])</f>
        <v>0</v>
      </c>
      <c r="AF133" s="392">
        <f>Input_Tasks[[#This Row],[R1 Sell_Hidden]]</f>
        <v>0</v>
      </c>
      <c r="AG133" s="393">
        <f>Input_Tasks[[#This Row],[R2 Sell_Hidden]]</f>
        <v>0</v>
      </c>
      <c r="AH133" s="393">
        <f>Input_Tasks[[#This Row],[R3 Sell_Hidden]]</f>
        <v>0</v>
      </c>
      <c r="AI133" s="393">
        <f>Input_Tasks[[#This Row],[R4 Sell_Hidden5]]</f>
        <v>0</v>
      </c>
      <c r="AJ133" s="394">
        <f>Input_Tasks[[#This Row],[R5 Sell_Hidden]]</f>
        <v>0</v>
      </c>
      <c r="AK133" s="396">
        <f>SUM(Input_Tasks[[#This Row],[R1 Sell]:[R5 Sell]])</f>
        <v>0</v>
      </c>
      <c r="AL133" s="397">
        <f>IFERROR(VLOOKUP(RESOURCE_1_TYPE,COST_RATES,2,FALSE)*Input_Tasks[[#This Row],[R1 Business Hours]],0)+IFERROR(VLOOKUP(RESOURCE_1_TYPE,COST_RATES,3,FALSE)*Input_Tasks[[#This Row],[R1 After Hours]],0)</f>
        <v>0</v>
      </c>
      <c r="AM133" s="398">
        <f>IFERROR(VLOOKUP(RESOURCE_2_TYPE,COST_RATES,2,FALSE)*Input_Tasks[[#This Row],[R2 Business Hours]],0)+IFERROR(VLOOKUP(RESOURCE_2_TYPE,COST_RATES,3,FALSE)*Input_Tasks[[#This Row],[R2 After Hours]],0)</f>
        <v>0</v>
      </c>
      <c r="AN133" s="398">
        <f>IFERROR(VLOOKUP(RESOURCE_3_TYPE,COST_RATES,2,FALSE)*Input_Tasks[[#This Row],[R3 Business Hours]],0)+IFERROR(VLOOKUP(RESOURCE_3_TYPE,COST_RATES,3,FALSE)*Input_Tasks[[#This Row],[R3 After Hours]],0)</f>
        <v>0</v>
      </c>
      <c r="AO133" s="398">
        <f>IFERROR(VLOOKUP(RESOURCE_4_TYPE,COST_RATES,2,FALSE)*Input_Tasks[[#This Row],[R4 Business Hours]],0)+IFERROR(VLOOKUP(RESOURCE_4_TYPE,COST_RATES,3,FALSE)*Input_Tasks[[#This Row],[R4 After Hours]],0)</f>
        <v>0</v>
      </c>
      <c r="AP133" s="398">
        <f>IFERROR(VLOOKUP(RESOURCE_5_TYPE,COST_RATES,2,FALSE)*Input_Tasks[[#This Row],[R5 Business Hours]],0)+IFERROR(VLOOKUP(RESOURCE_5_TYPE,COST_RATES,3,FALSE)*Input_Tasks[[#This Row],[R5 After Hours]],0)</f>
        <v>0</v>
      </c>
      <c r="AQ133" s="399">
        <f>IFERROR(VLOOKUP(RESOURCE_1_TYPE,SELL_RATES,2,FALSE)*Input_Tasks[[#This Row],[R1 Business Hours]],0)+IFERROR(VLOOKUP(RESOURCE_1_TYPE,SELL_RATES,3,FALSE)*Input_Tasks[[#This Row],[R1 After Hours]],0)</f>
        <v>0</v>
      </c>
      <c r="AR133" s="398">
        <f>IFERROR(VLOOKUP(RESOURCE_2_TYPE,SELL_RATES,2,FALSE)*Input_Tasks[[#This Row],[R2 Business Hours]],0)+IFERROR(VLOOKUP(RESOURCE_2_TYPE,SELL_RATES,3,FALSE)*Input_Tasks[[#This Row],[R2 After Hours]],0)</f>
        <v>0</v>
      </c>
      <c r="AS133" s="398">
        <f>IFERROR(VLOOKUP(RESOURCE_3_TYPE,SELL_RATES,2,FALSE)*Input_Tasks[[#This Row],[R3 Business Hours]],0)+IFERROR(VLOOKUP(RESOURCE_3_TYPE,SELL_RATES,3,FALSE)*Input_Tasks[[#This Row],[R3 After Hours]],0)</f>
        <v>0</v>
      </c>
      <c r="AT133" s="398">
        <f>IFERROR(VLOOKUP(RESOURCE_4_TYPE,SELL_RATES,2,FALSE)*Input_Tasks[[#This Row],[R4 Business Hours]],0)+IFERROR(VLOOKUP(RESOURCE_4_TYPE,SELL_RATES,3,FALSE)*Input_Tasks[[#This Row],[R4 After Hours]],0)</f>
        <v>0</v>
      </c>
      <c r="AU133" s="398">
        <f>IFERROR(VLOOKUP(RESOURCE_5_TYPE,SELL_RATES,2,FALSE)*Input_Tasks[[#This Row],[R5 Business Hours]],0)+IFERROR(VLOOKUP(RESOURCE_5_TYPE,SELL_RATES,3,FALSE)*Input_Tasks[[#This Row],[R5 After Hours]],0)</f>
        <v>0</v>
      </c>
      <c r="AV133" s="400">
        <f>SUM(Input_Tasks[[#This Row],[Round Trips R1]:[Round Trips R5]])</f>
        <v>0</v>
      </c>
      <c r="AW133" s="401">
        <f>SUM(Input_Tasks[[#This Row],[Overnight StaysR1]:[Overnight StaysR5]])</f>
        <v>0</v>
      </c>
      <c r="AX133" s="401">
        <f>IF(AND(Input_Tasks[[#This Row],[Sell - Line Total]]&gt;0,OR(Input_Tasks[[#This Row],[Phase]]="",Input_Tasks[[#This Row],[Skill Required]]="",Input_Tasks[[#This Row],[Task Type]]="",Input_Tasks[[#This Row],[Description]]="")),1,0)</f>
        <v>0</v>
      </c>
      <c r="AY133" s="402">
        <f>IF(AND(Input_Tasks[[#This Row],[Task Type]]="ArchiTech Document Deliverable",Input_Tasks[[#This Row],[Hours]]&gt;0),1,0)</f>
        <v>0</v>
      </c>
      <c r="AZ13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3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3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3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3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3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3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3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3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3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3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3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3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33" s="405">
        <f>SUM(Input_Tasks[[#This Row],[R1 Business Hours]:[R1 After Hours]],Input_Tasks[[#This Row],[R2 Business Hours]:[R2 After Hours]],Input_Tasks[[#This Row],[R3 Business Hours]:[R3 After Hours]],Input_Tasks[[#This Row],[R4 Business Hours]:[R4 After Hours]],Input_Tasks[[#This Row],[R5 Business Hours]:[R5 After Hours]])</f>
        <v>0</v>
      </c>
    </row>
    <row r="134" spans="1:65">
      <c r="A134" s="384"/>
      <c r="B134" s="271"/>
      <c r="C134" s="271"/>
      <c r="D134" s="406"/>
      <c r="E134" s="385">
        <f>Input_Tasks[[#This Row],[Onsite Round Trips_Hidden]]</f>
        <v>0</v>
      </c>
      <c r="F134" s="385">
        <f>Input_Tasks[[#This Row],[Overnight Stays_Hidden]]</f>
        <v>0</v>
      </c>
      <c r="G134" s="385">
        <f>Input_Tasks[[#This Row],[Documents_Hidden]]</f>
        <v>0</v>
      </c>
      <c r="H134" s="387"/>
      <c r="I134" s="388"/>
      <c r="J134" s="389"/>
      <c r="K134" s="390"/>
      <c r="L134" s="390"/>
      <c r="M134" s="389"/>
      <c r="N134" s="390"/>
      <c r="O134" s="390"/>
      <c r="P134" s="389"/>
      <c r="Q134" s="390"/>
      <c r="R134" s="391"/>
      <c r="S134" s="389"/>
      <c r="T134" s="390"/>
      <c r="U134" s="391"/>
      <c r="V134" s="389"/>
      <c r="W134" s="390"/>
      <c r="X134" s="390"/>
      <c r="Y134" s="386" t="str">
        <f>Input_Tasks[[#This Row],[Onsite Round Trips_Hidden]]&amp;"/"&amp;Input_Tasks[[#This Row],[Overnight Stays_Hidden]]&amp;"/"&amp;Input_Tasks[[#This Row],[Documents_Hidden]]</f>
        <v>0/0/0</v>
      </c>
      <c r="Z134" s="392">
        <f>Input_Tasks[[#This Row],[R1 Cost_Hidden]]</f>
        <v>0</v>
      </c>
      <c r="AA134" s="393">
        <f>Input_Tasks[[#This Row],[R2 Cost_Hidden]]</f>
        <v>0</v>
      </c>
      <c r="AB134" s="393">
        <f>Input_Tasks[[#This Row],[R3 Cost_Hidden]]</f>
        <v>0</v>
      </c>
      <c r="AC134" s="393">
        <f>Input_Tasks[[#This Row],[R4 Cost_Hidden]]</f>
        <v>0</v>
      </c>
      <c r="AD134" s="394">
        <f>Input_Tasks[[#This Row],[R5 Cost_Hidden]]</f>
        <v>0</v>
      </c>
      <c r="AE134" s="395">
        <f>SUM(Input_Tasks[[#This Row],[R1 Cost]:[R5 Cost]])</f>
        <v>0</v>
      </c>
      <c r="AF134" s="392">
        <f>Input_Tasks[[#This Row],[R1 Sell_Hidden]]</f>
        <v>0</v>
      </c>
      <c r="AG134" s="393">
        <f>Input_Tasks[[#This Row],[R2 Sell_Hidden]]</f>
        <v>0</v>
      </c>
      <c r="AH134" s="393">
        <f>Input_Tasks[[#This Row],[R3 Sell_Hidden]]</f>
        <v>0</v>
      </c>
      <c r="AI134" s="393">
        <f>Input_Tasks[[#This Row],[R4 Sell_Hidden5]]</f>
        <v>0</v>
      </c>
      <c r="AJ134" s="394">
        <f>Input_Tasks[[#This Row],[R5 Sell_Hidden]]</f>
        <v>0</v>
      </c>
      <c r="AK134" s="396">
        <f>SUM(Input_Tasks[[#This Row],[R1 Sell]:[R5 Sell]])</f>
        <v>0</v>
      </c>
      <c r="AL134" s="397">
        <f>IFERROR(VLOOKUP(RESOURCE_1_TYPE,COST_RATES,2,FALSE)*Input_Tasks[[#This Row],[R1 Business Hours]],0)+IFERROR(VLOOKUP(RESOURCE_1_TYPE,COST_RATES,3,FALSE)*Input_Tasks[[#This Row],[R1 After Hours]],0)</f>
        <v>0</v>
      </c>
      <c r="AM134" s="398">
        <f>IFERROR(VLOOKUP(RESOURCE_2_TYPE,COST_RATES,2,FALSE)*Input_Tasks[[#This Row],[R2 Business Hours]],0)+IFERROR(VLOOKUP(RESOURCE_2_TYPE,COST_RATES,3,FALSE)*Input_Tasks[[#This Row],[R2 After Hours]],0)</f>
        <v>0</v>
      </c>
      <c r="AN134" s="398">
        <f>IFERROR(VLOOKUP(RESOURCE_3_TYPE,COST_RATES,2,FALSE)*Input_Tasks[[#This Row],[R3 Business Hours]],0)+IFERROR(VLOOKUP(RESOURCE_3_TYPE,COST_RATES,3,FALSE)*Input_Tasks[[#This Row],[R3 After Hours]],0)</f>
        <v>0</v>
      </c>
      <c r="AO134" s="398">
        <f>IFERROR(VLOOKUP(RESOURCE_4_TYPE,COST_RATES,2,FALSE)*Input_Tasks[[#This Row],[R4 Business Hours]],0)+IFERROR(VLOOKUP(RESOURCE_4_TYPE,COST_RATES,3,FALSE)*Input_Tasks[[#This Row],[R4 After Hours]],0)</f>
        <v>0</v>
      </c>
      <c r="AP134" s="398">
        <f>IFERROR(VLOOKUP(RESOURCE_5_TYPE,COST_RATES,2,FALSE)*Input_Tasks[[#This Row],[R5 Business Hours]],0)+IFERROR(VLOOKUP(RESOURCE_5_TYPE,COST_RATES,3,FALSE)*Input_Tasks[[#This Row],[R5 After Hours]],0)</f>
        <v>0</v>
      </c>
      <c r="AQ134" s="399">
        <f>IFERROR(VLOOKUP(RESOURCE_1_TYPE,SELL_RATES,2,FALSE)*Input_Tasks[[#This Row],[R1 Business Hours]],0)+IFERROR(VLOOKUP(RESOURCE_1_TYPE,SELL_RATES,3,FALSE)*Input_Tasks[[#This Row],[R1 After Hours]],0)</f>
        <v>0</v>
      </c>
      <c r="AR134" s="398">
        <f>IFERROR(VLOOKUP(RESOURCE_2_TYPE,SELL_RATES,2,FALSE)*Input_Tasks[[#This Row],[R2 Business Hours]],0)+IFERROR(VLOOKUP(RESOURCE_2_TYPE,SELL_RATES,3,FALSE)*Input_Tasks[[#This Row],[R2 After Hours]],0)</f>
        <v>0</v>
      </c>
      <c r="AS134" s="398">
        <f>IFERROR(VLOOKUP(RESOURCE_3_TYPE,SELL_RATES,2,FALSE)*Input_Tasks[[#This Row],[R3 Business Hours]],0)+IFERROR(VLOOKUP(RESOURCE_3_TYPE,SELL_RATES,3,FALSE)*Input_Tasks[[#This Row],[R3 After Hours]],0)</f>
        <v>0</v>
      </c>
      <c r="AT134" s="398">
        <f>IFERROR(VLOOKUP(RESOURCE_4_TYPE,SELL_RATES,2,FALSE)*Input_Tasks[[#This Row],[R4 Business Hours]],0)+IFERROR(VLOOKUP(RESOURCE_4_TYPE,SELL_RATES,3,FALSE)*Input_Tasks[[#This Row],[R4 After Hours]],0)</f>
        <v>0</v>
      </c>
      <c r="AU134" s="398">
        <f>IFERROR(VLOOKUP(RESOURCE_5_TYPE,SELL_RATES,2,FALSE)*Input_Tasks[[#This Row],[R5 Business Hours]],0)+IFERROR(VLOOKUP(RESOURCE_5_TYPE,SELL_RATES,3,FALSE)*Input_Tasks[[#This Row],[R5 After Hours]],0)</f>
        <v>0</v>
      </c>
      <c r="AV134" s="400">
        <f>SUM(Input_Tasks[[#This Row],[Round Trips R1]:[Round Trips R5]])</f>
        <v>0</v>
      </c>
      <c r="AW134" s="401">
        <f>SUM(Input_Tasks[[#This Row],[Overnight StaysR1]:[Overnight StaysR5]])</f>
        <v>0</v>
      </c>
      <c r="AX134" s="401">
        <f>IF(AND(Input_Tasks[[#This Row],[Sell - Line Total]]&gt;0,OR(Input_Tasks[[#This Row],[Phase]]="",Input_Tasks[[#This Row],[Skill Required]]="",Input_Tasks[[#This Row],[Task Type]]="",Input_Tasks[[#This Row],[Description]]="")),1,0)</f>
        <v>0</v>
      </c>
      <c r="AY134" s="402">
        <f>IF(AND(Input_Tasks[[#This Row],[Task Type]]="ArchiTech Document Deliverable",Input_Tasks[[#This Row],[Hours]]&gt;0),1,0)</f>
        <v>0</v>
      </c>
      <c r="AZ13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3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3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3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3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3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3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3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3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3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3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3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3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34" s="405">
        <f>SUM(Input_Tasks[[#This Row],[R1 Business Hours]:[R1 After Hours]],Input_Tasks[[#This Row],[R2 Business Hours]:[R2 After Hours]],Input_Tasks[[#This Row],[R3 Business Hours]:[R3 After Hours]],Input_Tasks[[#This Row],[R4 Business Hours]:[R4 After Hours]],Input_Tasks[[#This Row],[R5 Business Hours]:[R5 After Hours]])</f>
        <v>0</v>
      </c>
    </row>
    <row r="135" spans="1:65">
      <c r="A135" s="384"/>
      <c r="B135" s="271"/>
      <c r="C135" s="271"/>
      <c r="D135" s="406"/>
      <c r="E135" s="385">
        <f>Input_Tasks[[#This Row],[Onsite Round Trips_Hidden]]</f>
        <v>0</v>
      </c>
      <c r="F135" s="385">
        <f>Input_Tasks[[#This Row],[Overnight Stays_Hidden]]</f>
        <v>0</v>
      </c>
      <c r="G135" s="385">
        <f>Input_Tasks[[#This Row],[Documents_Hidden]]</f>
        <v>0</v>
      </c>
      <c r="H135" s="387"/>
      <c r="I135" s="388"/>
      <c r="J135" s="389"/>
      <c r="K135" s="390"/>
      <c r="L135" s="390"/>
      <c r="M135" s="389"/>
      <c r="N135" s="390"/>
      <c r="O135" s="390"/>
      <c r="P135" s="389"/>
      <c r="Q135" s="390"/>
      <c r="R135" s="391"/>
      <c r="S135" s="389"/>
      <c r="T135" s="390"/>
      <c r="U135" s="391"/>
      <c r="V135" s="389"/>
      <c r="W135" s="390"/>
      <c r="X135" s="390"/>
      <c r="Y135" s="386" t="str">
        <f>Input_Tasks[[#This Row],[Onsite Round Trips_Hidden]]&amp;"/"&amp;Input_Tasks[[#This Row],[Overnight Stays_Hidden]]&amp;"/"&amp;Input_Tasks[[#This Row],[Documents_Hidden]]</f>
        <v>0/0/0</v>
      </c>
      <c r="Z135" s="392">
        <f>Input_Tasks[[#This Row],[R1 Cost_Hidden]]</f>
        <v>0</v>
      </c>
      <c r="AA135" s="393">
        <f>Input_Tasks[[#This Row],[R2 Cost_Hidden]]</f>
        <v>0</v>
      </c>
      <c r="AB135" s="393">
        <f>Input_Tasks[[#This Row],[R3 Cost_Hidden]]</f>
        <v>0</v>
      </c>
      <c r="AC135" s="393">
        <f>Input_Tasks[[#This Row],[R4 Cost_Hidden]]</f>
        <v>0</v>
      </c>
      <c r="AD135" s="394">
        <f>Input_Tasks[[#This Row],[R5 Cost_Hidden]]</f>
        <v>0</v>
      </c>
      <c r="AE135" s="395">
        <f>SUM(Input_Tasks[[#This Row],[R1 Cost]:[R5 Cost]])</f>
        <v>0</v>
      </c>
      <c r="AF135" s="392">
        <f>Input_Tasks[[#This Row],[R1 Sell_Hidden]]</f>
        <v>0</v>
      </c>
      <c r="AG135" s="393">
        <f>Input_Tasks[[#This Row],[R2 Sell_Hidden]]</f>
        <v>0</v>
      </c>
      <c r="AH135" s="393">
        <f>Input_Tasks[[#This Row],[R3 Sell_Hidden]]</f>
        <v>0</v>
      </c>
      <c r="AI135" s="393">
        <f>Input_Tasks[[#This Row],[R4 Sell_Hidden5]]</f>
        <v>0</v>
      </c>
      <c r="AJ135" s="394">
        <f>Input_Tasks[[#This Row],[R5 Sell_Hidden]]</f>
        <v>0</v>
      </c>
      <c r="AK135" s="396">
        <f>SUM(Input_Tasks[[#This Row],[R1 Sell]:[R5 Sell]])</f>
        <v>0</v>
      </c>
      <c r="AL135" s="397">
        <f>IFERROR(VLOOKUP(RESOURCE_1_TYPE,COST_RATES,2,FALSE)*Input_Tasks[[#This Row],[R1 Business Hours]],0)+IFERROR(VLOOKUP(RESOURCE_1_TYPE,COST_RATES,3,FALSE)*Input_Tasks[[#This Row],[R1 After Hours]],0)</f>
        <v>0</v>
      </c>
      <c r="AM135" s="398">
        <f>IFERROR(VLOOKUP(RESOURCE_2_TYPE,COST_RATES,2,FALSE)*Input_Tasks[[#This Row],[R2 Business Hours]],0)+IFERROR(VLOOKUP(RESOURCE_2_TYPE,COST_RATES,3,FALSE)*Input_Tasks[[#This Row],[R2 After Hours]],0)</f>
        <v>0</v>
      </c>
      <c r="AN135" s="398">
        <f>IFERROR(VLOOKUP(RESOURCE_3_TYPE,COST_RATES,2,FALSE)*Input_Tasks[[#This Row],[R3 Business Hours]],0)+IFERROR(VLOOKUP(RESOURCE_3_TYPE,COST_RATES,3,FALSE)*Input_Tasks[[#This Row],[R3 After Hours]],0)</f>
        <v>0</v>
      </c>
      <c r="AO135" s="398">
        <f>IFERROR(VLOOKUP(RESOURCE_4_TYPE,COST_RATES,2,FALSE)*Input_Tasks[[#This Row],[R4 Business Hours]],0)+IFERROR(VLOOKUP(RESOURCE_4_TYPE,COST_RATES,3,FALSE)*Input_Tasks[[#This Row],[R4 After Hours]],0)</f>
        <v>0</v>
      </c>
      <c r="AP135" s="398">
        <f>IFERROR(VLOOKUP(RESOURCE_5_TYPE,COST_RATES,2,FALSE)*Input_Tasks[[#This Row],[R5 Business Hours]],0)+IFERROR(VLOOKUP(RESOURCE_5_TYPE,COST_RATES,3,FALSE)*Input_Tasks[[#This Row],[R5 After Hours]],0)</f>
        <v>0</v>
      </c>
      <c r="AQ135" s="399">
        <f>IFERROR(VLOOKUP(RESOURCE_1_TYPE,SELL_RATES,2,FALSE)*Input_Tasks[[#This Row],[R1 Business Hours]],0)+IFERROR(VLOOKUP(RESOURCE_1_TYPE,SELL_RATES,3,FALSE)*Input_Tasks[[#This Row],[R1 After Hours]],0)</f>
        <v>0</v>
      </c>
      <c r="AR135" s="398">
        <f>IFERROR(VLOOKUP(RESOURCE_2_TYPE,SELL_RATES,2,FALSE)*Input_Tasks[[#This Row],[R2 Business Hours]],0)+IFERROR(VLOOKUP(RESOURCE_2_TYPE,SELL_RATES,3,FALSE)*Input_Tasks[[#This Row],[R2 After Hours]],0)</f>
        <v>0</v>
      </c>
      <c r="AS135" s="398">
        <f>IFERROR(VLOOKUP(RESOURCE_3_TYPE,SELL_RATES,2,FALSE)*Input_Tasks[[#This Row],[R3 Business Hours]],0)+IFERROR(VLOOKUP(RESOURCE_3_TYPE,SELL_RATES,3,FALSE)*Input_Tasks[[#This Row],[R3 After Hours]],0)</f>
        <v>0</v>
      </c>
      <c r="AT135" s="398">
        <f>IFERROR(VLOOKUP(RESOURCE_4_TYPE,SELL_RATES,2,FALSE)*Input_Tasks[[#This Row],[R4 Business Hours]],0)+IFERROR(VLOOKUP(RESOURCE_4_TYPE,SELL_RATES,3,FALSE)*Input_Tasks[[#This Row],[R4 After Hours]],0)</f>
        <v>0</v>
      </c>
      <c r="AU135" s="398">
        <f>IFERROR(VLOOKUP(RESOURCE_5_TYPE,SELL_RATES,2,FALSE)*Input_Tasks[[#This Row],[R5 Business Hours]],0)+IFERROR(VLOOKUP(RESOURCE_5_TYPE,SELL_RATES,3,FALSE)*Input_Tasks[[#This Row],[R5 After Hours]],0)</f>
        <v>0</v>
      </c>
      <c r="AV135" s="400">
        <f>SUM(Input_Tasks[[#This Row],[Round Trips R1]:[Round Trips R5]])</f>
        <v>0</v>
      </c>
      <c r="AW135" s="401">
        <f>SUM(Input_Tasks[[#This Row],[Overnight StaysR1]:[Overnight StaysR5]])</f>
        <v>0</v>
      </c>
      <c r="AX135" s="401">
        <f>IF(AND(Input_Tasks[[#This Row],[Sell - Line Total]]&gt;0,OR(Input_Tasks[[#This Row],[Phase]]="",Input_Tasks[[#This Row],[Skill Required]]="",Input_Tasks[[#This Row],[Task Type]]="",Input_Tasks[[#This Row],[Description]]="")),1,0)</f>
        <v>0</v>
      </c>
      <c r="AY135" s="402">
        <f>IF(AND(Input_Tasks[[#This Row],[Task Type]]="ArchiTech Document Deliverable",Input_Tasks[[#This Row],[Hours]]&gt;0),1,0)</f>
        <v>0</v>
      </c>
      <c r="AZ13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3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3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3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3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3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3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3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3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3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3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3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3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35" s="405">
        <f>SUM(Input_Tasks[[#This Row],[R1 Business Hours]:[R1 After Hours]],Input_Tasks[[#This Row],[R2 Business Hours]:[R2 After Hours]],Input_Tasks[[#This Row],[R3 Business Hours]:[R3 After Hours]],Input_Tasks[[#This Row],[R4 Business Hours]:[R4 After Hours]],Input_Tasks[[#This Row],[R5 Business Hours]:[R5 After Hours]])</f>
        <v>0</v>
      </c>
    </row>
    <row r="136" spans="1:65">
      <c r="A136" s="384"/>
      <c r="B136" s="271"/>
      <c r="C136" s="271"/>
      <c r="D136" s="406"/>
      <c r="E136" s="385">
        <f>Input_Tasks[[#This Row],[Onsite Round Trips_Hidden]]</f>
        <v>0</v>
      </c>
      <c r="F136" s="385">
        <f>Input_Tasks[[#This Row],[Overnight Stays_Hidden]]</f>
        <v>0</v>
      </c>
      <c r="G136" s="385">
        <f>Input_Tasks[[#This Row],[Documents_Hidden]]</f>
        <v>0</v>
      </c>
      <c r="H136" s="387"/>
      <c r="I136" s="388"/>
      <c r="J136" s="389"/>
      <c r="K136" s="390"/>
      <c r="L136" s="390"/>
      <c r="M136" s="389"/>
      <c r="N136" s="390"/>
      <c r="O136" s="390"/>
      <c r="P136" s="389"/>
      <c r="Q136" s="390"/>
      <c r="R136" s="391"/>
      <c r="S136" s="389"/>
      <c r="T136" s="390"/>
      <c r="U136" s="391"/>
      <c r="V136" s="389"/>
      <c r="W136" s="390"/>
      <c r="X136" s="390"/>
      <c r="Y136" s="386" t="str">
        <f>Input_Tasks[[#This Row],[Onsite Round Trips_Hidden]]&amp;"/"&amp;Input_Tasks[[#This Row],[Overnight Stays_Hidden]]&amp;"/"&amp;Input_Tasks[[#This Row],[Documents_Hidden]]</f>
        <v>0/0/0</v>
      </c>
      <c r="Z136" s="392">
        <f>Input_Tasks[[#This Row],[R1 Cost_Hidden]]</f>
        <v>0</v>
      </c>
      <c r="AA136" s="393">
        <f>Input_Tasks[[#This Row],[R2 Cost_Hidden]]</f>
        <v>0</v>
      </c>
      <c r="AB136" s="393">
        <f>Input_Tasks[[#This Row],[R3 Cost_Hidden]]</f>
        <v>0</v>
      </c>
      <c r="AC136" s="393">
        <f>Input_Tasks[[#This Row],[R4 Cost_Hidden]]</f>
        <v>0</v>
      </c>
      <c r="AD136" s="394">
        <f>Input_Tasks[[#This Row],[R5 Cost_Hidden]]</f>
        <v>0</v>
      </c>
      <c r="AE136" s="395">
        <f>SUM(Input_Tasks[[#This Row],[R1 Cost]:[R5 Cost]])</f>
        <v>0</v>
      </c>
      <c r="AF136" s="392">
        <f>Input_Tasks[[#This Row],[R1 Sell_Hidden]]</f>
        <v>0</v>
      </c>
      <c r="AG136" s="393">
        <f>Input_Tasks[[#This Row],[R2 Sell_Hidden]]</f>
        <v>0</v>
      </c>
      <c r="AH136" s="393">
        <f>Input_Tasks[[#This Row],[R3 Sell_Hidden]]</f>
        <v>0</v>
      </c>
      <c r="AI136" s="393">
        <f>Input_Tasks[[#This Row],[R4 Sell_Hidden5]]</f>
        <v>0</v>
      </c>
      <c r="AJ136" s="394">
        <f>Input_Tasks[[#This Row],[R5 Sell_Hidden]]</f>
        <v>0</v>
      </c>
      <c r="AK136" s="396">
        <f>SUM(Input_Tasks[[#This Row],[R1 Sell]:[R5 Sell]])</f>
        <v>0</v>
      </c>
      <c r="AL136" s="397">
        <f>IFERROR(VLOOKUP(RESOURCE_1_TYPE,COST_RATES,2,FALSE)*Input_Tasks[[#This Row],[R1 Business Hours]],0)+IFERROR(VLOOKUP(RESOURCE_1_TYPE,COST_RATES,3,FALSE)*Input_Tasks[[#This Row],[R1 After Hours]],0)</f>
        <v>0</v>
      </c>
      <c r="AM136" s="398">
        <f>IFERROR(VLOOKUP(RESOURCE_2_TYPE,COST_RATES,2,FALSE)*Input_Tasks[[#This Row],[R2 Business Hours]],0)+IFERROR(VLOOKUP(RESOURCE_2_TYPE,COST_RATES,3,FALSE)*Input_Tasks[[#This Row],[R2 After Hours]],0)</f>
        <v>0</v>
      </c>
      <c r="AN136" s="398">
        <f>IFERROR(VLOOKUP(RESOURCE_3_TYPE,COST_RATES,2,FALSE)*Input_Tasks[[#This Row],[R3 Business Hours]],0)+IFERROR(VLOOKUP(RESOURCE_3_TYPE,COST_RATES,3,FALSE)*Input_Tasks[[#This Row],[R3 After Hours]],0)</f>
        <v>0</v>
      </c>
      <c r="AO136" s="398">
        <f>IFERROR(VLOOKUP(RESOURCE_4_TYPE,COST_RATES,2,FALSE)*Input_Tasks[[#This Row],[R4 Business Hours]],0)+IFERROR(VLOOKUP(RESOURCE_4_TYPE,COST_RATES,3,FALSE)*Input_Tasks[[#This Row],[R4 After Hours]],0)</f>
        <v>0</v>
      </c>
      <c r="AP136" s="398">
        <f>IFERROR(VLOOKUP(RESOURCE_5_TYPE,COST_RATES,2,FALSE)*Input_Tasks[[#This Row],[R5 Business Hours]],0)+IFERROR(VLOOKUP(RESOURCE_5_TYPE,COST_RATES,3,FALSE)*Input_Tasks[[#This Row],[R5 After Hours]],0)</f>
        <v>0</v>
      </c>
      <c r="AQ136" s="399">
        <f>IFERROR(VLOOKUP(RESOURCE_1_TYPE,SELL_RATES,2,FALSE)*Input_Tasks[[#This Row],[R1 Business Hours]],0)+IFERROR(VLOOKUP(RESOURCE_1_TYPE,SELL_RATES,3,FALSE)*Input_Tasks[[#This Row],[R1 After Hours]],0)</f>
        <v>0</v>
      </c>
      <c r="AR136" s="398">
        <f>IFERROR(VLOOKUP(RESOURCE_2_TYPE,SELL_RATES,2,FALSE)*Input_Tasks[[#This Row],[R2 Business Hours]],0)+IFERROR(VLOOKUP(RESOURCE_2_TYPE,SELL_RATES,3,FALSE)*Input_Tasks[[#This Row],[R2 After Hours]],0)</f>
        <v>0</v>
      </c>
      <c r="AS136" s="398">
        <f>IFERROR(VLOOKUP(RESOURCE_3_TYPE,SELL_RATES,2,FALSE)*Input_Tasks[[#This Row],[R3 Business Hours]],0)+IFERROR(VLOOKUP(RESOURCE_3_TYPE,SELL_RATES,3,FALSE)*Input_Tasks[[#This Row],[R3 After Hours]],0)</f>
        <v>0</v>
      </c>
      <c r="AT136" s="398">
        <f>IFERROR(VLOOKUP(RESOURCE_4_TYPE,SELL_RATES,2,FALSE)*Input_Tasks[[#This Row],[R4 Business Hours]],0)+IFERROR(VLOOKUP(RESOURCE_4_TYPE,SELL_RATES,3,FALSE)*Input_Tasks[[#This Row],[R4 After Hours]],0)</f>
        <v>0</v>
      </c>
      <c r="AU136" s="398">
        <f>IFERROR(VLOOKUP(RESOURCE_5_TYPE,SELL_RATES,2,FALSE)*Input_Tasks[[#This Row],[R5 Business Hours]],0)+IFERROR(VLOOKUP(RESOURCE_5_TYPE,SELL_RATES,3,FALSE)*Input_Tasks[[#This Row],[R5 After Hours]],0)</f>
        <v>0</v>
      </c>
      <c r="AV136" s="400">
        <f>SUM(Input_Tasks[[#This Row],[Round Trips R1]:[Round Trips R5]])</f>
        <v>0</v>
      </c>
      <c r="AW136" s="401">
        <f>SUM(Input_Tasks[[#This Row],[Overnight StaysR1]:[Overnight StaysR5]])</f>
        <v>0</v>
      </c>
      <c r="AX136" s="401">
        <f>IF(AND(Input_Tasks[[#This Row],[Sell - Line Total]]&gt;0,OR(Input_Tasks[[#This Row],[Phase]]="",Input_Tasks[[#This Row],[Skill Required]]="",Input_Tasks[[#This Row],[Task Type]]="",Input_Tasks[[#This Row],[Description]]="")),1,0)</f>
        <v>0</v>
      </c>
      <c r="AY136" s="402">
        <f>IF(AND(Input_Tasks[[#This Row],[Task Type]]="ArchiTech Document Deliverable",Input_Tasks[[#This Row],[Hours]]&gt;0),1,0)</f>
        <v>0</v>
      </c>
      <c r="AZ13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3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3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3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3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3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3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3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3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3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3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3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3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36" s="405">
        <f>SUM(Input_Tasks[[#This Row],[R1 Business Hours]:[R1 After Hours]],Input_Tasks[[#This Row],[R2 Business Hours]:[R2 After Hours]],Input_Tasks[[#This Row],[R3 Business Hours]:[R3 After Hours]],Input_Tasks[[#This Row],[R4 Business Hours]:[R4 After Hours]],Input_Tasks[[#This Row],[R5 Business Hours]:[R5 After Hours]])</f>
        <v>0</v>
      </c>
    </row>
    <row r="137" spans="1:65">
      <c r="A137" s="384"/>
      <c r="B137" s="271"/>
      <c r="C137" s="271"/>
      <c r="D137" s="406"/>
      <c r="E137" s="385">
        <f>Input_Tasks[[#This Row],[Onsite Round Trips_Hidden]]</f>
        <v>0</v>
      </c>
      <c r="F137" s="385">
        <f>Input_Tasks[[#This Row],[Overnight Stays_Hidden]]</f>
        <v>0</v>
      </c>
      <c r="G137" s="385">
        <f>Input_Tasks[[#This Row],[Documents_Hidden]]</f>
        <v>0</v>
      </c>
      <c r="H137" s="387"/>
      <c r="I137" s="388"/>
      <c r="J137" s="389"/>
      <c r="K137" s="390"/>
      <c r="L137" s="390"/>
      <c r="M137" s="389"/>
      <c r="N137" s="390"/>
      <c r="O137" s="390"/>
      <c r="P137" s="389"/>
      <c r="Q137" s="390"/>
      <c r="R137" s="391"/>
      <c r="S137" s="389"/>
      <c r="T137" s="390"/>
      <c r="U137" s="391"/>
      <c r="V137" s="389"/>
      <c r="W137" s="390"/>
      <c r="X137" s="390"/>
      <c r="Y137" s="386" t="str">
        <f>Input_Tasks[[#This Row],[Onsite Round Trips_Hidden]]&amp;"/"&amp;Input_Tasks[[#This Row],[Overnight Stays_Hidden]]&amp;"/"&amp;Input_Tasks[[#This Row],[Documents_Hidden]]</f>
        <v>0/0/0</v>
      </c>
      <c r="Z137" s="392">
        <f>Input_Tasks[[#This Row],[R1 Cost_Hidden]]</f>
        <v>0</v>
      </c>
      <c r="AA137" s="393">
        <f>Input_Tasks[[#This Row],[R2 Cost_Hidden]]</f>
        <v>0</v>
      </c>
      <c r="AB137" s="393">
        <f>Input_Tasks[[#This Row],[R3 Cost_Hidden]]</f>
        <v>0</v>
      </c>
      <c r="AC137" s="393">
        <f>Input_Tasks[[#This Row],[R4 Cost_Hidden]]</f>
        <v>0</v>
      </c>
      <c r="AD137" s="394">
        <f>Input_Tasks[[#This Row],[R5 Cost_Hidden]]</f>
        <v>0</v>
      </c>
      <c r="AE137" s="395">
        <f>SUM(Input_Tasks[[#This Row],[R1 Cost]:[R5 Cost]])</f>
        <v>0</v>
      </c>
      <c r="AF137" s="392">
        <f>Input_Tasks[[#This Row],[R1 Sell_Hidden]]</f>
        <v>0</v>
      </c>
      <c r="AG137" s="393">
        <f>Input_Tasks[[#This Row],[R2 Sell_Hidden]]</f>
        <v>0</v>
      </c>
      <c r="AH137" s="393">
        <f>Input_Tasks[[#This Row],[R3 Sell_Hidden]]</f>
        <v>0</v>
      </c>
      <c r="AI137" s="393">
        <f>Input_Tasks[[#This Row],[R4 Sell_Hidden5]]</f>
        <v>0</v>
      </c>
      <c r="AJ137" s="394">
        <f>Input_Tasks[[#This Row],[R5 Sell_Hidden]]</f>
        <v>0</v>
      </c>
      <c r="AK137" s="396">
        <f>SUM(Input_Tasks[[#This Row],[R1 Sell]:[R5 Sell]])</f>
        <v>0</v>
      </c>
      <c r="AL137" s="397">
        <f>IFERROR(VLOOKUP(RESOURCE_1_TYPE,COST_RATES,2,FALSE)*Input_Tasks[[#This Row],[R1 Business Hours]],0)+IFERROR(VLOOKUP(RESOURCE_1_TYPE,COST_RATES,3,FALSE)*Input_Tasks[[#This Row],[R1 After Hours]],0)</f>
        <v>0</v>
      </c>
      <c r="AM137" s="398">
        <f>IFERROR(VLOOKUP(RESOURCE_2_TYPE,COST_RATES,2,FALSE)*Input_Tasks[[#This Row],[R2 Business Hours]],0)+IFERROR(VLOOKUP(RESOURCE_2_TYPE,COST_RATES,3,FALSE)*Input_Tasks[[#This Row],[R2 After Hours]],0)</f>
        <v>0</v>
      </c>
      <c r="AN137" s="398">
        <f>IFERROR(VLOOKUP(RESOURCE_3_TYPE,COST_RATES,2,FALSE)*Input_Tasks[[#This Row],[R3 Business Hours]],0)+IFERROR(VLOOKUP(RESOURCE_3_TYPE,COST_RATES,3,FALSE)*Input_Tasks[[#This Row],[R3 After Hours]],0)</f>
        <v>0</v>
      </c>
      <c r="AO137" s="398">
        <f>IFERROR(VLOOKUP(RESOURCE_4_TYPE,COST_RATES,2,FALSE)*Input_Tasks[[#This Row],[R4 Business Hours]],0)+IFERROR(VLOOKUP(RESOURCE_4_TYPE,COST_RATES,3,FALSE)*Input_Tasks[[#This Row],[R4 After Hours]],0)</f>
        <v>0</v>
      </c>
      <c r="AP137" s="398">
        <f>IFERROR(VLOOKUP(RESOURCE_5_TYPE,COST_RATES,2,FALSE)*Input_Tasks[[#This Row],[R5 Business Hours]],0)+IFERROR(VLOOKUP(RESOURCE_5_TYPE,COST_RATES,3,FALSE)*Input_Tasks[[#This Row],[R5 After Hours]],0)</f>
        <v>0</v>
      </c>
      <c r="AQ137" s="399">
        <f>IFERROR(VLOOKUP(RESOURCE_1_TYPE,SELL_RATES,2,FALSE)*Input_Tasks[[#This Row],[R1 Business Hours]],0)+IFERROR(VLOOKUP(RESOURCE_1_TYPE,SELL_RATES,3,FALSE)*Input_Tasks[[#This Row],[R1 After Hours]],0)</f>
        <v>0</v>
      </c>
      <c r="AR137" s="398">
        <f>IFERROR(VLOOKUP(RESOURCE_2_TYPE,SELL_RATES,2,FALSE)*Input_Tasks[[#This Row],[R2 Business Hours]],0)+IFERROR(VLOOKUP(RESOURCE_2_TYPE,SELL_RATES,3,FALSE)*Input_Tasks[[#This Row],[R2 After Hours]],0)</f>
        <v>0</v>
      </c>
      <c r="AS137" s="398">
        <f>IFERROR(VLOOKUP(RESOURCE_3_TYPE,SELL_RATES,2,FALSE)*Input_Tasks[[#This Row],[R3 Business Hours]],0)+IFERROR(VLOOKUP(RESOURCE_3_TYPE,SELL_RATES,3,FALSE)*Input_Tasks[[#This Row],[R3 After Hours]],0)</f>
        <v>0</v>
      </c>
      <c r="AT137" s="398">
        <f>IFERROR(VLOOKUP(RESOURCE_4_TYPE,SELL_RATES,2,FALSE)*Input_Tasks[[#This Row],[R4 Business Hours]],0)+IFERROR(VLOOKUP(RESOURCE_4_TYPE,SELL_RATES,3,FALSE)*Input_Tasks[[#This Row],[R4 After Hours]],0)</f>
        <v>0</v>
      </c>
      <c r="AU137" s="398">
        <f>IFERROR(VLOOKUP(RESOURCE_5_TYPE,SELL_RATES,2,FALSE)*Input_Tasks[[#This Row],[R5 Business Hours]],0)+IFERROR(VLOOKUP(RESOURCE_5_TYPE,SELL_RATES,3,FALSE)*Input_Tasks[[#This Row],[R5 After Hours]],0)</f>
        <v>0</v>
      </c>
      <c r="AV137" s="400">
        <f>SUM(Input_Tasks[[#This Row],[Round Trips R1]:[Round Trips R5]])</f>
        <v>0</v>
      </c>
      <c r="AW137" s="401">
        <f>SUM(Input_Tasks[[#This Row],[Overnight StaysR1]:[Overnight StaysR5]])</f>
        <v>0</v>
      </c>
      <c r="AX137" s="401">
        <f>IF(AND(Input_Tasks[[#This Row],[Sell - Line Total]]&gt;0,OR(Input_Tasks[[#This Row],[Phase]]="",Input_Tasks[[#This Row],[Skill Required]]="",Input_Tasks[[#This Row],[Task Type]]="",Input_Tasks[[#This Row],[Description]]="")),1,0)</f>
        <v>0</v>
      </c>
      <c r="AY137" s="402">
        <f>IF(AND(Input_Tasks[[#This Row],[Task Type]]="ArchiTech Document Deliverable",Input_Tasks[[#This Row],[Hours]]&gt;0),1,0)</f>
        <v>0</v>
      </c>
      <c r="AZ13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3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3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3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3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3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3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3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3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3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3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3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3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37" s="405">
        <f>SUM(Input_Tasks[[#This Row],[R1 Business Hours]:[R1 After Hours]],Input_Tasks[[#This Row],[R2 Business Hours]:[R2 After Hours]],Input_Tasks[[#This Row],[R3 Business Hours]:[R3 After Hours]],Input_Tasks[[#This Row],[R4 Business Hours]:[R4 After Hours]],Input_Tasks[[#This Row],[R5 Business Hours]:[R5 After Hours]])</f>
        <v>0</v>
      </c>
    </row>
    <row r="138" spans="1:65">
      <c r="A138" s="384"/>
      <c r="B138" s="271"/>
      <c r="C138" s="271"/>
      <c r="D138" s="406"/>
      <c r="E138" s="385">
        <f>Input_Tasks[[#This Row],[Onsite Round Trips_Hidden]]</f>
        <v>0</v>
      </c>
      <c r="F138" s="385">
        <f>Input_Tasks[[#This Row],[Overnight Stays_Hidden]]</f>
        <v>0</v>
      </c>
      <c r="G138" s="385">
        <f>Input_Tasks[[#This Row],[Documents_Hidden]]</f>
        <v>0</v>
      </c>
      <c r="H138" s="387"/>
      <c r="I138" s="388"/>
      <c r="J138" s="389"/>
      <c r="K138" s="390"/>
      <c r="L138" s="390"/>
      <c r="M138" s="389"/>
      <c r="N138" s="390"/>
      <c r="O138" s="390"/>
      <c r="P138" s="389"/>
      <c r="Q138" s="390"/>
      <c r="R138" s="391"/>
      <c r="S138" s="389"/>
      <c r="T138" s="390"/>
      <c r="U138" s="391"/>
      <c r="V138" s="389"/>
      <c r="W138" s="390"/>
      <c r="X138" s="390"/>
      <c r="Y138" s="386" t="str">
        <f>Input_Tasks[[#This Row],[Onsite Round Trips_Hidden]]&amp;"/"&amp;Input_Tasks[[#This Row],[Overnight Stays_Hidden]]&amp;"/"&amp;Input_Tasks[[#This Row],[Documents_Hidden]]</f>
        <v>0/0/0</v>
      </c>
      <c r="Z138" s="392">
        <f>Input_Tasks[[#This Row],[R1 Cost_Hidden]]</f>
        <v>0</v>
      </c>
      <c r="AA138" s="393">
        <f>Input_Tasks[[#This Row],[R2 Cost_Hidden]]</f>
        <v>0</v>
      </c>
      <c r="AB138" s="393">
        <f>Input_Tasks[[#This Row],[R3 Cost_Hidden]]</f>
        <v>0</v>
      </c>
      <c r="AC138" s="393">
        <f>Input_Tasks[[#This Row],[R4 Cost_Hidden]]</f>
        <v>0</v>
      </c>
      <c r="AD138" s="394">
        <f>Input_Tasks[[#This Row],[R5 Cost_Hidden]]</f>
        <v>0</v>
      </c>
      <c r="AE138" s="395">
        <f>SUM(Input_Tasks[[#This Row],[R1 Cost]:[R5 Cost]])</f>
        <v>0</v>
      </c>
      <c r="AF138" s="392">
        <f>Input_Tasks[[#This Row],[R1 Sell_Hidden]]</f>
        <v>0</v>
      </c>
      <c r="AG138" s="393">
        <f>Input_Tasks[[#This Row],[R2 Sell_Hidden]]</f>
        <v>0</v>
      </c>
      <c r="AH138" s="393">
        <f>Input_Tasks[[#This Row],[R3 Sell_Hidden]]</f>
        <v>0</v>
      </c>
      <c r="AI138" s="393">
        <f>Input_Tasks[[#This Row],[R4 Sell_Hidden5]]</f>
        <v>0</v>
      </c>
      <c r="AJ138" s="394">
        <f>Input_Tasks[[#This Row],[R5 Sell_Hidden]]</f>
        <v>0</v>
      </c>
      <c r="AK138" s="396">
        <f>SUM(Input_Tasks[[#This Row],[R1 Sell]:[R5 Sell]])</f>
        <v>0</v>
      </c>
      <c r="AL138" s="397">
        <f>IFERROR(VLOOKUP(RESOURCE_1_TYPE,COST_RATES,2,FALSE)*Input_Tasks[[#This Row],[R1 Business Hours]],0)+IFERROR(VLOOKUP(RESOURCE_1_TYPE,COST_RATES,3,FALSE)*Input_Tasks[[#This Row],[R1 After Hours]],0)</f>
        <v>0</v>
      </c>
      <c r="AM138" s="398">
        <f>IFERROR(VLOOKUP(RESOURCE_2_TYPE,COST_RATES,2,FALSE)*Input_Tasks[[#This Row],[R2 Business Hours]],0)+IFERROR(VLOOKUP(RESOURCE_2_TYPE,COST_RATES,3,FALSE)*Input_Tasks[[#This Row],[R2 After Hours]],0)</f>
        <v>0</v>
      </c>
      <c r="AN138" s="398">
        <f>IFERROR(VLOOKUP(RESOURCE_3_TYPE,COST_RATES,2,FALSE)*Input_Tasks[[#This Row],[R3 Business Hours]],0)+IFERROR(VLOOKUP(RESOURCE_3_TYPE,COST_RATES,3,FALSE)*Input_Tasks[[#This Row],[R3 After Hours]],0)</f>
        <v>0</v>
      </c>
      <c r="AO138" s="398">
        <f>IFERROR(VLOOKUP(RESOURCE_4_TYPE,COST_RATES,2,FALSE)*Input_Tasks[[#This Row],[R4 Business Hours]],0)+IFERROR(VLOOKUP(RESOURCE_4_TYPE,COST_RATES,3,FALSE)*Input_Tasks[[#This Row],[R4 After Hours]],0)</f>
        <v>0</v>
      </c>
      <c r="AP138" s="398">
        <f>IFERROR(VLOOKUP(RESOURCE_5_TYPE,COST_RATES,2,FALSE)*Input_Tasks[[#This Row],[R5 Business Hours]],0)+IFERROR(VLOOKUP(RESOURCE_5_TYPE,COST_RATES,3,FALSE)*Input_Tasks[[#This Row],[R5 After Hours]],0)</f>
        <v>0</v>
      </c>
      <c r="AQ138" s="399">
        <f>IFERROR(VLOOKUP(RESOURCE_1_TYPE,SELL_RATES,2,FALSE)*Input_Tasks[[#This Row],[R1 Business Hours]],0)+IFERROR(VLOOKUP(RESOURCE_1_TYPE,SELL_RATES,3,FALSE)*Input_Tasks[[#This Row],[R1 After Hours]],0)</f>
        <v>0</v>
      </c>
      <c r="AR138" s="398">
        <f>IFERROR(VLOOKUP(RESOURCE_2_TYPE,SELL_RATES,2,FALSE)*Input_Tasks[[#This Row],[R2 Business Hours]],0)+IFERROR(VLOOKUP(RESOURCE_2_TYPE,SELL_RATES,3,FALSE)*Input_Tasks[[#This Row],[R2 After Hours]],0)</f>
        <v>0</v>
      </c>
      <c r="AS138" s="398">
        <f>IFERROR(VLOOKUP(RESOURCE_3_TYPE,SELL_RATES,2,FALSE)*Input_Tasks[[#This Row],[R3 Business Hours]],0)+IFERROR(VLOOKUP(RESOURCE_3_TYPE,SELL_RATES,3,FALSE)*Input_Tasks[[#This Row],[R3 After Hours]],0)</f>
        <v>0</v>
      </c>
      <c r="AT138" s="398">
        <f>IFERROR(VLOOKUP(RESOURCE_4_TYPE,SELL_RATES,2,FALSE)*Input_Tasks[[#This Row],[R4 Business Hours]],0)+IFERROR(VLOOKUP(RESOURCE_4_TYPE,SELL_RATES,3,FALSE)*Input_Tasks[[#This Row],[R4 After Hours]],0)</f>
        <v>0</v>
      </c>
      <c r="AU138" s="398">
        <f>IFERROR(VLOOKUP(RESOURCE_5_TYPE,SELL_RATES,2,FALSE)*Input_Tasks[[#This Row],[R5 Business Hours]],0)+IFERROR(VLOOKUP(RESOURCE_5_TYPE,SELL_RATES,3,FALSE)*Input_Tasks[[#This Row],[R5 After Hours]],0)</f>
        <v>0</v>
      </c>
      <c r="AV138" s="400">
        <f>SUM(Input_Tasks[[#This Row],[Round Trips R1]:[Round Trips R5]])</f>
        <v>0</v>
      </c>
      <c r="AW138" s="401">
        <f>SUM(Input_Tasks[[#This Row],[Overnight StaysR1]:[Overnight StaysR5]])</f>
        <v>0</v>
      </c>
      <c r="AX138" s="401">
        <f>IF(AND(Input_Tasks[[#This Row],[Sell - Line Total]]&gt;0,OR(Input_Tasks[[#This Row],[Phase]]="",Input_Tasks[[#This Row],[Skill Required]]="",Input_Tasks[[#This Row],[Task Type]]="",Input_Tasks[[#This Row],[Description]]="")),1,0)</f>
        <v>0</v>
      </c>
      <c r="AY138" s="402">
        <f>IF(AND(Input_Tasks[[#This Row],[Task Type]]="ArchiTech Document Deliverable",Input_Tasks[[#This Row],[Hours]]&gt;0),1,0)</f>
        <v>0</v>
      </c>
      <c r="AZ13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3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3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3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3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3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3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3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3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3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3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3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3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38" s="405">
        <f>SUM(Input_Tasks[[#This Row],[R1 Business Hours]:[R1 After Hours]],Input_Tasks[[#This Row],[R2 Business Hours]:[R2 After Hours]],Input_Tasks[[#This Row],[R3 Business Hours]:[R3 After Hours]],Input_Tasks[[#This Row],[R4 Business Hours]:[R4 After Hours]],Input_Tasks[[#This Row],[R5 Business Hours]:[R5 After Hours]])</f>
        <v>0</v>
      </c>
    </row>
    <row r="139" spans="1:65">
      <c r="A139" s="384"/>
      <c r="B139" s="271"/>
      <c r="C139" s="271"/>
      <c r="D139" s="406"/>
      <c r="E139" s="385">
        <f>Input_Tasks[[#This Row],[Onsite Round Trips_Hidden]]</f>
        <v>0</v>
      </c>
      <c r="F139" s="385">
        <f>Input_Tasks[[#This Row],[Overnight Stays_Hidden]]</f>
        <v>0</v>
      </c>
      <c r="G139" s="385">
        <f>Input_Tasks[[#This Row],[Documents_Hidden]]</f>
        <v>0</v>
      </c>
      <c r="H139" s="387"/>
      <c r="I139" s="388"/>
      <c r="J139" s="389"/>
      <c r="K139" s="390"/>
      <c r="L139" s="390"/>
      <c r="M139" s="389"/>
      <c r="N139" s="390"/>
      <c r="O139" s="390"/>
      <c r="P139" s="389"/>
      <c r="Q139" s="390"/>
      <c r="R139" s="391"/>
      <c r="S139" s="389"/>
      <c r="T139" s="390"/>
      <c r="U139" s="391"/>
      <c r="V139" s="389"/>
      <c r="W139" s="390"/>
      <c r="X139" s="390"/>
      <c r="Y139" s="386" t="str">
        <f>Input_Tasks[[#This Row],[Onsite Round Trips_Hidden]]&amp;"/"&amp;Input_Tasks[[#This Row],[Overnight Stays_Hidden]]&amp;"/"&amp;Input_Tasks[[#This Row],[Documents_Hidden]]</f>
        <v>0/0/0</v>
      </c>
      <c r="Z139" s="392">
        <f>Input_Tasks[[#This Row],[R1 Cost_Hidden]]</f>
        <v>0</v>
      </c>
      <c r="AA139" s="393">
        <f>Input_Tasks[[#This Row],[R2 Cost_Hidden]]</f>
        <v>0</v>
      </c>
      <c r="AB139" s="393">
        <f>Input_Tasks[[#This Row],[R3 Cost_Hidden]]</f>
        <v>0</v>
      </c>
      <c r="AC139" s="393">
        <f>Input_Tasks[[#This Row],[R4 Cost_Hidden]]</f>
        <v>0</v>
      </c>
      <c r="AD139" s="394">
        <f>Input_Tasks[[#This Row],[R5 Cost_Hidden]]</f>
        <v>0</v>
      </c>
      <c r="AE139" s="395">
        <f>SUM(Input_Tasks[[#This Row],[R1 Cost]:[R5 Cost]])</f>
        <v>0</v>
      </c>
      <c r="AF139" s="392">
        <f>Input_Tasks[[#This Row],[R1 Sell_Hidden]]</f>
        <v>0</v>
      </c>
      <c r="AG139" s="393">
        <f>Input_Tasks[[#This Row],[R2 Sell_Hidden]]</f>
        <v>0</v>
      </c>
      <c r="AH139" s="393">
        <f>Input_Tasks[[#This Row],[R3 Sell_Hidden]]</f>
        <v>0</v>
      </c>
      <c r="AI139" s="393">
        <f>Input_Tasks[[#This Row],[R4 Sell_Hidden5]]</f>
        <v>0</v>
      </c>
      <c r="AJ139" s="394">
        <f>Input_Tasks[[#This Row],[R5 Sell_Hidden]]</f>
        <v>0</v>
      </c>
      <c r="AK139" s="396">
        <f>SUM(Input_Tasks[[#This Row],[R1 Sell]:[R5 Sell]])</f>
        <v>0</v>
      </c>
      <c r="AL139" s="397">
        <f>IFERROR(VLOOKUP(RESOURCE_1_TYPE,COST_RATES,2,FALSE)*Input_Tasks[[#This Row],[R1 Business Hours]],0)+IFERROR(VLOOKUP(RESOURCE_1_TYPE,COST_RATES,3,FALSE)*Input_Tasks[[#This Row],[R1 After Hours]],0)</f>
        <v>0</v>
      </c>
      <c r="AM139" s="398">
        <f>IFERROR(VLOOKUP(RESOURCE_2_TYPE,COST_RATES,2,FALSE)*Input_Tasks[[#This Row],[R2 Business Hours]],0)+IFERROR(VLOOKUP(RESOURCE_2_TYPE,COST_RATES,3,FALSE)*Input_Tasks[[#This Row],[R2 After Hours]],0)</f>
        <v>0</v>
      </c>
      <c r="AN139" s="398">
        <f>IFERROR(VLOOKUP(RESOURCE_3_TYPE,COST_RATES,2,FALSE)*Input_Tasks[[#This Row],[R3 Business Hours]],0)+IFERROR(VLOOKUP(RESOURCE_3_TYPE,COST_RATES,3,FALSE)*Input_Tasks[[#This Row],[R3 After Hours]],0)</f>
        <v>0</v>
      </c>
      <c r="AO139" s="398">
        <f>IFERROR(VLOOKUP(RESOURCE_4_TYPE,COST_RATES,2,FALSE)*Input_Tasks[[#This Row],[R4 Business Hours]],0)+IFERROR(VLOOKUP(RESOURCE_4_TYPE,COST_RATES,3,FALSE)*Input_Tasks[[#This Row],[R4 After Hours]],0)</f>
        <v>0</v>
      </c>
      <c r="AP139" s="398">
        <f>IFERROR(VLOOKUP(RESOURCE_5_TYPE,COST_RATES,2,FALSE)*Input_Tasks[[#This Row],[R5 Business Hours]],0)+IFERROR(VLOOKUP(RESOURCE_5_TYPE,COST_RATES,3,FALSE)*Input_Tasks[[#This Row],[R5 After Hours]],0)</f>
        <v>0</v>
      </c>
      <c r="AQ139" s="399">
        <f>IFERROR(VLOOKUP(RESOURCE_1_TYPE,SELL_RATES,2,FALSE)*Input_Tasks[[#This Row],[R1 Business Hours]],0)+IFERROR(VLOOKUP(RESOURCE_1_TYPE,SELL_RATES,3,FALSE)*Input_Tasks[[#This Row],[R1 After Hours]],0)</f>
        <v>0</v>
      </c>
      <c r="AR139" s="398">
        <f>IFERROR(VLOOKUP(RESOURCE_2_TYPE,SELL_RATES,2,FALSE)*Input_Tasks[[#This Row],[R2 Business Hours]],0)+IFERROR(VLOOKUP(RESOURCE_2_TYPE,SELL_RATES,3,FALSE)*Input_Tasks[[#This Row],[R2 After Hours]],0)</f>
        <v>0</v>
      </c>
      <c r="AS139" s="398">
        <f>IFERROR(VLOOKUP(RESOURCE_3_TYPE,SELL_RATES,2,FALSE)*Input_Tasks[[#This Row],[R3 Business Hours]],0)+IFERROR(VLOOKUP(RESOURCE_3_TYPE,SELL_RATES,3,FALSE)*Input_Tasks[[#This Row],[R3 After Hours]],0)</f>
        <v>0</v>
      </c>
      <c r="AT139" s="398">
        <f>IFERROR(VLOOKUP(RESOURCE_4_TYPE,SELL_RATES,2,FALSE)*Input_Tasks[[#This Row],[R4 Business Hours]],0)+IFERROR(VLOOKUP(RESOURCE_4_TYPE,SELL_RATES,3,FALSE)*Input_Tasks[[#This Row],[R4 After Hours]],0)</f>
        <v>0</v>
      </c>
      <c r="AU139" s="398">
        <f>IFERROR(VLOOKUP(RESOURCE_5_TYPE,SELL_RATES,2,FALSE)*Input_Tasks[[#This Row],[R5 Business Hours]],0)+IFERROR(VLOOKUP(RESOURCE_5_TYPE,SELL_RATES,3,FALSE)*Input_Tasks[[#This Row],[R5 After Hours]],0)</f>
        <v>0</v>
      </c>
      <c r="AV139" s="400">
        <f>SUM(Input_Tasks[[#This Row],[Round Trips R1]:[Round Trips R5]])</f>
        <v>0</v>
      </c>
      <c r="AW139" s="401">
        <f>SUM(Input_Tasks[[#This Row],[Overnight StaysR1]:[Overnight StaysR5]])</f>
        <v>0</v>
      </c>
      <c r="AX139" s="401">
        <f>IF(AND(Input_Tasks[[#This Row],[Sell - Line Total]]&gt;0,OR(Input_Tasks[[#This Row],[Phase]]="",Input_Tasks[[#This Row],[Skill Required]]="",Input_Tasks[[#This Row],[Task Type]]="",Input_Tasks[[#This Row],[Description]]="")),1,0)</f>
        <v>0</v>
      </c>
      <c r="AY139" s="402">
        <f>IF(AND(Input_Tasks[[#This Row],[Task Type]]="ArchiTech Document Deliverable",Input_Tasks[[#This Row],[Hours]]&gt;0),1,0)</f>
        <v>0</v>
      </c>
      <c r="AZ13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3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3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3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3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3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3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3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3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3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3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3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3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39" s="405">
        <f>SUM(Input_Tasks[[#This Row],[R1 Business Hours]:[R1 After Hours]],Input_Tasks[[#This Row],[R2 Business Hours]:[R2 After Hours]],Input_Tasks[[#This Row],[R3 Business Hours]:[R3 After Hours]],Input_Tasks[[#This Row],[R4 Business Hours]:[R4 After Hours]],Input_Tasks[[#This Row],[R5 Business Hours]:[R5 After Hours]])</f>
        <v>0</v>
      </c>
    </row>
    <row r="140" spans="1:65">
      <c r="A140" s="384"/>
      <c r="B140" s="271"/>
      <c r="C140" s="271"/>
      <c r="D140" s="406"/>
      <c r="E140" s="385">
        <f>Input_Tasks[[#This Row],[Onsite Round Trips_Hidden]]</f>
        <v>0</v>
      </c>
      <c r="F140" s="385">
        <f>Input_Tasks[[#This Row],[Overnight Stays_Hidden]]</f>
        <v>0</v>
      </c>
      <c r="G140" s="385">
        <f>Input_Tasks[[#This Row],[Documents_Hidden]]</f>
        <v>0</v>
      </c>
      <c r="H140" s="387"/>
      <c r="I140" s="388"/>
      <c r="J140" s="389"/>
      <c r="K140" s="390"/>
      <c r="L140" s="390"/>
      <c r="M140" s="389"/>
      <c r="N140" s="390"/>
      <c r="O140" s="390"/>
      <c r="P140" s="389"/>
      <c r="Q140" s="390"/>
      <c r="R140" s="391"/>
      <c r="S140" s="389"/>
      <c r="T140" s="390"/>
      <c r="U140" s="391"/>
      <c r="V140" s="389"/>
      <c r="W140" s="390"/>
      <c r="X140" s="390"/>
      <c r="Y140" s="386" t="str">
        <f>Input_Tasks[[#This Row],[Onsite Round Trips_Hidden]]&amp;"/"&amp;Input_Tasks[[#This Row],[Overnight Stays_Hidden]]&amp;"/"&amp;Input_Tasks[[#This Row],[Documents_Hidden]]</f>
        <v>0/0/0</v>
      </c>
      <c r="Z140" s="392">
        <f>Input_Tasks[[#This Row],[R1 Cost_Hidden]]</f>
        <v>0</v>
      </c>
      <c r="AA140" s="393">
        <f>Input_Tasks[[#This Row],[R2 Cost_Hidden]]</f>
        <v>0</v>
      </c>
      <c r="AB140" s="393">
        <f>Input_Tasks[[#This Row],[R3 Cost_Hidden]]</f>
        <v>0</v>
      </c>
      <c r="AC140" s="393">
        <f>Input_Tasks[[#This Row],[R4 Cost_Hidden]]</f>
        <v>0</v>
      </c>
      <c r="AD140" s="394">
        <f>Input_Tasks[[#This Row],[R5 Cost_Hidden]]</f>
        <v>0</v>
      </c>
      <c r="AE140" s="395">
        <f>SUM(Input_Tasks[[#This Row],[R1 Cost]:[R5 Cost]])</f>
        <v>0</v>
      </c>
      <c r="AF140" s="392">
        <f>Input_Tasks[[#This Row],[R1 Sell_Hidden]]</f>
        <v>0</v>
      </c>
      <c r="AG140" s="393">
        <f>Input_Tasks[[#This Row],[R2 Sell_Hidden]]</f>
        <v>0</v>
      </c>
      <c r="AH140" s="393">
        <f>Input_Tasks[[#This Row],[R3 Sell_Hidden]]</f>
        <v>0</v>
      </c>
      <c r="AI140" s="393">
        <f>Input_Tasks[[#This Row],[R4 Sell_Hidden5]]</f>
        <v>0</v>
      </c>
      <c r="AJ140" s="394">
        <f>Input_Tasks[[#This Row],[R5 Sell_Hidden]]</f>
        <v>0</v>
      </c>
      <c r="AK140" s="396">
        <f>SUM(Input_Tasks[[#This Row],[R1 Sell]:[R5 Sell]])</f>
        <v>0</v>
      </c>
      <c r="AL140" s="397">
        <f>IFERROR(VLOOKUP(RESOURCE_1_TYPE,COST_RATES,2,FALSE)*Input_Tasks[[#This Row],[R1 Business Hours]],0)+IFERROR(VLOOKUP(RESOURCE_1_TYPE,COST_RATES,3,FALSE)*Input_Tasks[[#This Row],[R1 After Hours]],0)</f>
        <v>0</v>
      </c>
      <c r="AM140" s="398">
        <f>IFERROR(VLOOKUP(RESOURCE_2_TYPE,COST_RATES,2,FALSE)*Input_Tasks[[#This Row],[R2 Business Hours]],0)+IFERROR(VLOOKUP(RESOURCE_2_TYPE,COST_RATES,3,FALSE)*Input_Tasks[[#This Row],[R2 After Hours]],0)</f>
        <v>0</v>
      </c>
      <c r="AN140" s="398">
        <f>IFERROR(VLOOKUP(RESOURCE_3_TYPE,COST_RATES,2,FALSE)*Input_Tasks[[#This Row],[R3 Business Hours]],0)+IFERROR(VLOOKUP(RESOURCE_3_TYPE,COST_RATES,3,FALSE)*Input_Tasks[[#This Row],[R3 After Hours]],0)</f>
        <v>0</v>
      </c>
      <c r="AO140" s="398">
        <f>IFERROR(VLOOKUP(RESOURCE_4_TYPE,COST_RATES,2,FALSE)*Input_Tasks[[#This Row],[R4 Business Hours]],0)+IFERROR(VLOOKUP(RESOURCE_4_TYPE,COST_RATES,3,FALSE)*Input_Tasks[[#This Row],[R4 After Hours]],0)</f>
        <v>0</v>
      </c>
      <c r="AP140" s="398">
        <f>IFERROR(VLOOKUP(RESOURCE_5_TYPE,COST_RATES,2,FALSE)*Input_Tasks[[#This Row],[R5 Business Hours]],0)+IFERROR(VLOOKUP(RESOURCE_5_TYPE,COST_RATES,3,FALSE)*Input_Tasks[[#This Row],[R5 After Hours]],0)</f>
        <v>0</v>
      </c>
      <c r="AQ140" s="399">
        <f>IFERROR(VLOOKUP(RESOURCE_1_TYPE,SELL_RATES,2,FALSE)*Input_Tasks[[#This Row],[R1 Business Hours]],0)+IFERROR(VLOOKUP(RESOURCE_1_TYPE,SELL_RATES,3,FALSE)*Input_Tasks[[#This Row],[R1 After Hours]],0)</f>
        <v>0</v>
      </c>
      <c r="AR140" s="398">
        <f>IFERROR(VLOOKUP(RESOURCE_2_TYPE,SELL_RATES,2,FALSE)*Input_Tasks[[#This Row],[R2 Business Hours]],0)+IFERROR(VLOOKUP(RESOURCE_2_TYPE,SELL_RATES,3,FALSE)*Input_Tasks[[#This Row],[R2 After Hours]],0)</f>
        <v>0</v>
      </c>
      <c r="AS140" s="398">
        <f>IFERROR(VLOOKUP(RESOURCE_3_TYPE,SELL_RATES,2,FALSE)*Input_Tasks[[#This Row],[R3 Business Hours]],0)+IFERROR(VLOOKUP(RESOURCE_3_TYPE,SELL_RATES,3,FALSE)*Input_Tasks[[#This Row],[R3 After Hours]],0)</f>
        <v>0</v>
      </c>
      <c r="AT140" s="398">
        <f>IFERROR(VLOOKUP(RESOURCE_4_TYPE,SELL_RATES,2,FALSE)*Input_Tasks[[#This Row],[R4 Business Hours]],0)+IFERROR(VLOOKUP(RESOURCE_4_TYPE,SELL_RATES,3,FALSE)*Input_Tasks[[#This Row],[R4 After Hours]],0)</f>
        <v>0</v>
      </c>
      <c r="AU140" s="398">
        <f>IFERROR(VLOOKUP(RESOURCE_5_TYPE,SELL_RATES,2,FALSE)*Input_Tasks[[#This Row],[R5 Business Hours]],0)+IFERROR(VLOOKUP(RESOURCE_5_TYPE,SELL_RATES,3,FALSE)*Input_Tasks[[#This Row],[R5 After Hours]],0)</f>
        <v>0</v>
      </c>
      <c r="AV140" s="400">
        <f>SUM(Input_Tasks[[#This Row],[Round Trips R1]:[Round Trips R5]])</f>
        <v>0</v>
      </c>
      <c r="AW140" s="401">
        <f>SUM(Input_Tasks[[#This Row],[Overnight StaysR1]:[Overnight StaysR5]])</f>
        <v>0</v>
      </c>
      <c r="AX140" s="401">
        <f>IF(AND(Input_Tasks[[#This Row],[Sell - Line Total]]&gt;0,OR(Input_Tasks[[#This Row],[Phase]]="",Input_Tasks[[#This Row],[Skill Required]]="",Input_Tasks[[#This Row],[Task Type]]="",Input_Tasks[[#This Row],[Description]]="")),1,0)</f>
        <v>0</v>
      </c>
      <c r="AY140" s="402">
        <f>IF(AND(Input_Tasks[[#This Row],[Task Type]]="ArchiTech Document Deliverable",Input_Tasks[[#This Row],[Hours]]&gt;0),1,0)</f>
        <v>0</v>
      </c>
      <c r="AZ14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4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4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4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4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4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4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4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4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4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4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4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4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40" s="405">
        <f>SUM(Input_Tasks[[#This Row],[R1 Business Hours]:[R1 After Hours]],Input_Tasks[[#This Row],[R2 Business Hours]:[R2 After Hours]],Input_Tasks[[#This Row],[R3 Business Hours]:[R3 After Hours]],Input_Tasks[[#This Row],[R4 Business Hours]:[R4 After Hours]],Input_Tasks[[#This Row],[R5 Business Hours]:[R5 After Hours]])</f>
        <v>0</v>
      </c>
    </row>
    <row r="141" spans="1:65">
      <c r="A141" s="384"/>
      <c r="B141" s="271"/>
      <c r="C141" s="271"/>
      <c r="D141" s="406"/>
      <c r="E141" s="385">
        <f>Input_Tasks[[#This Row],[Onsite Round Trips_Hidden]]</f>
        <v>0</v>
      </c>
      <c r="F141" s="385">
        <f>Input_Tasks[[#This Row],[Overnight Stays_Hidden]]</f>
        <v>0</v>
      </c>
      <c r="G141" s="385">
        <f>Input_Tasks[[#This Row],[Documents_Hidden]]</f>
        <v>0</v>
      </c>
      <c r="H141" s="387"/>
      <c r="I141" s="388"/>
      <c r="J141" s="389"/>
      <c r="K141" s="390"/>
      <c r="L141" s="390"/>
      <c r="M141" s="389"/>
      <c r="N141" s="390"/>
      <c r="O141" s="390"/>
      <c r="P141" s="389"/>
      <c r="Q141" s="390"/>
      <c r="R141" s="391"/>
      <c r="S141" s="389"/>
      <c r="T141" s="390"/>
      <c r="U141" s="391"/>
      <c r="V141" s="389"/>
      <c r="W141" s="390"/>
      <c r="X141" s="390"/>
      <c r="Y141" s="386" t="str">
        <f>Input_Tasks[[#This Row],[Onsite Round Trips_Hidden]]&amp;"/"&amp;Input_Tasks[[#This Row],[Overnight Stays_Hidden]]&amp;"/"&amp;Input_Tasks[[#This Row],[Documents_Hidden]]</f>
        <v>0/0/0</v>
      </c>
      <c r="Z141" s="392">
        <f>Input_Tasks[[#This Row],[R1 Cost_Hidden]]</f>
        <v>0</v>
      </c>
      <c r="AA141" s="393">
        <f>Input_Tasks[[#This Row],[R2 Cost_Hidden]]</f>
        <v>0</v>
      </c>
      <c r="AB141" s="393">
        <f>Input_Tasks[[#This Row],[R3 Cost_Hidden]]</f>
        <v>0</v>
      </c>
      <c r="AC141" s="393">
        <f>Input_Tasks[[#This Row],[R4 Cost_Hidden]]</f>
        <v>0</v>
      </c>
      <c r="AD141" s="394">
        <f>Input_Tasks[[#This Row],[R5 Cost_Hidden]]</f>
        <v>0</v>
      </c>
      <c r="AE141" s="395">
        <f>SUM(Input_Tasks[[#This Row],[R1 Cost]:[R5 Cost]])</f>
        <v>0</v>
      </c>
      <c r="AF141" s="392">
        <f>Input_Tasks[[#This Row],[R1 Sell_Hidden]]</f>
        <v>0</v>
      </c>
      <c r="AG141" s="393">
        <f>Input_Tasks[[#This Row],[R2 Sell_Hidden]]</f>
        <v>0</v>
      </c>
      <c r="AH141" s="393">
        <f>Input_Tasks[[#This Row],[R3 Sell_Hidden]]</f>
        <v>0</v>
      </c>
      <c r="AI141" s="393">
        <f>Input_Tasks[[#This Row],[R4 Sell_Hidden5]]</f>
        <v>0</v>
      </c>
      <c r="AJ141" s="394">
        <f>Input_Tasks[[#This Row],[R5 Sell_Hidden]]</f>
        <v>0</v>
      </c>
      <c r="AK141" s="396">
        <f>SUM(Input_Tasks[[#This Row],[R1 Sell]:[R5 Sell]])</f>
        <v>0</v>
      </c>
      <c r="AL141" s="397">
        <f>IFERROR(VLOOKUP(RESOURCE_1_TYPE,COST_RATES,2,FALSE)*Input_Tasks[[#This Row],[R1 Business Hours]],0)+IFERROR(VLOOKUP(RESOURCE_1_TYPE,COST_RATES,3,FALSE)*Input_Tasks[[#This Row],[R1 After Hours]],0)</f>
        <v>0</v>
      </c>
      <c r="AM141" s="398">
        <f>IFERROR(VLOOKUP(RESOURCE_2_TYPE,COST_RATES,2,FALSE)*Input_Tasks[[#This Row],[R2 Business Hours]],0)+IFERROR(VLOOKUP(RESOURCE_2_TYPE,COST_RATES,3,FALSE)*Input_Tasks[[#This Row],[R2 After Hours]],0)</f>
        <v>0</v>
      </c>
      <c r="AN141" s="398">
        <f>IFERROR(VLOOKUP(RESOURCE_3_TYPE,COST_RATES,2,FALSE)*Input_Tasks[[#This Row],[R3 Business Hours]],0)+IFERROR(VLOOKUP(RESOURCE_3_TYPE,COST_RATES,3,FALSE)*Input_Tasks[[#This Row],[R3 After Hours]],0)</f>
        <v>0</v>
      </c>
      <c r="AO141" s="398">
        <f>IFERROR(VLOOKUP(RESOURCE_4_TYPE,COST_RATES,2,FALSE)*Input_Tasks[[#This Row],[R4 Business Hours]],0)+IFERROR(VLOOKUP(RESOURCE_4_TYPE,COST_RATES,3,FALSE)*Input_Tasks[[#This Row],[R4 After Hours]],0)</f>
        <v>0</v>
      </c>
      <c r="AP141" s="398">
        <f>IFERROR(VLOOKUP(RESOURCE_5_TYPE,COST_RATES,2,FALSE)*Input_Tasks[[#This Row],[R5 Business Hours]],0)+IFERROR(VLOOKUP(RESOURCE_5_TYPE,COST_RATES,3,FALSE)*Input_Tasks[[#This Row],[R5 After Hours]],0)</f>
        <v>0</v>
      </c>
      <c r="AQ141" s="399">
        <f>IFERROR(VLOOKUP(RESOURCE_1_TYPE,SELL_RATES,2,FALSE)*Input_Tasks[[#This Row],[R1 Business Hours]],0)+IFERROR(VLOOKUP(RESOURCE_1_TYPE,SELL_RATES,3,FALSE)*Input_Tasks[[#This Row],[R1 After Hours]],0)</f>
        <v>0</v>
      </c>
      <c r="AR141" s="398">
        <f>IFERROR(VLOOKUP(RESOURCE_2_TYPE,SELL_RATES,2,FALSE)*Input_Tasks[[#This Row],[R2 Business Hours]],0)+IFERROR(VLOOKUP(RESOURCE_2_TYPE,SELL_RATES,3,FALSE)*Input_Tasks[[#This Row],[R2 After Hours]],0)</f>
        <v>0</v>
      </c>
      <c r="AS141" s="398">
        <f>IFERROR(VLOOKUP(RESOURCE_3_TYPE,SELL_RATES,2,FALSE)*Input_Tasks[[#This Row],[R3 Business Hours]],0)+IFERROR(VLOOKUP(RESOURCE_3_TYPE,SELL_RATES,3,FALSE)*Input_Tasks[[#This Row],[R3 After Hours]],0)</f>
        <v>0</v>
      </c>
      <c r="AT141" s="398">
        <f>IFERROR(VLOOKUP(RESOURCE_4_TYPE,SELL_RATES,2,FALSE)*Input_Tasks[[#This Row],[R4 Business Hours]],0)+IFERROR(VLOOKUP(RESOURCE_4_TYPE,SELL_RATES,3,FALSE)*Input_Tasks[[#This Row],[R4 After Hours]],0)</f>
        <v>0</v>
      </c>
      <c r="AU141" s="398">
        <f>IFERROR(VLOOKUP(RESOURCE_5_TYPE,SELL_RATES,2,FALSE)*Input_Tasks[[#This Row],[R5 Business Hours]],0)+IFERROR(VLOOKUP(RESOURCE_5_TYPE,SELL_RATES,3,FALSE)*Input_Tasks[[#This Row],[R5 After Hours]],0)</f>
        <v>0</v>
      </c>
      <c r="AV141" s="400">
        <f>SUM(Input_Tasks[[#This Row],[Round Trips R1]:[Round Trips R5]])</f>
        <v>0</v>
      </c>
      <c r="AW141" s="401">
        <f>SUM(Input_Tasks[[#This Row],[Overnight StaysR1]:[Overnight StaysR5]])</f>
        <v>0</v>
      </c>
      <c r="AX141" s="401">
        <f>IF(AND(Input_Tasks[[#This Row],[Sell - Line Total]]&gt;0,OR(Input_Tasks[[#This Row],[Phase]]="",Input_Tasks[[#This Row],[Skill Required]]="",Input_Tasks[[#This Row],[Task Type]]="",Input_Tasks[[#This Row],[Description]]="")),1,0)</f>
        <v>0</v>
      </c>
      <c r="AY141" s="402">
        <f>IF(AND(Input_Tasks[[#This Row],[Task Type]]="ArchiTech Document Deliverable",Input_Tasks[[#This Row],[Hours]]&gt;0),1,0)</f>
        <v>0</v>
      </c>
      <c r="AZ14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4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4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4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4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4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4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4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4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4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4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4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4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41" s="405">
        <f>SUM(Input_Tasks[[#This Row],[R1 Business Hours]:[R1 After Hours]],Input_Tasks[[#This Row],[R2 Business Hours]:[R2 After Hours]],Input_Tasks[[#This Row],[R3 Business Hours]:[R3 After Hours]],Input_Tasks[[#This Row],[R4 Business Hours]:[R4 After Hours]],Input_Tasks[[#This Row],[R5 Business Hours]:[R5 After Hours]])</f>
        <v>0</v>
      </c>
    </row>
    <row r="142" spans="1:65">
      <c r="A142" s="384"/>
      <c r="B142" s="271"/>
      <c r="C142" s="271"/>
      <c r="D142" s="406"/>
      <c r="E142" s="385">
        <f>Input_Tasks[[#This Row],[Onsite Round Trips_Hidden]]</f>
        <v>0</v>
      </c>
      <c r="F142" s="385">
        <f>Input_Tasks[[#This Row],[Overnight Stays_Hidden]]</f>
        <v>0</v>
      </c>
      <c r="G142" s="385">
        <f>Input_Tasks[[#This Row],[Documents_Hidden]]</f>
        <v>0</v>
      </c>
      <c r="H142" s="387"/>
      <c r="I142" s="388"/>
      <c r="J142" s="389"/>
      <c r="K142" s="390"/>
      <c r="L142" s="390"/>
      <c r="M142" s="389"/>
      <c r="N142" s="390"/>
      <c r="O142" s="390"/>
      <c r="P142" s="389"/>
      <c r="Q142" s="390"/>
      <c r="R142" s="391"/>
      <c r="S142" s="389"/>
      <c r="T142" s="390"/>
      <c r="U142" s="391"/>
      <c r="V142" s="389"/>
      <c r="W142" s="390"/>
      <c r="X142" s="390"/>
      <c r="Y142" s="386" t="str">
        <f>Input_Tasks[[#This Row],[Onsite Round Trips_Hidden]]&amp;"/"&amp;Input_Tasks[[#This Row],[Overnight Stays_Hidden]]&amp;"/"&amp;Input_Tasks[[#This Row],[Documents_Hidden]]</f>
        <v>0/0/0</v>
      </c>
      <c r="Z142" s="392">
        <f>Input_Tasks[[#This Row],[R1 Cost_Hidden]]</f>
        <v>0</v>
      </c>
      <c r="AA142" s="393">
        <f>Input_Tasks[[#This Row],[R2 Cost_Hidden]]</f>
        <v>0</v>
      </c>
      <c r="AB142" s="393">
        <f>Input_Tasks[[#This Row],[R3 Cost_Hidden]]</f>
        <v>0</v>
      </c>
      <c r="AC142" s="393">
        <f>Input_Tasks[[#This Row],[R4 Cost_Hidden]]</f>
        <v>0</v>
      </c>
      <c r="AD142" s="394">
        <f>Input_Tasks[[#This Row],[R5 Cost_Hidden]]</f>
        <v>0</v>
      </c>
      <c r="AE142" s="395">
        <f>SUM(Input_Tasks[[#This Row],[R1 Cost]:[R5 Cost]])</f>
        <v>0</v>
      </c>
      <c r="AF142" s="392">
        <f>Input_Tasks[[#This Row],[R1 Sell_Hidden]]</f>
        <v>0</v>
      </c>
      <c r="AG142" s="393">
        <f>Input_Tasks[[#This Row],[R2 Sell_Hidden]]</f>
        <v>0</v>
      </c>
      <c r="AH142" s="393">
        <f>Input_Tasks[[#This Row],[R3 Sell_Hidden]]</f>
        <v>0</v>
      </c>
      <c r="AI142" s="393">
        <f>Input_Tasks[[#This Row],[R4 Sell_Hidden5]]</f>
        <v>0</v>
      </c>
      <c r="AJ142" s="394">
        <f>Input_Tasks[[#This Row],[R5 Sell_Hidden]]</f>
        <v>0</v>
      </c>
      <c r="AK142" s="396">
        <f>SUM(Input_Tasks[[#This Row],[R1 Sell]:[R5 Sell]])</f>
        <v>0</v>
      </c>
      <c r="AL142" s="397">
        <f>IFERROR(VLOOKUP(RESOURCE_1_TYPE,COST_RATES,2,FALSE)*Input_Tasks[[#This Row],[R1 Business Hours]],0)+IFERROR(VLOOKUP(RESOURCE_1_TYPE,COST_RATES,3,FALSE)*Input_Tasks[[#This Row],[R1 After Hours]],0)</f>
        <v>0</v>
      </c>
      <c r="AM142" s="398">
        <f>IFERROR(VLOOKUP(RESOURCE_2_TYPE,COST_RATES,2,FALSE)*Input_Tasks[[#This Row],[R2 Business Hours]],0)+IFERROR(VLOOKUP(RESOURCE_2_TYPE,COST_RATES,3,FALSE)*Input_Tasks[[#This Row],[R2 After Hours]],0)</f>
        <v>0</v>
      </c>
      <c r="AN142" s="398">
        <f>IFERROR(VLOOKUP(RESOURCE_3_TYPE,COST_RATES,2,FALSE)*Input_Tasks[[#This Row],[R3 Business Hours]],0)+IFERROR(VLOOKUP(RESOURCE_3_TYPE,COST_RATES,3,FALSE)*Input_Tasks[[#This Row],[R3 After Hours]],0)</f>
        <v>0</v>
      </c>
      <c r="AO142" s="398">
        <f>IFERROR(VLOOKUP(RESOURCE_4_TYPE,COST_RATES,2,FALSE)*Input_Tasks[[#This Row],[R4 Business Hours]],0)+IFERROR(VLOOKUP(RESOURCE_4_TYPE,COST_RATES,3,FALSE)*Input_Tasks[[#This Row],[R4 After Hours]],0)</f>
        <v>0</v>
      </c>
      <c r="AP142" s="398">
        <f>IFERROR(VLOOKUP(RESOURCE_5_TYPE,COST_RATES,2,FALSE)*Input_Tasks[[#This Row],[R5 Business Hours]],0)+IFERROR(VLOOKUP(RESOURCE_5_TYPE,COST_RATES,3,FALSE)*Input_Tasks[[#This Row],[R5 After Hours]],0)</f>
        <v>0</v>
      </c>
      <c r="AQ142" s="399">
        <f>IFERROR(VLOOKUP(RESOURCE_1_TYPE,SELL_RATES,2,FALSE)*Input_Tasks[[#This Row],[R1 Business Hours]],0)+IFERROR(VLOOKUP(RESOURCE_1_TYPE,SELL_RATES,3,FALSE)*Input_Tasks[[#This Row],[R1 After Hours]],0)</f>
        <v>0</v>
      </c>
      <c r="AR142" s="398">
        <f>IFERROR(VLOOKUP(RESOURCE_2_TYPE,SELL_RATES,2,FALSE)*Input_Tasks[[#This Row],[R2 Business Hours]],0)+IFERROR(VLOOKUP(RESOURCE_2_TYPE,SELL_RATES,3,FALSE)*Input_Tasks[[#This Row],[R2 After Hours]],0)</f>
        <v>0</v>
      </c>
      <c r="AS142" s="398">
        <f>IFERROR(VLOOKUP(RESOURCE_3_TYPE,SELL_RATES,2,FALSE)*Input_Tasks[[#This Row],[R3 Business Hours]],0)+IFERROR(VLOOKUP(RESOURCE_3_TYPE,SELL_RATES,3,FALSE)*Input_Tasks[[#This Row],[R3 After Hours]],0)</f>
        <v>0</v>
      </c>
      <c r="AT142" s="398">
        <f>IFERROR(VLOOKUP(RESOURCE_4_TYPE,SELL_RATES,2,FALSE)*Input_Tasks[[#This Row],[R4 Business Hours]],0)+IFERROR(VLOOKUP(RESOURCE_4_TYPE,SELL_RATES,3,FALSE)*Input_Tasks[[#This Row],[R4 After Hours]],0)</f>
        <v>0</v>
      </c>
      <c r="AU142" s="398">
        <f>IFERROR(VLOOKUP(RESOURCE_5_TYPE,SELL_RATES,2,FALSE)*Input_Tasks[[#This Row],[R5 Business Hours]],0)+IFERROR(VLOOKUP(RESOURCE_5_TYPE,SELL_RATES,3,FALSE)*Input_Tasks[[#This Row],[R5 After Hours]],0)</f>
        <v>0</v>
      </c>
      <c r="AV142" s="400">
        <f>SUM(Input_Tasks[[#This Row],[Round Trips R1]:[Round Trips R5]])</f>
        <v>0</v>
      </c>
      <c r="AW142" s="401">
        <f>SUM(Input_Tasks[[#This Row],[Overnight StaysR1]:[Overnight StaysR5]])</f>
        <v>0</v>
      </c>
      <c r="AX142" s="401">
        <f>IF(AND(Input_Tasks[[#This Row],[Sell - Line Total]]&gt;0,OR(Input_Tasks[[#This Row],[Phase]]="",Input_Tasks[[#This Row],[Skill Required]]="",Input_Tasks[[#This Row],[Task Type]]="",Input_Tasks[[#This Row],[Description]]="")),1,0)</f>
        <v>0</v>
      </c>
      <c r="AY142" s="402">
        <f>IF(AND(Input_Tasks[[#This Row],[Task Type]]="ArchiTech Document Deliverable",Input_Tasks[[#This Row],[Hours]]&gt;0),1,0)</f>
        <v>0</v>
      </c>
      <c r="AZ14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4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4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4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4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4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4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4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4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4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4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4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4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42" s="405">
        <f>SUM(Input_Tasks[[#This Row],[R1 Business Hours]:[R1 After Hours]],Input_Tasks[[#This Row],[R2 Business Hours]:[R2 After Hours]],Input_Tasks[[#This Row],[R3 Business Hours]:[R3 After Hours]],Input_Tasks[[#This Row],[R4 Business Hours]:[R4 After Hours]],Input_Tasks[[#This Row],[R5 Business Hours]:[R5 After Hours]])</f>
        <v>0</v>
      </c>
    </row>
    <row r="143" spans="1:65">
      <c r="A143" s="384"/>
      <c r="B143" s="271"/>
      <c r="C143" s="271"/>
      <c r="D143" s="406"/>
      <c r="E143" s="385">
        <f>Input_Tasks[[#This Row],[Onsite Round Trips_Hidden]]</f>
        <v>0</v>
      </c>
      <c r="F143" s="385">
        <f>Input_Tasks[[#This Row],[Overnight Stays_Hidden]]</f>
        <v>0</v>
      </c>
      <c r="G143" s="385">
        <f>Input_Tasks[[#This Row],[Documents_Hidden]]</f>
        <v>0</v>
      </c>
      <c r="H143" s="387"/>
      <c r="I143" s="388"/>
      <c r="J143" s="389"/>
      <c r="K143" s="390"/>
      <c r="L143" s="390"/>
      <c r="M143" s="389"/>
      <c r="N143" s="390"/>
      <c r="O143" s="390"/>
      <c r="P143" s="389"/>
      <c r="Q143" s="390"/>
      <c r="R143" s="391"/>
      <c r="S143" s="389"/>
      <c r="T143" s="390"/>
      <c r="U143" s="391"/>
      <c r="V143" s="389"/>
      <c r="W143" s="390"/>
      <c r="X143" s="390"/>
      <c r="Y143" s="386" t="str">
        <f>Input_Tasks[[#This Row],[Onsite Round Trips_Hidden]]&amp;"/"&amp;Input_Tasks[[#This Row],[Overnight Stays_Hidden]]&amp;"/"&amp;Input_Tasks[[#This Row],[Documents_Hidden]]</f>
        <v>0/0/0</v>
      </c>
      <c r="Z143" s="392">
        <f>Input_Tasks[[#This Row],[R1 Cost_Hidden]]</f>
        <v>0</v>
      </c>
      <c r="AA143" s="393">
        <f>Input_Tasks[[#This Row],[R2 Cost_Hidden]]</f>
        <v>0</v>
      </c>
      <c r="AB143" s="393">
        <f>Input_Tasks[[#This Row],[R3 Cost_Hidden]]</f>
        <v>0</v>
      </c>
      <c r="AC143" s="393">
        <f>Input_Tasks[[#This Row],[R4 Cost_Hidden]]</f>
        <v>0</v>
      </c>
      <c r="AD143" s="394">
        <f>Input_Tasks[[#This Row],[R5 Cost_Hidden]]</f>
        <v>0</v>
      </c>
      <c r="AE143" s="395">
        <f>SUM(Input_Tasks[[#This Row],[R1 Cost]:[R5 Cost]])</f>
        <v>0</v>
      </c>
      <c r="AF143" s="392">
        <f>Input_Tasks[[#This Row],[R1 Sell_Hidden]]</f>
        <v>0</v>
      </c>
      <c r="AG143" s="393">
        <f>Input_Tasks[[#This Row],[R2 Sell_Hidden]]</f>
        <v>0</v>
      </c>
      <c r="AH143" s="393">
        <f>Input_Tasks[[#This Row],[R3 Sell_Hidden]]</f>
        <v>0</v>
      </c>
      <c r="AI143" s="393">
        <f>Input_Tasks[[#This Row],[R4 Sell_Hidden5]]</f>
        <v>0</v>
      </c>
      <c r="AJ143" s="394">
        <f>Input_Tasks[[#This Row],[R5 Sell_Hidden]]</f>
        <v>0</v>
      </c>
      <c r="AK143" s="396">
        <f>SUM(Input_Tasks[[#This Row],[R1 Sell]:[R5 Sell]])</f>
        <v>0</v>
      </c>
      <c r="AL143" s="397">
        <f>IFERROR(VLOOKUP(RESOURCE_1_TYPE,COST_RATES,2,FALSE)*Input_Tasks[[#This Row],[R1 Business Hours]],0)+IFERROR(VLOOKUP(RESOURCE_1_TYPE,COST_RATES,3,FALSE)*Input_Tasks[[#This Row],[R1 After Hours]],0)</f>
        <v>0</v>
      </c>
      <c r="AM143" s="398">
        <f>IFERROR(VLOOKUP(RESOURCE_2_TYPE,COST_RATES,2,FALSE)*Input_Tasks[[#This Row],[R2 Business Hours]],0)+IFERROR(VLOOKUP(RESOURCE_2_TYPE,COST_RATES,3,FALSE)*Input_Tasks[[#This Row],[R2 After Hours]],0)</f>
        <v>0</v>
      </c>
      <c r="AN143" s="398">
        <f>IFERROR(VLOOKUP(RESOURCE_3_TYPE,COST_RATES,2,FALSE)*Input_Tasks[[#This Row],[R3 Business Hours]],0)+IFERROR(VLOOKUP(RESOURCE_3_TYPE,COST_RATES,3,FALSE)*Input_Tasks[[#This Row],[R3 After Hours]],0)</f>
        <v>0</v>
      </c>
      <c r="AO143" s="398">
        <f>IFERROR(VLOOKUP(RESOURCE_4_TYPE,COST_RATES,2,FALSE)*Input_Tasks[[#This Row],[R4 Business Hours]],0)+IFERROR(VLOOKUP(RESOURCE_4_TYPE,COST_RATES,3,FALSE)*Input_Tasks[[#This Row],[R4 After Hours]],0)</f>
        <v>0</v>
      </c>
      <c r="AP143" s="398">
        <f>IFERROR(VLOOKUP(RESOURCE_5_TYPE,COST_RATES,2,FALSE)*Input_Tasks[[#This Row],[R5 Business Hours]],0)+IFERROR(VLOOKUP(RESOURCE_5_TYPE,COST_RATES,3,FALSE)*Input_Tasks[[#This Row],[R5 After Hours]],0)</f>
        <v>0</v>
      </c>
      <c r="AQ143" s="399">
        <f>IFERROR(VLOOKUP(RESOURCE_1_TYPE,SELL_RATES,2,FALSE)*Input_Tasks[[#This Row],[R1 Business Hours]],0)+IFERROR(VLOOKUP(RESOURCE_1_TYPE,SELL_RATES,3,FALSE)*Input_Tasks[[#This Row],[R1 After Hours]],0)</f>
        <v>0</v>
      </c>
      <c r="AR143" s="398">
        <f>IFERROR(VLOOKUP(RESOURCE_2_TYPE,SELL_RATES,2,FALSE)*Input_Tasks[[#This Row],[R2 Business Hours]],0)+IFERROR(VLOOKUP(RESOURCE_2_TYPE,SELL_RATES,3,FALSE)*Input_Tasks[[#This Row],[R2 After Hours]],0)</f>
        <v>0</v>
      </c>
      <c r="AS143" s="398">
        <f>IFERROR(VLOOKUP(RESOURCE_3_TYPE,SELL_RATES,2,FALSE)*Input_Tasks[[#This Row],[R3 Business Hours]],0)+IFERROR(VLOOKUP(RESOURCE_3_TYPE,SELL_RATES,3,FALSE)*Input_Tasks[[#This Row],[R3 After Hours]],0)</f>
        <v>0</v>
      </c>
      <c r="AT143" s="398">
        <f>IFERROR(VLOOKUP(RESOURCE_4_TYPE,SELL_RATES,2,FALSE)*Input_Tasks[[#This Row],[R4 Business Hours]],0)+IFERROR(VLOOKUP(RESOURCE_4_TYPE,SELL_RATES,3,FALSE)*Input_Tasks[[#This Row],[R4 After Hours]],0)</f>
        <v>0</v>
      </c>
      <c r="AU143" s="398">
        <f>IFERROR(VLOOKUP(RESOURCE_5_TYPE,SELL_RATES,2,FALSE)*Input_Tasks[[#This Row],[R5 Business Hours]],0)+IFERROR(VLOOKUP(RESOURCE_5_TYPE,SELL_RATES,3,FALSE)*Input_Tasks[[#This Row],[R5 After Hours]],0)</f>
        <v>0</v>
      </c>
      <c r="AV143" s="400">
        <f>SUM(Input_Tasks[[#This Row],[Round Trips R1]:[Round Trips R5]])</f>
        <v>0</v>
      </c>
      <c r="AW143" s="401">
        <f>SUM(Input_Tasks[[#This Row],[Overnight StaysR1]:[Overnight StaysR5]])</f>
        <v>0</v>
      </c>
      <c r="AX143" s="401">
        <f>IF(AND(Input_Tasks[[#This Row],[Sell - Line Total]]&gt;0,OR(Input_Tasks[[#This Row],[Phase]]="",Input_Tasks[[#This Row],[Skill Required]]="",Input_Tasks[[#This Row],[Task Type]]="",Input_Tasks[[#This Row],[Description]]="")),1,0)</f>
        <v>0</v>
      </c>
      <c r="AY143" s="402">
        <f>IF(AND(Input_Tasks[[#This Row],[Task Type]]="ArchiTech Document Deliverable",Input_Tasks[[#This Row],[Hours]]&gt;0),1,0)</f>
        <v>0</v>
      </c>
      <c r="AZ14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4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4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4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4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4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4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4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4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4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4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4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4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43" s="405">
        <f>SUM(Input_Tasks[[#This Row],[R1 Business Hours]:[R1 After Hours]],Input_Tasks[[#This Row],[R2 Business Hours]:[R2 After Hours]],Input_Tasks[[#This Row],[R3 Business Hours]:[R3 After Hours]],Input_Tasks[[#This Row],[R4 Business Hours]:[R4 After Hours]],Input_Tasks[[#This Row],[R5 Business Hours]:[R5 After Hours]])</f>
        <v>0</v>
      </c>
    </row>
    <row r="144" spans="1:65">
      <c r="A144" s="384"/>
      <c r="B144" s="271"/>
      <c r="C144" s="271"/>
      <c r="D144" s="406"/>
      <c r="E144" s="385">
        <f>Input_Tasks[[#This Row],[Onsite Round Trips_Hidden]]</f>
        <v>0</v>
      </c>
      <c r="F144" s="385">
        <f>Input_Tasks[[#This Row],[Overnight Stays_Hidden]]</f>
        <v>0</v>
      </c>
      <c r="G144" s="385">
        <f>Input_Tasks[[#This Row],[Documents_Hidden]]</f>
        <v>0</v>
      </c>
      <c r="H144" s="387"/>
      <c r="I144" s="388"/>
      <c r="J144" s="389"/>
      <c r="K144" s="390"/>
      <c r="L144" s="390"/>
      <c r="M144" s="389"/>
      <c r="N144" s="390"/>
      <c r="O144" s="390"/>
      <c r="P144" s="389"/>
      <c r="Q144" s="390"/>
      <c r="R144" s="391"/>
      <c r="S144" s="389"/>
      <c r="T144" s="390"/>
      <c r="U144" s="391"/>
      <c r="V144" s="389"/>
      <c r="W144" s="390"/>
      <c r="X144" s="390"/>
      <c r="Y144" s="386" t="str">
        <f>Input_Tasks[[#This Row],[Onsite Round Trips_Hidden]]&amp;"/"&amp;Input_Tasks[[#This Row],[Overnight Stays_Hidden]]&amp;"/"&amp;Input_Tasks[[#This Row],[Documents_Hidden]]</f>
        <v>0/0/0</v>
      </c>
      <c r="Z144" s="392">
        <f>Input_Tasks[[#This Row],[R1 Cost_Hidden]]</f>
        <v>0</v>
      </c>
      <c r="AA144" s="393">
        <f>Input_Tasks[[#This Row],[R2 Cost_Hidden]]</f>
        <v>0</v>
      </c>
      <c r="AB144" s="393">
        <f>Input_Tasks[[#This Row],[R3 Cost_Hidden]]</f>
        <v>0</v>
      </c>
      <c r="AC144" s="393">
        <f>Input_Tasks[[#This Row],[R4 Cost_Hidden]]</f>
        <v>0</v>
      </c>
      <c r="AD144" s="394">
        <f>Input_Tasks[[#This Row],[R5 Cost_Hidden]]</f>
        <v>0</v>
      </c>
      <c r="AE144" s="395">
        <f>SUM(Input_Tasks[[#This Row],[R1 Cost]:[R5 Cost]])</f>
        <v>0</v>
      </c>
      <c r="AF144" s="392">
        <f>Input_Tasks[[#This Row],[R1 Sell_Hidden]]</f>
        <v>0</v>
      </c>
      <c r="AG144" s="393">
        <f>Input_Tasks[[#This Row],[R2 Sell_Hidden]]</f>
        <v>0</v>
      </c>
      <c r="AH144" s="393">
        <f>Input_Tasks[[#This Row],[R3 Sell_Hidden]]</f>
        <v>0</v>
      </c>
      <c r="AI144" s="393">
        <f>Input_Tasks[[#This Row],[R4 Sell_Hidden5]]</f>
        <v>0</v>
      </c>
      <c r="AJ144" s="394">
        <f>Input_Tasks[[#This Row],[R5 Sell_Hidden]]</f>
        <v>0</v>
      </c>
      <c r="AK144" s="396">
        <f>SUM(Input_Tasks[[#This Row],[R1 Sell]:[R5 Sell]])</f>
        <v>0</v>
      </c>
      <c r="AL144" s="397">
        <f>IFERROR(VLOOKUP(RESOURCE_1_TYPE,COST_RATES,2,FALSE)*Input_Tasks[[#This Row],[R1 Business Hours]],0)+IFERROR(VLOOKUP(RESOURCE_1_TYPE,COST_RATES,3,FALSE)*Input_Tasks[[#This Row],[R1 After Hours]],0)</f>
        <v>0</v>
      </c>
      <c r="AM144" s="398">
        <f>IFERROR(VLOOKUP(RESOURCE_2_TYPE,COST_RATES,2,FALSE)*Input_Tasks[[#This Row],[R2 Business Hours]],0)+IFERROR(VLOOKUP(RESOURCE_2_TYPE,COST_RATES,3,FALSE)*Input_Tasks[[#This Row],[R2 After Hours]],0)</f>
        <v>0</v>
      </c>
      <c r="AN144" s="398">
        <f>IFERROR(VLOOKUP(RESOURCE_3_TYPE,COST_RATES,2,FALSE)*Input_Tasks[[#This Row],[R3 Business Hours]],0)+IFERROR(VLOOKUP(RESOURCE_3_TYPE,COST_RATES,3,FALSE)*Input_Tasks[[#This Row],[R3 After Hours]],0)</f>
        <v>0</v>
      </c>
      <c r="AO144" s="398">
        <f>IFERROR(VLOOKUP(RESOURCE_4_TYPE,COST_RATES,2,FALSE)*Input_Tasks[[#This Row],[R4 Business Hours]],0)+IFERROR(VLOOKUP(RESOURCE_4_TYPE,COST_RATES,3,FALSE)*Input_Tasks[[#This Row],[R4 After Hours]],0)</f>
        <v>0</v>
      </c>
      <c r="AP144" s="398">
        <f>IFERROR(VLOOKUP(RESOURCE_5_TYPE,COST_RATES,2,FALSE)*Input_Tasks[[#This Row],[R5 Business Hours]],0)+IFERROR(VLOOKUP(RESOURCE_5_TYPE,COST_RATES,3,FALSE)*Input_Tasks[[#This Row],[R5 After Hours]],0)</f>
        <v>0</v>
      </c>
      <c r="AQ144" s="399">
        <f>IFERROR(VLOOKUP(RESOURCE_1_TYPE,SELL_RATES,2,FALSE)*Input_Tasks[[#This Row],[R1 Business Hours]],0)+IFERROR(VLOOKUP(RESOURCE_1_TYPE,SELL_RATES,3,FALSE)*Input_Tasks[[#This Row],[R1 After Hours]],0)</f>
        <v>0</v>
      </c>
      <c r="AR144" s="398">
        <f>IFERROR(VLOOKUP(RESOURCE_2_TYPE,SELL_RATES,2,FALSE)*Input_Tasks[[#This Row],[R2 Business Hours]],0)+IFERROR(VLOOKUP(RESOURCE_2_TYPE,SELL_RATES,3,FALSE)*Input_Tasks[[#This Row],[R2 After Hours]],0)</f>
        <v>0</v>
      </c>
      <c r="AS144" s="398">
        <f>IFERROR(VLOOKUP(RESOURCE_3_TYPE,SELL_RATES,2,FALSE)*Input_Tasks[[#This Row],[R3 Business Hours]],0)+IFERROR(VLOOKUP(RESOURCE_3_TYPE,SELL_RATES,3,FALSE)*Input_Tasks[[#This Row],[R3 After Hours]],0)</f>
        <v>0</v>
      </c>
      <c r="AT144" s="398">
        <f>IFERROR(VLOOKUP(RESOURCE_4_TYPE,SELL_RATES,2,FALSE)*Input_Tasks[[#This Row],[R4 Business Hours]],0)+IFERROR(VLOOKUP(RESOURCE_4_TYPE,SELL_RATES,3,FALSE)*Input_Tasks[[#This Row],[R4 After Hours]],0)</f>
        <v>0</v>
      </c>
      <c r="AU144" s="398">
        <f>IFERROR(VLOOKUP(RESOURCE_5_TYPE,SELL_RATES,2,FALSE)*Input_Tasks[[#This Row],[R5 Business Hours]],0)+IFERROR(VLOOKUP(RESOURCE_5_TYPE,SELL_RATES,3,FALSE)*Input_Tasks[[#This Row],[R5 After Hours]],0)</f>
        <v>0</v>
      </c>
      <c r="AV144" s="400">
        <f>SUM(Input_Tasks[[#This Row],[Round Trips R1]:[Round Trips R5]])</f>
        <v>0</v>
      </c>
      <c r="AW144" s="401">
        <f>SUM(Input_Tasks[[#This Row],[Overnight StaysR1]:[Overnight StaysR5]])</f>
        <v>0</v>
      </c>
      <c r="AX144" s="401">
        <f>IF(AND(Input_Tasks[[#This Row],[Sell - Line Total]]&gt;0,OR(Input_Tasks[[#This Row],[Phase]]="",Input_Tasks[[#This Row],[Skill Required]]="",Input_Tasks[[#This Row],[Task Type]]="",Input_Tasks[[#This Row],[Description]]="")),1,0)</f>
        <v>0</v>
      </c>
      <c r="AY144" s="402">
        <f>IF(AND(Input_Tasks[[#This Row],[Task Type]]="ArchiTech Document Deliverable",Input_Tasks[[#This Row],[Hours]]&gt;0),1,0)</f>
        <v>0</v>
      </c>
      <c r="AZ14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4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4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4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4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4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4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4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4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4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4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4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4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44" s="405">
        <f>SUM(Input_Tasks[[#This Row],[R1 Business Hours]:[R1 After Hours]],Input_Tasks[[#This Row],[R2 Business Hours]:[R2 After Hours]],Input_Tasks[[#This Row],[R3 Business Hours]:[R3 After Hours]],Input_Tasks[[#This Row],[R4 Business Hours]:[R4 After Hours]],Input_Tasks[[#This Row],[R5 Business Hours]:[R5 After Hours]])</f>
        <v>0</v>
      </c>
    </row>
    <row r="145" spans="1:65">
      <c r="A145" s="384"/>
      <c r="B145" s="271"/>
      <c r="C145" s="271"/>
      <c r="D145" s="406"/>
      <c r="E145" s="385">
        <f>Input_Tasks[[#This Row],[Onsite Round Trips_Hidden]]</f>
        <v>0</v>
      </c>
      <c r="F145" s="385">
        <f>Input_Tasks[[#This Row],[Overnight Stays_Hidden]]</f>
        <v>0</v>
      </c>
      <c r="G145" s="385">
        <f>Input_Tasks[[#This Row],[Documents_Hidden]]</f>
        <v>0</v>
      </c>
      <c r="H145" s="387"/>
      <c r="I145" s="388"/>
      <c r="J145" s="389"/>
      <c r="K145" s="390"/>
      <c r="L145" s="390"/>
      <c r="M145" s="389"/>
      <c r="N145" s="390"/>
      <c r="O145" s="390"/>
      <c r="P145" s="389"/>
      <c r="Q145" s="390"/>
      <c r="R145" s="391"/>
      <c r="S145" s="389"/>
      <c r="T145" s="390"/>
      <c r="U145" s="391"/>
      <c r="V145" s="389"/>
      <c r="W145" s="390"/>
      <c r="X145" s="390"/>
      <c r="Y145" s="386" t="str">
        <f>Input_Tasks[[#This Row],[Onsite Round Trips_Hidden]]&amp;"/"&amp;Input_Tasks[[#This Row],[Overnight Stays_Hidden]]&amp;"/"&amp;Input_Tasks[[#This Row],[Documents_Hidden]]</f>
        <v>0/0/0</v>
      </c>
      <c r="Z145" s="392">
        <f>Input_Tasks[[#This Row],[R1 Cost_Hidden]]</f>
        <v>0</v>
      </c>
      <c r="AA145" s="393">
        <f>Input_Tasks[[#This Row],[R2 Cost_Hidden]]</f>
        <v>0</v>
      </c>
      <c r="AB145" s="393">
        <f>Input_Tasks[[#This Row],[R3 Cost_Hidden]]</f>
        <v>0</v>
      </c>
      <c r="AC145" s="393">
        <f>Input_Tasks[[#This Row],[R4 Cost_Hidden]]</f>
        <v>0</v>
      </c>
      <c r="AD145" s="394">
        <f>Input_Tasks[[#This Row],[R5 Cost_Hidden]]</f>
        <v>0</v>
      </c>
      <c r="AE145" s="395">
        <f>SUM(Input_Tasks[[#This Row],[R1 Cost]:[R5 Cost]])</f>
        <v>0</v>
      </c>
      <c r="AF145" s="392">
        <f>Input_Tasks[[#This Row],[R1 Sell_Hidden]]</f>
        <v>0</v>
      </c>
      <c r="AG145" s="393">
        <f>Input_Tasks[[#This Row],[R2 Sell_Hidden]]</f>
        <v>0</v>
      </c>
      <c r="AH145" s="393">
        <f>Input_Tasks[[#This Row],[R3 Sell_Hidden]]</f>
        <v>0</v>
      </c>
      <c r="AI145" s="393">
        <f>Input_Tasks[[#This Row],[R4 Sell_Hidden5]]</f>
        <v>0</v>
      </c>
      <c r="AJ145" s="394">
        <f>Input_Tasks[[#This Row],[R5 Sell_Hidden]]</f>
        <v>0</v>
      </c>
      <c r="AK145" s="396">
        <f>SUM(Input_Tasks[[#This Row],[R1 Sell]:[R5 Sell]])</f>
        <v>0</v>
      </c>
      <c r="AL145" s="397">
        <f>IFERROR(VLOOKUP(RESOURCE_1_TYPE,COST_RATES,2,FALSE)*Input_Tasks[[#This Row],[R1 Business Hours]],0)+IFERROR(VLOOKUP(RESOURCE_1_TYPE,COST_RATES,3,FALSE)*Input_Tasks[[#This Row],[R1 After Hours]],0)</f>
        <v>0</v>
      </c>
      <c r="AM145" s="398">
        <f>IFERROR(VLOOKUP(RESOURCE_2_TYPE,COST_RATES,2,FALSE)*Input_Tasks[[#This Row],[R2 Business Hours]],0)+IFERROR(VLOOKUP(RESOURCE_2_TYPE,COST_RATES,3,FALSE)*Input_Tasks[[#This Row],[R2 After Hours]],0)</f>
        <v>0</v>
      </c>
      <c r="AN145" s="398">
        <f>IFERROR(VLOOKUP(RESOURCE_3_TYPE,COST_RATES,2,FALSE)*Input_Tasks[[#This Row],[R3 Business Hours]],0)+IFERROR(VLOOKUP(RESOURCE_3_TYPE,COST_RATES,3,FALSE)*Input_Tasks[[#This Row],[R3 After Hours]],0)</f>
        <v>0</v>
      </c>
      <c r="AO145" s="398">
        <f>IFERROR(VLOOKUP(RESOURCE_4_TYPE,COST_RATES,2,FALSE)*Input_Tasks[[#This Row],[R4 Business Hours]],0)+IFERROR(VLOOKUP(RESOURCE_4_TYPE,COST_RATES,3,FALSE)*Input_Tasks[[#This Row],[R4 After Hours]],0)</f>
        <v>0</v>
      </c>
      <c r="AP145" s="398">
        <f>IFERROR(VLOOKUP(RESOURCE_5_TYPE,COST_RATES,2,FALSE)*Input_Tasks[[#This Row],[R5 Business Hours]],0)+IFERROR(VLOOKUP(RESOURCE_5_TYPE,COST_RATES,3,FALSE)*Input_Tasks[[#This Row],[R5 After Hours]],0)</f>
        <v>0</v>
      </c>
      <c r="AQ145" s="399">
        <f>IFERROR(VLOOKUP(RESOURCE_1_TYPE,SELL_RATES,2,FALSE)*Input_Tasks[[#This Row],[R1 Business Hours]],0)+IFERROR(VLOOKUP(RESOURCE_1_TYPE,SELL_RATES,3,FALSE)*Input_Tasks[[#This Row],[R1 After Hours]],0)</f>
        <v>0</v>
      </c>
      <c r="AR145" s="398">
        <f>IFERROR(VLOOKUP(RESOURCE_2_TYPE,SELL_RATES,2,FALSE)*Input_Tasks[[#This Row],[R2 Business Hours]],0)+IFERROR(VLOOKUP(RESOURCE_2_TYPE,SELL_RATES,3,FALSE)*Input_Tasks[[#This Row],[R2 After Hours]],0)</f>
        <v>0</v>
      </c>
      <c r="AS145" s="398">
        <f>IFERROR(VLOOKUP(RESOURCE_3_TYPE,SELL_RATES,2,FALSE)*Input_Tasks[[#This Row],[R3 Business Hours]],0)+IFERROR(VLOOKUP(RESOURCE_3_TYPE,SELL_RATES,3,FALSE)*Input_Tasks[[#This Row],[R3 After Hours]],0)</f>
        <v>0</v>
      </c>
      <c r="AT145" s="398">
        <f>IFERROR(VLOOKUP(RESOURCE_4_TYPE,SELL_RATES,2,FALSE)*Input_Tasks[[#This Row],[R4 Business Hours]],0)+IFERROR(VLOOKUP(RESOURCE_4_TYPE,SELL_RATES,3,FALSE)*Input_Tasks[[#This Row],[R4 After Hours]],0)</f>
        <v>0</v>
      </c>
      <c r="AU145" s="398">
        <f>IFERROR(VLOOKUP(RESOURCE_5_TYPE,SELL_RATES,2,FALSE)*Input_Tasks[[#This Row],[R5 Business Hours]],0)+IFERROR(VLOOKUP(RESOURCE_5_TYPE,SELL_RATES,3,FALSE)*Input_Tasks[[#This Row],[R5 After Hours]],0)</f>
        <v>0</v>
      </c>
      <c r="AV145" s="400">
        <f>SUM(Input_Tasks[[#This Row],[Round Trips R1]:[Round Trips R5]])</f>
        <v>0</v>
      </c>
      <c r="AW145" s="401">
        <f>SUM(Input_Tasks[[#This Row],[Overnight StaysR1]:[Overnight StaysR5]])</f>
        <v>0</v>
      </c>
      <c r="AX145" s="401">
        <f>IF(AND(Input_Tasks[[#This Row],[Sell - Line Total]]&gt;0,OR(Input_Tasks[[#This Row],[Phase]]="",Input_Tasks[[#This Row],[Skill Required]]="",Input_Tasks[[#This Row],[Task Type]]="",Input_Tasks[[#This Row],[Description]]="")),1,0)</f>
        <v>0</v>
      </c>
      <c r="AY145" s="402">
        <f>IF(AND(Input_Tasks[[#This Row],[Task Type]]="ArchiTech Document Deliverable",Input_Tasks[[#This Row],[Hours]]&gt;0),1,0)</f>
        <v>0</v>
      </c>
      <c r="AZ14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4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4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4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4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4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4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4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4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4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4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4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4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45" s="405">
        <f>SUM(Input_Tasks[[#This Row],[R1 Business Hours]:[R1 After Hours]],Input_Tasks[[#This Row],[R2 Business Hours]:[R2 After Hours]],Input_Tasks[[#This Row],[R3 Business Hours]:[R3 After Hours]],Input_Tasks[[#This Row],[R4 Business Hours]:[R4 After Hours]],Input_Tasks[[#This Row],[R5 Business Hours]:[R5 After Hours]])</f>
        <v>0</v>
      </c>
    </row>
    <row r="146" spans="1:65">
      <c r="A146" s="384"/>
      <c r="B146" s="271"/>
      <c r="C146" s="271"/>
      <c r="D146" s="406"/>
      <c r="E146" s="385">
        <f>Input_Tasks[[#This Row],[Onsite Round Trips_Hidden]]</f>
        <v>0</v>
      </c>
      <c r="F146" s="385">
        <f>Input_Tasks[[#This Row],[Overnight Stays_Hidden]]</f>
        <v>0</v>
      </c>
      <c r="G146" s="385">
        <f>Input_Tasks[[#This Row],[Documents_Hidden]]</f>
        <v>0</v>
      </c>
      <c r="H146" s="387"/>
      <c r="I146" s="388"/>
      <c r="J146" s="389"/>
      <c r="K146" s="390"/>
      <c r="L146" s="390"/>
      <c r="M146" s="389"/>
      <c r="N146" s="390"/>
      <c r="O146" s="390"/>
      <c r="P146" s="389"/>
      <c r="Q146" s="390"/>
      <c r="R146" s="391"/>
      <c r="S146" s="389"/>
      <c r="T146" s="390"/>
      <c r="U146" s="391"/>
      <c r="V146" s="389"/>
      <c r="W146" s="390"/>
      <c r="X146" s="390"/>
      <c r="Y146" s="386" t="str">
        <f>Input_Tasks[[#This Row],[Onsite Round Trips_Hidden]]&amp;"/"&amp;Input_Tasks[[#This Row],[Overnight Stays_Hidden]]&amp;"/"&amp;Input_Tasks[[#This Row],[Documents_Hidden]]</f>
        <v>0/0/0</v>
      </c>
      <c r="Z146" s="392">
        <f>Input_Tasks[[#This Row],[R1 Cost_Hidden]]</f>
        <v>0</v>
      </c>
      <c r="AA146" s="393">
        <f>Input_Tasks[[#This Row],[R2 Cost_Hidden]]</f>
        <v>0</v>
      </c>
      <c r="AB146" s="393">
        <f>Input_Tasks[[#This Row],[R3 Cost_Hidden]]</f>
        <v>0</v>
      </c>
      <c r="AC146" s="393">
        <f>Input_Tasks[[#This Row],[R4 Cost_Hidden]]</f>
        <v>0</v>
      </c>
      <c r="AD146" s="394">
        <f>Input_Tasks[[#This Row],[R5 Cost_Hidden]]</f>
        <v>0</v>
      </c>
      <c r="AE146" s="395">
        <f>SUM(Input_Tasks[[#This Row],[R1 Cost]:[R5 Cost]])</f>
        <v>0</v>
      </c>
      <c r="AF146" s="392">
        <f>Input_Tasks[[#This Row],[R1 Sell_Hidden]]</f>
        <v>0</v>
      </c>
      <c r="AG146" s="393">
        <f>Input_Tasks[[#This Row],[R2 Sell_Hidden]]</f>
        <v>0</v>
      </c>
      <c r="AH146" s="393">
        <f>Input_Tasks[[#This Row],[R3 Sell_Hidden]]</f>
        <v>0</v>
      </c>
      <c r="AI146" s="393">
        <f>Input_Tasks[[#This Row],[R4 Sell_Hidden5]]</f>
        <v>0</v>
      </c>
      <c r="AJ146" s="394">
        <f>Input_Tasks[[#This Row],[R5 Sell_Hidden]]</f>
        <v>0</v>
      </c>
      <c r="AK146" s="396">
        <f>SUM(Input_Tasks[[#This Row],[R1 Sell]:[R5 Sell]])</f>
        <v>0</v>
      </c>
      <c r="AL146" s="397">
        <f>IFERROR(VLOOKUP(RESOURCE_1_TYPE,COST_RATES,2,FALSE)*Input_Tasks[[#This Row],[R1 Business Hours]],0)+IFERROR(VLOOKUP(RESOURCE_1_TYPE,COST_RATES,3,FALSE)*Input_Tasks[[#This Row],[R1 After Hours]],0)</f>
        <v>0</v>
      </c>
      <c r="AM146" s="398">
        <f>IFERROR(VLOOKUP(RESOURCE_2_TYPE,COST_RATES,2,FALSE)*Input_Tasks[[#This Row],[R2 Business Hours]],0)+IFERROR(VLOOKUP(RESOURCE_2_TYPE,COST_RATES,3,FALSE)*Input_Tasks[[#This Row],[R2 After Hours]],0)</f>
        <v>0</v>
      </c>
      <c r="AN146" s="398">
        <f>IFERROR(VLOOKUP(RESOURCE_3_TYPE,COST_RATES,2,FALSE)*Input_Tasks[[#This Row],[R3 Business Hours]],0)+IFERROR(VLOOKUP(RESOURCE_3_TYPE,COST_RATES,3,FALSE)*Input_Tasks[[#This Row],[R3 After Hours]],0)</f>
        <v>0</v>
      </c>
      <c r="AO146" s="398">
        <f>IFERROR(VLOOKUP(RESOURCE_4_TYPE,COST_RATES,2,FALSE)*Input_Tasks[[#This Row],[R4 Business Hours]],0)+IFERROR(VLOOKUP(RESOURCE_4_TYPE,COST_RATES,3,FALSE)*Input_Tasks[[#This Row],[R4 After Hours]],0)</f>
        <v>0</v>
      </c>
      <c r="AP146" s="398">
        <f>IFERROR(VLOOKUP(RESOURCE_5_TYPE,COST_RATES,2,FALSE)*Input_Tasks[[#This Row],[R5 Business Hours]],0)+IFERROR(VLOOKUP(RESOURCE_5_TYPE,COST_RATES,3,FALSE)*Input_Tasks[[#This Row],[R5 After Hours]],0)</f>
        <v>0</v>
      </c>
      <c r="AQ146" s="399">
        <f>IFERROR(VLOOKUP(RESOURCE_1_TYPE,SELL_RATES,2,FALSE)*Input_Tasks[[#This Row],[R1 Business Hours]],0)+IFERROR(VLOOKUP(RESOURCE_1_TYPE,SELL_RATES,3,FALSE)*Input_Tasks[[#This Row],[R1 After Hours]],0)</f>
        <v>0</v>
      </c>
      <c r="AR146" s="398">
        <f>IFERROR(VLOOKUP(RESOURCE_2_TYPE,SELL_RATES,2,FALSE)*Input_Tasks[[#This Row],[R2 Business Hours]],0)+IFERROR(VLOOKUP(RESOURCE_2_TYPE,SELL_RATES,3,FALSE)*Input_Tasks[[#This Row],[R2 After Hours]],0)</f>
        <v>0</v>
      </c>
      <c r="AS146" s="398">
        <f>IFERROR(VLOOKUP(RESOURCE_3_TYPE,SELL_RATES,2,FALSE)*Input_Tasks[[#This Row],[R3 Business Hours]],0)+IFERROR(VLOOKUP(RESOURCE_3_TYPE,SELL_RATES,3,FALSE)*Input_Tasks[[#This Row],[R3 After Hours]],0)</f>
        <v>0</v>
      </c>
      <c r="AT146" s="398">
        <f>IFERROR(VLOOKUP(RESOURCE_4_TYPE,SELL_RATES,2,FALSE)*Input_Tasks[[#This Row],[R4 Business Hours]],0)+IFERROR(VLOOKUP(RESOURCE_4_TYPE,SELL_RATES,3,FALSE)*Input_Tasks[[#This Row],[R4 After Hours]],0)</f>
        <v>0</v>
      </c>
      <c r="AU146" s="398">
        <f>IFERROR(VLOOKUP(RESOURCE_5_TYPE,SELL_RATES,2,FALSE)*Input_Tasks[[#This Row],[R5 Business Hours]],0)+IFERROR(VLOOKUP(RESOURCE_5_TYPE,SELL_RATES,3,FALSE)*Input_Tasks[[#This Row],[R5 After Hours]],0)</f>
        <v>0</v>
      </c>
      <c r="AV146" s="400">
        <f>SUM(Input_Tasks[[#This Row],[Round Trips R1]:[Round Trips R5]])</f>
        <v>0</v>
      </c>
      <c r="AW146" s="401">
        <f>SUM(Input_Tasks[[#This Row],[Overnight StaysR1]:[Overnight StaysR5]])</f>
        <v>0</v>
      </c>
      <c r="AX146" s="401">
        <f>IF(AND(Input_Tasks[[#This Row],[Sell - Line Total]]&gt;0,OR(Input_Tasks[[#This Row],[Phase]]="",Input_Tasks[[#This Row],[Skill Required]]="",Input_Tasks[[#This Row],[Task Type]]="",Input_Tasks[[#This Row],[Description]]="")),1,0)</f>
        <v>0</v>
      </c>
      <c r="AY146" s="402">
        <f>IF(AND(Input_Tasks[[#This Row],[Task Type]]="ArchiTech Document Deliverable",Input_Tasks[[#This Row],[Hours]]&gt;0),1,0)</f>
        <v>0</v>
      </c>
      <c r="AZ14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4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4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4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4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4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4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4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4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4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4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4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4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46" s="405">
        <f>SUM(Input_Tasks[[#This Row],[R1 Business Hours]:[R1 After Hours]],Input_Tasks[[#This Row],[R2 Business Hours]:[R2 After Hours]],Input_Tasks[[#This Row],[R3 Business Hours]:[R3 After Hours]],Input_Tasks[[#This Row],[R4 Business Hours]:[R4 After Hours]],Input_Tasks[[#This Row],[R5 Business Hours]:[R5 After Hours]])</f>
        <v>0</v>
      </c>
    </row>
    <row r="147" spans="1:65">
      <c r="A147" s="384"/>
      <c r="B147" s="271"/>
      <c r="C147" s="271"/>
      <c r="D147" s="406"/>
      <c r="E147" s="385">
        <f>Input_Tasks[[#This Row],[Onsite Round Trips_Hidden]]</f>
        <v>0</v>
      </c>
      <c r="F147" s="385">
        <f>Input_Tasks[[#This Row],[Overnight Stays_Hidden]]</f>
        <v>0</v>
      </c>
      <c r="G147" s="385">
        <f>Input_Tasks[[#This Row],[Documents_Hidden]]</f>
        <v>0</v>
      </c>
      <c r="H147" s="387"/>
      <c r="I147" s="388"/>
      <c r="J147" s="389"/>
      <c r="K147" s="390"/>
      <c r="L147" s="390"/>
      <c r="M147" s="389"/>
      <c r="N147" s="390"/>
      <c r="O147" s="390"/>
      <c r="P147" s="389"/>
      <c r="Q147" s="390"/>
      <c r="R147" s="391"/>
      <c r="S147" s="389"/>
      <c r="T147" s="390"/>
      <c r="U147" s="391"/>
      <c r="V147" s="389"/>
      <c r="W147" s="390"/>
      <c r="X147" s="390"/>
      <c r="Y147" s="386" t="str">
        <f>Input_Tasks[[#This Row],[Onsite Round Trips_Hidden]]&amp;"/"&amp;Input_Tasks[[#This Row],[Overnight Stays_Hidden]]&amp;"/"&amp;Input_Tasks[[#This Row],[Documents_Hidden]]</f>
        <v>0/0/0</v>
      </c>
      <c r="Z147" s="392">
        <f>Input_Tasks[[#This Row],[R1 Cost_Hidden]]</f>
        <v>0</v>
      </c>
      <c r="AA147" s="393">
        <f>Input_Tasks[[#This Row],[R2 Cost_Hidden]]</f>
        <v>0</v>
      </c>
      <c r="AB147" s="393">
        <f>Input_Tasks[[#This Row],[R3 Cost_Hidden]]</f>
        <v>0</v>
      </c>
      <c r="AC147" s="393">
        <f>Input_Tasks[[#This Row],[R4 Cost_Hidden]]</f>
        <v>0</v>
      </c>
      <c r="AD147" s="394">
        <f>Input_Tasks[[#This Row],[R5 Cost_Hidden]]</f>
        <v>0</v>
      </c>
      <c r="AE147" s="395">
        <f>SUM(Input_Tasks[[#This Row],[R1 Cost]:[R5 Cost]])</f>
        <v>0</v>
      </c>
      <c r="AF147" s="392">
        <f>Input_Tasks[[#This Row],[R1 Sell_Hidden]]</f>
        <v>0</v>
      </c>
      <c r="AG147" s="393">
        <f>Input_Tasks[[#This Row],[R2 Sell_Hidden]]</f>
        <v>0</v>
      </c>
      <c r="AH147" s="393">
        <f>Input_Tasks[[#This Row],[R3 Sell_Hidden]]</f>
        <v>0</v>
      </c>
      <c r="AI147" s="393">
        <f>Input_Tasks[[#This Row],[R4 Sell_Hidden5]]</f>
        <v>0</v>
      </c>
      <c r="AJ147" s="394">
        <f>Input_Tasks[[#This Row],[R5 Sell_Hidden]]</f>
        <v>0</v>
      </c>
      <c r="AK147" s="396">
        <f>SUM(Input_Tasks[[#This Row],[R1 Sell]:[R5 Sell]])</f>
        <v>0</v>
      </c>
      <c r="AL147" s="397">
        <f>IFERROR(VLOOKUP(RESOURCE_1_TYPE,COST_RATES,2,FALSE)*Input_Tasks[[#This Row],[R1 Business Hours]],0)+IFERROR(VLOOKUP(RESOURCE_1_TYPE,COST_RATES,3,FALSE)*Input_Tasks[[#This Row],[R1 After Hours]],0)</f>
        <v>0</v>
      </c>
      <c r="AM147" s="398">
        <f>IFERROR(VLOOKUP(RESOURCE_2_TYPE,COST_RATES,2,FALSE)*Input_Tasks[[#This Row],[R2 Business Hours]],0)+IFERROR(VLOOKUP(RESOURCE_2_TYPE,COST_RATES,3,FALSE)*Input_Tasks[[#This Row],[R2 After Hours]],0)</f>
        <v>0</v>
      </c>
      <c r="AN147" s="398">
        <f>IFERROR(VLOOKUP(RESOURCE_3_TYPE,COST_RATES,2,FALSE)*Input_Tasks[[#This Row],[R3 Business Hours]],0)+IFERROR(VLOOKUP(RESOURCE_3_TYPE,COST_RATES,3,FALSE)*Input_Tasks[[#This Row],[R3 After Hours]],0)</f>
        <v>0</v>
      </c>
      <c r="AO147" s="398">
        <f>IFERROR(VLOOKUP(RESOURCE_4_TYPE,COST_RATES,2,FALSE)*Input_Tasks[[#This Row],[R4 Business Hours]],0)+IFERROR(VLOOKUP(RESOURCE_4_TYPE,COST_RATES,3,FALSE)*Input_Tasks[[#This Row],[R4 After Hours]],0)</f>
        <v>0</v>
      </c>
      <c r="AP147" s="398">
        <f>IFERROR(VLOOKUP(RESOURCE_5_TYPE,COST_RATES,2,FALSE)*Input_Tasks[[#This Row],[R5 Business Hours]],0)+IFERROR(VLOOKUP(RESOURCE_5_TYPE,COST_RATES,3,FALSE)*Input_Tasks[[#This Row],[R5 After Hours]],0)</f>
        <v>0</v>
      </c>
      <c r="AQ147" s="399">
        <f>IFERROR(VLOOKUP(RESOURCE_1_TYPE,SELL_RATES,2,FALSE)*Input_Tasks[[#This Row],[R1 Business Hours]],0)+IFERROR(VLOOKUP(RESOURCE_1_TYPE,SELL_RATES,3,FALSE)*Input_Tasks[[#This Row],[R1 After Hours]],0)</f>
        <v>0</v>
      </c>
      <c r="AR147" s="398">
        <f>IFERROR(VLOOKUP(RESOURCE_2_TYPE,SELL_RATES,2,FALSE)*Input_Tasks[[#This Row],[R2 Business Hours]],0)+IFERROR(VLOOKUP(RESOURCE_2_TYPE,SELL_RATES,3,FALSE)*Input_Tasks[[#This Row],[R2 After Hours]],0)</f>
        <v>0</v>
      </c>
      <c r="AS147" s="398">
        <f>IFERROR(VLOOKUP(RESOURCE_3_TYPE,SELL_RATES,2,FALSE)*Input_Tasks[[#This Row],[R3 Business Hours]],0)+IFERROR(VLOOKUP(RESOURCE_3_TYPE,SELL_RATES,3,FALSE)*Input_Tasks[[#This Row],[R3 After Hours]],0)</f>
        <v>0</v>
      </c>
      <c r="AT147" s="398">
        <f>IFERROR(VLOOKUP(RESOURCE_4_TYPE,SELL_RATES,2,FALSE)*Input_Tasks[[#This Row],[R4 Business Hours]],0)+IFERROR(VLOOKUP(RESOURCE_4_TYPE,SELL_RATES,3,FALSE)*Input_Tasks[[#This Row],[R4 After Hours]],0)</f>
        <v>0</v>
      </c>
      <c r="AU147" s="398">
        <f>IFERROR(VLOOKUP(RESOURCE_5_TYPE,SELL_RATES,2,FALSE)*Input_Tasks[[#This Row],[R5 Business Hours]],0)+IFERROR(VLOOKUP(RESOURCE_5_TYPE,SELL_RATES,3,FALSE)*Input_Tasks[[#This Row],[R5 After Hours]],0)</f>
        <v>0</v>
      </c>
      <c r="AV147" s="400">
        <f>SUM(Input_Tasks[[#This Row],[Round Trips R1]:[Round Trips R5]])</f>
        <v>0</v>
      </c>
      <c r="AW147" s="401">
        <f>SUM(Input_Tasks[[#This Row],[Overnight StaysR1]:[Overnight StaysR5]])</f>
        <v>0</v>
      </c>
      <c r="AX147" s="401">
        <f>IF(AND(Input_Tasks[[#This Row],[Sell - Line Total]]&gt;0,OR(Input_Tasks[[#This Row],[Phase]]="",Input_Tasks[[#This Row],[Skill Required]]="",Input_Tasks[[#This Row],[Task Type]]="",Input_Tasks[[#This Row],[Description]]="")),1,0)</f>
        <v>0</v>
      </c>
      <c r="AY147" s="402">
        <f>IF(AND(Input_Tasks[[#This Row],[Task Type]]="ArchiTech Document Deliverable",Input_Tasks[[#This Row],[Hours]]&gt;0),1,0)</f>
        <v>0</v>
      </c>
      <c r="AZ14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4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4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4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4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4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4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4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4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4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4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4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4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47" s="405">
        <f>SUM(Input_Tasks[[#This Row],[R1 Business Hours]:[R1 After Hours]],Input_Tasks[[#This Row],[R2 Business Hours]:[R2 After Hours]],Input_Tasks[[#This Row],[R3 Business Hours]:[R3 After Hours]],Input_Tasks[[#This Row],[R4 Business Hours]:[R4 After Hours]],Input_Tasks[[#This Row],[R5 Business Hours]:[R5 After Hours]])</f>
        <v>0</v>
      </c>
    </row>
    <row r="148" spans="1:65">
      <c r="A148" s="384"/>
      <c r="B148" s="271"/>
      <c r="C148" s="271"/>
      <c r="D148" s="406"/>
      <c r="E148" s="385">
        <f>Input_Tasks[[#This Row],[Onsite Round Trips_Hidden]]</f>
        <v>0</v>
      </c>
      <c r="F148" s="385">
        <f>Input_Tasks[[#This Row],[Overnight Stays_Hidden]]</f>
        <v>0</v>
      </c>
      <c r="G148" s="385">
        <f>Input_Tasks[[#This Row],[Documents_Hidden]]</f>
        <v>0</v>
      </c>
      <c r="H148" s="387"/>
      <c r="I148" s="388"/>
      <c r="J148" s="389"/>
      <c r="K148" s="390"/>
      <c r="L148" s="390"/>
      <c r="M148" s="389"/>
      <c r="N148" s="390"/>
      <c r="O148" s="390"/>
      <c r="P148" s="389"/>
      <c r="Q148" s="390"/>
      <c r="R148" s="391"/>
      <c r="S148" s="389"/>
      <c r="T148" s="390"/>
      <c r="U148" s="391"/>
      <c r="V148" s="389"/>
      <c r="W148" s="390"/>
      <c r="X148" s="390"/>
      <c r="Y148" s="386" t="str">
        <f>Input_Tasks[[#This Row],[Onsite Round Trips_Hidden]]&amp;"/"&amp;Input_Tasks[[#This Row],[Overnight Stays_Hidden]]&amp;"/"&amp;Input_Tasks[[#This Row],[Documents_Hidden]]</f>
        <v>0/0/0</v>
      </c>
      <c r="Z148" s="392">
        <f>Input_Tasks[[#This Row],[R1 Cost_Hidden]]</f>
        <v>0</v>
      </c>
      <c r="AA148" s="393">
        <f>Input_Tasks[[#This Row],[R2 Cost_Hidden]]</f>
        <v>0</v>
      </c>
      <c r="AB148" s="393">
        <f>Input_Tasks[[#This Row],[R3 Cost_Hidden]]</f>
        <v>0</v>
      </c>
      <c r="AC148" s="393">
        <f>Input_Tasks[[#This Row],[R4 Cost_Hidden]]</f>
        <v>0</v>
      </c>
      <c r="AD148" s="394">
        <f>Input_Tasks[[#This Row],[R5 Cost_Hidden]]</f>
        <v>0</v>
      </c>
      <c r="AE148" s="395">
        <f>SUM(Input_Tasks[[#This Row],[R1 Cost]:[R5 Cost]])</f>
        <v>0</v>
      </c>
      <c r="AF148" s="392">
        <f>Input_Tasks[[#This Row],[R1 Sell_Hidden]]</f>
        <v>0</v>
      </c>
      <c r="AG148" s="393">
        <f>Input_Tasks[[#This Row],[R2 Sell_Hidden]]</f>
        <v>0</v>
      </c>
      <c r="AH148" s="393">
        <f>Input_Tasks[[#This Row],[R3 Sell_Hidden]]</f>
        <v>0</v>
      </c>
      <c r="AI148" s="393">
        <f>Input_Tasks[[#This Row],[R4 Sell_Hidden5]]</f>
        <v>0</v>
      </c>
      <c r="AJ148" s="394">
        <f>Input_Tasks[[#This Row],[R5 Sell_Hidden]]</f>
        <v>0</v>
      </c>
      <c r="AK148" s="396">
        <f>SUM(Input_Tasks[[#This Row],[R1 Sell]:[R5 Sell]])</f>
        <v>0</v>
      </c>
      <c r="AL148" s="397">
        <f>IFERROR(VLOOKUP(RESOURCE_1_TYPE,COST_RATES,2,FALSE)*Input_Tasks[[#This Row],[R1 Business Hours]],0)+IFERROR(VLOOKUP(RESOURCE_1_TYPE,COST_RATES,3,FALSE)*Input_Tasks[[#This Row],[R1 After Hours]],0)</f>
        <v>0</v>
      </c>
      <c r="AM148" s="398">
        <f>IFERROR(VLOOKUP(RESOURCE_2_TYPE,COST_RATES,2,FALSE)*Input_Tasks[[#This Row],[R2 Business Hours]],0)+IFERROR(VLOOKUP(RESOURCE_2_TYPE,COST_RATES,3,FALSE)*Input_Tasks[[#This Row],[R2 After Hours]],0)</f>
        <v>0</v>
      </c>
      <c r="AN148" s="398">
        <f>IFERROR(VLOOKUP(RESOURCE_3_TYPE,COST_RATES,2,FALSE)*Input_Tasks[[#This Row],[R3 Business Hours]],0)+IFERROR(VLOOKUP(RESOURCE_3_TYPE,COST_RATES,3,FALSE)*Input_Tasks[[#This Row],[R3 After Hours]],0)</f>
        <v>0</v>
      </c>
      <c r="AO148" s="398">
        <f>IFERROR(VLOOKUP(RESOURCE_4_TYPE,COST_RATES,2,FALSE)*Input_Tasks[[#This Row],[R4 Business Hours]],0)+IFERROR(VLOOKUP(RESOURCE_4_TYPE,COST_RATES,3,FALSE)*Input_Tasks[[#This Row],[R4 After Hours]],0)</f>
        <v>0</v>
      </c>
      <c r="AP148" s="398">
        <f>IFERROR(VLOOKUP(RESOURCE_5_TYPE,COST_RATES,2,FALSE)*Input_Tasks[[#This Row],[R5 Business Hours]],0)+IFERROR(VLOOKUP(RESOURCE_5_TYPE,COST_RATES,3,FALSE)*Input_Tasks[[#This Row],[R5 After Hours]],0)</f>
        <v>0</v>
      </c>
      <c r="AQ148" s="399">
        <f>IFERROR(VLOOKUP(RESOURCE_1_TYPE,SELL_RATES,2,FALSE)*Input_Tasks[[#This Row],[R1 Business Hours]],0)+IFERROR(VLOOKUP(RESOURCE_1_TYPE,SELL_RATES,3,FALSE)*Input_Tasks[[#This Row],[R1 After Hours]],0)</f>
        <v>0</v>
      </c>
      <c r="AR148" s="398">
        <f>IFERROR(VLOOKUP(RESOURCE_2_TYPE,SELL_RATES,2,FALSE)*Input_Tasks[[#This Row],[R2 Business Hours]],0)+IFERROR(VLOOKUP(RESOURCE_2_TYPE,SELL_RATES,3,FALSE)*Input_Tasks[[#This Row],[R2 After Hours]],0)</f>
        <v>0</v>
      </c>
      <c r="AS148" s="398">
        <f>IFERROR(VLOOKUP(RESOURCE_3_TYPE,SELL_RATES,2,FALSE)*Input_Tasks[[#This Row],[R3 Business Hours]],0)+IFERROR(VLOOKUP(RESOURCE_3_TYPE,SELL_RATES,3,FALSE)*Input_Tasks[[#This Row],[R3 After Hours]],0)</f>
        <v>0</v>
      </c>
      <c r="AT148" s="398">
        <f>IFERROR(VLOOKUP(RESOURCE_4_TYPE,SELL_RATES,2,FALSE)*Input_Tasks[[#This Row],[R4 Business Hours]],0)+IFERROR(VLOOKUP(RESOURCE_4_TYPE,SELL_RATES,3,FALSE)*Input_Tasks[[#This Row],[R4 After Hours]],0)</f>
        <v>0</v>
      </c>
      <c r="AU148" s="398">
        <f>IFERROR(VLOOKUP(RESOURCE_5_TYPE,SELL_RATES,2,FALSE)*Input_Tasks[[#This Row],[R5 Business Hours]],0)+IFERROR(VLOOKUP(RESOURCE_5_TYPE,SELL_RATES,3,FALSE)*Input_Tasks[[#This Row],[R5 After Hours]],0)</f>
        <v>0</v>
      </c>
      <c r="AV148" s="400">
        <f>SUM(Input_Tasks[[#This Row],[Round Trips R1]:[Round Trips R5]])</f>
        <v>0</v>
      </c>
      <c r="AW148" s="401">
        <f>SUM(Input_Tasks[[#This Row],[Overnight StaysR1]:[Overnight StaysR5]])</f>
        <v>0</v>
      </c>
      <c r="AX148" s="401">
        <f>IF(AND(Input_Tasks[[#This Row],[Sell - Line Total]]&gt;0,OR(Input_Tasks[[#This Row],[Phase]]="",Input_Tasks[[#This Row],[Skill Required]]="",Input_Tasks[[#This Row],[Task Type]]="",Input_Tasks[[#This Row],[Description]]="")),1,0)</f>
        <v>0</v>
      </c>
      <c r="AY148" s="402">
        <f>IF(AND(Input_Tasks[[#This Row],[Task Type]]="ArchiTech Document Deliverable",Input_Tasks[[#This Row],[Hours]]&gt;0),1,0)</f>
        <v>0</v>
      </c>
      <c r="AZ14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4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4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4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4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4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4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4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4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4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4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4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4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48" s="405">
        <f>SUM(Input_Tasks[[#This Row],[R1 Business Hours]:[R1 After Hours]],Input_Tasks[[#This Row],[R2 Business Hours]:[R2 After Hours]],Input_Tasks[[#This Row],[R3 Business Hours]:[R3 After Hours]],Input_Tasks[[#This Row],[R4 Business Hours]:[R4 After Hours]],Input_Tasks[[#This Row],[R5 Business Hours]:[R5 After Hours]])</f>
        <v>0</v>
      </c>
    </row>
    <row r="149" spans="1:65">
      <c r="A149" s="384"/>
      <c r="B149" s="271"/>
      <c r="C149" s="271"/>
      <c r="D149" s="406"/>
      <c r="E149" s="385">
        <f>Input_Tasks[[#This Row],[Onsite Round Trips_Hidden]]</f>
        <v>0</v>
      </c>
      <c r="F149" s="385">
        <f>Input_Tasks[[#This Row],[Overnight Stays_Hidden]]</f>
        <v>0</v>
      </c>
      <c r="G149" s="385">
        <f>Input_Tasks[[#This Row],[Documents_Hidden]]</f>
        <v>0</v>
      </c>
      <c r="H149" s="387"/>
      <c r="I149" s="388"/>
      <c r="J149" s="389"/>
      <c r="K149" s="390"/>
      <c r="L149" s="390"/>
      <c r="M149" s="389"/>
      <c r="N149" s="390"/>
      <c r="O149" s="390"/>
      <c r="P149" s="389"/>
      <c r="Q149" s="390"/>
      <c r="R149" s="391"/>
      <c r="S149" s="389"/>
      <c r="T149" s="390"/>
      <c r="U149" s="391"/>
      <c r="V149" s="389"/>
      <c r="W149" s="390"/>
      <c r="X149" s="390"/>
      <c r="Y149" s="386" t="str">
        <f>Input_Tasks[[#This Row],[Onsite Round Trips_Hidden]]&amp;"/"&amp;Input_Tasks[[#This Row],[Overnight Stays_Hidden]]&amp;"/"&amp;Input_Tasks[[#This Row],[Documents_Hidden]]</f>
        <v>0/0/0</v>
      </c>
      <c r="Z149" s="392">
        <f>Input_Tasks[[#This Row],[R1 Cost_Hidden]]</f>
        <v>0</v>
      </c>
      <c r="AA149" s="393">
        <f>Input_Tasks[[#This Row],[R2 Cost_Hidden]]</f>
        <v>0</v>
      </c>
      <c r="AB149" s="393">
        <f>Input_Tasks[[#This Row],[R3 Cost_Hidden]]</f>
        <v>0</v>
      </c>
      <c r="AC149" s="393">
        <f>Input_Tasks[[#This Row],[R4 Cost_Hidden]]</f>
        <v>0</v>
      </c>
      <c r="AD149" s="394">
        <f>Input_Tasks[[#This Row],[R5 Cost_Hidden]]</f>
        <v>0</v>
      </c>
      <c r="AE149" s="395">
        <f>SUM(Input_Tasks[[#This Row],[R1 Cost]:[R5 Cost]])</f>
        <v>0</v>
      </c>
      <c r="AF149" s="392">
        <f>Input_Tasks[[#This Row],[R1 Sell_Hidden]]</f>
        <v>0</v>
      </c>
      <c r="AG149" s="393">
        <f>Input_Tasks[[#This Row],[R2 Sell_Hidden]]</f>
        <v>0</v>
      </c>
      <c r="AH149" s="393">
        <f>Input_Tasks[[#This Row],[R3 Sell_Hidden]]</f>
        <v>0</v>
      </c>
      <c r="AI149" s="393">
        <f>Input_Tasks[[#This Row],[R4 Sell_Hidden5]]</f>
        <v>0</v>
      </c>
      <c r="AJ149" s="394">
        <f>Input_Tasks[[#This Row],[R5 Sell_Hidden]]</f>
        <v>0</v>
      </c>
      <c r="AK149" s="396">
        <f>SUM(Input_Tasks[[#This Row],[R1 Sell]:[R5 Sell]])</f>
        <v>0</v>
      </c>
      <c r="AL149" s="397">
        <f>IFERROR(VLOOKUP(RESOURCE_1_TYPE,COST_RATES,2,FALSE)*Input_Tasks[[#This Row],[R1 Business Hours]],0)+IFERROR(VLOOKUP(RESOURCE_1_TYPE,COST_RATES,3,FALSE)*Input_Tasks[[#This Row],[R1 After Hours]],0)</f>
        <v>0</v>
      </c>
      <c r="AM149" s="398">
        <f>IFERROR(VLOOKUP(RESOURCE_2_TYPE,COST_RATES,2,FALSE)*Input_Tasks[[#This Row],[R2 Business Hours]],0)+IFERROR(VLOOKUP(RESOURCE_2_TYPE,COST_RATES,3,FALSE)*Input_Tasks[[#This Row],[R2 After Hours]],0)</f>
        <v>0</v>
      </c>
      <c r="AN149" s="398">
        <f>IFERROR(VLOOKUP(RESOURCE_3_TYPE,COST_RATES,2,FALSE)*Input_Tasks[[#This Row],[R3 Business Hours]],0)+IFERROR(VLOOKUP(RESOURCE_3_TYPE,COST_RATES,3,FALSE)*Input_Tasks[[#This Row],[R3 After Hours]],0)</f>
        <v>0</v>
      </c>
      <c r="AO149" s="398">
        <f>IFERROR(VLOOKUP(RESOURCE_4_TYPE,COST_RATES,2,FALSE)*Input_Tasks[[#This Row],[R4 Business Hours]],0)+IFERROR(VLOOKUP(RESOURCE_4_TYPE,COST_RATES,3,FALSE)*Input_Tasks[[#This Row],[R4 After Hours]],0)</f>
        <v>0</v>
      </c>
      <c r="AP149" s="398">
        <f>IFERROR(VLOOKUP(RESOURCE_5_TYPE,COST_RATES,2,FALSE)*Input_Tasks[[#This Row],[R5 Business Hours]],0)+IFERROR(VLOOKUP(RESOURCE_5_TYPE,COST_RATES,3,FALSE)*Input_Tasks[[#This Row],[R5 After Hours]],0)</f>
        <v>0</v>
      </c>
      <c r="AQ149" s="399">
        <f>IFERROR(VLOOKUP(RESOURCE_1_TYPE,SELL_RATES,2,FALSE)*Input_Tasks[[#This Row],[R1 Business Hours]],0)+IFERROR(VLOOKUP(RESOURCE_1_TYPE,SELL_RATES,3,FALSE)*Input_Tasks[[#This Row],[R1 After Hours]],0)</f>
        <v>0</v>
      </c>
      <c r="AR149" s="398">
        <f>IFERROR(VLOOKUP(RESOURCE_2_TYPE,SELL_RATES,2,FALSE)*Input_Tasks[[#This Row],[R2 Business Hours]],0)+IFERROR(VLOOKUP(RESOURCE_2_TYPE,SELL_RATES,3,FALSE)*Input_Tasks[[#This Row],[R2 After Hours]],0)</f>
        <v>0</v>
      </c>
      <c r="AS149" s="398">
        <f>IFERROR(VLOOKUP(RESOURCE_3_TYPE,SELL_RATES,2,FALSE)*Input_Tasks[[#This Row],[R3 Business Hours]],0)+IFERROR(VLOOKUP(RESOURCE_3_TYPE,SELL_RATES,3,FALSE)*Input_Tasks[[#This Row],[R3 After Hours]],0)</f>
        <v>0</v>
      </c>
      <c r="AT149" s="398">
        <f>IFERROR(VLOOKUP(RESOURCE_4_TYPE,SELL_RATES,2,FALSE)*Input_Tasks[[#This Row],[R4 Business Hours]],0)+IFERROR(VLOOKUP(RESOURCE_4_TYPE,SELL_RATES,3,FALSE)*Input_Tasks[[#This Row],[R4 After Hours]],0)</f>
        <v>0</v>
      </c>
      <c r="AU149" s="398">
        <f>IFERROR(VLOOKUP(RESOURCE_5_TYPE,SELL_RATES,2,FALSE)*Input_Tasks[[#This Row],[R5 Business Hours]],0)+IFERROR(VLOOKUP(RESOURCE_5_TYPE,SELL_RATES,3,FALSE)*Input_Tasks[[#This Row],[R5 After Hours]],0)</f>
        <v>0</v>
      </c>
      <c r="AV149" s="400">
        <f>SUM(Input_Tasks[[#This Row],[Round Trips R1]:[Round Trips R5]])</f>
        <v>0</v>
      </c>
      <c r="AW149" s="401">
        <f>SUM(Input_Tasks[[#This Row],[Overnight StaysR1]:[Overnight StaysR5]])</f>
        <v>0</v>
      </c>
      <c r="AX149" s="401">
        <f>IF(AND(Input_Tasks[[#This Row],[Sell - Line Total]]&gt;0,OR(Input_Tasks[[#This Row],[Phase]]="",Input_Tasks[[#This Row],[Skill Required]]="",Input_Tasks[[#This Row],[Task Type]]="",Input_Tasks[[#This Row],[Description]]="")),1,0)</f>
        <v>0</v>
      </c>
      <c r="AY149" s="402">
        <f>IF(AND(Input_Tasks[[#This Row],[Task Type]]="ArchiTech Document Deliverable",Input_Tasks[[#This Row],[Hours]]&gt;0),1,0)</f>
        <v>0</v>
      </c>
      <c r="AZ14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4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4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4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4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4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4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4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4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4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4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4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4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49" s="405">
        <f>SUM(Input_Tasks[[#This Row],[R1 Business Hours]:[R1 After Hours]],Input_Tasks[[#This Row],[R2 Business Hours]:[R2 After Hours]],Input_Tasks[[#This Row],[R3 Business Hours]:[R3 After Hours]],Input_Tasks[[#This Row],[R4 Business Hours]:[R4 After Hours]],Input_Tasks[[#This Row],[R5 Business Hours]:[R5 After Hours]])</f>
        <v>0</v>
      </c>
    </row>
    <row r="150" spans="1:65">
      <c r="A150" s="384"/>
      <c r="B150" s="271"/>
      <c r="C150" s="271"/>
      <c r="D150" s="406"/>
      <c r="E150" s="385">
        <f>Input_Tasks[[#This Row],[Onsite Round Trips_Hidden]]</f>
        <v>0</v>
      </c>
      <c r="F150" s="385">
        <f>Input_Tasks[[#This Row],[Overnight Stays_Hidden]]</f>
        <v>0</v>
      </c>
      <c r="G150" s="385">
        <f>Input_Tasks[[#This Row],[Documents_Hidden]]</f>
        <v>0</v>
      </c>
      <c r="H150" s="387"/>
      <c r="I150" s="388"/>
      <c r="J150" s="389"/>
      <c r="K150" s="390"/>
      <c r="L150" s="390"/>
      <c r="M150" s="389"/>
      <c r="N150" s="390"/>
      <c r="O150" s="390"/>
      <c r="P150" s="389"/>
      <c r="Q150" s="390"/>
      <c r="R150" s="391"/>
      <c r="S150" s="389"/>
      <c r="T150" s="390"/>
      <c r="U150" s="391"/>
      <c r="V150" s="389"/>
      <c r="W150" s="390"/>
      <c r="X150" s="390"/>
      <c r="Y150" s="386" t="str">
        <f>Input_Tasks[[#This Row],[Onsite Round Trips_Hidden]]&amp;"/"&amp;Input_Tasks[[#This Row],[Overnight Stays_Hidden]]&amp;"/"&amp;Input_Tasks[[#This Row],[Documents_Hidden]]</f>
        <v>0/0/0</v>
      </c>
      <c r="Z150" s="392">
        <f>Input_Tasks[[#This Row],[R1 Cost_Hidden]]</f>
        <v>0</v>
      </c>
      <c r="AA150" s="393">
        <f>Input_Tasks[[#This Row],[R2 Cost_Hidden]]</f>
        <v>0</v>
      </c>
      <c r="AB150" s="393">
        <f>Input_Tasks[[#This Row],[R3 Cost_Hidden]]</f>
        <v>0</v>
      </c>
      <c r="AC150" s="393">
        <f>Input_Tasks[[#This Row],[R4 Cost_Hidden]]</f>
        <v>0</v>
      </c>
      <c r="AD150" s="394">
        <f>Input_Tasks[[#This Row],[R5 Cost_Hidden]]</f>
        <v>0</v>
      </c>
      <c r="AE150" s="395">
        <f>SUM(Input_Tasks[[#This Row],[R1 Cost]:[R5 Cost]])</f>
        <v>0</v>
      </c>
      <c r="AF150" s="392">
        <f>Input_Tasks[[#This Row],[R1 Sell_Hidden]]</f>
        <v>0</v>
      </c>
      <c r="AG150" s="393">
        <f>Input_Tasks[[#This Row],[R2 Sell_Hidden]]</f>
        <v>0</v>
      </c>
      <c r="AH150" s="393">
        <f>Input_Tasks[[#This Row],[R3 Sell_Hidden]]</f>
        <v>0</v>
      </c>
      <c r="AI150" s="393">
        <f>Input_Tasks[[#This Row],[R4 Sell_Hidden5]]</f>
        <v>0</v>
      </c>
      <c r="AJ150" s="394">
        <f>Input_Tasks[[#This Row],[R5 Sell_Hidden]]</f>
        <v>0</v>
      </c>
      <c r="AK150" s="396">
        <f>SUM(Input_Tasks[[#This Row],[R1 Sell]:[R5 Sell]])</f>
        <v>0</v>
      </c>
      <c r="AL150" s="397">
        <f>IFERROR(VLOOKUP(RESOURCE_1_TYPE,COST_RATES,2,FALSE)*Input_Tasks[[#This Row],[R1 Business Hours]],0)+IFERROR(VLOOKUP(RESOURCE_1_TYPE,COST_RATES,3,FALSE)*Input_Tasks[[#This Row],[R1 After Hours]],0)</f>
        <v>0</v>
      </c>
      <c r="AM150" s="398">
        <f>IFERROR(VLOOKUP(RESOURCE_2_TYPE,COST_RATES,2,FALSE)*Input_Tasks[[#This Row],[R2 Business Hours]],0)+IFERROR(VLOOKUP(RESOURCE_2_TYPE,COST_RATES,3,FALSE)*Input_Tasks[[#This Row],[R2 After Hours]],0)</f>
        <v>0</v>
      </c>
      <c r="AN150" s="398">
        <f>IFERROR(VLOOKUP(RESOURCE_3_TYPE,COST_RATES,2,FALSE)*Input_Tasks[[#This Row],[R3 Business Hours]],0)+IFERROR(VLOOKUP(RESOURCE_3_TYPE,COST_RATES,3,FALSE)*Input_Tasks[[#This Row],[R3 After Hours]],0)</f>
        <v>0</v>
      </c>
      <c r="AO150" s="398">
        <f>IFERROR(VLOOKUP(RESOURCE_4_TYPE,COST_RATES,2,FALSE)*Input_Tasks[[#This Row],[R4 Business Hours]],0)+IFERROR(VLOOKUP(RESOURCE_4_TYPE,COST_RATES,3,FALSE)*Input_Tasks[[#This Row],[R4 After Hours]],0)</f>
        <v>0</v>
      </c>
      <c r="AP150" s="398">
        <f>IFERROR(VLOOKUP(RESOURCE_5_TYPE,COST_RATES,2,FALSE)*Input_Tasks[[#This Row],[R5 Business Hours]],0)+IFERROR(VLOOKUP(RESOURCE_5_TYPE,COST_RATES,3,FALSE)*Input_Tasks[[#This Row],[R5 After Hours]],0)</f>
        <v>0</v>
      </c>
      <c r="AQ150" s="399">
        <f>IFERROR(VLOOKUP(RESOURCE_1_TYPE,SELL_RATES,2,FALSE)*Input_Tasks[[#This Row],[R1 Business Hours]],0)+IFERROR(VLOOKUP(RESOURCE_1_TYPE,SELL_RATES,3,FALSE)*Input_Tasks[[#This Row],[R1 After Hours]],0)</f>
        <v>0</v>
      </c>
      <c r="AR150" s="398">
        <f>IFERROR(VLOOKUP(RESOURCE_2_TYPE,SELL_RATES,2,FALSE)*Input_Tasks[[#This Row],[R2 Business Hours]],0)+IFERROR(VLOOKUP(RESOURCE_2_TYPE,SELL_RATES,3,FALSE)*Input_Tasks[[#This Row],[R2 After Hours]],0)</f>
        <v>0</v>
      </c>
      <c r="AS150" s="398">
        <f>IFERROR(VLOOKUP(RESOURCE_3_TYPE,SELL_RATES,2,FALSE)*Input_Tasks[[#This Row],[R3 Business Hours]],0)+IFERROR(VLOOKUP(RESOURCE_3_TYPE,SELL_RATES,3,FALSE)*Input_Tasks[[#This Row],[R3 After Hours]],0)</f>
        <v>0</v>
      </c>
      <c r="AT150" s="398">
        <f>IFERROR(VLOOKUP(RESOURCE_4_TYPE,SELL_RATES,2,FALSE)*Input_Tasks[[#This Row],[R4 Business Hours]],0)+IFERROR(VLOOKUP(RESOURCE_4_TYPE,SELL_RATES,3,FALSE)*Input_Tasks[[#This Row],[R4 After Hours]],0)</f>
        <v>0</v>
      </c>
      <c r="AU150" s="398">
        <f>IFERROR(VLOOKUP(RESOURCE_5_TYPE,SELL_RATES,2,FALSE)*Input_Tasks[[#This Row],[R5 Business Hours]],0)+IFERROR(VLOOKUP(RESOURCE_5_TYPE,SELL_RATES,3,FALSE)*Input_Tasks[[#This Row],[R5 After Hours]],0)</f>
        <v>0</v>
      </c>
      <c r="AV150" s="400">
        <f>SUM(Input_Tasks[[#This Row],[Round Trips R1]:[Round Trips R5]])</f>
        <v>0</v>
      </c>
      <c r="AW150" s="401">
        <f>SUM(Input_Tasks[[#This Row],[Overnight StaysR1]:[Overnight StaysR5]])</f>
        <v>0</v>
      </c>
      <c r="AX150" s="401">
        <f>IF(AND(Input_Tasks[[#This Row],[Sell - Line Total]]&gt;0,OR(Input_Tasks[[#This Row],[Phase]]="",Input_Tasks[[#This Row],[Skill Required]]="",Input_Tasks[[#This Row],[Task Type]]="",Input_Tasks[[#This Row],[Description]]="")),1,0)</f>
        <v>0</v>
      </c>
      <c r="AY150" s="402">
        <f>IF(AND(Input_Tasks[[#This Row],[Task Type]]="ArchiTech Document Deliverable",Input_Tasks[[#This Row],[Hours]]&gt;0),1,0)</f>
        <v>0</v>
      </c>
      <c r="AZ15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5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5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5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5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5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5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5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5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5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5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5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5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50" s="405">
        <f>SUM(Input_Tasks[[#This Row],[R1 Business Hours]:[R1 After Hours]],Input_Tasks[[#This Row],[R2 Business Hours]:[R2 After Hours]],Input_Tasks[[#This Row],[R3 Business Hours]:[R3 After Hours]],Input_Tasks[[#This Row],[R4 Business Hours]:[R4 After Hours]],Input_Tasks[[#This Row],[R5 Business Hours]:[R5 After Hours]])</f>
        <v>0</v>
      </c>
    </row>
    <row r="151" spans="1:65">
      <c r="A151" s="384"/>
      <c r="B151" s="271"/>
      <c r="C151" s="271"/>
      <c r="D151" s="406"/>
      <c r="E151" s="385">
        <f>Input_Tasks[[#This Row],[Onsite Round Trips_Hidden]]</f>
        <v>0</v>
      </c>
      <c r="F151" s="385">
        <f>Input_Tasks[[#This Row],[Overnight Stays_Hidden]]</f>
        <v>0</v>
      </c>
      <c r="G151" s="385">
        <f>Input_Tasks[[#This Row],[Documents_Hidden]]</f>
        <v>0</v>
      </c>
      <c r="H151" s="387"/>
      <c r="I151" s="388"/>
      <c r="J151" s="389"/>
      <c r="K151" s="390"/>
      <c r="L151" s="390"/>
      <c r="M151" s="389"/>
      <c r="N151" s="390"/>
      <c r="O151" s="390"/>
      <c r="P151" s="389"/>
      <c r="Q151" s="390"/>
      <c r="R151" s="391"/>
      <c r="S151" s="389"/>
      <c r="T151" s="390"/>
      <c r="U151" s="391"/>
      <c r="V151" s="389"/>
      <c r="W151" s="390"/>
      <c r="X151" s="390"/>
      <c r="Y151" s="386" t="str">
        <f>Input_Tasks[[#This Row],[Onsite Round Trips_Hidden]]&amp;"/"&amp;Input_Tasks[[#This Row],[Overnight Stays_Hidden]]&amp;"/"&amp;Input_Tasks[[#This Row],[Documents_Hidden]]</f>
        <v>0/0/0</v>
      </c>
      <c r="Z151" s="392">
        <f>Input_Tasks[[#This Row],[R1 Cost_Hidden]]</f>
        <v>0</v>
      </c>
      <c r="AA151" s="393">
        <f>Input_Tasks[[#This Row],[R2 Cost_Hidden]]</f>
        <v>0</v>
      </c>
      <c r="AB151" s="393">
        <f>Input_Tasks[[#This Row],[R3 Cost_Hidden]]</f>
        <v>0</v>
      </c>
      <c r="AC151" s="393">
        <f>Input_Tasks[[#This Row],[R4 Cost_Hidden]]</f>
        <v>0</v>
      </c>
      <c r="AD151" s="394">
        <f>Input_Tasks[[#This Row],[R5 Cost_Hidden]]</f>
        <v>0</v>
      </c>
      <c r="AE151" s="395">
        <f>SUM(Input_Tasks[[#This Row],[R1 Cost]:[R5 Cost]])</f>
        <v>0</v>
      </c>
      <c r="AF151" s="392">
        <f>Input_Tasks[[#This Row],[R1 Sell_Hidden]]</f>
        <v>0</v>
      </c>
      <c r="AG151" s="393">
        <f>Input_Tasks[[#This Row],[R2 Sell_Hidden]]</f>
        <v>0</v>
      </c>
      <c r="AH151" s="393">
        <f>Input_Tasks[[#This Row],[R3 Sell_Hidden]]</f>
        <v>0</v>
      </c>
      <c r="AI151" s="393">
        <f>Input_Tasks[[#This Row],[R4 Sell_Hidden5]]</f>
        <v>0</v>
      </c>
      <c r="AJ151" s="394">
        <f>Input_Tasks[[#This Row],[R5 Sell_Hidden]]</f>
        <v>0</v>
      </c>
      <c r="AK151" s="396">
        <f>SUM(Input_Tasks[[#This Row],[R1 Sell]:[R5 Sell]])</f>
        <v>0</v>
      </c>
      <c r="AL151" s="397">
        <f>IFERROR(VLOOKUP(RESOURCE_1_TYPE,COST_RATES,2,FALSE)*Input_Tasks[[#This Row],[R1 Business Hours]],0)+IFERROR(VLOOKUP(RESOURCE_1_TYPE,COST_RATES,3,FALSE)*Input_Tasks[[#This Row],[R1 After Hours]],0)</f>
        <v>0</v>
      </c>
      <c r="AM151" s="398">
        <f>IFERROR(VLOOKUP(RESOURCE_2_TYPE,COST_RATES,2,FALSE)*Input_Tasks[[#This Row],[R2 Business Hours]],0)+IFERROR(VLOOKUP(RESOURCE_2_TYPE,COST_RATES,3,FALSE)*Input_Tasks[[#This Row],[R2 After Hours]],0)</f>
        <v>0</v>
      </c>
      <c r="AN151" s="398">
        <f>IFERROR(VLOOKUP(RESOURCE_3_TYPE,COST_RATES,2,FALSE)*Input_Tasks[[#This Row],[R3 Business Hours]],0)+IFERROR(VLOOKUP(RESOURCE_3_TYPE,COST_RATES,3,FALSE)*Input_Tasks[[#This Row],[R3 After Hours]],0)</f>
        <v>0</v>
      </c>
      <c r="AO151" s="398">
        <f>IFERROR(VLOOKUP(RESOURCE_4_TYPE,COST_RATES,2,FALSE)*Input_Tasks[[#This Row],[R4 Business Hours]],0)+IFERROR(VLOOKUP(RESOURCE_4_TYPE,COST_RATES,3,FALSE)*Input_Tasks[[#This Row],[R4 After Hours]],0)</f>
        <v>0</v>
      </c>
      <c r="AP151" s="398">
        <f>IFERROR(VLOOKUP(RESOURCE_5_TYPE,COST_RATES,2,FALSE)*Input_Tasks[[#This Row],[R5 Business Hours]],0)+IFERROR(VLOOKUP(RESOURCE_5_TYPE,COST_RATES,3,FALSE)*Input_Tasks[[#This Row],[R5 After Hours]],0)</f>
        <v>0</v>
      </c>
      <c r="AQ151" s="399">
        <f>IFERROR(VLOOKUP(RESOURCE_1_TYPE,SELL_RATES,2,FALSE)*Input_Tasks[[#This Row],[R1 Business Hours]],0)+IFERROR(VLOOKUP(RESOURCE_1_TYPE,SELL_RATES,3,FALSE)*Input_Tasks[[#This Row],[R1 After Hours]],0)</f>
        <v>0</v>
      </c>
      <c r="AR151" s="398">
        <f>IFERROR(VLOOKUP(RESOURCE_2_TYPE,SELL_RATES,2,FALSE)*Input_Tasks[[#This Row],[R2 Business Hours]],0)+IFERROR(VLOOKUP(RESOURCE_2_TYPE,SELL_RATES,3,FALSE)*Input_Tasks[[#This Row],[R2 After Hours]],0)</f>
        <v>0</v>
      </c>
      <c r="AS151" s="398">
        <f>IFERROR(VLOOKUP(RESOURCE_3_TYPE,SELL_RATES,2,FALSE)*Input_Tasks[[#This Row],[R3 Business Hours]],0)+IFERROR(VLOOKUP(RESOURCE_3_TYPE,SELL_RATES,3,FALSE)*Input_Tasks[[#This Row],[R3 After Hours]],0)</f>
        <v>0</v>
      </c>
      <c r="AT151" s="398">
        <f>IFERROR(VLOOKUP(RESOURCE_4_TYPE,SELL_RATES,2,FALSE)*Input_Tasks[[#This Row],[R4 Business Hours]],0)+IFERROR(VLOOKUP(RESOURCE_4_TYPE,SELL_RATES,3,FALSE)*Input_Tasks[[#This Row],[R4 After Hours]],0)</f>
        <v>0</v>
      </c>
      <c r="AU151" s="398">
        <f>IFERROR(VLOOKUP(RESOURCE_5_TYPE,SELL_RATES,2,FALSE)*Input_Tasks[[#This Row],[R5 Business Hours]],0)+IFERROR(VLOOKUP(RESOURCE_5_TYPE,SELL_RATES,3,FALSE)*Input_Tasks[[#This Row],[R5 After Hours]],0)</f>
        <v>0</v>
      </c>
      <c r="AV151" s="400">
        <f>SUM(Input_Tasks[[#This Row],[Round Trips R1]:[Round Trips R5]])</f>
        <v>0</v>
      </c>
      <c r="AW151" s="401">
        <f>SUM(Input_Tasks[[#This Row],[Overnight StaysR1]:[Overnight StaysR5]])</f>
        <v>0</v>
      </c>
      <c r="AX151" s="401">
        <f>IF(AND(Input_Tasks[[#This Row],[Sell - Line Total]]&gt;0,OR(Input_Tasks[[#This Row],[Phase]]="",Input_Tasks[[#This Row],[Skill Required]]="",Input_Tasks[[#This Row],[Task Type]]="",Input_Tasks[[#This Row],[Description]]="")),1,0)</f>
        <v>0</v>
      </c>
      <c r="AY151" s="402">
        <f>IF(AND(Input_Tasks[[#This Row],[Task Type]]="ArchiTech Document Deliverable",Input_Tasks[[#This Row],[Hours]]&gt;0),1,0)</f>
        <v>0</v>
      </c>
      <c r="AZ15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5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5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5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5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5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5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5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5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5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5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5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5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51" s="405">
        <f>SUM(Input_Tasks[[#This Row],[R1 Business Hours]:[R1 After Hours]],Input_Tasks[[#This Row],[R2 Business Hours]:[R2 After Hours]],Input_Tasks[[#This Row],[R3 Business Hours]:[R3 After Hours]],Input_Tasks[[#This Row],[R4 Business Hours]:[R4 After Hours]],Input_Tasks[[#This Row],[R5 Business Hours]:[R5 After Hours]])</f>
        <v>0</v>
      </c>
    </row>
    <row r="152" spans="1:65">
      <c r="A152" s="384"/>
      <c r="B152" s="271"/>
      <c r="C152" s="271"/>
      <c r="D152" s="406"/>
      <c r="E152" s="385">
        <f>Input_Tasks[[#This Row],[Onsite Round Trips_Hidden]]</f>
        <v>0</v>
      </c>
      <c r="F152" s="385">
        <f>Input_Tasks[[#This Row],[Overnight Stays_Hidden]]</f>
        <v>0</v>
      </c>
      <c r="G152" s="385">
        <f>Input_Tasks[[#This Row],[Documents_Hidden]]</f>
        <v>0</v>
      </c>
      <c r="H152" s="387"/>
      <c r="I152" s="388"/>
      <c r="J152" s="389"/>
      <c r="K152" s="390"/>
      <c r="L152" s="390"/>
      <c r="M152" s="389"/>
      <c r="N152" s="390"/>
      <c r="O152" s="390"/>
      <c r="P152" s="389"/>
      <c r="Q152" s="390"/>
      <c r="R152" s="391"/>
      <c r="S152" s="389"/>
      <c r="T152" s="390"/>
      <c r="U152" s="391"/>
      <c r="V152" s="389"/>
      <c r="W152" s="390"/>
      <c r="X152" s="390"/>
      <c r="Y152" s="386" t="str">
        <f>Input_Tasks[[#This Row],[Onsite Round Trips_Hidden]]&amp;"/"&amp;Input_Tasks[[#This Row],[Overnight Stays_Hidden]]&amp;"/"&amp;Input_Tasks[[#This Row],[Documents_Hidden]]</f>
        <v>0/0/0</v>
      </c>
      <c r="Z152" s="392">
        <f>Input_Tasks[[#This Row],[R1 Cost_Hidden]]</f>
        <v>0</v>
      </c>
      <c r="AA152" s="393">
        <f>Input_Tasks[[#This Row],[R2 Cost_Hidden]]</f>
        <v>0</v>
      </c>
      <c r="AB152" s="393">
        <f>Input_Tasks[[#This Row],[R3 Cost_Hidden]]</f>
        <v>0</v>
      </c>
      <c r="AC152" s="393">
        <f>Input_Tasks[[#This Row],[R4 Cost_Hidden]]</f>
        <v>0</v>
      </c>
      <c r="AD152" s="394">
        <f>Input_Tasks[[#This Row],[R5 Cost_Hidden]]</f>
        <v>0</v>
      </c>
      <c r="AE152" s="395">
        <f>SUM(Input_Tasks[[#This Row],[R1 Cost]:[R5 Cost]])</f>
        <v>0</v>
      </c>
      <c r="AF152" s="392">
        <f>Input_Tasks[[#This Row],[R1 Sell_Hidden]]</f>
        <v>0</v>
      </c>
      <c r="AG152" s="393">
        <f>Input_Tasks[[#This Row],[R2 Sell_Hidden]]</f>
        <v>0</v>
      </c>
      <c r="AH152" s="393">
        <f>Input_Tasks[[#This Row],[R3 Sell_Hidden]]</f>
        <v>0</v>
      </c>
      <c r="AI152" s="393">
        <f>Input_Tasks[[#This Row],[R4 Sell_Hidden5]]</f>
        <v>0</v>
      </c>
      <c r="AJ152" s="394">
        <f>Input_Tasks[[#This Row],[R5 Sell_Hidden]]</f>
        <v>0</v>
      </c>
      <c r="AK152" s="396">
        <f>SUM(Input_Tasks[[#This Row],[R1 Sell]:[R5 Sell]])</f>
        <v>0</v>
      </c>
      <c r="AL152" s="397">
        <f>IFERROR(VLOOKUP(RESOURCE_1_TYPE,COST_RATES,2,FALSE)*Input_Tasks[[#This Row],[R1 Business Hours]],0)+IFERROR(VLOOKUP(RESOURCE_1_TYPE,COST_RATES,3,FALSE)*Input_Tasks[[#This Row],[R1 After Hours]],0)</f>
        <v>0</v>
      </c>
      <c r="AM152" s="398">
        <f>IFERROR(VLOOKUP(RESOURCE_2_TYPE,COST_RATES,2,FALSE)*Input_Tasks[[#This Row],[R2 Business Hours]],0)+IFERROR(VLOOKUP(RESOURCE_2_TYPE,COST_RATES,3,FALSE)*Input_Tasks[[#This Row],[R2 After Hours]],0)</f>
        <v>0</v>
      </c>
      <c r="AN152" s="398">
        <f>IFERROR(VLOOKUP(RESOURCE_3_TYPE,COST_RATES,2,FALSE)*Input_Tasks[[#This Row],[R3 Business Hours]],0)+IFERROR(VLOOKUP(RESOURCE_3_TYPE,COST_RATES,3,FALSE)*Input_Tasks[[#This Row],[R3 After Hours]],0)</f>
        <v>0</v>
      </c>
      <c r="AO152" s="398">
        <f>IFERROR(VLOOKUP(RESOURCE_4_TYPE,COST_RATES,2,FALSE)*Input_Tasks[[#This Row],[R4 Business Hours]],0)+IFERROR(VLOOKUP(RESOURCE_4_TYPE,COST_RATES,3,FALSE)*Input_Tasks[[#This Row],[R4 After Hours]],0)</f>
        <v>0</v>
      </c>
      <c r="AP152" s="398">
        <f>IFERROR(VLOOKUP(RESOURCE_5_TYPE,COST_RATES,2,FALSE)*Input_Tasks[[#This Row],[R5 Business Hours]],0)+IFERROR(VLOOKUP(RESOURCE_5_TYPE,COST_RATES,3,FALSE)*Input_Tasks[[#This Row],[R5 After Hours]],0)</f>
        <v>0</v>
      </c>
      <c r="AQ152" s="399">
        <f>IFERROR(VLOOKUP(RESOURCE_1_TYPE,SELL_RATES,2,FALSE)*Input_Tasks[[#This Row],[R1 Business Hours]],0)+IFERROR(VLOOKUP(RESOURCE_1_TYPE,SELL_RATES,3,FALSE)*Input_Tasks[[#This Row],[R1 After Hours]],0)</f>
        <v>0</v>
      </c>
      <c r="AR152" s="398">
        <f>IFERROR(VLOOKUP(RESOURCE_2_TYPE,SELL_RATES,2,FALSE)*Input_Tasks[[#This Row],[R2 Business Hours]],0)+IFERROR(VLOOKUP(RESOURCE_2_TYPE,SELL_RATES,3,FALSE)*Input_Tasks[[#This Row],[R2 After Hours]],0)</f>
        <v>0</v>
      </c>
      <c r="AS152" s="398">
        <f>IFERROR(VLOOKUP(RESOURCE_3_TYPE,SELL_RATES,2,FALSE)*Input_Tasks[[#This Row],[R3 Business Hours]],0)+IFERROR(VLOOKUP(RESOURCE_3_TYPE,SELL_RATES,3,FALSE)*Input_Tasks[[#This Row],[R3 After Hours]],0)</f>
        <v>0</v>
      </c>
      <c r="AT152" s="398">
        <f>IFERROR(VLOOKUP(RESOURCE_4_TYPE,SELL_RATES,2,FALSE)*Input_Tasks[[#This Row],[R4 Business Hours]],0)+IFERROR(VLOOKUP(RESOURCE_4_TYPE,SELL_RATES,3,FALSE)*Input_Tasks[[#This Row],[R4 After Hours]],0)</f>
        <v>0</v>
      </c>
      <c r="AU152" s="398">
        <f>IFERROR(VLOOKUP(RESOURCE_5_TYPE,SELL_RATES,2,FALSE)*Input_Tasks[[#This Row],[R5 Business Hours]],0)+IFERROR(VLOOKUP(RESOURCE_5_TYPE,SELL_RATES,3,FALSE)*Input_Tasks[[#This Row],[R5 After Hours]],0)</f>
        <v>0</v>
      </c>
      <c r="AV152" s="400">
        <f>SUM(Input_Tasks[[#This Row],[Round Trips R1]:[Round Trips R5]])</f>
        <v>0</v>
      </c>
      <c r="AW152" s="401">
        <f>SUM(Input_Tasks[[#This Row],[Overnight StaysR1]:[Overnight StaysR5]])</f>
        <v>0</v>
      </c>
      <c r="AX152" s="401">
        <f>IF(AND(Input_Tasks[[#This Row],[Sell - Line Total]]&gt;0,OR(Input_Tasks[[#This Row],[Phase]]="",Input_Tasks[[#This Row],[Skill Required]]="",Input_Tasks[[#This Row],[Task Type]]="",Input_Tasks[[#This Row],[Description]]="")),1,0)</f>
        <v>0</v>
      </c>
      <c r="AY152" s="402">
        <f>IF(AND(Input_Tasks[[#This Row],[Task Type]]="ArchiTech Document Deliverable",Input_Tasks[[#This Row],[Hours]]&gt;0),1,0)</f>
        <v>0</v>
      </c>
      <c r="AZ15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5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5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5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5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5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5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5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5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5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5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5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5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52" s="405">
        <f>SUM(Input_Tasks[[#This Row],[R1 Business Hours]:[R1 After Hours]],Input_Tasks[[#This Row],[R2 Business Hours]:[R2 After Hours]],Input_Tasks[[#This Row],[R3 Business Hours]:[R3 After Hours]],Input_Tasks[[#This Row],[R4 Business Hours]:[R4 After Hours]],Input_Tasks[[#This Row],[R5 Business Hours]:[R5 After Hours]])</f>
        <v>0</v>
      </c>
    </row>
    <row r="153" spans="1:65">
      <c r="A153" s="384"/>
      <c r="B153" s="271"/>
      <c r="C153" s="271"/>
      <c r="D153" s="406"/>
      <c r="E153" s="385">
        <f>Input_Tasks[[#This Row],[Onsite Round Trips_Hidden]]</f>
        <v>0</v>
      </c>
      <c r="F153" s="385">
        <f>Input_Tasks[[#This Row],[Overnight Stays_Hidden]]</f>
        <v>0</v>
      </c>
      <c r="G153" s="385">
        <f>Input_Tasks[[#This Row],[Documents_Hidden]]</f>
        <v>0</v>
      </c>
      <c r="H153" s="387"/>
      <c r="I153" s="388"/>
      <c r="J153" s="389"/>
      <c r="K153" s="390"/>
      <c r="L153" s="390"/>
      <c r="M153" s="389"/>
      <c r="N153" s="390"/>
      <c r="O153" s="390"/>
      <c r="P153" s="389"/>
      <c r="Q153" s="390"/>
      <c r="R153" s="391"/>
      <c r="S153" s="389"/>
      <c r="T153" s="390"/>
      <c r="U153" s="391"/>
      <c r="V153" s="389"/>
      <c r="W153" s="390"/>
      <c r="X153" s="390"/>
      <c r="Y153" s="386" t="str">
        <f>Input_Tasks[[#This Row],[Onsite Round Trips_Hidden]]&amp;"/"&amp;Input_Tasks[[#This Row],[Overnight Stays_Hidden]]&amp;"/"&amp;Input_Tasks[[#This Row],[Documents_Hidden]]</f>
        <v>0/0/0</v>
      </c>
      <c r="Z153" s="392">
        <f>Input_Tasks[[#This Row],[R1 Cost_Hidden]]</f>
        <v>0</v>
      </c>
      <c r="AA153" s="393">
        <f>Input_Tasks[[#This Row],[R2 Cost_Hidden]]</f>
        <v>0</v>
      </c>
      <c r="AB153" s="393">
        <f>Input_Tasks[[#This Row],[R3 Cost_Hidden]]</f>
        <v>0</v>
      </c>
      <c r="AC153" s="393">
        <f>Input_Tasks[[#This Row],[R4 Cost_Hidden]]</f>
        <v>0</v>
      </c>
      <c r="AD153" s="394">
        <f>Input_Tasks[[#This Row],[R5 Cost_Hidden]]</f>
        <v>0</v>
      </c>
      <c r="AE153" s="395">
        <f>SUM(Input_Tasks[[#This Row],[R1 Cost]:[R5 Cost]])</f>
        <v>0</v>
      </c>
      <c r="AF153" s="392">
        <f>Input_Tasks[[#This Row],[R1 Sell_Hidden]]</f>
        <v>0</v>
      </c>
      <c r="AG153" s="393">
        <f>Input_Tasks[[#This Row],[R2 Sell_Hidden]]</f>
        <v>0</v>
      </c>
      <c r="AH153" s="393">
        <f>Input_Tasks[[#This Row],[R3 Sell_Hidden]]</f>
        <v>0</v>
      </c>
      <c r="AI153" s="393">
        <f>Input_Tasks[[#This Row],[R4 Sell_Hidden5]]</f>
        <v>0</v>
      </c>
      <c r="AJ153" s="394">
        <f>Input_Tasks[[#This Row],[R5 Sell_Hidden]]</f>
        <v>0</v>
      </c>
      <c r="AK153" s="396">
        <f>SUM(Input_Tasks[[#This Row],[R1 Sell]:[R5 Sell]])</f>
        <v>0</v>
      </c>
      <c r="AL153" s="397">
        <f>IFERROR(VLOOKUP(RESOURCE_1_TYPE,COST_RATES,2,FALSE)*Input_Tasks[[#This Row],[R1 Business Hours]],0)+IFERROR(VLOOKUP(RESOURCE_1_TYPE,COST_RATES,3,FALSE)*Input_Tasks[[#This Row],[R1 After Hours]],0)</f>
        <v>0</v>
      </c>
      <c r="AM153" s="398">
        <f>IFERROR(VLOOKUP(RESOURCE_2_TYPE,COST_RATES,2,FALSE)*Input_Tasks[[#This Row],[R2 Business Hours]],0)+IFERROR(VLOOKUP(RESOURCE_2_TYPE,COST_RATES,3,FALSE)*Input_Tasks[[#This Row],[R2 After Hours]],0)</f>
        <v>0</v>
      </c>
      <c r="AN153" s="398">
        <f>IFERROR(VLOOKUP(RESOURCE_3_TYPE,COST_RATES,2,FALSE)*Input_Tasks[[#This Row],[R3 Business Hours]],0)+IFERROR(VLOOKUP(RESOURCE_3_TYPE,COST_RATES,3,FALSE)*Input_Tasks[[#This Row],[R3 After Hours]],0)</f>
        <v>0</v>
      </c>
      <c r="AO153" s="398">
        <f>IFERROR(VLOOKUP(RESOURCE_4_TYPE,COST_RATES,2,FALSE)*Input_Tasks[[#This Row],[R4 Business Hours]],0)+IFERROR(VLOOKUP(RESOURCE_4_TYPE,COST_RATES,3,FALSE)*Input_Tasks[[#This Row],[R4 After Hours]],0)</f>
        <v>0</v>
      </c>
      <c r="AP153" s="398">
        <f>IFERROR(VLOOKUP(RESOURCE_5_TYPE,COST_RATES,2,FALSE)*Input_Tasks[[#This Row],[R5 Business Hours]],0)+IFERROR(VLOOKUP(RESOURCE_5_TYPE,COST_RATES,3,FALSE)*Input_Tasks[[#This Row],[R5 After Hours]],0)</f>
        <v>0</v>
      </c>
      <c r="AQ153" s="399">
        <f>IFERROR(VLOOKUP(RESOURCE_1_TYPE,SELL_RATES,2,FALSE)*Input_Tasks[[#This Row],[R1 Business Hours]],0)+IFERROR(VLOOKUP(RESOURCE_1_TYPE,SELL_RATES,3,FALSE)*Input_Tasks[[#This Row],[R1 After Hours]],0)</f>
        <v>0</v>
      </c>
      <c r="AR153" s="398">
        <f>IFERROR(VLOOKUP(RESOURCE_2_TYPE,SELL_RATES,2,FALSE)*Input_Tasks[[#This Row],[R2 Business Hours]],0)+IFERROR(VLOOKUP(RESOURCE_2_TYPE,SELL_RATES,3,FALSE)*Input_Tasks[[#This Row],[R2 After Hours]],0)</f>
        <v>0</v>
      </c>
      <c r="AS153" s="398">
        <f>IFERROR(VLOOKUP(RESOURCE_3_TYPE,SELL_RATES,2,FALSE)*Input_Tasks[[#This Row],[R3 Business Hours]],0)+IFERROR(VLOOKUP(RESOURCE_3_TYPE,SELL_RATES,3,FALSE)*Input_Tasks[[#This Row],[R3 After Hours]],0)</f>
        <v>0</v>
      </c>
      <c r="AT153" s="398">
        <f>IFERROR(VLOOKUP(RESOURCE_4_TYPE,SELL_RATES,2,FALSE)*Input_Tasks[[#This Row],[R4 Business Hours]],0)+IFERROR(VLOOKUP(RESOURCE_4_TYPE,SELL_RATES,3,FALSE)*Input_Tasks[[#This Row],[R4 After Hours]],0)</f>
        <v>0</v>
      </c>
      <c r="AU153" s="398">
        <f>IFERROR(VLOOKUP(RESOURCE_5_TYPE,SELL_RATES,2,FALSE)*Input_Tasks[[#This Row],[R5 Business Hours]],0)+IFERROR(VLOOKUP(RESOURCE_5_TYPE,SELL_RATES,3,FALSE)*Input_Tasks[[#This Row],[R5 After Hours]],0)</f>
        <v>0</v>
      </c>
      <c r="AV153" s="400">
        <f>SUM(Input_Tasks[[#This Row],[Round Trips R1]:[Round Trips R5]])</f>
        <v>0</v>
      </c>
      <c r="AW153" s="401">
        <f>SUM(Input_Tasks[[#This Row],[Overnight StaysR1]:[Overnight StaysR5]])</f>
        <v>0</v>
      </c>
      <c r="AX153" s="401">
        <f>IF(AND(Input_Tasks[[#This Row],[Sell - Line Total]]&gt;0,OR(Input_Tasks[[#This Row],[Phase]]="",Input_Tasks[[#This Row],[Skill Required]]="",Input_Tasks[[#This Row],[Task Type]]="",Input_Tasks[[#This Row],[Description]]="")),1,0)</f>
        <v>0</v>
      </c>
      <c r="AY153" s="402">
        <f>IF(AND(Input_Tasks[[#This Row],[Task Type]]="ArchiTech Document Deliverable",Input_Tasks[[#This Row],[Hours]]&gt;0),1,0)</f>
        <v>0</v>
      </c>
      <c r="AZ15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5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5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5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5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5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5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5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5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5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5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5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5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53" s="405">
        <f>SUM(Input_Tasks[[#This Row],[R1 Business Hours]:[R1 After Hours]],Input_Tasks[[#This Row],[R2 Business Hours]:[R2 After Hours]],Input_Tasks[[#This Row],[R3 Business Hours]:[R3 After Hours]],Input_Tasks[[#This Row],[R4 Business Hours]:[R4 After Hours]],Input_Tasks[[#This Row],[R5 Business Hours]:[R5 After Hours]])</f>
        <v>0</v>
      </c>
    </row>
    <row r="154" spans="1:65">
      <c r="A154" s="384"/>
      <c r="B154" s="271"/>
      <c r="C154" s="271"/>
      <c r="D154" s="406"/>
      <c r="E154" s="385">
        <f>Input_Tasks[[#This Row],[Onsite Round Trips_Hidden]]</f>
        <v>0</v>
      </c>
      <c r="F154" s="385">
        <f>Input_Tasks[[#This Row],[Overnight Stays_Hidden]]</f>
        <v>0</v>
      </c>
      <c r="G154" s="385">
        <f>Input_Tasks[[#This Row],[Documents_Hidden]]</f>
        <v>0</v>
      </c>
      <c r="H154" s="387"/>
      <c r="I154" s="388"/>
      <c r="J154" s="389"/>
      <c r="K154" s="390"/>
      <c r="L154" s="390"/>
      <c r="M154" s="389"/>
      <c r="N154" s="390"/>
      <c r="O154" s="390"/>
      <c r="P154" s="389"/>
      <c r="Q154" s="390"/>
      <c r="R154" s="391"/>
      <c r="S154" s="389"/>
      <c r="T154" s="390"/>
      <c r="U154" s="391"/>
      <c r="V154" s="389"/>
      <c r="W154" s="390"/>
      <c r="X154" s="390"/>
      <c r="Y154" s="386" t="str">
        <f>Input_Tasks[[#This Row],[Onsite Round Trips_Hidden]]&amp;"/"&amp;Input_Tasks[[#This Row],[Overnight Stays_Hidden]]&amp;"/"&amp;Input_Tasks[[#This Row],[Documents_Hidden]]</f>
        <v>0/0/0</v>
      </c>
      <c r="Z154" s="392">
        <f>Input_Tasks[[#This Row],[R1 Cost_Hidden]]</f>
        <v>0</v>
      </c>
      <c r="AA154" s="393">
        <f>Input_Tasks[[#This Row],[R2 Cost_Hidden]]</f>
        <v>0</v>
      </c>
      <c r="AB154" s="393">
        <f>Input_Tasks[[#This Row],[R3 Cost_Hidden]]</f>
        <v>0</v>
      </c>
      <c r="AC154" s="393">
        <f>Input_Tasks[[#This Row],[R4 Cost_Hidden]]</f>
        <v>0</v>
      </c>
      <c r="AD154" s="394">
        <f>Input_Tasks[[#This Row],[R5 Cost_Hidden]]</f>
        <v>0</v>
      </c>
      <c r="AE154" s="395">
        <f>SUM(Input_Tasks[[#This Row],[R1 Cost]:[R5 Cost]])</f>
        <v>0</v>
      </c>
      <c r="AF154" s="392">
        <f>Input_Tasks[[#This Row],[R1 Sell_Hidden]]</f>
        <v>0</v>
      </c>
      <c r="AG154" s="393">
        <f>Input_Tasks[[#This Row],[R2 Sell_Hidden]]</f>
        <v>0</v>
      </c>
      <c r="AH154" s="393">
        <f>Input_Tasks[[#This Row],[R3 Sell_Hidden]]</f>
        <v>0</v>
      </c>
      <c r="AI154" s="393">
        <f>Input_Tasks[[#This Row],[R4 Sell_Hidden5]]</f>
        <v>0</v>
      </c>
      <c r="AJ154" s="394">
        <f>Input_Tasks[[#This Row],[R5 Sell_Hidden]]</f>
        <v>0</v>
      </c>
      <c r="AK154" s="396">
        <f>SUM(Input_Tasks[[#This Row],[R1 Sell]:[R5 Sell]])</f>
        <v>0</v>
      </c>
      <c r="AL154" s="397">
        <f>IFERROR(VLOOKUP(RESOURCE_1_TYPE,COST_RATES,2,FALSE)*Input_Tasks[[#This Row],[R1 Business Hours]],0)+IFERROR(VLOOKUP(RESOURCE_1_TYPE,COST_RATES,3,FALSE)*Input_Tasks[[#This Row],[R1 After Hours]],0)</f>
        <v>0</v>
      </c>
      <c r="AM154" s="398">
        <f>IFERROR(VLOOKUP(RESOURCE_2_TYPE,COST_RATES,2,FALSE)*Input_Tasks[[#This Row],[R2 Business Hours]],0)+IFERROR(VLOOKUP(RESOURCE_2_TYPE,COST_RATES,3,FALSE)*Input_Tasks[[#This Row],[R2 After Hours]],0)</f>
        <v>0</v>
      </c>
      <c r="AN154" s="398">
        <f>IFERROR(VLOOKUP(RESOURCE_3_TYPE,COST_RATES,2,FALSE)*Input_Tasks[[#This Row],[R3 Business Hours]],0)+IFERROR(VLOOKUP(RESOURCE_3_TYPE,COST_RATES,3,FALSE)*Input_Tasks[[#This Row],[R3 After Hours]],0)</f>
        <v>0</v>
      </c>
      <c r="AO154" s="398">
        <f>IFERROR(VLOOKUP(RESOURCE_4_TYPE,COST_RATES,2,FALSE)*Input_Tasks[[#This Row],[R4 Business Hours]],0)+IFERROR(VLOOKUP(RESOURCE_4_TYPE,COST_RATES,3,FALSE)*Input_Tasks[[#This Row],[R4 After Hours]],0)</f>
        <v>0</v>
      </c>
      <c r="AP154" s="398">
        <f>IFERROR(VLOOKUP(RESOURCE_5_TYPE,COST_RATES,2,FALSE)*Input_Tasks[[#This Row],[R5 Business Hours]],0)+IFERROR(VLOOKUP(RESOURCE_5_TYPE,COST_RATES,3,FALSE)*Input_Tasks[[#This Row],[R5 After Hours]],0)</f>
        <v>0</v>
      </c>
      <c r="AQ154" s="399">
        <f>IFERROR(VLOOKUP(RESOURCE_1_TYPE,SELL_RATES,2,FALSE)*Input_Tasks[[#This Row],[R1 Business Hours]],0)+IFERROR(VLOOKUP(RESOURCE_1_TYPE,SELL_RATES,3,FALSE)*Input_Tasks[[#This Row],[R1 After Hours]],0)</f>
        <v>0</v>
      </c>
      <c r="AR154" s="398">
        <f>IFERROR(VLOOKUP(RESOURCE_2_TYPE,SELL_RATES,2,FALSE)*Input_Tasks[[#This Row],[R2 Business Hours]],0)+IFERROR(VLOOKUP(RESOURCE_2_TYPE,SELL_RATES,3,FALSE)*Input_Tasks[[#This Row],[R2 After Hours]],0)</f>
        <v>0</v>
      </c>
      <c r="AS154" s="398">
        <f>IFERROR(VLOOKUP(RESOURCE_3_TYPE,SELL_RATES,2,FALSE)*Input_Tasks[[#This Row],[R3 Business Hours]],0)+IFERROR(VLOOKUP(RESOURCE_3_TYPE,SELL_RATES,3,FALSE)*Input_Tasks[[#This Row],[R3 After Hours]],0)</f>
        <v>0</v>
      </c>
      <c r="AT154" s="398">
        <f>IFERROR(VLOOKUP(RESOURCE_4_TYPE,SELL_RATES,2,FALSE)*Input_Tasks[[#This Row],[R4 Business Hours]],0)+IFERROR(VLOOKUP(RESOURCE_4_TYPE,SELL_RATES,3,FALSE)*Input_Tasks[[#This Row],[R4 After Hours]],0)</f>
        <v>0</v>
      </c>
      <c r="AU154" s="398">
        <f>IFERROR(VLOOKUP(RESOURCE_5_TYPE,SELL_RATES,2,FALSE)*Input_Tasks[[#This Row],[R5 Business Hours]],0)+IFERROR(VLOOKUP(RESOURCE_5_TYPE,SELL_RATES,3,FALSE)*Input_Tasks[[#This Row],[R5 After Hours]],0)</f>
        <v>0</v>
      </c>
      <c r="AV154" s="400">
        <f>SUM(Input_Tasks[[#This Row],[Round Trips R1]:[Round Trips R5]])</f>
        <v>0</v>
      </c>
      <c r="AW154" s="401">
        <f>SUM(Input_Tasks[[#This Row],[Overnight StaysR1]:[Overnight StaysR5]])</f>
        <v>0</v>
      </c>
      <c r="AX154" s="401">
        <f>IF(AND(Input_Tasks[[#This Row],[Sell - Line Total]]&gt;0,OR(Input_Tasks[[#This Row],[Phase]]="",Input_Tasks[[#This Row],[Skill Required]]="",Input_Tasks[[#This Row],[Task Type]]="",Input_Tasks[[#This Row],[Description]]="")),1,0)</f>
        <v>0</v>
      </c>
      <c r="AY154" s="402">
        <f>IF(AND(Input_Tasks[[#This Row],[Task Type]]="ArchiTech Document Deliverable",Input_Tasks[[#This Row],[Hours]]&gt;0),1,0)</f>
        <v>0</v>
      </c>
      <c r="AZ15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5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5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5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5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5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5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5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5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5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5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5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5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54" s="405">
        <f>SUM(Input_Tasks[[#This Row],[R1 Business Hours]:[R1 After Hours]],Input_Tasks[[#This Row],[R2 Business Hours]:[R2 After Hours]],Input_Tasks[[#This Row],[R3 Business Hours]:[R3 After Hours]],Input_Tasks[[#This Row],[R4 Business Hours]:[R4 After Hours]],Input_Tasks[[#This Row],[R5 Business Hours]:[R5 After Hours]])</f>
        <v>0</v>
      </c>
    </row>
    <row r="155" spans="1:65">
      <c r="A155" s="384"/>
      <c r="B155" s="271"/>
      <c r="C155" s="271"/>
      <c r="D155" s="406"/>
      <c r="E155" s="385">
        <f>Input_Tasks[[#This Row],[Onsite Round Trips_Hidden]]</f>
        <v>0</v>
      </c>
      <c r="F155" s="385">
        <f>Input_Tasks[[#This Row],[Overnight Stays_Hidden]]</f>
        <v>0</v>
      </c>
      <c r="G155" s="385">
        <f>Input_Tasks[[#This Row],[Documents_Hidden]]</f>
        <v>0</v>
      </c>
      <c r="H155" s="387"/>
      <c r="I155" s="388"/>
      <c r="J155" s="389"/>
      <c r="K155" s="390"/>
      <c r="L155" s="390"/>
      <c r="M155" s="389"/>
      <c r="N155" s="390"/>
      <c r="O155" s="390"/>
      <c r="P155" s="389"/>
      <c r="Q155" s="390"/>
      <c r="R155" s="391"/>
      <c r="S155" s="389"/>
      <c r="T155" s="390"/>
      <c r="U155" s="391"/>
      <c r="V155" s="389"/>
      <c r="W155" s="390"/>
      <c r="X155" s="390"/>
      <c r="Y155" s="386" t="str">
        <f>Input_Tasks[[#This Row],[Onsite Round Trips_Hidden]]&amp;"/"&amp;Input_Tasks[[#This Row],[Overnight Stays_Hidden]]&amp;"/"&amp;Input_Tasks[[#This Row],[Documents_Hidden]]</f>
        <v>0/0/0</v>
      </c>
      <c r="Z155" s="392">
        <f>Input_Tasks[[#This Row],[R1 Cost_Hidden]]</f>
        <v>0</v>
      </c>
      <c r="AA155" s="393">
        <f>Input_Tasks[[#This Row],[R2 Cost_Hidden]]</f>
        <v>0</v>
      </c>
      <c r="AB155" s="393">
        <f>Input_Tasks[[#This Row],[R3 Cost_Hidden]]</f>
        <v>0</v>
      </c>
      <c r="AC155" s="393">
        <f>Input_Tasks[[#This Row],[R4 Cost_Hidden]]</f>
        <v>0</v>
      </c>
      <c r="AD155" s="394">
        <f>Input_Tasks[[#This Row],[R5 Cost_Hidden]]</f>
        <v>0</v>
      </c>
      <c r="AE155" s="395">
        <f>SUM(Input_Tasks[[#This Row],[R1 Cost]:[R5 Cost]])</f>
        <v>0</v>
      </c>
      <c r="AF155" s="392">
        <f>Input_Tasks[[#This Row],[R1 Sell_Hidden]]</f>
        <v>0</v>
      </c>
      <c r="AG155" s="393">
        <f>Input_Tasks[[#This Row],[R2 Sell_Hidden]]</f>
        <v>0</v>
      </c>
      <c r="AH155" s="393">
        <f>Input_Tasks[[#This Row],[R3 Sell_Hidden]]</f>
        <v>0</v>
      </c>
      <c r="AI155" s="393">
        <f>Input_Tasks[[#This Row],[R4 Sell_Hidden5]]</f>
        <v>0</v>
      </c>
      <c r="AJ155" s="394">
        <f>Input_Tasks[[#This Row],[R5 Sell_Hidden]]</f>
        <v>0</v>
      </c>
      <c r="AK155" s="396">
        <f>SUM(Input_Tasks[[#This Row],[R1 Sell]:[R5 Sell]])</f>
        <v>0</v>
      </c>
      <c r="AL155" s="397">
        <f>IFERROR(VLOOKUP(RESOURCE_1_TYPE,COST_RATES,2,FALSE)*Input_Tasks[[#This Row],[R1 Business Hours]],0)+IFERROR(VLOOKUP(RESOURCE_1_TYPE,COST_RATES,3,FALSE)*Input_Tasks[[#This Row],[R1 After Hours]],0)</f>
        <v>0</v>
      </c>
      <c r="AM155" s="398">
        <f>IFERROR(VLOOKUP(RESOURCE_2_TYPE,COST_RATES,2,FALSE)*Input_Tasks[[#This Row],[R2 Business Hours]],0)+IFERROR(VLOOKUP(RESOURCE_2_TYPE,COST_RATES,3,FALSE)*Input_Tasks[[#This Row],[R2 After Hours]],0)</f>
        <v>0</v>
      </c>
      <c r="AN155" s="398">
        <f>IFERROR(VLOOKUP(RESOURCE_3_TYPE,COST_RATES,2,FALSE)*Input_Tasks[[#This Row],[R3 Business Hours]],0)+IFERROR(VLOOKUP(RESOURCE_3_TYPE,COST_RATES,3,FALSE)*Input_Tasks[[#This Row],[R3 After Hours]],0)</f>
        <v>0</v>
      </c>
      <c r="AO155" s="398">
        <f>IFERROR(VLOOKUP(RESOURCE_4_TYPE,COST_RATES,2,FALSE)*Input_Tasks[[#This Row],[R4 Business Hours]],0)+IFERROR(VLOOKUP(RESOURCE_4_TYPE,COST_RATES,3,FALSE)*Input_Tasks[[#This Row],[R4 After Hours]],0)</f>
        <v>0</v>
      </c>
      <c r="AP155" s="398">
        <f>IFERROR(VLOOKUP(RESOURCE_5_TYPE,COST_RATES,2,FALSE)*Input_Tasks[[#This Row],[R5 Business Hours]],0)+IFERROR(VLOOKUP(RESOURCE_5_TYPE,COST_RATES,3,FALSE)*Input_Tasks[[#This Row],[R5 After Hours]],0)</f>
        <v>0</v>
      </c>
      <c r="AQ155" s="399">
        <f>IFERROR(VLOOKUP(RESOURCE_1_TYPE,SELL_RATES,2,FALSE)*Input_Tasks[[#This Row],[R1 Business Hours]],0)+IFERROR(VLOOKUP(RESOURCE_1_TYPE,SELL_RATES,3,FALSE)*Input_Tasks[[#This Row],[R1 After Hours]],0)</f>
        <v>0</v>
      </c>
      <c r="AR155" s="398">
        <f>IFERROR(VLOOKUP(RESOURCE_2_TYPE,SELL_RATES,2,FALSE)*Input_Tasks[[#This Row],[R2 Business Hours]],0)+IFERROR(VLOOKUP(RESOURCE_2_TYPE,SELL_RATES,3,FALSE)*Input_Tasks[[#This Row],[R2 After Hours]],0)</f>
        <v>0</v>
      </c>
      <c r="AS155" s="398">
        <f>IFERROR(VLOOKUP(RESOURCE_3_TYPE,SELL_RATES,2,FALSE)*Input_Tasks[[#This Row],[R3 Business Hours]],0)+IFERROR(VLOOKUP(RESOURCE_3_TYPE,SELL_RATES,3,FALSE)*Input_Tasks[[#This Row],[R3 After Hours]],0)</f>
        <v>0</v>
      </c>
      <c r="AT155" s="398">
        <f>IFERROR(VLOOKUP(RESOURCE_4_TYPE,SELL_RATES,2,FALSE)*Input_Tasks[[#This Row],[R4 Business Hours]],0)+IFERROR(VLOOKUP(RESOURCE_4_TYPE,SELL_RATES,3,FALSE)*Input_Tasks[[#This Row],[R4 After Hours]],0)</f>
        <v>0</v>
      </c>
      <c r="AU155" s="398">
        <f>IFERROR(VLOOKUP(RESOURCE_5_TYPE,SELL_RATES,2,FALSE)*Input_Tasks[[#This Row],[R5 Business Hours]],0)+IFERROR(VLOOKUP(RESOURCE_5_TYPE,SELL_RATES,3,FALSE)*Input_Tasks[[#This Row],[R5 After Hours]],0)</f>
        <v>0</v>
      </c>
      <c r="AV155" s="400">
        <f>SUM(Input_Tasks[[#This Row],[Round Trips R1]:[Round Trips R5]])</f>
        <v>0</v>
      </c>
      <c r="AW155" s="401">
        <f>SUM(Input_Tasks[[#This Row],[Overnight StaysR1]:[Overnight StaysR5]])</f>
        <v>0</v>
      </c>
      <c r="AX155" s="401">
        <f>IF(AND(Input_Tasks[[#This Row],[Sell - Line Total]]&gt;0,OR(Input_Tasks[[#This Row],[Phase]]="",Input_Tasks[[#This Row],[Skill Required]]="",Input_Tasks[[#This Row],[Task Type]]="",Input_Tasks[[#This Row],[Description]]="")),1,0)</f>
        <v>0</v>
      </c>
      <c r="AY155" s="402">
        <f>IF(AND(Input_Tasks[[#This Row],[Task Type]]="ArchiTech Document Deliverable",Input_Tasks[[#This Row],[Hours]]&gt;0),1,0)</f>
        <v>0</v>
      </c>
      <c r="AZ15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5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5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5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5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5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5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5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5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5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5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5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5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55" s="405">
        <f>SUM(Input_Tasks[[#This Row],[R1 Business Hours]:[R1 After Hours]],Input_Tasks[[#This Row],[R2 Business Hours]:[R2 After Hours]],Input_Tasks[[#This Row],[R3 Business Hours]:[R3 After Hours]],Input_Tasks[[#This Row],[R4 Business Hours]:[R4 After Hours]],Input_Tasks[[#This Row],[R5 Business Hours]:[R5 After Hours]])</f>
        <v>0</v>
      </c>
    </row>
    <row r="156" spans="1:65">
      <c r="A156" s="384"/>
      <c r="B156" s="271"/>
      <c r="C156" s="271"/>
      <c r="D156" s="406"/>
      <c r="E156" s="385">
        <f>Input_Tasks[[#This Row],[Onsite Round Trips_Hidden]]</f>
        <v>0</v>
      </c>
      <c r="F156" s="385">
        <f>Input_Tasks[[#This Row],[Overnight Stays_Hidden]]</f>
        <v>0</v>
      </c>
      <c r="G156" s="385">
        <f>Input_Tasks[[#This Row],[Documents_Hidden]]</f>
        <v>0</v>
      </c>
      <c r="H156" s="387"/>
      <c r="I156" s="388"/>
      <c r="J156" s="389"/>
      <c r="K156" s="390"/>
      <c r="L156" s="390"/>
      <c r="M156" s="389"/>
      <c r="N156" s="390"/>
      <c r="O156" s="390"/>
      <c r="P156" s="389"/>
      <c r="Q156" s="390"/>
      <c r="R156" s="391"/>
      <c r="S156" s="389"/>
      <c r="T156" s="390"/>
      <c r="U156" s="391"/>
      <c r="V156" s="389"/>
      <c r="W156" s="390"/>
      <c r="X156" s="390"/>
      <c r="Y156" s="386" t="str">
        <f>Input_Tasks[[#This Row],[Onsite Round Trips_Hidden]]&amp;"/"&amp;Input_Tasks[[#This Row],[Overnight Stays_Hidden]]&amp;"/"&amp;Input_Tasks[[#This Row],[Documents_Hidden]]</f>
        <v>0/0/0</v>
      </c>
      <c r="Z156" s="392">
        <f>Input_Tasks[[#This Row],[R1 Cost_Hidden]]</f>
        <v>0</v>
      </c>
      <c r="AA156" s="393">
        <f>Input_Tasks[[#This Row],[R2 Cost_Hidden]]</f>
        <v>0</v>
      </c>
      <c r="AB156" s="393">
        <f>Input_Tasks[[#This Row],[R3 Cost_Hidden]]</f>
        <v>0</v>
      </c>
      <c r="AC156" s="393">
        <f>Input_Tasks[[#This Row],[R4 Cost_Hidden]]</f>
        <v>0</v>
      </c>
      <c r="AD156" s="394">
        <f>Input_Tasks[[#This Row],[R5 Cost_Hidden]]</f>
        <v>0</v>
      </c>
      <c r="AE156" s="395">
        <f>SUM(Input_Tasks[[#This Row],[R1 Cost]:[R5 Cost]])</f>
        <v>0</v>
      </c>
      <c r="AF156" s="392">
        <f>Input_Tasks[[#This Row],[R1 Sell_Hidden]]</f>
        <v>0</v>
      </c>
      <c r="AG156" s="393">
        <f>Input_Tasks[[#This Row],[R2 Sell_Hidden]]</f>
        <v>0</v>
      </c>
      <c r="AH156" s="393">
        <f>Input_Tasks[[#This Row],[R3 Sell_Hidden]]</f>
        <v>0</v>
      </c>
      <c r="AI156" s="393">
        <f>Input_Tasks[[#This Row],[R4 Sell_Hidden5]]</f>
        <v>0</v>
      </c>
      <c r="AJ156" s="394">
        <f>Input_Tasks[[#This Row],[R5 Sell_Hidden]]</f>
        <v>0</v>
      </c>
      <c r="AK156" s="396">
        <f>SUM(Input_Tasks[[#This Row],[R1 Sell]:[R5 Sell]])</f>
        <v>0</v>
      </c>
      <c r="AL156" s="397">
        <f>IFERROR(VLOOKUP(RESOURCE_1_TYPE,COST_RATES,2,FALSE)*Input_Tasks[[#This Row],[R1 Business Hours]],0)+IFERROR(VLOOKUP(RESOURCE_1_TYPE,COST_RATES,3,FALSE)*Input_Tasks[[#This Row],[R1 After Hours]],0)</f>
        <v>0</v>
      </c>
      <c r="AM156" s="398">
        <f>IFERROR(VLOOKUP(RESOURCE_2_TYPE,COST_RATES,2,FALSE)*Input_Tasks[[#This Row],[R2 Business Hours]],0)+IFERROR(VLOOKUP(RESOURCE_2_TYPE,COST_RATES,3,FALSE)*Input_Tasks[[#This Row],[R2 After Hours]],0)</f>
        <v>0</v>
      </c>
      <c r="AN156" s="398">
        <f>IFERROR(VLOOKUP(RESOURCE_3_TYPE,COST_RATES,2,FALSE)*Input_Tasks[[#This Row],[R3 Business Hours]],0)+IFERROR(VLOOKUP(RESOURCE_3_TYPE,COST_RATES,3,FALSE)*Input_Tasks[[#This Row],[R3 After Hours]],0)</f>
        <v>0</v>
      </c>
      <c r="AO156" s="398">
        <f>IFERROR(VLOOKUP(RESOURCE_4_TYPE,COST_RATES,2,FALSE)*Input_Tasks[[#This Row],[R4 Business Hours]],0)+IFERROR(VLOOKUP(RESOURCE_4_TYPE,COST_RATES,3,FALSE)*Input_Tasks[[#This Row],[R4 After Hours]],0)</f>
        <v>0</v>
      </c>
      <c r="AP156" s="398">
        <f>IFERROR(VLOOKUP(RESOURCE_5_TYPE,COST_RATES,2,FALSE)*Input_Tasks[[#This Row],[R5 Business Hours]],0)+IFERROR(VLOOKUP(RESOURCE_5_TYPE,COST_RATES,3,FALSE)*Input_Tasks[[#This Row],[R5 After Hours]],0)</f>
        <v>0</v>
      </c>
      <c r="AQ156" s="399">
        <f>IFERROR(VLOOKUP(RESOURCE_1_TYPE,SELL_RATES,2,FALSE)*Input_Tasks[[#This Row],[R1 Business Hours]],0)+IFERROR(VLOOKUP(RESOURCE_1_TYPE,SELL_RATES,3,FALSE)*Input_Tasks[[#This Row],[R1 After Hours]],0)</f>
        <v>0</v>
      </c>
      <c r="AR156" s="398">
        <f>IFERROR(VLOOKUP(RESOURCE_2_TYPE,SELL_RATES,2,FALSE)*Input_Tasks[[#This Row],[R2 Business Hours]],0)+IFERROR(VLOOKUP(RESOURCE_2_TYPE,SELL_RATES,3,FALSE)*Input_Tasks[[#This Row],[R2 After Hours]],0)</f>
        <v>0</v>
      </c>
      <c r="AS156" s="398">
        <f>IFERROR(VLOOKUP(RESOURCE_3_TYPE,SELL_RATES,2,FALSE)*Input_Tasks[[#This Row],[R3 Business Hours]],0)+IFERROR(VLOOKUP(RESOURCE_3_TYPE,SELL_RATES,3,FALSE)*Input_Tasks[[#This Row],[R3 After Hours]],0)</f>
        <v>0</v>
      </c>
      <c r="AT156" s="398">
        <f>IFERROR(VLOOKUP(RESOURCE_4_TYPE,SELL_RATES,2,FALSE)*Input_Tasks[[#This Row],[R4 Business Hours]],0)+IFERROR(VLOOKUP(RESOURCE_4_TYPE,SELL_RATES,3,FALSE)*Input_Tasks[[#This Row],[R4 After Hours]],0)</f>
        <v>0</v>
      </c>
      <c r="AU156" s="398">
        <f>IFERROR(VLOOKUP(RESOURCE_5_TYPE,SELL_RATES,2,FALSE)*Input_Tasks[[#This Row],[R5 Business Hours]],0)+IFERROR(VLOOKUP(RESOURCE_5_TYPE,SELL_RATES,3,FALSE)*Input_Tasks[[#This Row],[R5 After Hours]],0)</f>
        <v>0</v>
      </c>
      <c r="AV156" s="400">
        <f>SUM(Input_Tasks[[#This Row],[Round Trips R1]:[Round Trips R5]])</f>
        <v>0</v>
      </c>
      <c r="AW156" s="401">
        <f>SUM(Input_Tasks[[#This Row],[Overnight StaysR1]:[Overnight StaysR5]])</f>
        <v>0</v>
      </c>
      <c r="AX156" s="401">
        <f>IF(AND(Input_Tasks[[#This Row],[Sell - Line Total]]&gt;0,OR(Input_Tasks[[#This Row],[Phase]]="",Input_Tasks[[#This Row],[Skill Required]]="",Input_Tasks[[#This Row],[Task Type]]="",Input_Tasks[[#This Row],[Description]]="")),1,0)</f>
        <v>0</v>
      </c>
      <c r="AY156" s="402">
        <f>IF(AND(Input_Tasks[[#This Row],[Task Type]]="ArchiTech Document Deliverable",Input_Tasks[[#This Row],[Hours]]&gt;0),1,0)</f>
        <v>0</v>
      </c>
      <c r="AZ15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5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5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5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5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5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5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5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5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5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5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5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5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56" s="405">
        <f>SUM(Input_Tasks[[#This Row],[R1 Business Hours]:[R1 After Hours]],Input_Tasks[[#This Row],[R2 Business Hours]:[R2 After Hours]],Input_Tasks[[#This Row],[R3 Business Hours]:[R3 After Hours]],Input_Tasks[[#This Row],[R4 Business Hours]:[R4 After Hours]],Input_Tasks[[#This Row],[R5 Business Hours]:[R5 After Hours]])</f>
        <v>0</v>
      </c>
    </row>
    <row r="157" spans="1:65">
      <c r="A157" s="384"/>
      <c r="B157" s="271"/>
      <c r="C157" s="271"/>
      <c r="D157" s="406"/>
      <c r="E157" s="385">
        <f>Input_Tasks[[#This Row],[Onsite Round Trips_Hidden]]</f>
        <v>0</v>
      </c>
      <c r="F157" s="385">
        <f>Input_Tasks[[#This Row],[Overnight Stays_Hidden]]</f>
        <v>0</v>
      </c>
      <c r="G157" s="385">
        <f>Input_Tasks[[#This Row],[Documents_Hidden]]</f>
        <v>0</v>
      </c>
      <c r="H157" s="387"/>
      <c r="I157" s="388"/>
      <c r="J157" s="389"/>
      <c r="K157" s="390"/>
      <c r="L157" s="390"/>
      <c r="M157" s="389"/>
      <c r="N157" s="390"/>
      <c r="O157" s="390"/>
      <c r="P157" s="389"/>
      <c r="Q157" s="390"/>
      <c r="R157" s="391"/>
      <c r="S157" s="389"/>
      <c r="T157" s="390"/>
      <c r="U157" s="391"/>
      <c r="V157" s="389"/>
      <c r="W157" s="390"/>
      <c r="X157" s="390"/>
      <c r="Y157" s="386" t="str">
        <f>Input_Tasks[[#This Row],[Onsite Round Trips_Hidden]]&amp;"/"&amp;Input_Tasks[[#This Row],[Overnight Stays_Hidden]]&amp;"/"&amp;Input_Tasks[[#This Row],[Documents_Hidden]]</f>
        <v>0/0/0</v>
      </c>
      <c r="Z157" s="392">
        <f>Input_Tasks[[#This Row],[R1 Cost_Hidden]]</f>
        <v>0</v>
      </c>
      <c r="AA157" s="393">
        <f>Input_Tasks[[#This Row],[R2 Cost_Hidden]]</f>
        <v>0</v>
      </c>
      <c r="AB157" s="393">
        <f>Input_Tasks[[#This Row],[R3 Cost_Hidden]]</f>
        <v>0</v>
      </c>
      <c r="AC157" s="393">
        <f>Input_Tasks[[#This Row],[R4 Cost_Hidden]]</f>
        <v>0</v>
      </c>
      <c r="AD157" s="394">
        <f>Input_Tasks[[#This Row],[R5 Cost_Hidden]]</f>
        <v>0</v>
      </c>
      <c r="AE157" s="395">
        <f>SUM(Input_Tasks[[#This Row],[R1 Cost]:[R5 Cost]])</f>
        <v>0</v>
      </c>
      <c r="AF157" s="392">
        <f>Input_Tasks[[#This Row],[R1 Sell_Hidden]]</f>
        <v>0</v>
      </c>
      <c r="AG157" s="393">
        <f>Input_Tasks[[#This Row],[R2 Sell_Hidden]]</f>
        <v>0</v>
      </c>
      <c r="AH157" s="393">
        <f>Input_Tasks[[#This Row],[R3 Sell_Hidden]]</f>
        <v>0</v>
      </c>
      <c r="AI157" s="393">
        <f>Input_Tasks[[#This Row],[R4 Sell_Hidden5]]</f>
        <v>0</v>
      </c>
      <c r="AJ157" s="394">
        <f>Input_Tasks[[#This Row],[R5 Sell_Hidden]]</f>
        <v>0</v>
      </c>
      <c r="AK157" s="396">
        <f>SUM(Input_Tasks[[#This Row],[R1 Sell]:[R5 Sell]])</f>
        <v>0</v>
      </c>
      <c r="AL157" s="397">
        <f>IFERROR(VLOOKUP(RESOURCE_1_TYPE,COST_RATES,2,FALSE)*Input_Tasks[[#This Row],[R1 Business Hours]],0)+IFERROR(VLOOKUP(RESOURCE_1_TYPE,COST_RATES,3,FALSE)*Input_Tasks[[#This Row],[R1 After Hours]],0)</f>
        <v>0</v>
      </c>
      <c r="AM157" s="398">
        <f>IFERROR(VLOOKUP(RESOURCE_2_TYPE,COST_RATES,2,FALSE)*Input_Tasks[[#This Row],[R2 Business Hours]],0)+IFERROR(VLOOKUP(RESOURCE_2_TYPE,COST_RATES,3,FALSE)*Input_Tasks[[#This Row],[R2 After Hours]],0)</f>
        <v>0</v>
      </c>
      <c r="AN157" s="398">
        <f>IFERROR(VLOOKUP(RESOURCE_3_TYPE,COST_RATES,2,FALSE)*Input_Tasks[[#This Row],[R3 Business Hours]],0)+IFERROR(VLOOKUP(RESOURCE_3_TYPE,COST_RATES,3,FALSE)*Input_Tasks[[#This Row],[R3 After Hours]],0)</f>
        <v>0</v>
      </c>
      <c r="AO157" s="398">
        <f>IFERROR(VLOOKUP(RESOURCE_4_TYPE,COST_RATES,2,FALSE)*Input_Tasks[[#This Row],[R4 Business Hours]],0)+IFERROR(VLOOKUP(RESOURCE_4_TYPE,COST_RATES,3,FALSE)*Input_Tasks[[#This Row],[R4 After Hours]],0)</f>
        <v>0</v>
      </c>
      <c r="AP157" s="398">
        <f>IFERROR(VLOOKUP(RESOURCE_5_TYPE,COST_RATES,2,FALSE)*Input_Tasks[[#This Row],[R5 Business Hours]],0)+IFERROR(VLOOKUP(RESOURCE_5_TYPE,COST_RATES,3,FALSE)*Input_Tasks[[#This Row],[R5 After Hours]],0)</f>
        <v>0</v>
      </c>
      <c r="AQ157" s="399">
        <f>IFERROR(VLOOKUP(RESOURCE_1_TYPE,SELL_RATES,2,FALSE)*Input_Tasks[[#This Row],[R1 Business Hours]],0)+IFERROR(VLOOKUP(RESOURCE_1_TYPE,SELL_RATES,3,FALSE)*Input_Tasks[[#This Row],[R1 After Hours]],0)</f>
        <v>0</v>
      </c>
      <c r="AR157" s="398">
        <f>IFERROR(VLOOKUP(RESOURCE_2_TYPE,SELL_RATES,2,FALSE)*Input_Tasks[[#This Row],[R2 Business Hours]],0)+IFERROR(VLOOKUP(RESOURCE_2_TYPE,SELL_RATES,3,FALSE)*Input_Tasks[[#This Row],[R2 After Hours]],0)</f>
        <v>0</v>
      </c>
      <c r="AS157" s="398">
        <f>IFERROR(VLOOKUP(RESOURCE_3_TYPE,SELL_RATES,2,FALSE)*Input_Tasks[[#This Row],[R3 Business Hours]],0)+IFERROR(VLOOKUP(RESOURCE_3_TYPE,SELL_RATES,3,FALSE)*Input_Tasks[[#This Row],[R3 After Hours]],0)</f>
        <v>0</v>
      </c>
      <c r="AT157" s="398">
        <f>IFERROR(VLOOKUP(RESOURCE_4_TYPE,SELL_RATES,2,FALSE)*Input_Tasks[[#This Row],[R4 Business Hours]],0)+IFERROR(VLOOKUP(RESOURCE_4_TYPE,SELL_RATES,3,FALSE)*Input_Tasks[[#This Row],[R4 After Hours]],0)</f>
        <v>0</v>
      </c>
      <c r="AU157" s="398">
        <f>IFERROR(VLOOKUP(RESOURCE_5_TYPE,SELL_RATES,2,FALSE)*Input_Tasks[[#This Row],[R5 Business Hours]],0)+IFERROR(VLOOKUP(RESOURCE_5_TYPE,SELL_RATES,3,FALSE)*Input_Tasks[[#This Row],[R5 After Hours]],0)</f>
        <v>0</v>
      </c>
      <c r="AV157" s="400">
        <f>SUM(Input_Tasks[[#This Row],[Round Trips R1]:[Round Trips R5]])</f>
        <v>0</v>
      </c>
      <c r="AW157" s="401">
        <f>SUM(Input_Tasks[[#This Row],[Overnight StaysR1]:[Overnight StaysR5]])</f>
        <v>0</v>
      </c>
      <c r="AX157" s="401">
        <f>IF(AND(Input_Tasks[[#This Row],[Sell - Line Total]]&gt;0,OR(Input_Tasks[[#This Row],[Phase]]="",Input_Tasks[[#This Row],[Skill Required]]="",Input_Tasks[[#This Row],[Task Type]]="",Input_Tasks[[#This Row],[Description]]="")),1,0)</f>
        <v>0</v>
      </c>
      <c r="AY157" s="402">
        <f>IF(AND(Input_Tasks[[#This Row],[Task Type]]="ArchiTech Document Deliverable",Input_Tasks[[#This Row],[Hours]]&gt;0),1,0)</f>
        <v>0</v>
      </c>
      <c r="AZ15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5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5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5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5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5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5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5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5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5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5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5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5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57" s="405">
        <f>SUM(Input_Tasks[[#This Row],[R1 Business Hours]:[R1 After Hours]],Input_Tasks[[#This Row],[R2 Business Hours]:[R2 After Hours]],Input_Tasks[[#This Row],[R3 Business Hours]:[R3 After Hours]],Input_Tasks[[#This Row],[R4 Business Hours]:[R4 After Hours]],Input_Tasks[[#This Row],[R5 Business Hours]:[R5 After Hours]])</f>
        <v>0</v>
      </c>
    </row>
    <row r="158" spans="1:65">
      <c r="A158" s="384"/>
      <c r="B158" s="271"/>
      <c r="C158" s="271"/>
      <c r="D158" s="406"/>
      <c r="E158" s="385">
        <f>Input_Tasks[[#This Row],[Onsite Round Trips_Hidden]]</f>
        <v>0</v>
      </c>
      <c r="F158" s="385">
        <f>Input_Tasks[[#This Row],[Overnight Stays_Hidden]]</f>
        <v>0</v>
      </c>
      <c r="G158" s="385">
        <f>Input_Tasks[[#This Row],[Documents_Hidden]]</f>
        <v>0</v>
      </c>
      <c r="H158" s="387"/>
      <c r="I158" s="388"/>
      <c r="J158" s="389"/>
      <c r="K158" s="390"/>
      <c r="L158" s="390"/>
      <c r="M158" s="389"/>
      <c r="N158" s="390"/>
      <c r="O158" s="390"/>
      <c r="P158" s="389"/>
      <c r="Q158" s="390"/>
      <c r="R158" s="391"/>
      <c r="S158" s="389"/>
      <c r="T158" s="390"/>
      <c r="U158" s="391"/>
      <c r="V158" s="389"/>
      <c r="W158" s="390"/>
      <c r="X158" s="390"/>
      <c r="Y158" s="386" t="str">
        <f>Input_Tasks[[#This Row],[Onsite Round Trips_Hidden]]&amp;"/"&amp;Input_Tasks[[#This Row],[Overnight Stays_Hidden]]&amp;"/"&amp;Input_Tasks[[#This Row],[Documents_Hidden]]</f>
        <v>0/0/0</v>
      </c>
      <c r="Z158" s="392">
        <f>Input_Tasks[[#This Row],[R1 Cost_Hidden]]</f>
        <v>0</v>
      </c>
      <c r="AA158" s="393">
        <f>Input_Tasks[[#This Row],[R2 Cost_Hidden]]</f>
        <v>0</v>
      </c>
      <c r="AB158" s="393">
        <f>Input_Tasks[[#This Row],[R3 Cost_Hidden]]</f>
        <v>0</v>
      </c>
      <c r="AC158" s="393">
        <f>Input_Tasks[[#This Row],[R4 Cost_Hidden]]</f>
        <v>0</v>
      </c>
      <c r="AD158" s="394">
        <f>Input_Tasks[[#This Row],[R5 Cost_Hidden]]</f>
        <v>0</v>
      </c>
      <c r="AE158" s="395">
        <f>SUM(Input_Tasks[[#This Row],[R1 Cost]:[R5 Cost]])</f>
        <v>0</v>
      </c>
      <c r="AF158" s="392">
        <f>Input_Tasks[[#This Row],[R1 Sell_Hidden]]</f>
        <v>0</v>
      </c>
      <c r="AG158" s="393">
        <f>Input_Tasks[[#This Row],[R2 Sell_Hidden]]</f>
        <v>0</v>
      </c>
      <c r="AH158" s="393">
        <f>Input_Tasks[[#This Row],[R3 Sell_Hidden]]</f>
        <v>0</v>
      </c>
      <c r="AI158" s="393">
        <f>Input_Tasks[[#This Row],[R4 Sell_Hidden5]]</f>
        <v>0</v>
      </c>
      <c r="AJ158" s="394">
        <f>Input_Tasks[[#This Row],[R5 Sell_Hidden]]</f>
        <v>0</v>
      </c>
      <c r="AK158" s="396">
        <f>SUM(Input_Tasks[[#This Row],[R1 Sell]:[R5 Sell]])</f>
        <v>0</v>
      </c>
      <c r="AL158" s="397">
        <f>IFERROR(VLOOKUP(RESOURCE_1_TYPE,COST_RATES,2,FALSE)*Input_Tasks[[#This Row],[R1 Business Hours]],0)+IFERROR(VLOOKUP(RESOURCE_1_TYPE,COST_RATES,3,FALSE)*Input_Tasks[[#This Row],[R1 After Hours]],0)</f>
        <v>0</v>
      </c>
      <c r="AM158" s="398">
        <f>IFERROR(VLOOKUP(RESOURCE_2_TYPE,COST_RATES,2,FALSE)*Input_Tasks[[#This Row],[R2 Business Hours]],0)+IFERROR(VLOOKUP(RESOURCE_2_TYPE,COST_RATES,3,FALSE)*Input_Tasks[[#This Row],[R2 After Hours]],0)</f>
        <v>0</v>
      </c>
      <c r="AN158" s="398">
        <f>IFERROR(VLOOKUP(RESOURCE_3_TYPE,COST_RATES,2,FALSE)*Input_Tasks[[#This Row],[R3 Business Hours]],0)+IFERROR(VLOOKUP(RESOURCE_3_TYPE,COST_RATES,3,FALSE)*Input_Tasks[[#This Row],[R3 After Hours]],0)</f>
        <v>0</v>
      </c>
      <c r="AO158" s="398">
        <f>IFERROR(VLOOKUP(RESOURCE_4_TYPE,COST_RATES,2,FALSE)*Input_Tasks[[#This Row],[R4 Business Hours]],0)+IFERROR(VLOOKUP(RESOURCE_4_TYPE,COST_RATES,3,FALSE)*Input_Tasks[[#This Row],[R4 After Hours]],0)</f>
        <v>0</v>
      </c>
      <c r="AP158" s="398">
        <f>IFERROR(VLOOKUP(RESOURCE_5_TYPE,COST_RATES,2,FALSE)*Input_Tasks[[#This Row],[R5 Business Hours]],0)+IFERROR(VLOOKUP(RESOURCE_5_TYPE,COST_RATES,3,FALSE)*Input_Tasks[[#This Row],[R5 After Hours]],0)</f>
        <v>0</v>
      </c>
      <c r="AQ158" s="399">
        <f>IFERROR(VLOOKUP(RESOURCE_1_TYPE,SELL_RATES,2,FALSE)*Input_Tasks[[#This Row],[R1 Business Hours]],0)+IFERROR(VLOOKUP(RESOURCE_1_TYPE,SELL_RATES,3,FALSE)*Input_Tasks[[#This Row],[R1 After Hours]],0)</f>
        <v>0</v>
      </c>
      <c r="AR158" s="398">
        <f>IFERROR(VLOOKUP(RESOURCE_2_TYPE,SELL_RATES,2,FALSE)*Input_Tasks[[#This Row],[R2 Business Hours]],0)+IFERROR(VLOOKUP(RESOURCE_2_TYPE,SELL_RATES,3,FALSE)*Input_Tasks[[#This Row],[R2 After Hours]],0)</f>
        <v>0</v>
      </c>
      <c r="AS158" s="398">
        <f>IFERROR(VLOOKUP(RESOURCE_3_TYPE,SELL_RATES,2,FALSE)*Input_Tasks[[#This Row],[R3 Business Hours]],0)+IFERROR(VLOOKUP(RESOURCE_3_TYPE,SELL_RATES,3,FALSE)*Input_Tasks[[#This Row],[R3 After Hours]],0)</f>
        <v>0</v>
      </c>
      <c r="AT158" s="398">
        <f>IFERROR(VLOOKUP(RESOURCE_4_TYPE,SELL_RATES,2,FALSE)*Input_Tasks[[#This Row],[R4 Business Hours]],0)+IFERROR(VLOOKUP(RESOURCE_4_TYPE,SELL_RATES,3,FALSE)*Input_Tasks[[#This Row],[R4 After Hours]],0)</f>
        <v>0</v>
      </c>
      <c r="AU158" s="398">
        <f>IFERROR(VLOOKUP(RESOURCE_5_TYPE,SELL_RATES,2,FALSE)*Input_Tasks[[#This Row],[R5 Business Hours]],0)+IFERROR(VLOOKUP(RESOURCE_5_TYPE,SELL_RATES,3,FALSE)*Input_Tasks[[#This Row],[R5 After Hours]],0)</f>
        <v>0</v>
      </c>
      <c r="AV158" s="400">
        <f>SUM(Input_Tasks[[#This Row],[Round Trips R1]:[Round Trips R5]])</f>
        <v>0</v>
      </c>
      <c r="AW158" s="401">
        <f>SUM(Input_Tasks[[#This Row],[Overnight StaysR1]:[Overnight StaysR5]])</f>
        <v>0</v>
      </c>
      <c r="AX158" s="401">
        <f>IF(AND(Input_Tasks[[#This Row],[Sell - Line Total]]&gt;0,OR(Input_Tasks[[#This Row],[Phase]]="",Input_Tasks[[#This Row],[Skill Required]]="",Input_Tasks[[#This Row],[Task Type]]="",Input_Tasks[[#This Row],[Description]]="")),1,0)</f>
        <v>0</v>
      </c>
      <c r="AY158" s="402">
        <f>IF(AND(Input_Tasks[[#This Row],[Task Type]]="ArchiTech Document Deliverable",Input_Tasks[[#This Row],[Hours]]&gt;0),1,0)</f>
        <v>0</v>
      </c>
      <c r="AZ15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5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5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5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5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5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5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5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5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5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5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5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5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58" s="405">
        <f>SUM(Input_Tasks[[#This Row],[R1 Business Hours]:[R1 After Hours]],Input_Tasks[[#This Row],[R2 Business Hours]:[R2 After Hours]],Input_Tasks[[#This Row],[R3 Business Hours]:[R3 After Hours]],Input_Tasks[[#This Row],[R4 Business Hours]:[R4 After Hours]],Input_Tasks[[#This Row],[R5 Business Hours]:[R5 After Hours]])</f>
        <v>0</v>
      </c>
    </row>
    <row r="159" spans="1:65">
      <c r="A159" s="384"/>
      <c r="B159" s="271"/>
      <c r="C159" s="271"/>
      <c r="D159" s="406"/>
      <c r="E159" s="385">
        <f>Input_Tasks[[#This Row],[Onsite Round Trips_Hidden]]</f>
        <v>0</v>
      </c>
      <c r="F159" s="385">
        <f>Input_Tasks[[#This Row],[Overnight Stays_Hidden]]</f>
        <v>0</v>
      </c>
      <c r="G159" s="385">
        <f>Input_Tasks[[#This Row],[Documents_Hidden]]</f>
        <v>0</v>
      </c>
      <c r="H159" s="387"/>
      <c r="I159" s="388"/>
      <c r="J159" s="389"/>
      <c r="K159" s="390"/>
      <c r="L159" s="390"/>
      <c r="M159" s="389"/>
      <c r="N159" s="390"/>
      <c r="O159" s="390"/>
      <c r="P159" s="389"/>
      <c r="Q159" s="390"/>
      <c r="R159" s="391"/>
      <c r="S159" s="389"/>
      <c r="T159" s="390"/>
      <c r="U159" s="391"/>
      <c r="V159" s="389"/>
      <c r="W159" s="390"/>
      <c r="X159" s="390"/>
      <c r="Y159" s="386" t="str">
        <f>Input_Tasks[[#This Row],[Onsite Round Trips_Hidden]]&amp;"/"&amp;Input_Tasks[[#This Row],[Overnight Stays_Hidden]]&amp;"/"&amp;Input_Tasks[[#This Row],[Documents_Hidden]]</f>
        <v>0/0/0</v>
      </c>
      <c r="Z159" s="392">
        <f>Input_Tasks[[#This Row],[R1 Cost_Hidden]]</f>
        <v>0</v>
      </c>
      <c r="AA159" s="393">
        <f>Input_Tasks[[#This Row],[R2 Cost_Hidden]]</f>
        <v>0</v>
      </c>
      <c r="AB159" s="393">
        <f>Input_Tasks[[#This Row],[R3 Cost_Hidden]]</f>
        <v>0</v>
      </c>
      <c r="AC159" s="393">
        <f>Input_Tasks[[#This Row],[R4 Cost_Hidden]]</f>
        <v>0</v>
      </c>
      <c r="AD159" s="394">
        <f>Input_Tasks[[#This Row],[R5 Cost_Hidden]]</f>
        <v>0</v>
      </c>
      <c r="AE159" s="395">
        <f>SUM(Input_Tasks[[#This Row],[R1 Cost]:[R5 Cost]])</f>
        <v>0</v>
      </c>
      <c r="AF159" s="392">
        <f>Input_Tasks[[#This Row],[R1 Sell_Hidden]]</f>
        <v>0</v>
      </c>
      <c r="AG159" s="393">
        <f>Input_Tasks[[#This Row],[R2 Sell_Hidden]]</f>
        <v>0</v>
      </c>
      <c r="AH159" s="393">
        <f>Input_Tasks[[#This Row],[R3 Sell_Hidden]]</f>
        <v>0</v>
      </c>
      <c r="AI159" s="393">
        <f>Input_Tasks[[#This Row],[R4 Sell_Hidden5]]</f>
        <v>0</v>
      </c>
      <c r="AJ159" s="394">
        <f>Input_Tasks[[#This Row],[R5 Sell_Hidden]]</f>
        <v>0</v>
      </c>
      <c r="AK159" s="396">
        <f>SUM(Input_Tasks[[#This Row],[R1 Sell]:[R5 Sell]])</f>
        <v>0</v>
      </c>
      <c r="AL159" s="397">
        <f>IFERROR(VLOOKUP(RESOURCE_1_TYPE,COST_RATES,2,FALSE)*Input_Tasks[[#This Row],[R1 Business Hours]],0)+IFERROR(VLOOKUP(RESOURCE_1_TYPE,COST_RATES,3,FALSE)*Input_Tasks[[#This Row],[R1 After Hours]],0)</f>
        <v>0</v>
      </c>
      <c r="AM159" s="398">
        <f>IFERROR(VLOOKUP(RESOURCE_2_TYPE,COST_RATES,2,FALSE)*Input_Tasks[[#This Row],[R2 Business Hours]],0)+IFERROR(VLOOKUP(RESOURCE_2_TYPE,COST_RATES,3,FALSE)*Input_Tasks[[#This Row],[R2 After Hours]],0)</f>
        <v>0</v>
      </c>
      <c r="AN159" s="398">
        <f>IFERROR(VLOOKUP(RESOURCE_3_TYPE,COST_RATES,2,FALSE)*Input_Tasks[[#This Row],[R3 Business Hours]],0)+IFERROR(VLOOKUP(RESOURCE_3_TYPE,COST_RATES,3,FALSE)*Input_Tasks[[#This Row],[R3 After Hours]],0)</f>
        <v>0</v>
      </c>
      <c r="AO159" s="398">
        <f>IFERROR(VLOOKUP(RESOURCE_4_TYPE,COST_RATES,2,FALSE)*Input_Tasks[[#This Row],[R4 Business Hours]],0)+IFERROR(VLOOKUP(RESOURCE_4_TYPE,COST_RATES,3,FALSE)*Input_Tasks[[#This Row],[R4 After Hours]],0)</f>
        <v>0</v>
      </c>
      <c r="AP159" s="398">
        <f>IFERROR(VLOOKUP(RESOURCE_5_TYPE,COST_RATES,2,FALSE)*Input_Tasks[[#This Row],[R5 Business Hours]],0)+IFERROR(VLOOKUP(RESOURCE_5_TYPE,COST_RATES,3,FALSE)*Input_Tasks[[#This Row],[R5 After Hours]],0)</f>
        <v>0</v>
      </c>
      <c r="AQ159" s="399">
        <f>IFERROR(VLOOKUP(RESOURCE_1_TYPE,SELL_RATES,2,FALSE)*Input_Tasks[[#This Row],[R1 Business Hours]],0)+IFERROR(VLOOKUP(RESOURCE_1_TYPE,SELL_RATES,3,FALSE)*Input_Tasks[[#This Row],[R1 After Hours]],0)</f>
        <v>0</v>
      </c>
      <c r="AR159" s="398">
        <f>IFERROR(VLOOKUP(RESOURCE_2_TYPE,SELL_RATES,2,FALSE)*Input_Tasks[[#This Row],[R2 Business Hours]],0)+IFERROR(VLOOKUP(RESOURCE_2_TYPE,SELL_RATES,3,FALSE)*Input_Tasks[[#This Row],[R2 After Hours]],0)</f>
        <v>0</v>
      </c>
      <c r="AS159" s="398">
        <f>IFERROR(VLOOKUP(RESOURCE_3_TYPE,SELL_RATES,2,FALSE)*Input_Tasks[[#This Row],[R3 Business Hours]],0)+IFERROR(VLOOKUP(RESOURCE_3_TYPE,SELL_RATES,3,FALSE)*Input_Tasks[[#This Row],[R3 After Hours]],0)</f>
        <v>0</v>
      </c>
      <c r="AT159" s="398">
        <f>IFERROR(VLOOKUP(RESOURCE_4_TYPE,SELL_RATES,2,FALSE)*Input_Tasks[[#This Row],[R4 Business Hours]],0)+IFERROR(VLOOKUP(RESOURCE_4_TYPE,SELL_RATES,3,FALSE)*Input_Tasks[[#This Row],[R4 After Hours]],0)</f>
        <v>0</v>
      </c>
      <c r="AU159" s="398">
        <f>IFERROR(VLOOKUP(RESOURCE_5_TYPE,SELL_RATES,2,FALSE)*Input_Tasks[[#This Row],[R5 Business Hours]],0)+IFERROR(VLOOKUP(RESOURCE_5_TYPE,SELL_RATES,3,FALSE)*Input_Tasks[[#This Row],[R5 After Hours]],0)</f>
        <v>0</v>
      </c>
      <c r="AV159" s="400">
        <f>SUM(Input_Tasks[[#This Row],[Round Trips R1]:[Round Trips R5]])</f>
        <v>0</v>
      </c>
      <c r="AW159" s="401">
        <f>SUM(Input_Tasks[[#This Row],[Overnight StaysR1]:[Overnight StaysR5]])</f>
        <v>0</v>
      </c>
      <c r="AX159" s="401">
        <f>IF(AND(Input_Tasks[[#This Row],[Sell - Line Total]]&gt;0,OR(Input_Tasks[[#This Row],[Phase]]="",Input_Tasks[[#This Row],[Skill Required]]="",Input_Tasks[[#This Row],[Task Type]]="",Input_Tasks[[#This Row],[Description]]="")),1,0)</f>
        <v>0</v>
      </c>
      <c r="AY159" s="402">
        <f>IF(AND(Input_Tasks[[#This Row],[Task Type]]="ArchiTech Document Deliverable",Input_Tasks[[#This Row],[Hours]]&gt;0),1,0)</f>
        <v>0</v>
      </c>
      <c r="AZ15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5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5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5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5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5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5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5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5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5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5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5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5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59" s="405">
        <f>SUM(Input_Tasks[[#This Row],[R1 Business Hours]:[R1 After Hours]],Input_Tasks[[#This Row],[R2 Business Hours]:[R2 After Hours]],Input_Tasks[[#This Row],[R3 Business Hours]:[R3 After Hours]],Input_Tasks[[#This Row],[R4 Business Hours]:[R4 After Hours]],Input_Tasks[[#This Row],[R5 Business Hours]:[R5 After Hours]])</f>
        <v>0</v>
      </c>
    </row>
    <row r="160" spans="1:65">
      <c r="A160" s="384"/>
      <c r="B160" s="271"/>
      <c r="C160" s="271"/>
      <c r="D160" s="406"/>
      <c r="E160" s="385">
        <f>Input_Tasks[[#This Row],[Onsite Round Trips_Hidden]]</f>
        <v>0</v>
      </c>
      <c r="F160" s="385">
        <f>Input_Tasks[[#This Row],[Overnight Stays_Hidden]]</f>
        <v>0</v>
      </c>
      <c r="G160" s="385">
        <f>Input_Tasks[[#This Row],[Documents_Hidden]]</f>
        <v>0</v>
      </c>
      <c r="H160" s="387"/>
      <c r="I160" s="388"/>
      <c r="J160" s="389"/>
      <c r="K160" s="390"/>
      <c r="L160" s="390"/>
      <c r="M160" s="389"/>
      <c r="N160" s="390"/>
      <c r="O160" s="390"/>
      <c r="P160" s="389"/>
      <c r="Q160" s="390"/>
      <c r="R160" s="391"/>
      <c r="S160" s="389"/>
      <c r="T160" s="390"/>
      <c r="U160" s="391"/>
      <c r="V160" s="389"/>
      <c r="W160" s="390"/>
      <c r="X160" s="390"/>
      <c r="Y160" s="386" t="str">
        <f>Input_Tasks[[#This Row],[Onsite Round Trips_Hidden]]&amp;"/"&amp;Input_Tasks[[#This Row],[Overnight Stays_Hidden]]&amp;"/"&amp;Input_Tasks[[#This Row],[Documents_Hidden]]</f>
        <v>0/0/0</v>
      </c>
      <c r="Z160" s="392">
        <f>Input_Tasks[[#This Row],[R1 Cost_Hidden]]</f>
        <v>0</v>
      </c>
      <c r="AA160" s="393">
        <f>Input_Tasks[[#This Row],[R2 Cost_Hidden]]</f>
        <v>0</v>
      </c>
      <c r="AB160" s="393">
        <f>Input_Tasks[[#This Row],[R3 Cost_Hidden]]</f>
        <v>0</v>
      </c>
      <c r="AC160" s="393">
        <f>Input_Tasks[[#This Row],[R4 Cost_Hidden]]</f>
        <v>0</v>
      </c>
      <c r="AD160" s="394">
        <f>Input_Tasks[[#This Row],[R5 Cost_Hidden]]</f>
        <v>0</v>
      </c>
      <c r="AE160" s="395">
        <f>SUM(Input_Tasks[[#This Row],[R1 Cost]:[R5 Cost]])</f>
        <v>0</v>
      </c>
      <c r="AF160" s="392">
        <f>Input_Tasks[[#This Row],[R1 Sell_Hidden]]</f>
        <v>0</v>
      </c>
      <c r="AG160" s="393">
        <f>Input_Tasks[[#This Row],[R2 Sell_Hidden]]</f>
        <v>0</v>
      </c>
      <c r="AH160" s="393">
        <f>Input_Tasks[[#This Row],[R3 Sell_Hidden]]</f>
        <v>0</v>
      </c>
      <c r="AI160" s="393">
        <f>Input_Tasks[[#This Row],[R4 Sell_Hidden5]]</f>
        <v>0</v>
      </c>
      <c r="AJ160" s="394">
        <f>Input_Tasks[[#This Row],[R5 Sell_Hidden]]</f>
        <v>0</v>
      </c>
      <c r="AK160" s="396">
        <f>SUM(Input_Tasks[[#This Row],[R1 Sell]:[R5 Sell]])</f>
        <v>0</v>
      </c>
      <c r="AL160" s="397">
        <f>IFERROR(VLOOKUP(RESOURCE_1_TYPE,COST_RATES,2,FALSE)*Input_Tasks[[#This Row],[R1 Business Hours]],0)+IFERROR(VLOOKUP(RESOURCE_1_TYPE,COST_RATES,3,FALSE)*Input_Tasks[[#This Row],[R1 After Hours]],0)</f>
        <v>0</v>
      </c>
      <c r="AM160" s="398">
        <f>IFERROR(VLOOKUP(RESOURCE_2_TYPE,COST_RATES,2,FALSE)*Input_Tasks[[#This Row],[R2 Business Hours]],0)+IFERROR(VLOOKUP(RESOURCE_2_TYPE,COST_RATES,3,FALSE)*Input_Tasks[[#This Row],[R2 After Hours]],0)</f>
        <v>0</v>
      </c>
      <c r="AN160" s="398">
        <f>IFERROR(VLOOKUP(RESOURCE_3_TYPE,COST_RATES,2,FALSE)*Input_Tasks[[#This Row],[R3 Business Hours]],0)+IFERROR(VLOOKUP(RESOURCE_3_TYPE,COST_RATES,3,FALSE)*Input_Tasks[[#This Row],[R3 After Hours]],0)</f>
        <v>0</v>
      </c>
      <c r="AO160" s="398">
        <f>IFERROR(VLOOKUP(RESOURCE_4_TYPE,COST_RATES,2,FALSE)*Input_Tasks[[#This Row],[R4 Business Hours]],0)+IFERROR(VLOOKUP(RESOURCE_4_TYPE,COST_RATES,3,FALSE)*Input_Tasks[[#This Row],[R4 After Hours]],0)</f>
        <v>0</v>
      </c>
      <c r="AP160" s="398">
        <f>IFERROR(VLOOKUP(RESOURCE_5_TYPE,COST_RATES,2,FALSE)*Input_Tasks[[#This Row],[R5 Business Hours]],0)+IFERROR(VLOOKUP(RESOURCE_5_TYPE,COST_RATES,3,FALSE)*Input_Tasks[[#This Row],[R5 After Hours]],0)</f>
        <v>0</v>
      </c>
      <c r="AQ160" s="399">
        <f>IFERROR(VLOOKUP(RESOURCE_1_TYPE,SELL_RATES,2,FALSE)*Input_Tasks[[#This Row],[R1 Business Hours]],0)+IFERROR(VLOOKUP(RESOURCE_1_TYPE,SELL_RATES,3,FALSE)*Input_Tasks[[#This Row],[R1 After Hours]],0)</f>
        <v>0</v>
      </c>
      <c r="AR160" s="398">
        <f>IFERROR(VLOOKUP(RESOURCE_2_TYPE,SELL_RATES,2,FALSE)*Input_Tasks[[#This Row],[R2 Business Hours]],0)+IFERROR(VLOOKUP(RESOURCE_2_TYPE,SELL_RATES,3,FALSE)*Input_Tasks[[#This Row],[R2 After Hours]],0)</f>
        <v>0</v>
      </c>
      <c r="AS160" s="398">
        <f>IFERROR(VLOOKUP(RESOURCE_3_TYPE,SELL_RATES,2,FALSE)*Input_Tasks[[#This Row],[R3 Business Hours]],0)+IFERROR(VLOOKUP(RESOURCE_3_TYPE,SELL_RATES,3,FALSE)*Input_Tasks[[#This Row],[R3 After Hours]],0)</f>
        <v>0</v>
      </c>
      <c r="AT160" s="398">
        <f>IFERROR(VLOOKUP(RESOURCE_4_TYPE,SELL_RATES,2,FALSE)*Input_Tasks[[#This Row],[R4 Business Hours]],0)+IFERROR(VLOOKUP(RESOURCE_4_TYPE,SELL_RATES,3,FALSE)*Input_Tasks[[#This Row],[R4 After Hours]],0)</f>
        <v>0</v>
      </c>
      <c r="AU160" s="398">
        <f>IFERROR(VLOOKUP(RESOURCE_5_TYPE,SELL_RATES,2,FALSE)*Input_Tasks[[#This Row],[R5 Business Hours]],0)+IFERROR(VLOOKUP(RESOURCE_5_TYPE,SELL_RATES,3,FALSE)*Input_Tasks[[#This Row],[R5 After Hours]],0)</f>
        <v>0</v>
      </c>
      <c r="AV160" s="400">
        <f>SUM(Input_Tasks[[#This Row],[Round Trips R1]:[Round Trips R5]])</f>
        <v>0</v>
      </c>
      <c r="AW160" s="401">
        <f>SUM(Input_Tasks[[#This Row],[Overnight StaysR1]:[Overnight StaysR5]])</f>
        <v>0</v>
      </c>
      <c r="AX160" s="401">
        <f>IF(AND(Input_Tasks[[#This Row],[Sell - Line Total]]&gt;0,OR(Input_Tasks[[#This Row],[Phase]]="",Input_Tasks[[#This Row],[Skill Required]]="",Input_Tasks[[#This Row],[Task Type]]="",Input_Tasks[[#This Row],[Description]]="")),1,0)</f>
        <v>0</v>
      </c>
      <c r="AY160" s="402">
        <f>IF(AND(Input_Tasks[[#This Row],[Task Type]]="ArchiTech Document Deliverable",Input_Tasks[[#This Row],[Hours]]&gt;0),1,0)</f>
        <v>0</v>
      </c>
      <c r="AZ16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6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6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6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6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6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6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6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6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6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6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6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6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60" s="405">
        <f>SUM(Input_Tasks[[#This Row],[R1 Business Hours]:[R1 After Hours]],Input_Tasks[[#This Row],[R2 Business Hours]:[R2 After Hours]],Input_Tasks[[#This Row],[R3 Business Hours]:[R3 After Hours]],Input_Tasks[[#This Row],[R4 Business Hours]:[R4 After Hours]],Input_Tasks[[#This Row],[R5 Business Hours]:[R5 After Hours]])</f>
        <v>0</v>
      </c>
    </row>
    <row r="161" spans="1:65">
      <c r="A161" s="384"/>
      <c r="B161" s="271"/>
      <c r="C161" s="271"/>
      <c r="D161" s="406"/>
      <c r="E161" s="385">
        <f>Input_Tasks[[#This Row],[Onsite Round Trips_Hidden]]</f>
        <v>0</v>
      </c>
      <c r="F161" s="385">
        <f>Input_Tasks[[#This Row],[Overnight Stays_Hidden]]</f>
        <v>0</v>
      </c>
      <c r="G161" s="385">
        <f>Input_Tasks[[#This Row],[Documents_Hidden]]</f>
        <v>0</v>
      </c>
      <c r="H161" s="387"/>
      <c r="I161" s="388"/>
      <c r="J161" s="389"/>
      <c r="K161" s="390"/>
      <c r="L161" s="390"/>
      <c r="M161" s="389"/>
      <c r="N161" s="390"/>
      <c r="O161" s="390"/>
      <c r="P161" s="389"/>
      <c r="Q161" s="390"/>
      <c r="R161" s="391"/>
      <c r="S161" s="389"/>
      <c r="T161" s="390"/>
      <c r="U161" s="391"/>
      <c r="V161" s="389"/>
      <c r="W161" s="390"/>
      <c r="X161" s="390"/>
      <c r="Y161" s="386" t="str">
        <f>Input_Tasks[[#This Row],[Onsite Round Trips_Hidden]]&amp;"/"&amp;Input_Tasks[[#This Row],[Overnight Stays_Hidden]]&amp;"/"&amp;Input_Tasks[[#This Row],[Documents_Hidden]]</f>
        <v>0/0/0</v>
      </c>
      <c r="Z161" s="392">
        <f>Input_Tasks[[#This Row],[R1 Cost_Hidden]]</f>
        <v>0</v>
      </c>
      <c r="AA161" s="393">
        <f>Input_Tasks[[#This Row],[R2 Cost_Hidden]]</f>
        <v>0</v>
      </c>
      <c r="AB161" s="393">
        <f>Input_Tasks[[#This Row],[R3 Cost_Hidden]]</f>
        <v>0</v>
      </c>
      <c r="AC161" s="393">
        <f>Input_Tasks[[#This Row],[R4 Cost_Hidden]]</f>
        <v>0</v>
      </c>
      <c r="AD161" s="394">
        <f>Input_Tasks[[#This Row],[R5 Cost_Hidden]]</f>
        <v>0</v>
      </c>
      <c r="AE161" s="395">
        <f>SUM(Input_Tasks[[#This Row],[R1 Cost]:[R5 Cost]])</f>
        <v>0</v>
      </c>
      <c r="AF161" s="392">
        <f>Input_Tasks[[#This Row],[R1 Sell_Hidden]]</f>
        <v>0</v>
      </c>
      <c r="AG161" s="393">
        <f>Input_Tasks[[#This Row],[R2 Sell_Hidden]]</f>
        <v>0</v>
      </c>
      <c r="AH161" s="393">
        <f>Input_Tasks[[#This Row],[R3 Sell_Hidden]]</f>
        <v>0</v>
      </c>
      <c r="AI161" s="393">
        <f>Input_Tasks[[#This Row],[R4 Sell_Hidden5]]</f>
        <v>0</v>
      </c>
      <c r="AJ161" s="394">
        <f>Input_Tasks[[#This Row],[R5 Sell_Hidden]]</f>
        <v>0</v>
      </c>
      <c r="AK161" s="396">
        <f>SUM(Input_Tasks[[#This Row],[R1 Sell]:[R5 Sell]])</f>
        <v>0</v>
      </c>
      <c r="AL161" s="397">
        <f>IFERROR(VLOOKUP(RESOURCE_1_TYPE,COST_RATES,2,FALSE)*Input_Tasks[[#This Row],[R1 Business Hours]],0)+IFERROR(VLOOKUP(RESOURCE_1_TYPE,COST_RATES,3,FALSE)*Input_Tasks[[#This Row],[R1 After Hours]],0)</f>
        <v>0</v>
      </c>
      <c r="AM161" s="398">
        <f>IFERROR(VLOOKUP(RESOURCE_2_TYPE,COST_RATES,2,FALSE)*Input_Tasks[[#This Row],[R2 Business Hours]],0)+IFERROR(VLOOKUP(RESOURCE_2_TYPE,COST_RATES,3,FALSE)*Input_Tasks[[#This Row],[R2 After Hours]],0)</f>
        <v>0</v>
      </c>
      <c r="AN161" s="398">
        <f>IFERROR(VLOOKUP(RESOURCE_3_TYPE,COST_RATES,2,FALSE)*Input_Tasks[[#This Row],[R3 Business Hours]],0)+IFERROR(VLOOKUP(RESOURCE_3_TYPE,COST_RATES,3,FALSE)*Input_Tasks[[#This Row],[R3 After Hours]],0)</f>
        <v>0</v>
      </c>
      <c r="AO161" s="398">
        <f>IFERROR(VLOOKUP(RESOURCE_4_TYPE,COST_RATES,2,FALSE)*Input_Tasks[[#This Row],[R4 Business Hours]],0)+IFERROR(VLOOKUP(RESOURCE_4_TYPE,COST_RATES,3,FALSE)*Input_Tasks[[#This Row],[R4 After Hours]],0)</f>
        <v>0</v>
      </c>
      <c r="AP161" s="398">
        <f>IFERROR(VLOOKUP(RESOURCE_5_TYPE,COST_RATES,2,FALSE)*Input_Tasks[[#This Row],[R5 Business Hours]],0)+IFERROR(VLOOKUP(RESOURCE_5_TYPE,COST_RATES,3,FALSE)*Input_Tasks[[#This Row],[R5 After Hours]],0)</f>
        <v>0</v>
      </c>
      <c r="AQ161" s="399">
        <f>IFERROR(VLOOKUP(RESOURCE_1_TYPE,SELL_RATES,2,FALSE)*Input_Tasks[[#This Row],[R1 Business Hours]],0)+IFERROR(VLOOKUP(RESOURCE_1_TYPE,SELL_RATES,3,FALSE)*Input_Tasks[[#This Row],[R1 After Hours]],0)</f>
        <v>0</v>
      </c>
      <c r="AR161" s="398">
        <f>IFERROR(VLOOKUP(RESOURCE_2_TYPE,SELL_RATES,2,FALSE)*Input_Tasks[[#This Row],[R2 Business Hours]],0)+IFERROR(VLOOKUP(RESOURCE_2_TYPE,SELL_RATES,3,FALSE)*Input_Tasks[[#This Row],[R2 After Hours]],0)</f>
        <v>0</v>
      </c>
      <c r="AS161" s="398">
        <f>IFERROR(VLOOKUP(RESOURCE_3_TYPE,SELL_RATES,2,FALSE)*Input_Tasks[[#This Row],[R3 Business Hours]],0)+IFERROR(VLOOKUP(RESOURCE_3_TYPE,SELL_RATES,3,FALSE)*Input_Tasks[[#This Row],[R3 After Hours]],0)</f>
        <v>0</v>
      </c>
      <c r="AT161" s="398">
        <f>IFERROR(VLOOKUP(RESOURCE_4_TYPE,SELL_RATES,2,FALSE)*Input_Tasks[[#This Row],[R4 Business Hours]],0)+IFERROR(VLOOKUP(RESOURCE_4_TYPE,SELL_RATES,3,FALSE)*Input_Tasks[[#This Row],[R4 After Hours]],0)</f>
        <v>0</v>
      </c>
      <c r="AU161" s="398">
        <f>IFERROR(VLOOKUP(RESOURCE_5_TYPE,SELL_RATES,2,FALSE)*Input_Tasks[[#This Row],[R5 Business Hours]],0)+IFERROR(VLOOKUP(RESOURCE_5_TYPE,SELL_RATES,3,FALSE)*Input_Tasks[[#This Row],[R5 After Hours]],0)</f>
        <v>0</v>
      </c>
      <c r="AV161" s="400">
        <f>SUM(Input_Tasks[[#This Row],[Round Trips R1]:[Round Trips R5]])</f>
        <v>0</v>
      </c>
      <c r="AW161" s="401">
        <f>SUM(Input_Tasks[[#This Row],[Overnight StaysR1]:[Overnight StaysR5]])</f>
        <v>0</v>
      </c>
      <c r="AX161" s="401">
        <f>IF(AND(Input_Tasks[[#This Row],[Sell - Line Total]]&gt;0,OR(Input_Tasks[[#This Row],[Phase]]="",Input_Tasks[[#This Row],[Skill Required]]="",Input_Tasks[[#This Row],[Task Type]]="",Input_Tasks[[#This Row],[Description]]="")),1,0)</f>
        <v>0</v>
      </c>
      <c r="AY161" s="402">
        <f>IF(AND(Input_Tasks[[#This Row],[Task Type]]="ArchiTech Document Deliverable",Input_Tasks[[#This Row],[Hours]]&gt;0),1,0)</f>
        <v>0</v>
      </c>
      <c r="AZ16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6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6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6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6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6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6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6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6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6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6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6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6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61" s="405">
        <f>SUM(Input_Tasks[[#This Row],[R1 Business Hours]:[R1 After Hours]],Input_Tasks[[#This Row],[R2 Business Hours]:[R2 After Hours]],Input_Tasks[[#This Row],[R3 Business Hours]:[R3 After Hours]],Input_Tasks[[#This Row],[R4 Business Hours]:[R4 After Hours]],Input_Tasks[[#This Row],[R5 Business Hours]:[R5 After Hours]])</f>
        <v>0</v>
      </c>
    </row>
    <row r="162" spans="1:65">
      <c r="A162" s="384"/>
      <c r="B162" s="271"/>
      <c r="C162" s="271"/>
      <c r="D162" s="406"/>
      <c r="E162" s="385">
        <f>Input_Tasks[[#This Row],[Onsite Round Trips_Hidden]]</f>
        <v>0</v>
      </c>
      <c r="F162" s="385">
        <f>Input_Tasks[[#This Row],[Overnight Stays_Hidden]]</f>
        <v>0</v>
      </c>
      <c r="G162" s="385">
        <f>Input_Tasks[[#This Row],[Documents_Hidden]]</f>
        <v>0</v>
      </c>
      <c r="H162" s="387"/>
      <c r="I162" s="388"/>
      <c r="J162" s="389"/>
      <c r="K162" s="390"/>
      <c r="L162" s="390"/>
      <c r="M162" s="389"/>
      <c r="N162" s="390"/>
      <c r="O162" s="390"/>
      <c r="P162" s="389"/>
      <c r="Q162" s="390"/>
      <c r="R162" s="391"/>
      <c r="S162" s="389"/>
      <c r="T162" s="390"/>
      <c r="U162" s="391"/>
      <c r="V162" s="389"/>
      <c r="W162" s="390"/>
      <c r="X162" s="390"/>
      <c r="Y162" s="386" t="str">
        <f>Input_Tasks[[#This Row],[Onsite Round Trips_Hidden]]&amp;"/"&amp;Input_Tasks[[#This Row],[Overnight Stays_Hidden]]&amp;"/"&amp;Input_Tasks[[#This Row],[Documents_Hidden]]</f>
        <v>0/0/0</v>
      </c>
      <c r="Z162" s="392">
        <f>Input_Tasks[[#This Row],[R1 Cost_Hidden]]</f>
        <v>0</v>
      </c>
      <c r="AA162" s="393">
        <f>Input_Tasks[[#This Row],[R2 Cost_Hidden]]</f>
        <v>0</v>
      </c>
      <c r="AB162" s="393">
        <f>Input_Tasks[[#This Row],[R3 Cost_Hidden]]</f>
        <v>0</v>
      </c>
      <c r="AC162" s="393">
        <f>Input_Tasks[[#This Row],[R4 Cost_Hidden]]</f>
        <v>0</v>
      </c>
      <c r="AD162" s="394">
        <f>Input_Tasks[[#This Row],[R5 Cost_Hidden]]</f>
        <v>0</v>
      </c>
      <c r="AE162" s="395">
        <f>SUM(Input_Tasks[[#This Row],[R1 Cost]:[R5 Cost]])</f>
        <v>0</v>
      </c>
      <c r="AF162" s="392">
        <f>Input_Tasks[[#This Row],[R1 Sell_Hidden]]</f>
        <v>0</v>
      </c>
      <c r="AG162" s="393">
        <f>Input_Tasks[[#This Row],[R2 Sell_Hidden]]</f>
        <v>0</v>
      </c>
      <c r="AH162" s="393">
        <f>Input_Tasks[[#This Row],[R3 Sell_Hidden]]</f>
        <v>0</v>
      </c>
      <c r="AI162" s="393">
        <f>Input_Tasks[[#This Row],[R4 Sell_Hidden5]]</f>
        <v>0</v>
      </c>
      <c r="AJ162" s="394">
        <f>Input_Tasks[[#This Row],[R5 Sell_Hidden]]</f>
        <v>0</v>
      </c>
      <c r="AK162" s="396">
        <f>SUM(Input_Tasks[[#This Row],[R1 Sell]:[R5 Sell]])</f>
        <v>0</v>
      </c>
      <c r="AL162" s="397">
        <f>IFERROR(VLOOKUP(RESOURCE_1_TYPE,COST_RATES,2,FALSE)*Input_Tasks[[#This Row],[R1 Business Hours]],0)+IFERROR(VLOOKUP(RESOURCE_1_TYPE,COST_RATES,3,FALSE)*Input_Tasks[[#This Row],[R1 After Hours]],0)</f>
        <v>0</v>
      </c>
      <c r="AM162" s="398">
        <f>IFERROR(VLOOKUP(RESOURCE_2_TYPE,COST_RATES,2,FALSE)*Input_Tasks[[#This Row],[R2 Business Hours]],0)+IFERROR(VLOOKUP(RESOURCE_2_TYPE,COST_RATES,3,FALSE)*Input_Tasks[[#This Row],[R2 After Hours]],0)</f>
        <v>0</v>
      </c>
      <c r="AN162" s="398">
        <f>IFERROR(VLOOKUP(RESOURCE_3_TYPE,COST_RATES,2,FALSE)*Input_Tasks[[#This Row],[R3 Business Hours]],0)+IFERROR(VLOOKUP(RESOURCE_3_TYPE,COST_RATES,3,FALSE)*Input_Tasks[[#This Row],[R3 After Hours]],0)</f>
        <v>0</v>
      </c>
      <c r="AO162" s="398">
        <f>IFERROR(VLOOKUP(RESOURCE_4_TYPE,COST_RATES,2,FALSE)*Input_Tasks[[#This Row],[R4 Business Hours]],0)+IFERROR(VLOOKUP(RESOURCE_4_TYPE,COST_RATES,3,FALSE)*Input_Tasks[[#This Row],[R4 After Hours]],0)</f>
        <v>0</v>
      </c>
      <c r="AP162" s="398">
        <f>IFERROR(VLOOKUP(RESOURCE_5_TYPE,COST_RATES,2,FALSE)*Input_Tasks[[#This Row],[R5 Business Hours]],0)+IFERROR(VLOOKUP(RESOURCE_5_TYPE,COST_RATES,3,FALSE)*Input_Tasks[[#This Row],[R5 After Hours]],0)</f>
        <v>0</v>
      </c>
      <c r="AQ162" s="399">
        <f>IFERROR(VLOOKUP(RESOURCE_1_TYPE,SELL_RATES,2,FALSE)*Input_Tasks[[#This Row],[R1 Business Hours]],0)+IFERROR(VLOOKUP(RESOURCE_1_TYPE,SELL_RATES,3,FALSE)*Input_Tasks[[#This Row],[R1 After Hours]],0)</f>
        <v>0</v>
      </c>
      <c r="AR162" s="398">
        <f>IFERROR(VLOOKUP(RESOURCE_2_TYPE,SELL_RATES,2,FALSE)*Input_Tasks[[#This Row],[R2 Business Hours]],0)+IFERROR(VLOOKUP(RESOURCE_2_TYPE,SELL_RATES,3,FALSE)*Input_Tasks[[#This Row],[R2 After Hours]],0)</f>
        <v>0</v>
      </c>
      <c r="AS162" s="398">
        <f>IFERROR(VLOOKUP(RESOURCE_3_TYPE,SELL_RATES,2,FALSE)*Input_Tasks[[#This Row],[R3 Business Hours]],0)+IFERROR(VLOOKUP(RESOURCE_3_TYPE,SELL_RATES,3,FALSE)*Input_Tasks[[#This Row],[R3 After Hours]],0)</f>
        <v>0</v>
      </c>
      <c r="AT162" s="398">
        <f>IFERROR(VLOOKUP(RESOURCE_4_TYPE,SELL_RATES,2,FALSE)*Input_Tasks[[#This Row],[R4 Business Hours]],0)+IFERROR(VLOOKUP(RESOURCE_4_TYPE,SELL_RATES,3,FALSE)*Input_Tasks[[#This Row],[R4 After Hours]],0)</f>
        <v>0</v>
      </c>
      <c r="AU162" s="398">
        <f>IFERROR(VLOOKUP(RESOURCE_5_TYPE,SELL_RATES,2,FALSE)*Input_Tasks[[#This Row],[R5 Business Hours]],0)+IFERROR(VLOOKUP(RESOURCE_5_TYPE,SELL_RATES,3,FALSE)*Input_Tasks[[#This Row],[R5 After Hours]],0)</f>
        <v>0</v>
      </c>
      <c r="AV162" s="400">
        <f>SUM(Input_Tasks[[#This Row],[Round Trips R1]:[Round Trips R5]])</f>
        <v>0</v>
      </c>
      <c r="AW162" s="401">
        <f>SUM(Input_Tasks[[#This Row],[Overnight StaysR1]:[Overnight StaysR5]])</f>
        <v>0</v>
      </c>
      <c r="AX162" s="401">
        <f>IF(AND(Input_Tasks[[#This Row],[Sell - Line Total]]&gt;0,OR(Input_Tasks[[#This Row],[Phase]]="",Input_Tasks[[#This Row],[Skill Required]]="",Input_Tasks[[#This Row],[Task Type]]="",Input_Tasks[[#This Row],[Description]]="")),1,0)</f>
        <v>0</v>
      </c>
      <c r="AY162" s="402">
        <f>IF(AND(Input_Tasks[[#This Row],[Task Type]]="ArchiTech Document Deliverable",Input_Tasks[[#This Row],[Hours]]&gt;0),1,0)</f>
        <v>0</v>
      </c>
      <c r="AZ16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6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6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6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6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6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6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6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6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6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6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6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6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62" s="405">
        <f>SUM(Input_Tasks[[#This Row],[R1 Business Hours]:[R1 After Hours]],Input_Tasks[[#This Row],[R2 Business Hours]:[R2 After Hours]],Input_Tasks[[#This Row],[R3 Business Hours]:[R3 After Hours]],Input_Tasks[[#This Row],[R4 Business Hours]:[R4 After Hours]],Input_Tasks[[#This Row],[R5 Business Hours]:[R5 After Hours]])</f>
        <v>0</v>
      </c>
    </row>
    <row r="163" spans="1:65">
      <c r="A163" s="384"/>
      <c r="B163" s="271"/>
      <c r="C163" s="271"/>
      <c r="D163" s="406"/>
      <c r="E163" s="385">
        <f>Input_Tasks[[#This Row],[Onsite Round Trips_Hidden]]</f>
        <v>0</v>
      </c>
      <c r="F163" s="385">
        <f>Input_Tasks[[#This Row],[Overnight Stays_Hidden]]</f>
        <v>0</v>
      </c>
      <c r="G163" s="385">
        <f>Input_Tasks[[#This Row],[Documents_Hidden]]</f>
        <v>0</v>
      </c>
      <c r="H163" s="387"/>
      <c r="I163" s="388"/>
      <c r="J163" s="389"/>
      <c r="K163" s="390"/>
      <c r="L163" s="390"/>
      <c r="M163" s="389"/>
      <c r="N163" s="390"/>
      <c r="O163" s="390"/>
      <c r="P163" s="389"/>
      <c r="Q163" s="390"/>
      <c r="R163" s="391"/>
      <c r="S163" s="389"/>
      <c r="T163" s="390"/>
      <c r="U163" s="391"/>
      <c r="V163" s="389"/>
      <c r="W163" s="390"/>
      <c r="X163" s="390"/>
      <c r="Y163" s="386" t="str">
        <f>Input_Tasks[[#This Row],[Onsite Round Trips_Hidden]]&amp;"/"&amp;Input_Tasks[[#This Row],[Overnight Stays_Hidden]]&amp;"/"&amp;Input_Tasks[[#This Row],[Documents_Hidden]]</f>
        <v>0/0/0</v>
      </c>
      <c r="Z163" s="392">
        <f>Input_Tasks[[#This Row],[R1 Cost_Hidden]]</f>
        <v>0</v>
      </c>
      <c r="AA163" s="393">
        <f>Input_Tasks[[#This Row],[R2 Cost_Hidden]]</f>
        <v>0</v>
      </c>
      <c r="AB163" s="393">
        <f>Input_Tasks[[#This Row],[R3 Cost_Hidden]]</f>
        <v>0</v>
      </c>
      <c r="AC163" s="393">
        <f>Input_Tasks[[#This Row],[R4 Cost_Hidden]]</f>
        <v>0</v>
      </c>
      <c r="AD163" s="394">
        <f>Input_Tasks[[#This Row],[R5 Cost_Hidden]]</f>
        <v>0</v>
      </c>
      <c r="AE163" s="395">
        <f>SUM(Input_Tasks[[#This Row],[R1 Cost]:[R5 Cost]])</f>
        <v>0</v>
      </c>
      <c r="AF163" s="392">
        <f>Input_Tasks[[#This Row],[R1 Sell_Hidden]]</f>
        <v>0</v>
      </c>
      <c r="AG163" s="393">
        <f>Input_Tasks[[#This Row],[R2 Sell_Hidden]]</f>
        <v>0</v>
      </c>
      <c r="AH163" s="393">
        <f>Input_Tasks[[#This Row],[R3 Sell_Hidden]]</f>
        <v>0</v>
      </c>
      <c r="AI163" s="393">
        <f>Input_Tasks[[#This Row],[R4 Sell_Hidden5]]</f>
        <v>0</v>
      </c>
      <c r="AJ163" s="394">
        <f>Input_Tasks[[#This Row],[R5 Sell_Hidden]]</f>
        <v>0</v>
      </c>
      <c r="AK163" s="396">
        <f>SUM(Input_Tasks[[#This Row],[R1 Sell]:[R5 Sell]])</f>
        <v>0</v>
      </c>
      <c r="AL163" s="397">
        <f>IFERROR(VLOOKUP(RESOURCE_1_TYPE,COST_RATES,2,FALSE)*Input_Tasks[[#This Row],[R1 Business Hours]],0)+IFERROR(VLOOKUP(RESOURCE_1_TYPE,COST_RATES,3,FALSE)*Input_Tasks[[#This Row],[R1 After Hours]],0)</f>
        <v>0</v>
      </c>
      <c r="AM163" s="398">
        <f>IFERROR(VLOOKUP(RESOURCE_2_TYPE,COST_RATES,2,FALSE)*Input_Tasks[[#This Row],[R2 Business Hours]],0)+IFERROR(VLOOKUP(RESOURCE_2_TYPE,COST_RATES,3,FALSE)*Input_Tasks[[#This Row],[R2 After Hours]],0)</f>
        <v>0</v>
      </c>
      <c r="AN163" s="398">
        <f>IFERROR(VLOOKUP(RESOURCE_3_TYPE,COST_RATES,2,FALSE)*Input_Tasks[[#This Row],[R3 Business Hours]],0)+IFERROR(VLOOKUP(RESOURCE_3_TYPE,COST_RATES,3,FALSE)*Input_Tasks[[#This Row],[R3 After Hours]],0)</f>
        <v>0</v>
      </c>
      <c r="AO163" s="398">
        <f>IFERROR(VLOOKUP(RESOURCE_4_TYPE,COST_RATES,2,FALSE)*Input_Tasks[[#This Row],[R4 Business Hours]],0)+IFERROR(VLOOKUP(RESOURCE_4_TYPE,COST_RATES,3,FALSE)*Input_Tasks[[#This Row],[R4 After Hours]],0)</f>
        <v>0</v>
      </c>
      <c r="AP163" s="398">
        <f>IFERROR(VLOOKUP(RESOURCE_5_TYPE,COST_RATES,2,FALSE)*Input_Tasks[[#This Row],[R5 Business Hours]],0)+IFERROR(VLOOKUP(RESOURCE_5_TYPE,COST_RATES,3,FALSE)*Input_Tasks[[#This Row],[R5 After Hours]],0)</f>
        <v>0</v>
      </c>
      <c r="AQ163" s="399">
        <f>IFERROR(VLOOKUP(RESOURCE_1_TYPE,SELL_RATES,2,FALSE)*Input_Tasks[[#This Row],[R1 Business Hours]],0)+IFERROR(VLOOKUP(RESOURCE_1_TYPE,SELL_RATES,3,FALSE)*Input_Tasks[[#This Row],[R1 After Hours]],0)</f>
        <v>0</v>
      </c>
      <c r="AR163" s="398">
        <f>IFERROR(VLOOKUP(RESOURCE_2_TYPE,SELL_RATES,2,FALSE)*Input_Tasks[[#This Row],[R2 Business Hours]],0)+IFERROR(VLOOKUP(RESOURCE_2_TYPE,SELL_RATES,3,FALSE)*Input_Tasks[[#This Row],[R2 After Hours]],0)</f>
        <v>0</v>
      </c>
      <c r="AS163" s="398">
        <f>IFERROR(VLOOKUP(RESOURCE_3_TYPE,SELL_RATES,2,FALSE)*Input_Tasks[[#This Row],[R3 Business Hours]],0)+IFERROR(VLOOKUP(RESOURCE_3_TYPE,SELL_RATES,3,FALSE)*Input_Tasks[[#This Row],[R3 After Hours]],0)</f>
        <v>0</v>
      </c>
      <c r="AT163" s="398">
        <f>IFERROR(VLOOKUP(RESOURCE_4_TYPE,SELL_RATES,2,FALSE)*Input_Tasks[[#This Row],[R4 Business Hours]],0)+IFERROR(VLOOKUP(RESOURCE_4_TYPE,SELL_RATES,3,FALSE)*Input_Tasks[[#This Row],[R4 After Hours]],0)</f>
        <v>0</v>
      </c>
      <c r="AU163" s="398">
        <f>IFERROR(VLOOKUP(RESOURCE_5_TYPE,SELL_RATES,2,FALSE)*Input_Tasks[[#This Row],[R5 Business Hours]],0)+IFERROR(VLOOKUP(RESOURCE_5_TYPE,SELL_RATES,3,FALSE)*Input_Tasks[[#This Row],[R5 After Hours]],0)</f>
        <v>0</v>
      </c>
      <c r="AV163" s="400">
        <f>SUM(Input_Tasks[[#This Row],[Round Trips R1]:[Round Trips R5]])</f>
        <v>0</v>
      </c>
      <c r="AW163" s="401">
        <f>SUM(Input_Tasks[[#This Row],[Overnight StaysR1]:[Overnight StaysR5]])</f>
        <v>0</v>
      </c>
      <c r="AX163" s="401">
        <f>IF(AND(Input_Tasks[[#This Row],[Sell - Line Total]]&gt;0,OR(Input_Tasks[[#This Row],[Phase]]="",Input_Tasks[[#This Row],[Skill Required]]="",Input_Tasks[[#This Row],[Task Type]]="",Input_Tasks[[#This Row],[Description]]="")),1,0)</f>
        <v>0</v>
      </c>
      <c r="AY163" s="402">
        <f>IF(AND(Input_Tasks[[#This Row],[Task Type]]="ArchiTech Document Deliverable",Input_Tasks[[#This Row],[Hours]]&gt;0),1,0)</f>
        <v>0</v>
      </c>
      <c r="AZ16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6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6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6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6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6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6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6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6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6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6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6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6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63" s="405">
        <f>SUM(Input_Tasks[[#This Row],[R1 Business Hours]:[R1 After Hours]],Input_Tasks[[#This Row],[R2 Business Hours]:[R2 After Hours]],Input_Tasks[[#This Row],[R3 Business Hours]:[R3 After Hours]],Input_Tasks[[#This Row],[R4 Business Hours]:[R4 After Hours]],Input_Tasks[[#This Row],[R5 Business Hours]:[R5 After Hours]])</f>
        <v>0</v>
      </c>
    </row>
    <row r="164" spans="1:65">
      <c r="A164" s="384"/>
      <c r="B164" s="271"/>
      <c r="C164" s="271"/>
      <c r="D164" s="406"/>
      <c r="E164" s="385">
        <f>Input_Tasks[[#This Row],[Onsite Round Trips_Hidden]]</f>
        <v>0</v>
      </c>
      <c r="F164" s="385">
        <f>Input_Tasks[[#This Row],[Overnight Stays_Hidden]]</f>
        <v>0</v>
      </c>
      <c r="G164" s="385">
        <f>Input_Tasks[[#This Row],[Documents_Hidden]]</f>
        <v>0</v>
      </c>
      <c r="H164" s="387"/>
      <c r="I164" s="388"/>
      <c r="J164" s="389"/>
      <c r="K164" s="390"/>
      <c r="L164" s="390"/>
      <c r="M164" s="389"/>
      <c r="N164" s="390"/>
      <c r="O164" s="390"/>
      <c r="P164" s="389"/>
      <c r="Q164" s="390"/>
      <c r="R164" s="391"/>
      <c r="S164" s="389"/>
      <c r="T164" s="390"/>
      <c r="U164" s="391"/>
      <c r="V164" s="389"/>
      <c r="W164" s="390"/>
      <c r="X164" s="390"/>
      <c r="Y164" s="386" t="str">
        <f>Input_Tasks[[#This Row],[Onsite Round Trips_Hidden]]&amp;"/"&amp;Input_Tasks[[#This Row],[Overnight Stays_Hidden]]&amp;"/"&amp;Input_Tasks[[#This Row],[Documents_Hidden]]</f>
        <v>0/0/0</v>
      </c>
      <c r="Z164" s="392">
        <f>Input_Tasks[[#This Row],[R1 Cost_Hidden]]</f>
        <v>0</v>
      </c>
      <c r="AA164" s="393">
        <f>Input_Tasks[[#This Row],[R2 Cost_Hidden]]</f>
        <v>0</v>
      </c>
      <c r="AB164" s="393">
        <f>Input_Tasks[[#This Row],[R3 Cost_Hidden]]</f>
        <v>0</v>
      </c>
      <c r="AC164" s="393">
        <f>Input_Tasks[[#This Row],[R4 Cost_Hidden]]</f>
        <v>0</v>
      </c>
      <c r="AD164" s="394">
        <f>Input_Tasks[[#This Row],[R5 Cost_Hidden]]</f>
        <v>0</v>
      </c>
      <c r="AE164" s="395">
        <f>SUM(Input_Tasks[[#This Row],[R1 Cost]:[R5 Cost]])</f>
        <v>0</v>
      </c>
      <c r="AF164" s="392">
        <f>Input_Tasks[[#This Row],[R1 Sell_Hidden]]</f>
        <v>0</v>
      </c>
      <c r="AG164" s="393">
        <f>Input_Tasks[[#This Row],[R2 Sell_Hidden]]</f>
        <v>0</v>
      </c>
      <c r="AH164" s="393">
        <f>Input_Tasks[[#This Row],[R3 Sell_Hidden]]</f>
        <v>0</v>
      </c>
      <c r="AI164" s="393">
        <f>Input_Tasks[[#This Row],[R4 Sell_Hidden5]]</f>
        <v>0</v>
      </c>
      <c r="AJ164" s="394">
        <f>Input_Tasks[[#This Row],[R5 Sell_Hidden]]</f>
        <v>0</v>
      </c>
      <c r="AK164" s="396">
        <f>SUM(Input_Tasks[[#This Row],[R1 Sell]:[R5 Sell]])</f>
        <v>0</v>
      </c>
      <c r="AL164" s="397">
        <f>IFERROR(VLOOKUP(RESOURCE_1_TYPE,COST_RATES,2,FALSE)*Input_Tasks[[#This Row],[R1 Business Hours]],0)+IFERROR(VLOOKUP(RESOURCE_1_TYPE,COST_RATES,3,FALSE)*Input_Tasks[[#This Row],[R1 After Hours]],0)</f>
        <v>0</v>
      </c>
      <c r="AM164" s="398">
        <f>IFERROR(VLOOKUP(RESOURCE_2_TYPE,COST_RATES,2,FALSE)*Input_Tasks[[#This Row],[R2 Business Hours]],0)+IFERROR(VLOOKUP(RESOURCE_2_TYPE,COST_RATES,3,FALSE)*Input_Tasks[[#This Row],[R2 After Hours]],0)</f>
        <v>0</v>
      </c>
      <c r="AN164" s="398">
        <f>IFERROR(VLOOKUP(RESOURCE_3_TYPE,COST_RATES,2,FALSE)*Input_Tasks[[#This Row],[R3 Business Hours]],0)+IFERROR(VLOOKUP(RESOURCE_3_TYPE,COST_RATES,3,FALSE)*Input_Tasks[[#This Row],[R3 After Hours]],0)</f>
        <v>0</v>
      </c>
      <c r="AO164" s="398">
        <f>IFERROR(VLOOKUP(RESOURCE_4_TYPE,COST_RATES,2,FALSE)*Input_Tasks[[#This Row],[R4 Business Hours]],0)+IFERROR(VLOOKUP(RESOURCE_4_TYPE,COST_RATES,3,FALSE)*Input_Tasks[[#This Row],[R4 After Hours]],0)</f>
        <v>0</v>
      </c>
      <c r="AP164" s="398">
        <f>IFERROR(VLOOKUP(RESOURCE_5_TYPE,COST_RATES,2,FALSE)*Input_Tasks[[#This Row],[R5 Business Hours]],0)+IFERROR(VLOOKUP(RESOURCE_5_TYPE,COST_RATES,3,FALSE)*Input_Tasks[[#This Row],[R5 After Hours]],0)</f>
        <v>0</v>
      </c>
      <c r="AQ164" s="399">
        <f>IFERROR(VLOOKUP(RESOURCE_1_TYPE,SELL_RATES,2,FALSE)*Input_Tasks[[#This Row],[R1 Business Hours]],0)+IFERROR(VLOOKUP(RESOURCE_1_TYPE,SELL_RATES,3,FALSE)*Input_Tasks[[#This Row],[R1 After Hours]],0)</f>
        <v>0</v>
      </c>
      <c r="AR164" s="398">
        <f>IFERROR(VLOOKUP(RESOURCE_2_TYPE,SELL_RATES,2,FALSE)*Input_Tasks[[#This Row],[R2 Business Hours]],0)+IFERROR(VLOOKUP(RESOURCE_2_TYPE,SELL_RATES,3,FALSE)*Input_Tasks[[#This Row],[R2 After Hours]],0)</f>
        <v>0</v>
      </c>
      <c r="AS164" s="398">
        <f>IFERROR(VLOOKUP(RESOURCE_3_TYPE,SELL_RATES,2,FALSE)*Input_Tasks[[#This Row],[R3 Business Hours]],0)+IFERROR(VLOOKUP(RESOURCE_3_TYPE,SELL_RATES,3,FALSE)*Input_Tasks[[#This Row],[R3 After Hours]],0)</f>
        <v>0</v>
      </c>
      <c r="AT164" s="398">
        <f>IFERROR(VLOOKUP(RESOURCE_4_TYPE,SELL_RATES,2,FALSE)*Input_Tasks[[#This Row],[R4 Business Hours]],0)+IFERROR(VLOOKUP(RESOURCE_4_TYPE,SELL_RATES,3,FALSE)*Input_Tasks[[#This Row],[R4 After Hours]],0)</f>
        <v>0</v>
      </c>
      <c r="AU164" s="398">
        <f>IFERROR(VLOOKUP(RESOURCE_5_TYPE,SELL_RATES,2,FALSE)*Input_Tasks[[#This Row],[R5 Business Hours]],0)+IFERROR(VLOOKUP(RESOURCE_5_TYPE,SELL_RATES,3,FALSE)*Input_Tasks[[#This Row],[R5 After Hours]],0)</f>
        <v>0</v>
      </c>
      <c r="AV164" s="400">
        <f>SUM(Input_Tasks[[#This Row],[Round Trips R1]:[Round Trips R5]])</f>
        <v>0</v>
      </c>
      <c r="AW164" s="401">
        <f>SUM(Input_Tasks[[#This Row],[Overnight StaysR1]:[Overnight StaysR5]])</f>
        <v>0</v>
      </c>
      <c r="AX164" s="401">
        <f>IF(AND(Input_Tasks[[#This Row],[Sell - Line Total]]&gt;0,OR(Input_Tasks[[#This Row],[Phase]]="",Input_Tasks[[#This Row],[Skill Required]]="",Input_Tasks[[#This Row],[Task Type]]="",Input_Tasks[[#This Row],[Description]]="")),1,0)</f>
        <v>0</v>
      </c>
      <c r="AY164" s="402">
        <f>IF(AND(Input_Tasks[[#This Row],[Task Type]]="ArchiTech Document Deliverable",Input_Tasks[[#This Row],[Hours]]&gt;0),1,0)</f>
        <v>0</v>
      </c>
      <c r="AZ16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6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6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6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6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6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6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6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6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6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6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6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6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64" s="405">
        <f>SUM(Input_Tasks[[#This Row],[R1 Business Hours]:[R1 After Hours]],Input_Tasks[[#This Row],[R2 Business Hours]:[R2 After Hours]],Input_Tasks[[#This Row],[R3 Business Hours]:[R3 After Hours]],Input_Tasks[[#This Row],[R4 Business Hours]:[R4 After Hours]],Input_Tasks[[#This Row],[R5 Business Hours]:[R5 After Hours]])</f>
        <v>0</v>
      </c>
    </row>
    <row r="165" spans="1:65">
      <c r="A165" s="384"/>
      <c r="B165" s="271"/>
      <c r="C165" s="271"/>
      <c r="D165" s="406"/>
      <c r="E165" s="385">
        <f>Input_Tasks[[#This Row],[Onsite Round Trips_Hidden]]</f>
        <v>0</v>
      </c>
      <c r="F165" s="385">
        <f>Input_Tasks[[#This Row],[Overnight Stays_Hidden]]</f>
        <v>0</v>
      </c>
      <c r="G165" s="385">
        <f>Input_Tasks[[#This Row],[Documents_Hidden]]</f>
        <v>0</v>
      </c>
      <c r="H165" s="387"/>
      <c r="I165" s="388"/>
      <c r="J165" s="389"/>
      <c r="K165" s="390"/>
      <c r="L165" s="390"/>
      <c r="M165" s="389"/>
      <c r="N165" s="390"/>
      <c r="O165" s="390"/>
      <c r="P165" s="389"/>
      <c r="Q165" s="390"/>
      <c r="R165" s="391"/>
      <c r="S165" s="389"/>
      <c r="T165" s="390"/>
      <c r="U165" s="391"/>
      <c r="V165" s="389"/>
      <c r="W165" s="390"/>
      <c r="X165" s="390"/>
      <c r="Y165" s="386" t="str">
        <f>Input_Tasks[[#This Row],[Onsite Round Trips_Hidden]]&amp;"/"&amp;Input_Tasks[[#This Row],[Overnight Stays_Hidden]]&amp;"/"&amp;Input_Tasks[[#This Row],[Documents_Hidden]]</f>
        <v>0/0/0</v>
      </c>
      <c r="Z165" s="392">
        <f>Input_Tasks[[#This Row],[R1 Cost_Hidden]]</f>
        <v>0</v>
      </c>
      <c r="AA165" s="393">
        <f>Input_Tasks[[#This Row],[R2 Cost_Hidden]]</f>
        <v>0</v>
      </c>
      <c r="AB165" s="393">
        <f>Input_Tasks[[#This Row],[R3 Cost_Hidden]]</f>
        <v>0</v>
      </c>
      <c r="AC165" s="393">
        <f>Input_Tasks[[#This Row],[R4 Cost_Hidden]]</f>
        <v>0</v>
      </c>
      <c r="AD165" s="394">
        <f>Input_Tasks[[#This Row],[R5 Cost_Hidden]]</f>
        <v>0</v>
      </c>
      <c r="AE165" s="395">
        <f>SUM(Input_Tasks[[#This Row],[R1 Cost]:[R5 Cost]])</f>
        <v>0</v>
      </c>
      <c r="AF165" s="392">
        <f>Input_Tasks[[#This Row],[R1 Sell_Hidden]]</f>
        <v>0</v>
      </c>
      <c r="AG165" s="393">
        <f>Input_Tasks[[#This Row],[R2 Sell_Hidden]]</f>
        <v>0</v>
      </c>
      <c r="AH165" s="393">
        <f>Input_Tasks[[#This Row],[R3 Sell_Hidden]]</f>
        <v>0</v>
      </c>
      <c r="AI165" s="393">
        <f>Input_Tasks[[#This Row],[R4 Sell_Hidden5]]</f>
        <v>0</v>
      </c>
      <c r="AJ165" s="394">
        <f>Input_Tasks[[#This Row],[R5 Sell_Hidden]]</f>
        <v>0</v>
      </c>
      <c r="AK165" s="396">
        <f>SUM(Input_Tasks[[#This Row],[R1 Sell]:[R5 Sell]])</f>
        <v>0</v>
      </c>
      <c r="AL165" s="397">
        <f>IFERROR(VLOOKUP(RESOURCE_1_TYPE,COST_RATES,2,FALSE)*Input_Tasks[[#This Row],[R1 Business Hours]],0)+IFERROR(VLOOKUP(RESOURCE_1_TYPE,COST_RATES,3,FALSE)*Input_Tasks[[#This Row],[R1 After Hours]],0)</f>
        <v>0</v>
      </c>
      <c r="AM165" s="398">
        <f>IFERROR(VLOOKUP(RESOURCE_2_TYPE,COST_RATES,2,FALSE)*Input_Tasks[[#This Row],[R2 Business Hours]],0)+IFERROR(VLOOKUP(RESOURCE_2_TYPE,COST_RATES,3,FALSE)*Input_Tasks[[#This Row],[R2 After Hours]],0)</f>
        <v>0</v>
      </c>
      <c r="AN165" s="398">
        <f>IFERROR(VLOOKUP(RESOURCE_3_TYPE,COST_RATES,2,FALSE)*Input_Tasks[[#This Row],[R3 Business Hours]],0)+IFERROR(VLOOKUP(RESOURCE_3_TYPE,COST_RATES,3,FALSE)*Input_Tasks[[#This Row],[R3 After Hours]],0)</f>
        <v>0</v>
      </c>
      <c r="AO165" s="398">
        <f>IFERROR(VLOOKUP(RESOURCE_4_TYPE,COST_RATES,2,FALSE)*Input_Tasks[[#This Row],[R4 Business Hours]],0)+IFERROR(VLOOKUP(RESOURCE_4_TYPE,COST_RATES,3,FALSE)*Input_Tasks[[#This Row],[R4 After Hours]],0)</f>
        <v>0</v>
      </c>
      <c r="AP165" s="398">
        <f>IFERROR(VLOOKUP(RESOURCE_5_TYPE,COST_RATES,2,FALSE)*Input_Tasks[[#This Row],[R5 Business Hours]],0)+IFERROR(VLOOKUP(RESOURCE_5_TYPE,COST_RATES,3,FALSE)*Input_Tasks[[#This Row],[R5 After Hours]],0)</f>
        <v>0</v>
      </c>
      <c r="AQ165" s="399">
        <f>IFERROR(VLOOKUP(RESOURCE_1_TYPE,SELL_RATES,2,FALSE)*Input_Tasks[[#This Row],[R1 Business Hours]],0)+IFERROR(VLOOKUP(RESOURCE_1_TYPE,SELL_RATES,3,FALSE)*Input_Tasks[[#This Row],[R1 After Hours]],0)</f>
        <v>0</v>
      </c>
      <c r="AR165" s="398">
        <f>IFERROR(VLOOKUP(RESOURCE_2_TYPE,SELL_RATES,2,FALSE)*Input_Tasks[[#This Row],[R2 Business Hours]],0)+IFERROR(VLOOKUP(RESOURCE_2_TYPE,SELL_RATES,3,FALSE)*Input_Tasks[[#This Row],[R2 After Hours]],0)</f>
        <v>0</v>
      </c>
      <c r="AS165" s="398">
        <f>IFERROR(VLOOKUP(RESOURCE_3_TYPE,SELL_RATES,2,FALSE)*Input_Tasks[[#This Row],[R3 Business Hours]],0)+IFERROR(VLOOKUP(RESOURCE_3_TYPE,SELL_RATES,3,FALSE)*Input_Tasks[[#This Row],[R3 After Hours]],0)</f>
        <v>0</v>
      </c>
      <c r="AT165" s="398">
        <f>IFERROR(VLOOKUP(RESOURCE_4_TYPE,SELL_RATES,2,FALSE)*Input_Tasks[[#This Row],[R4 Business Hours]],0)+IFERROR(VLOOKUP(RESOURCE_4_TYPE,SELL_RATES,3,FALSE)*Input_Tasks[[#This Row],[R4 After Hours]],0)</f>
        <v>0</v>
      </c>
      <c r="AU165" s="398">
        <f>IFERROR(VLOOKUP(RESOURCE_5_TYPE,SELL_RATES,2,FALSE)*Input_Tasks[[#This Row],[R5 Business Hours]],0)+IFERROR(VLOOKUP(RESOURCE_5_TYPE,SELL_RATES,3,FALSE)*Input_Tasks[[#This Row],[R5 After Hours]],0)</f>
        <v>0</v>
      </c>
      <c r="AV165" s="400">
        <f>SUM(Input_Tasks[[#This Row],[Round Trips R1]:[Round Trips R5]])</f>
        <v>0</v>
      </c>
      <c r="AW165" s="401">
        <f>SUM(Input_Tasks[[#This Row],[Overnight StaysR1]:[Overnight StaysR5]])</f>
        <v>0</v>
      </c>
      <c r="AX165" s="401">
        <f>IF(AND(Input_Tasks[[#This Row],[Sell - Line Total]]&gt;0,OR(Input_Tasks[[#This Row],[Phase]]="",Input_Tasks[[#This Row],[Skill Required]]="",Input_Tasks[[#This Row],[Task Type]]="",Input_Tasks[[#This Row],[Description]]="")),1,0)</f>
        <v>0</v>
      </c>
      <c r="AY165" s="402">
        <f>IF(AND(Input_Tasks[[#This Row],[Task Type]]="ArchiTech Document Deliverable",Input_Tasks[[#This Row],[Hours]]&gt;0),1,0)</f>
        <v>0</v>
      </c>
      <c r="AZ16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6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6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6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6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6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6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6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6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6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6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6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6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65" s="405">
        <f>SUM(Input_Tasks[[#This Row],[R1 Business Hours]:[R1 After Hours]],Input_Tasks[[#This Row],[R2 Business Hours]:[R2 After Hours]],Input_Tasks[[#This Row],[R3 Business Hours]:[R3 After Hours]],Input_Tasks[[#This Row],[R4 Business Hours]:[R4 After Hours]],Input_Tasks[[#This Row],[R5 Business Hours]:[R5 After Hours]])</f>
        <v>0</v>
      </c>
    </row>
    <row r="166" spans="1:65">
      <c r="A166" s="384"/>
      <c r="B166" s="271"/>
      <c r="C166" s="271"/>
      <c r="D166" s="406"/>
      <c r="E166" s="385">
        <f>Input_Tasks[[#This Row],[Onsite Round Trips_Hidden]]</f>
        <v>0</v>
      </c>
      <c r="F166" s="385">
        <f>Input_Tasks[[#This Row],[Overnight Stays_Hidden]]</f>
        <v>0</v>
      </c>
      <c r="G166" s="385">
        <f>Input_Tasks[[#This Row],[Documents_Hidden]]</f>
        <v>0</v>
      </c>
      <c r="H166" s="387"/>
      <c r="I166" s="388"/>
      <c r="J166" s="389"/>
      <c r="K166" s="390"/>
      <c r="L166" s="390"/>
      <c r="M166" s="389"/>
      <c r="N166" s="390"/>
      <c r="O166" s="390"/>
      <c r="P166" s="389"/>
      <c r="Q166" s="390"/>
      <c r="R166" s="391"/>
      <c r="S166" s="389"/>
      <c r="T166" s="390"/>
      <c r="U166" s="391"/>
      <c r="V166" s="389"/>
      <c r="W166" s="390"/>
      <c r="X166" s="390"/>
      <c r="Y166" s="386" t="str">
        <f>Input_Tasks[[#This Row],[Onsite Round Trips_Hidden]]&amp;"/"&amp;Input_Tasks[[#This Row],[Overnight Stays_Hidden]]&amp;"/"&amp;Input_Tasks[[#This Row],[Documents_Hidden]]</f>
        <v>0/0/0</v>
      </c>
      <c r="Z166" s="392">
        <f>Input_Tasks[[#This Row],[R1 Cost_Hidden]]</f>
        <v>0</v>
      </c>
      <c r="AA166" s="393">
        <f>Input_Tasks[[#This Row],[R2 Cost_Hidden]]</f>
        <v>0</v>
      </c>
      <c r="AB166" s="393">
        <f>Input_Tasks[[#This Row],[R3 Cost_Hidden]]</f>
        <v>0</v>
      </c>
      <c r="AC166" s="393">
        <f>Input_Tasks[[#This Row],[R4 Cost_Hidden]]</f>
        <v>0</v>
      </c>
      <c r="AD166" s="394">
        <f>Input_Tasks[[#This Row],[R5 Cost_Hidden]]</f>
        <v>0</v>
      </c>
      <c r="AE166" s="395">
        <f>SUM(Input_Tasks[[#This Row],[R1 Cost]:[R5 Cost]])</f>
        <v>0</v>
      </c>
      <c r="AF166" s="392">
        <f>Input_Tasks[[#This Row],[R1 Sell_Hidden]]</f>
        <v>0</v>
      </c>
      <c r="AG166" s="393">
        <f>Input_Tasks[[#This Row],[R2 Sell_Hidden]]</f>
        <v>0</v>
      </c>
      <c r="AH166" s="393">
        <f>Input_Tasks[[#This Row],[R3 Sell_Hidden]]</f>
        <v>0</v>
      </c>
      <c r="AI166" s="393">
        <f>Input_Tasks[[#This Row],[R4 Sell_Hidden5]]</f>
        <v>0</v>
      </c>
      <c r="AJ166" s="394">
        <f>Input_Tasks[[#This Row],[R5 Sell_Hidden]]</f>
        <v>0</v>
      </c>
      <c r="AK166" s="396">
        <f>SUM(Input_Tasks[[#This Row],[R1 Sell]:[R5 Sell]])</f>
        <v>0</v>
      </c>
      <c r="AL166" s="397">
        <f>IFERROR(VLOOKUP(RESOURCE_1_TYPE,COST_RATES,2,FALSE)*Input_Tasks[[#This Row],[R1 Business Hours]],0)+IFERROR(VLOOKUP(RESOURCE_1_TYPE,COST_RATES,3,FALSE)*Input_Tasks[[#This Row],[R1 After Hours]],0)</f>
        <v>0</v>
      </c>
      <c r="AM166" s="398">
        <f>IFERROR(VLOOKUP(RESOURCE_2_TYPE,COST_RATES,2,FALSE)*Input_Tasks[[#This Row],[R2 Business Hours]],0)+IFERROR(VLOOKUP(RESOURCE_2_TYPE,COST_RATES,3,FALSE)*Input_Tasks[[#This Row],[R2 After Hours]],0)</f>
        <v>0</v>
      </c>
      <c r="AN166" s="398">
        <f>IFERROR(VLOOKUP(RESOURCE_3_TYPE,COST_RATES,2,FALSE)*Input_Tasks[[#This Row],[R3 Business Hours]],0)+IFERROR(VLOOKUP(RESOURCE_3_TYPE,COST_RATES,3,FALSE)*Input_Tasks[[#This Row],[R3 After Hours]],0)</f>
        <v>0</v>
      </c>
      <c r="AO166" s="398">
        <f>IFERROR(VLOOKUP(RESOURCE_4_TYPE,COST_RATES,2,FALSE)*Input_Tasks[[#This Row],[R4 Business Hours]],0)+IFERROR(VLOOKUP(RESOURCE_4_TYPE,COST_RATES,3,FALSE)*Input_Tasks[[#This Row],[R4 After Hours]],0)</f>
        <v>0</v>
      </c>
      <c r="AP166" s="398">
        <f>IFERROR(VLOOKUP(RESOURCE_5_TYPE,COST_RATES,2,FALSE)*Input_Tasks[[#This Row],[R5 Business Hours]],0)+IFERROR(VLOOKUP(RESOURCE_5_TYPE,COST_RATES,3,FALSE)*Input_Tasks[[#This Row],[R5 After Hours]],0)</f>
        <v>0</v>
      </c>
      <c r="AQ166" s="399">
        <f>IFERROR(VLOOKUP(RESOURCE_1_TYPE,SELL_RATES,2,FALSE)*Input_Tasks[[#This Row],[R1 Business Hours]],0)+IFERROR(VLOOKUP(RESOURCE_1_TYPE,SELL_RATES,3,FALSE)*Input_Tasks[[#This Row],[R1 After Hours]],0)</f>
        <v>0</v>
      </c>
      <c r="AR166" s="398">
        <f>IFERROR(VLOOKUP(RESOURCE_2_TYPE,SELL_RATES,2,FALSE)*Input_Tasks[[#This Row],[R2 Business Hours]],0)+IFERROR(VLOOKUP(RESOURCE_2_TYPE,SELL_RATES,3,FALSE)*Input_Tasks[[#This Row],[R2 After Hours]],0)</f>
        <v>0</v>
      </c>
      <c r="AS166" s="398">
        <f>IFERROR(VLOOKUP(RESOURCE_3_TYPE,SELL_RATES,2,FALSE)*Input_Tasks[[#This Row],[R3 Business Hours]],0)+IFERROR(VLOOKUP(RESOURCE_3_TYPE,SELL_RATES,3,FALSE)*Input_Tasks[[#This Row],[R3 After Hours]],0)</f>
        <v>0</v>
      </c>
      <c r="AT166" s="398">
        <f>IFERROR(VLOOKUP(RESOURCE_4_TYPE,SELL_RATES,2,FALSE)*Input_Tasks[[#This Row],[R4 Business Hours]],0)+IFERROR(VLOOKUP(RESOURCE_4_TYPE,SELL_RATES,3,FALSE)*Input_Tasks[[#This Row],[R4 After Hours]],0)</f>
        <v>0</v>
      </c>
      <c r="AU166" s="398">
        <f>IFERROR(VLOOKUP(RESOURCE_5_TYPE,SELL_RATES,2,FALSE)*Input_Tasks[[#This Row],[R5 Business Hours]],0)+IFERROR(VLOOKUP(RESOURCE_5_TYPE,SELL_RATES,3,FALSE)*Input_Tasks[[#This Row],[R5 After Hours]],0)</f>
        <v>0</v>
      </c>
      <c r="AV166" s="400">
        <f>SUM(Input_Tasks[[#This Row],[Round Trips R1]:[Round Trips R5]])</f>
        <v>0</v>
      </c>
      <c r="AW166" s="401">
        <f>SUM(Input_Tasks[[#This Row],[Overnight StaysR1]:[Overnight StaysR5]])</f>
        <v>0</v>
      </c>
      <c r="AX166" s="401">
        <f>IF(AND(Input_Tasks[[#This Row],[Sell - Line Total]]&gt;0,OR(Input_Tasks[[#This Row],[Phase]]="",Input_Tasks[[#This Row],[Skill Required]]="",Input_Tasks[[#This Row],[Task Type]]="",Input_Tasks[[#This Row],[Description]]="")),1,0)</f>
        <v>0</v>
      </c>
      <c r="AY166" s="402">
        <f>IF(AND(Input_Tasks[[#This Row],[Task Type]]="ArchiTech Document Deliverable",Input_Tasks[[#This Row],[Hours]]&gt;0),1,0)</f>
        <v>0</v>
      </c>
      <c r="AZ16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6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6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6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6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6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6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6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6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6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6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6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6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66" s="405">
        <f>SUM(Input_Tasks[[#This Row],[R1 Business Hours]:[R1 After Hours]],Input_Tasks[[#This Row],[R2 Business Hours]:[R2 After Hours]],Input_Tasks[[#This Row],[R3 Business Hours]:[R3 After Hours]],Input_Tasks[[#This Row],[R4 Business Hours]:[R4 After Hours]],Input_Tasks[[#This Row],[R5 Business Hours]:[R5 After Hours]])</f>
        <v>0</v>
      </c>
    </row>
    <row r="167" spans="1:65">
      <c r="A167" s="384"/>
      <c r="B167" s="271"/>
      <c r="C167" s="271"/>
      <c r="D167" s="406"/>
      <c r="E167" s="385">
        <f>Input_Tasks[[#This Row],[Onsite Round Trips_Hidden]]</f>
        <v>0</v>
      </c>
      <c r="F167" s="385">
        <f>Input_Tasks[[#This Row],[Overnight Stays_Hidden]]</f>
        <v>0</v>
      </c>
      <c r="G167" s="385">
        <f>Input_Tasks[[#This Row],[Documents_Hidden]]</f>
        <v>0</v>
      </c>
      <c r="H167" s="387"/>
      <c r="I167" s="388"/>
      <c r="J167" s="389"/>
      <c r="K167" s="390"/>
      <c r="L167" s="390"/>
      <c r="M167" s="389"/>
      <c r="N167" s="390"/>
      <c r="O167" s="390"/>
      <c r="P167" s="389"/>
      <c r="Q167" s="390"/>
      <c r="R167" s="391"/>
      <c r="S167" s="389"/>
      <c r="T167" s="390"/>
      <c r="U167" s="391"/>
      <c r="V167" s="389"/>
      <c r="W167" s="390"/>
      <c r="X167" s="390"/>
      <c r="Y167" s="386" t="str">
        <f>Input_Tasks[[#This Row],[Onsite Round Trips_Hidden]]&amp;"/"&amp;Input_Tasks[[#This Row],[Overnight Stays_Hidden]]&amp;"/"&amp;Input_Tasks[[#This Row],[Documents_Hidden]]</f>
        <v>0/0/0</v>
      </c>
      <c r="Z167" s="392">
        <f>Input_Tasks[[#This Row],[R1 Cost_Hidden]]</f>
        <v>0</v>
      </c>
      <c r="AA167" s="393">
        <f>Input_Tasks[[#This Row],[R2 Cost_Hidden]]</f>
        <v>0</v>
      </c>
      <c r="AB167" s="393">
        <f>Input_Tasks[[#This Row],[R3 Cost_Hidden]]</f>
        <v>0</v>
      </c>
      <c r="AC167" s="393">
        <f>Input_Tasks[[#This Row],[R4 Cost_Hidden]]</f>
        <v>0</v>
      </c>
      <c r="AD167" s="394">
        <f>Input_Tasks[[#This Row],[R5 Cost_Hidden]]</f>
        <v>0</v>
      </c>
      <c r="AE167" s="395">
        <f>SUM(Input_Tasks[[#This Row],[R1 Cost]:[R5 Cost]])</f>
        <v>0</v>
      </c>
      <c r="AF167" s="392">
        <f>Input_Tasks[[#This Row],[R1 Sell_Hidden]]</f>
        <v>0</v>
      </c>
      <c r="AG167" s="393">
        <f>Input_Tasks[[#This Row],[R2 Sell_Hidden]]</f>
        <v>0</v>
      </c>
      <c r="AH167" s="393">
        <f>Input_Tasks[[#This Row],[R3 Sell_Hidden]]</f>
        <v>0</v>
      </c>
      <c r="AI167" s="393">
        <f>Input_Tasks[[#This Row],[R4 Sell_Hidden5]]</f>
        <v>0</v>
      </c>
      <c r="AJ167" s="394">
        <f>Input_Tasks[[#This Row],[R5 Sell_Hidden]]</f>
        <v>0</v>
      </c>
      <c r="AK167" s="396">
        <f>SUM(Input_Tasks[[#This Row],[R1 Sell]:[R5 Sell]])</f>
        <v>0</v>
      </c>
      <c r="AL167" s="397">
        <f>IFERROR(VLOOKUP(RESOURCE_1_TYPE,COST_RATES,2,FALSE)*Input_Tasks[[#This Row],[R1 Business Hours]],0)+IFERROR(VLOOKUP(RESOURCE_1_TYPE,COST_RATES,3,FALSE)*Input_Tasks[[#This Row],[R1 After Hours]],0)</f>
        <v>0</v>
      </c>
      <c r="AM167" s="398">
        <f>IFERROR(VLOOKUP(RESOURCE_2_TYPE,COST_RATES,2,FALSE)*Input_Tasks[[#This Row],[R2 Business Hours]],0)+IFERROR(VLOOKUP(RESOURCE_2_TYPE,COST_RATES,3,FALSE)*Input_Tasks[[#This Row],[R2 After Hours]],0)</f>
        <v>0</v>
      </c>
      <c r="AN167" s="398">
        <f>IFERROR(VLOOKUP(RESOURCE_3_TYPE,COST_RATES,2,FALSE)*Input_Tasks[[#This Row],[R3 Business Hours]],0)+IFERROR(VLOOKUP(RESOURCE_3_TYPE,COST_RATES,3,FALSE)*Input_Tasks[[#This Row],[R3 After Hours]],0)</f>
        <v>0</v>
      </c>
      <c r="AO167" s="398">
        <f>IFERROR(VLOOKUP(RESOURCE_4_TYPE,COST_RATES,2,FALSE)*Input_Tasks[[#This Row],[R4 Business Hours]],0)+IFERROR(VLOOKUP(RESOURCE_4_TYPE,COST_RATES,3,FALSE)*Input_Tasks[[#This Row],[R4 After Hours]],0)</f>
        <v>0</v>
      </c>
      <c r="AP167" s="398">
        <f>IFERROR(VLOOKUP(RESOURCE_5_TYPE,COST_RATES,2,FALSE)*Input_Tasks[[#This Row],[R5 Business Hours]],0)+IFERROR(VLOOKUP(RESOURCE_5_TYPE,COST_RATES,3,FALSE)*Input_Tasks[[#This Row],[R5 After Hours]],0)</f>
        <v>0</v>
      </c>
      <c r="AQ167" s="399">
        <f>IFERROR(VLOOKUP(RESOURCE_1_TYPE,SELL_RATES,2,FALSE)*Input_Tasks[[#This Row],[R1 Business Hours]],0)+IFERROR(VLOOKUP(RESOURCE_1_TYPE,SELL_RATES,3,FALSE)*Input_Tasks[[#This Row],[R1 After Hours]],0)</f>
        <v>0</v>
      </c>
      <c r="AR167" s="398">
        <f>IFERROR(VLOOKUP(RESOURCE_2_TYPE,SELL_RATES,2,FALSE)*Input_Tasks[[#This Row],[R2 Business Hours]],0)+IFERROR(VLOOKUP(RESOURCE_2_TYPE,SELL_RATES,3,FALSE)*Input_Tasks[[#This Row],[R2 After Hours]],0)</f>
        <v>0</v>
      </c>
      <c r="AS167" s="398">
        <f>IFERROR(VLOOKUP(RESOURCE_3_TYPE,SELL_RATES,2,FALSE)*Input_Tasks[[#This Row],[R3 Business Hours]],0)+IFERROR(VLOOKUP(RESOURCE_3_TYPE,SELL_RATES,3,FALSE)*Input_Tasks[[#This Row],[R3 After Hours]],0)</f>
        <v>0</v>
      </c>
      <c r="AT167" s="398">
        <f>IFERROR(VLOOKUP(RESOURCE_4_TYPE,SELL_RATES,2,FALSE)*Input_Tasks[[#This Row],[R4 Business Hours]],0)+IFERROR(VLOOKUP(RESOURCE_4_TYPE,SELL_RATES,3,FALSE)*Input_Tasks[[#This Row],[R4 After Hours]],0)</f>
        <v>0</v>
      </c>
      <c r="AU167" s="398">
        <f>IFERROR(VLOOKUP(RESOURCE_5_TYPE,SELL_RATES,2,FALSE)*Input_Tasks[[#This Row],[R5 Business Hours]],0)+IFERROR(VLOOKUP(RESOURCE_5_TYPE,SELL_RATES,3,FALSE)*Input_Tasks[[#This Row],[R5 After Hours]],0)</f>
        <v>0</v>
      </c>
      <c r="AV167" s="400">
        <f>SUM(Input_Tasks[[#This Row],[Round Trips R1]:[Round Trips R5]])</f>
        <v>0</v>
      </c>
      <c r="AW167" s="401">
        <f>SUM(Input_Tasks[[#This Row],[Overnight StaysR1]:[Overnight StaysR5]])</f>
        <v>0</v>
      </c>
      <c r="AX167" s="401">
        <f>IF(AND(Input_Tasks[[#This Row],[Sell - Line Total]]&gt;0,OR(Input_Tasks[[#This Row],[Phase]]="",Input_Tasks[[#This Row],[Skill Required]]="",Input_Tasks[[#This Row],[Task Type]]="",Input_Tasks[[#This Row],[Description]]="")),1,0)</f>
        <v>0</v>
      </c>
      <c r="AY167" s="402">
        <f>IF(AND(Input_Tasks[[#This Row],[Task Type]]="ArchiTech Document Deliverable",Input_Tasks[[#This Row],[Hours]]&gt;0),1,0)</f>
        <v>0</v>
      </c>
      <c r="AZ16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6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6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6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6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6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6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6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6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6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6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6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6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67" s="405">
        <f>SUM(Input_Tasks[[#This Row],[R1 Business Hours]:[R1 After Hours]],Input_Tasks[[#This Row],[R2 Business Hours]:[R2 After Hours]],Input_Tasks[[#This Row],[R3 Business Hours]:[R3 After Hours]],Input_Tasks[[#This Row],[R4 Business Hours]:[R4 After Hours]],Input_Tasks[[#This Row],[R5 Business Hours]:[R5 After Hours]])</f>
        <v>0</v>
      </c>
    </row>
    <row r="168" spans="1:65">
      <c r="A168" s="384"/>
      <c r="B168" s="271"/>
      <c r="C168" s="271"/>
      <c r="D168" s="406"/>
      <c r="E168" s="385">
        <f>Input_Tasks[[#This Row],[Onsite Round Trips_Hidden]]</f>
        <v>0</v>
      </c>
      <c r="F168" s="385">
        <f>Input_Tasks[[#This Row],[Overnight Stays_Hidden]]</f>
        <v>0</v>
      </c>
      <c r="G168" s="385">
        <f>Input_Tasks[[#This Row],[Documents_Hidden]]</f>
        <v>0</v>
      </c>
      <c r="H168" s="387"/>
      <c r="I168" s="388"/>
      <c r="J168" s="389"/>
      <c r="K168" s="390"/>
      <c r="L168" s="390"/>
      <c r="M168" s="389"/>
      <c r="N168" s="390"/>
      <c r="O168" s="390"/>
      <c r="P168" s="389"/>
      <c r="Q168" s="390"/>
      <c r="R168" s="391"/>
      <c r="S168" s="389"/>
      <c r="T168" s="390"/>
      <c r="U168" s="391"/>
      <c r="V168" s="389"/>
      <c r="W168" s="390"/>
      <c r="X168" s="390"/>
      <c r="Y168" s="386" t="str">
        <f>Input_Tasks[[#This Row],[Onsite Round Trips_Hidden]]&amp;"/"&amp;Input_Tasks[[#This Row],[Overnight Stays_Hidden]]&amp;"/"&amp;Input_Tasks[[#This Row],[Documents_Hidden]]</f>
        <v>0/0/0</v>
      </c>
      <c r="Z168" s="392">
        <f>Input_Tasks[[#This Row],[R1 Cost_Hidden]]</f>
        <v>0</v>
      </c>
      <c r="AA168" s="393">
        <f>Input_Tasks[[#This Row],[R2 Cost_Hidden]]</f>
        <v>0</v>
      </c>
      <c r="AB168" s="393">
        <f>Input_Tasks[[#This Row],[R3 Cost_Hidden]]</f>
        <v>0</v>
      </c>
      <c r="AC168" s="393">
        <f>Input_Tasks[[#This Row],[R4 Cost_Hidden]]</f>
        <v>0</v>
      </c>
      <c r="AD168" s="394">
        <f>Input_Tasks[[#This Row],[R5 Cost_Hidden]]</f>
        <v>0</v>
      </c>
      <c r="AE168" s="395">
        <f>SUM(Input_Tasks[[#This Row],[R1 Cost]:[R5 Cost]])</f>
        <v>0</v>
      </c>
      <c r="AF168" s="392">
        <f>Input_Tasks[[#This Row],[R1 Sell_Hidden]]</f>
        <v>0</v>
      </c>
      <c r="AG168" s="393">
        <f>Input_Tasks[[#This Row],[R2 Sell_Hidden]]</f>
        <v>0</v>
      </c>
      <c r="AH168" s="393">
        <f>Input_Tasks[[#This Row],[R3 Sell_Hidden]]</f>
        <v>0</v>
      </c>
      <c r="AI168" s="393">
        <f>Input_Tasks[[#This Row],[R4 Sell_Hidden5]]</f>
        <v>0</v>
      </c>
      <c r="AJ168" s="394">
        <f>Input_Tasks[[#This Row],[R5 Sell_Hidden]]</f>
        <v>0</v>
      </c>
      <c r="AK168" s="396">
        <f>SUM(Input_Tasks[[#This Row],[R1 Sell]:[R5 Sell]])</f>
        <v>0</v>
      </c>
      <c r="AL168" s="397">
        <f>IFERROR(VLOOKUP(RESOURCE_1_TYPE,COST_RATES,2,FALSE)*Input_Tasks[[#This Row],[R1 Business Hours]],0)+IFERROR(VLOOKUP(RESOURCE_1_TYPE,COST_RATES,3,FALSE)*Input_Tasks[[#This Row],[R1 After Hours]],0)</f>
        <v>0</v>
      </c>
      <c r="AM168" s="398">
        <f>IFERROR(VLOOKUP(RESOURCE_2_TYPE,COST_RATES,2,FALSE)*Input_Tasks[[#This Row],[R2 Business Hours]],0)+IFERROR(VLOOKUP(RESOURCE_2_TYPE,COST_RATES,3,FALSE)*Input_Tasks[[#This Row],[R2 After Hours]],0)</f>
        <v>0</v>
      </c>
      <c r="AN168" s="398">
        <f>IFERROR(VLOOKUP(RESOURCE_3_TYPE,COST_RATES,2,FALSE)*Input_Tasks[[#This Row],[R3 Business Hours]],0)+IFERROR(VLOOKUP(RESOURCE_3_TYPE,COST_RATES,3,FALSE)*Input_Tasks[[#This Row],[R3 After Hours]],0)</f>
        <v>0</v>
      </c>
      <c r="AO168" s="398">
        <f>IFERROR(VLOOKUP(RESOURCE_4_TYPE,COST_RATES,2,FALSE)*Input_Tasks[[#This Row],[R4 Business Hours]],0)+IFERROR(VLOOKUP(RESOURCE_4_TYPE,COST_RATES,3,FALSE)*Input_Tasks[[#This Row],[R4 After Hours]],0)</f>
        <v>0</v>
      </c>
      <c r="AP168" s="398">
        <f>IFERROR(VLOOKUP(RESOURCE_5_TYPE,COST_RATES,2,FALSE)*Input_Tasks[[#This Row],[R5 Business Hours]],0)+IFERROR(VLOOKUP(RESOURCE_5_TYPE,COST_RATES,3,FALSE)*Input_Tasks[[#This Row],[R5 After Hours]],0)</f>
        <v>0</v>
      </c>
      <c r="AQ168" s="399">
        <f>IFERROR(VLOOKUP(RESOURCE_1_TYPE,SELL_RATES,2,FALSE)*Input_Tasks[[#This Row],[R1 Business Hours]],0)+IFERROR(VLOOKUP(RESOURCE_1_TYPE,SELL_RATES,3,FALSE)*Input_Tasks[[#This Row],[R1 After Hours]],0)</f>
        <v>0</v>
      </c>
      <c r="AR168" s="398">
        <f>IFERROR(VLOOKUP(RESOURCE_2_TYPE,SELL_RATES,2,FALSE)*Input_Tasks[[#This Row],[R2 Business Hours]],0)+IFERROR(VLOOKUP(RESOURCE_2_TYPE,SELL_RATES,3,FALSE)*Input_Tasks[[#This Row],[R2 After Hours]],0)</f>
        <v>0</v>
      </c>
      <c r="AS168" s="398">
        <f>IFERROR(VLOOKUP(RESOURCE_3_TYPE,SELL_RATES,2,FALSE)*Input_Tasks[[#This Row],[R3 Business Hours]],0)+IFERROR(VLOOKUP(RESOURCE_3_TYPE,SELL_RATES,3,FALSE)*Input_Tasks[[#This Row],[R3 After Hours]],0)</f>
        <v>0</v>
      </c>
      <c r="AT168" s="398">
        <f>IFERROR(VLOOKUP(RESOURCE_4_TYPE,SELL_RATES,2,FALSE)*Input_Tasks[[#This Row],[R4 Business Hours]],0)+IFERROR(VLOOKUP(RESOURCE_4_TYPE,SELL_RATES,3,FALSE)*Input_Tasks[[#This Row],[R4 After Hours]],0)</f>
        <v>0</v>
      </c>
      <c r="AU168" s="398">
        <f>IFERROR(VLOOKUP(RESOURCE_5_TYPE,SELL_RATES,2,FALSE)*Input_Tasks[[#This Row],[R5 Business Hours]],0)+IFERROR(VLOOKUP(RESOURCE_5_TYPE,SELL_RATES,3,FALSE)*Input_Tasks[[#This Row],[R5 After Hours]],0)</f>
        <v>0</v>
      </c>
      <c r="AV168" s="400">
        <f>SUM(Input_Tasks[[#This Row],[Round Trips R1]:[Round Trips R5]])</f>
        <v>0</v>
      </c>
      <c r="AW168" s="401">
        <f>SUM(Input_Tasks[[#This Row],[Overnight StaysR1]:[Overnight StaysR5]])</f>
        <v>0</v>
      </c>
      <c r="AX168" s="401">
        <f>IF(AND(Input_Tasks[[#This Row],[Sell - Line Total]]&gt;0,OR(Input_Tasks[[#This Row],[Phase]]="",Input_Tasks[[#This Row],[Skill Required]]="",Input_Tasks[[#This Row],[Task Type]]="",Input_Tasks[[#This Row],[Description]]="")),1,0)</f>
        <v>0</v>
      </c>
      <c r="AY168" s="402">
        <f>IF(AND(Input_Tasks[[#This Row],[Task Type]]="ArchiTech Document Deliverable",Input_Tasks[[#This Row],[Hours]]&gt;0),1,0)</f>
        <v>0</v>
      </c>
      <c r="AZ16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6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6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6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6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6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6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6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6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6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6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6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6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68" s="405">
        <f>SUM(Input_Tasks[[#This Row],[R1 Business Hours]:[R1 After Hours]],Input_Tasks[[#This Row],[R2 Business Hours]:[R2 After Hours]],Input_Tasks[[#This Row],[R3 Business Hours]:[R3 After Hours]],Input_Tasks[[#This Row],[R4 Business Hours]:[R4 After Hours]],Input_Tasks[[#This Row],[R5 Business Hours]:[R5 After Hours]])</f>
        <v>0</v>
      </c>
    </row>
    <row r="169" spans="1:65">
      <c r="A169" s="384"/>
      <c r="B169" s="271"/>
      <c r="C169" s="271"/>
      <c r="D169" s="406"/>
      <c r="E169" s="385">
        <f>Input_Tasks[[#This Row],[Onsite Round Trips_Hidden]]</f>
        <v>0</v>
      </c>
      <c r="F169" s="385">
        <f>Input_Tasks[[#This Row],[Overnight Stays_Hidden]]</f>
        <v>0</v>
      </c>
      <c r="G169" s="385">
        <f>Input_Tasks[[#This Row],[Documents_Hidden]]</f>
        <v>0</v>
      </c>
      <c r="H169" s="387"/>
      <c r="I169" s="388"/>
      <c r="J169" s="389"/>
      <c r="K169" s="390"/>
      <c r="L169" s="390"/>
      <c r="M169" s="389"/>
      <c r="N169" s="390"/>
      <c r="O169" s="390"/>
      <c r="P169" s="389"/>
      <c r="Q169" s="390"/>
      <c r="R169" s="391"/>
      <c r="S169" s="389"/>
      <c r="T169" s="390"/>
      <c r="U169" s="391"/>
      <c r="V169" s="389"/>
      <c r="W169" s="390"/>
      <c r="X169" s="390"/>
      <c r="Y169" s="386" t="str">
        <f>Input_Tasks[[#This Row],[Onsite Round Trips_Hidden]]&amp;"/"&amp;Input_Tasks[[#This Row],[Overnight Stays_Hidden]]&amp;"/"&amp;Input_Tasks[[#This Row],[Documents_Hidden]]</f>
        <v>0/0/0</v>
      </c>
      <c r="Z169" s="392">
        <f>Input_Tasks[[#This Row],[R1 Cost_Hidden]]</f>
        <v>0</v>
      </c>
      <c r="AA169" s="393">
        <f>Input_Tasks[[#This Row],[R2 Cost_Hidden]]</f>
        <v>0</v>
      </c>
      <c r="AB169" s="393">
        <f>Input_Tasks[[#This Row],[R3 Cost_Hidden]]</f>
        <v>0</v>
      </c>
      <c r="AC169" s="393">
        <f>Input_Tasks[[#This Row],[R4 Cost_Hidden]]</f>
        <v>0</v>
      </c>
      <c r="AD169" s="394">
        <f>Input_Tasks[[#This Row],[R5 Cost_Hidden]]</f>
        <v>0</v>
      </c>
      <c r="AE169" s="395">
        <f>SUM(Input_Tasks[[#This Row],[R1 Cost]:[R5 Cost]])</f>
        <v>0</v>
      </c>
      <c r="AF169" s="392">
        <f>Input_Tasks[[#This Row],[R1 Sell_Hidden]]</f>
        <v>0</v>
      </c>
      <c r="AG169" s="393">
        <f>Input_Tasks[[#This Row],[R2 Sell_Hidden]]</f>
        <v>0</v>
      </c>
      <c r="AH169" s="393">
        <f>Input_Tasks[[#This Row],[R3 Sell_Hidden]]</f>
        <v>0</v>
      </c>
      <c r="AI169" s="393">
        <f>Input_Tasks[[#This Row],[R4 Sell_Hidden5]]</f>
        <v>0</v>
      </c>
      <c r="AJ169" s="394">
        <f>Input_Tasks[[#This Row],[R5 Sell_Hidden]]</f>
        <v>0</v>
      </c>
      <c r="AK169" s="396">
        <f>SUM(Input_Tasks[[#This Row],[R1 Sell]:[R5 Sell]])</f>
        <v>0</v>
      </c>
      <c r="AL169" s="397">
        <f>IFERROR(VLOOKUP(RESOURCE_1_TYPE,COST_RATES,2,FALSE)*Input_Tasks[[#This Row],[R1 Business Hours]],0)+IFERROR(VLOOKUP(RESOURCE_1_TYPE,COST_RATES,3,FALSE)*Input_Tasks[[#This Row],[R1 After Hours]],0)</f>
        <v>0</v>
      </c>
      <c r="AM169" s="398">
        <f>IFERROR(VLOOKUP(RESOURCE_2_TYPE,COST_RATES,2,FALSE)*Input_Tasks[[#This Row],[R2 Business Hours]],0)+IFERROR(VLOOKUP(RESOURCE_2_TYPE,COST_RATES,3,FALSE)*Input_Tasks[[#This Row],[R2 After Hours]],0)</f>
        <v>0</v>
      </c>
      <c r="AN169" s="398">
        <f>IFERROR(VLOOKUP(RESOURCE_3_TYPE,COST_RATES,2,FALSE)*Input_Tasks[[#This Row],[R3 Business Hours]],0)+IFERROR(VLOOKUP(RESOURCE_3_TYPE,COST_RATES,3,FALSE)*Input_Tasks[[#This Row],[R3 After Hours]],0)</f>
        <v>0</v>
      </c>
      <c r="AO169" s="398">
        <f>IFERROR(VLOOKUP(RESOURCE_4_TYPE,COST_RATES,2,FALSE)*Input_Tasks[[#This Row],[R4 Business Hours]],0)+IFERROR(VLOOKUP(RESOURCE_4_TYPE,COST_RATES,3,FALSE)*Input_Tasks[[#This Row],[R4 After Hours]],0)</f>
        <v>0</v>
      </c>
      <c r="AP169" s="398">
        <f>IFERROR(VLOOKUP(RESOURCE_5_TYPE,COST_RATES,2,FALSE)*Input_Tasks[[#This Row],[R5 Business Hours]],0)+IFERROR(VLOOKUP(RESOURCE_5_TYPE,COST_RATES,3,FALSE)*Input_Tasks[[#This Row],[R5 After Hours]],0)</f>
        <v>0</v>
      </c>
      <c r="AQ169" s="399">
        <f>IFERROR(VLOOKUP(RESOURCE_1_TYPE,SELL_RATES,2,FALSE)*Input_Tasks[[#This Row],[R1 Business Hours]],0)+IFERROR(VLOOKUP(RESOURCE_1_TYPE,SELL_RATES,3,FALSE)*Input_Tasks[[#This Row],[R1 After Hours]],0)</f>
        <v>0</v>
      </c>
      <c r="AR169" s="398">
        <f>IFERROR(VLOOKUP(RESOURCE_2_TYPE,SELL_RATES,2,FALSE)*Input_Tasks[[#This Row],[R2 Business Hours]],0)+IFERROR(VLOOKUP(RESOURCE_2_TYPE,SELL_RATES,3,FALSE)*Input_Tasks[[#This Row],[R2 After Hours]],0)</f>
        <v>0</v>
      </c>
      <c r="AS169" s="398">
        <f>IFERROR(VLOOKUP(RESOURCE_3_TYPE,SELL_RATES,2,FALSE)*Input_Tasks[[#This Row],[R3 Business Hours]],0)+IFERROR(VLOOKUP(RESOURCE_3_TYPE,SELL_RATES,3,FALSE)*Input_Tasks[[#This Row],[R3 After Hours]],0)</f>
        <v>0</v>
      </c>
      <c r="AT169" s="398">
        <f>IFERROR(VLOOKUP(RESOURCE_4_TYPE,SELL_RATES,2,FALSE)*Input_Tasks[[#This Row],[R4 Business Hours]],0)+IFERROR(VLOOKUP(RESOURCE_4_TYPE,SELL_RATES,3,FALSE)*Input_Tasks[[#This Row],[R4 After Hours]],0)</f>
        <v>0</v>
      </c>
      <c r="AU169" s="398">
        <f>IFERROR(VLOOKUP(RESOURCE_5_TYPE,SELL_RATES,2,FALSE)*Input_Tasks[[#This Row],[R5 Business Hours]],0)+IFERROR(VLOOKUP(RESOURCE_5_TYPE,SELL_RATES,3,FALSE)*Input_Tasks[[#This Row],[R5 After Hours]],0)</f>
        <v>0</v>
      </c>
      <c r="AV169" s="400">
        <f>SUM(Input_Tasks[[#This Row],[Round Trips R1]:[Round Trips R5]])</f>
        <v>0</v>
      </c>
      <c r="AW169" s="401">
        <f>SUM(Input_Tasks[[#This Row],[Overnight StaysR1]:[Overnight StaysR5]])</f>
        <v>0</v>
      </c>
      <c r="AX169" s="401">
        <f>IF(AND(Input_Tasks[[#This Row],[Sell - Line Total]]&gt;0,OR(Input_Tasks[[#This Row],[Phase]]="",Input_Tasks[[#This Row],[Skill Required]]="",Input_Tasks[[#This Row],[Task Type]]="",Input_Tasks[[#This Row],[Description]]="")),1,0)</f>
        <v>0</v>
      </c>
      <c r="AY169" s="402">
        <f>IF(AND(Input_Tasks[[#This Row],[Task Type]]="ArchiTech Document Deliverable",Input_Tasks[[#This Row],[Hours]]&gt;0),1,0)</f>
        <v>0</v>
      </c>
      <c r="AZ16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6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6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6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6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6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6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6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6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6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6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6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6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69" s="405">
        <f>SUM(Input_Tasks[[#This Row],[R1 Business Hours]:[R1 After Hours]],Input_Tasks[[#This Row],[R2 Business Hours]:[R2 After Hours]],Input_Tasks[[#This Row],[R3 Business Hours]:[R3 After Hours]],Input_Tasks[[#This Row],[R4 Business Hours]:[R4 After Hours]],Input_Tasks[[#This Row],[R5 Business Hours]:[R5 After Hours]])</f>
        <v>0</v>
      </c>
    </row>
    <row r="170" spans="1:65">
      <c r="A170" s="384"/>
      <c r="B170" s="271"/>
      <c r="C170" s="271"/>
      <c r="D170" s="406"/>
      <c r="E170" s="385">
        <f>Input_Tasks[[#This Row],[Onsite Round Trips_Hidden]]</f>
        <v>0</v>
      </c>
      <c r="F170" s="385">
        <f>Input_Tasks[[#This Row],[Overnight Stays_Hidden]]</f>
        <v>0</v>
      </c>
      <c r="G170" s="385">
        <f>Input_Tasks[[#This Row],[Documents_Hidden]]</f>
        <v>0</v>
      </c>
      <c r="H170" s="387"/>
      <c r="I170" s="388"/>
      <c r="J170" s="389"/>
      <c r="K170" s="390"/>
      <c r="L170" s="390"/>
      <c r="M170" s="389"/>
      <c r="N170" s="390"/>
      <c r="O170" s="390"/>
      <c r="P170" s="389"/>
      <c r="Q170" s="390"/>
      <c r="R170" s="391"/>
      <c r="S170" s="389"/>
      <c r="T170" s="390"/>
      <c r="U170" s="391"/>
      <c r="V170" s="389"/>
      <c r="W170" s="390"/>
      <c r="X170" s="390"/>
      <c r="Y170" s="386" t="str">
        <f>Input_Tasks[[#This Row],[Onsite Round Trips_Hidden]]&amp;"/"&amp;Input_Tasks[[#This Row],[Overnight Stays_Hidden]]&amp;"/"&amp;Input_Tasks[[#This Row],[Documents_Hidden]]</f>
        <v>0/0/0</v>
      </c>
      <c r="Z170" s="392">
        <f>Input_Tasks[[#This Row],[R1 Cost_Hidden]]</f>
        <v>0</v>
      </c>
      <c r="AA170" s="393">
        <f>Input_Tasks[[#This Row],[R2 Cost_Hidden]]</f>
        <v>0</v>
      </c>
      <c r="AB170" s="393">
        <f>Input_Tasks[[#This Row],[R3 Cost_Hidden]]</f>
        <v>0</v>
      </c>
      <c r="AC170" s="393">
        <f>Input_Tasks[[#This Row],[R4 Cost_Hidden]]</f>
        <v>0</v>
      </c>
      <c r="AD170" s="394">
        <f>Input_Tasks[[#This Row],[R5 Cost_Hidden]]</f>
        <v>0</v>
      </c>
      <c r="AE170" s="395">
        <f>SUM(Input_Tasks[[#This Row],[R1 Cost]:[R5 Cost]])</f>
        <v>0</v>
      </c>
      <c r="AF170" s="392">
        <f>Input_Tasks[[#This Row],[R1 Sell_Hidden]]</f>
        <v>0</v>
      </c>
      <c r="AG170" s="393">
        <f>Input_Tasks[[#This Row],[R2 Sell_Hidden]]</f>
        <v>0</v>
      </c>
      <c r="AH170" s="393">
        <f>Input_Tasks[[#This Row],[R3 Sell_Hidden]]</f>
        <v>0</v>
      </c>
      <c r="AI170" s="393">
        <f>Input_Tasks[[#This Row],[R4 Sell_Hidden5]]</f>
        <v>0</v>
      </c>
      <c r="AJ170" s="394">
        <f>Input_Tasks[[#This Row],[R5 Sell_Hidden]]</f>
        <v>0</v>
      </c>
      <c r="AK170" s="396">
        <f>SUM(Input_Tasks[[#This Row],[R1 Sell]:[R5 Sell]])</f>
        <v>0</v>
      </c>
      <c r="AL170" s="397">
        <f>IFERROR(VLOOKUP(RESOURCE_1_TYPE,COST_RATES,2,FALSE)*Input_Tasks[[#This Row],[R1 Business Hours]],0)+IFERROR(VLOOKUP(RESOURCE_1_TYPE,COST_RATES,3,FALSE)*Input_Tasks[[#This Row],[R1 After Hours]],0)</f>
        <v>0</v>
      </c>
      <c r="AM170" s="398">
        <f>IFERROR(VLOOKUP(RESOURCE_2_TYPE,COST_RATES,2,FALSE)*Input_Tasks[[#This Row],[R2 Business Hours]],0)+IFERROR(VLOOKUP(RESOURCE_2_TYPE,COST_RATES,3,FALSE)*Input_Tasks[[#This Row],[R2 After Hours]],0)</f>
        <v>0</v>
      </c>
      <c r="AN170" s="398">
        <f>IFERROR(VLOOKUP(RESOURCE_3_TYPE,COST_RATES,2,FALSE)*Input_Tasks[[#This Row],[R3 Business Hours]],0)+IFERROR(VLOOKUP(RESOURCE_3_TYPE,COST_RATES,3,FALSE)*Input_Tasks[[#This Row],[R3 After Hours]],0)</f>
        <v>0</v>
      </c>
      <c r="AO170" s="398">
        <f>IFERROR(VLOOKUP(RESOURCE_4_TYPE,COST_RATES,2,FALSE)*Input_Tasks[[#This Row],[R4 Business Hours]],0)+IFERROR(VLOOKUP(RESOURCE_4_TYPE,COST_RATES,3,FALSE)*Input_Tasks[[#This Row],[R4 After Hours]],0)</f>
        <v>0</v>
      </c>
      <c r="AP170" s="398">
        <f>IFERROR(VLOOKUP(RESOURCE_5_TYPE,COST_RATES,2,FALSE)*Input_Tasks[[#This Row],[R5 Business Hours]],0)+IFERROR(VLOOKUP(RESOURCE_5_TYPE,COST_RATES,3,FALSE)*Input_Tasks[[#This Row],[R5 After Hours]],0)</f>
        <v>0</v>
      </c>
      <c r="AQ170" s="399">
        <f>IFERROR(VLOOKUP(RESOURCE_1_TYPE,SELL_RATES,2,FALSE)*Input_Tasks[[#This Row],[R1 Business Hours]],0)+IFERROR(VLOOKUP(RESOURCE_1_TYPE,SELL_RATES,3,FALSE)*Input_Tasks[[#This Row],[R1 After Hours]],0)</f>
        <v>0</v>
      </c>
      <c r="AR170" s="398">
        <f>IFERROR(VLOOKUP(RESOURCE_2_TYPE,SELL_RATES,2,FALSE)*Input_Tasks[[#This Row],[R2 Business Hours]],0)+IFERROR(VLOOKUP(RESOURCE_2_TYPE,SELL_RATES,3,FALSE)*Input_Tasks[[#This Row],[R2 After Hours]],0)</f>
        <v>0</v>
      </c>
      <c r="AS170" s="398">
        <f>IFERROR(VLOOKUP(RESOURCE_3_TYPE,SELL_RATES,2,FALSE)*Input_Tasks[[#This Row],[R3 Business Hours]],0)+IFERROR(VLOOKUP(RESOURCE_3_TYPE,SELL_RATES,3,FALSE)*Input_Tasks[[#This Row],[R3 After Hours]],0)</f>
        <v>0</v>
      </c>
      <c r="AT170" s="398">
        <f>IFERROR(VLOOKUP(RESOURCE_4_TYPE,SELL_RATES,2,FALSE)*Input_Tasks[[#This Row],[R4 Business Hours]],0)+IFERROR(VLOOKUP(RESOURCE_4_TYPE,SELL_RATES,3,FALSE)*Input_Tasks[[#This Row],[R4 After Hours]],0)</f>
        <v>0</v>
      </c>
      <c r="AU170" s="398">
        <f>IFERROR(VLOOKUP(RESOURCE_5_TYPE,SELL_RATES,2,FALSE)*Input_Tasks[[#This Row],[R5 Business Hours]],0)+IFERROR(VLOOKUP(RESOURCE_5_TYPE,SELL_RATES,3,FALSE)*Input_Tasks[[#This Row],[R5 After Hours]],0)</f>
        <v>0</v>
      </c>
      <c r="AV170" s="400">
        <f>SUM(Input_Tasks[[#This Row],[Round Trips R1]:[Round Trips R5]])</f>
        <v>0</v>
      </c>
      <c r="AW170" s="401">
        <f>SUM(Input_Tasks[[#This Row],[Overnight StaysR1]:[Overnight StaysR5]])</f>
        <v>0</v>
      </c>
      <c r="AX170" s="401">
        <f>IF(AND(Input_Tasks[[#This Row],[Sell - Line Total]]&gt;0,OR(Input_Tasks[[#This Row],[Phase]]="",Input_Tasks[[#This Row],[Skill Required]]="",Input_Tasks[[#This Row],[Task Type]]="",Input_Tasks[[#This Row],[Description]]="")),1,0)</f>
        <v>0</v>
      </c>
      <c r="AY170" s="402">
        <f>IF(AND(Input_Tasks[[#This Row],[Task Type]]="ArchiTech Document Deliverable",Input_Tasks[[#This Row],[Hours]]&gt;0),1,0)</f>
        <v>0</v>
      </c>
      <c r="AZ17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7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7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7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7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7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7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7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7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7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7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7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7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70" s="405">
        <f>SUM(Input_Tasks[[#This Row],[R1 Business Hours]:[R1 After Hours]],Input_Tasks[[#This Row],[R2 Business Hours]:[R2 After Hours]],Input_Tasks[[#This Row],[R3 Business Hours]:[R3 After Hours]],Input_Tasks[[#This Row],[R4 Business Hours]:[R4 After Hours]],Input_Tasks[[#This Row],[R5 Business Hours]:[R5 After Hours]])</f>
        <v>0</v>
      </c>
    </row>
    <row r="171" spans="1:65">
      <c r="A171" s="384"/>
      <c r="B171" s="271"/>
      <c r="C171" s="271"/>
      <c r="D171" s="406"/>
      <c r="E171" s="385">
        <f>Input_Tasks[[#This Row],[Onsite Round Trips_Hidden]]</f>
        <v>0</v>
      </c>
      <c r="F171" s="385">
        <f>Input_Tasks[[#This Row],[Overnight Stays_Hidden]]</f>
        <v>0</v>
      </c>
      <c r="G171" s="385">
        <f>Input_Tasks[[#This Row],[Documents_Hidden]]</f>
        <v>0</v>
      </c>
      <c r="H171" s="387"/>
      <c r="I171" s="388"/>
      <c r="J171" s="389"/>
      <c r="K171" s="390"/>
      <c r="L171" s="390"/>
      <c r="M171" s="389"/>
      <c r="N171" s="390"/>
      <c r="O171" s="390"/>
      <c r="P171" s="389"/>
      <c r="Q171" s="390"/>
      <c r="R171" s="391"/>
      <c r="S171" s="389"/>
      <c r="T171" s="390"/>
      <c r="U171" s="391"/>
      <c r="V171" s="389"/>
      <c r="W171" s="390"/>
      <c r="X171" s="390"/>
      <c r="Y171" s="386" t="str">
        <f>Input_Tasks[[#This Row],[Onsite Round Trips_Hidden]]&amp;"/"&amp;Input_Tasks[[#This Row],[Overnight Stays_Hidden]]&amp;"/"&amp;Input_Tasks[[#This Row],[Documents_Hidden]]</f>
        <v>0/0/0</v>
      </c>
      <c r="Z171" s="392">
        <f>Input_Tasks[[#This Row],[R1 Cost_Hidden]]</f>
        <v>0</v>
      </c>
      <c r="AA171" s="393">
        <f>Input_Tasks[[#This Row],[R2 Cost_Hidden]]</f>
        <v>0</v>
      </c>
      <c r="AB171" s="393">
        <f>Input_Tasks[[#This Row],[R3 Cost_Hidden]]</f>
        <v>0</v>
      </c>
      <c r="AC171" s="393">
        <f>Input_Tasks[[#This Row],[R4 Cost_Hidden]]</f>
        <v>0</v>
      </c>
      <c r="AD171" s="394">
        <f>Input_Tasks[[#This Row],[R5 Cost_Hidden]]</f>
        <v>0</v>
      </c>
      <c r="AE171" s="395">
        <f>SUM(Input_Tasks[[#This Row],[R1 Cost]:[R5 Cost]])</f>
        <v>0</v>
      </c>
      <c r="AF171" s="392">
        <f>Input_Tasks[[#This Row],[R1 Sell_Hidden]]</f>
        <v>0</v>
      </c>
      <c r="AG171" s="393">
        <f>Input_Tasks[[#This Row],[R2 Sell_Hidden]]</f>
        <v>0</v>
      </c>
      <c r="AH171" s="393">
        <f>Input_Tasks[[#This Row],[R3 Sell_Hidden]]</f>
        <v>0</v>
      </c>
      <c r="AI171" s="393">
        <f>Input_Tasks[[#This Row],[R4 Sell_Hidden5]]</f>
        <v>0</v>
      </c>
      <c r="AJ171" s="394">
        <f>Input_Tasks[[#This Row],[R5 Sell_Hidden]]</f>
        <v>0</v>
      </c>
      <c r="AK171" s="396">
        <f>SUM(Input_Tasks[[#This Row],[R1 Sell]:[R5 Sell]])</f>
        <v>0</v>
      </c>
      <c r="AL171" s="397">
        <f>IFERROR(VLOOKUP(RESOURCE_1_TYPE,COST_RATES,2,FALSE)*Input_Tasks[[#This Row],[R1 Business Hours]],0)+IFERROR(VLOOKUP(RESOURCE_1_TYPE,COST_RATES,3,FALSE)*Input_Tasks[[#This Row],[R1 After Hours]],0)</f>
        <v>0</v>
      </c>
      <c r="AM171" s="398">
        <f>IFERROR(VLOOKUP(RESOURCE_2_TYPE,COST_RATES,2,FALSE)*Input_Tasks[[#This Row],[R2 Business Hours]],0)+IFERROR(VLOOKUP(RESOURCE_2_TYPE,COST_RATES,3,FALSE)*Input_Tasks[[#This Row],[R2 After Hours]],0)</f>
        <v>0</v>
      </c>
      <c r="AN171" s="398">
        <f>IFERROR(VLOOKUP(RESOURCE_3_TYPE,COST_RATES,2,FALSE)*Input_Tasks[[#This Row],[R3 Business Hours]],0)+IFERROR(VLOOKUP(RESOURCE_3_TYPE,COST_RATES,3,FALSE)*Input_Tasks[[#This Row],[R3 After Hours]],0)</f>
        <v>0</v>
      </c>
      <c r="AO171" s="398">
        <f>IFERROR(VLOOKUP(RESOURCE_4_TYPE,COST_RATES,2,FALSE)*Input_Tasks[[#This Row],[R4 Business Hours]],0)+IFERROR(VLOOKUP(RESOURCE_4_TYPE,COST_RATES,3,FALSE)*Input_Tasks[[#This Row],[R4 After Hours]],0)</f>
        <v>0</v>
      </c>
      <c r="AP171" s="398">
        <f>IFERROR(VLOOKUP(RESOURCE_5_TYPE,COST_RATES,2,FALSE)*Input_Tasks[[#This Row],[R5 Business Hours]],0)+IFERROR(VLOOKUP(RESOURCE_5_TYPE,COST_RATES,3,FALSE)*Input_Tasks[[#This Row],[R5 After Hours]],0)</f>
        <v>0</v>
      </c>
      <c r="AQ171" s="399">
        <f>IFERROR(VLOOKUP(RESOURCE_1_TYPE,SELL_RATES,2,FALSE)*Input_Tasks[[#This Row],[R1 Business Hours]],0)+IFERROR(VLOOKUP(RESOURCE_1_TYPE,SELL_RATES,3,FALSE)*Input_Tasks[[#This Row],[R1 After Hours]],0)</f>
        <v>0</v>
      </c>
      <c r="AR171" s="398">
        <f>IFERROR(VLOOKUP(RESOURCE_2_TYPE,SELL_RATES,2,FALSE)*Input_Tasks[[#This Row],[R2 Business Hours]],0)+IFERROR(VLOOKUP(RESOURCE_2_TYPE,SELL_RATES,3,FALSE)*Input_Tasks[[#This Row],[R2 After Hours]],0)</f>
        <v>0</v>
      </c>
      <c r="AS171" s="398">
        <f>IFERROR(VLOOKUP(RESOURCE_3_TYPE,SELL_RATES,2,FALSE)*Input_Tasks[[#This Row],[R3 Business Hours]],0)+IFERROR(VLOOKUP(RESOURCE_3_TYPE,SELL_RATES,3,FALSE)*Input_Tasks[[#This Row],[R3 After Hours]],0)</f>
        <v>0</v>
      </c>
      <c r="AT171" s="398">
        <f>IFERROR(VLOOKUP(RESOURCE_4_TYPE,SELL_RATES,2,FALSE)*Input_Tasks[[#This Row],[R4 Business Hours]],0)+IFERROR(VLOOKUP(RESOURCE_4_TYPE,SELL_RATES,3,FALSE)*Input_Tasks[[#This Row],[R4 After Hours]],0)</f>
        <v>0</v>
      </c>
      <c r="AU171" s="398">
        <f>IFERROR(VLOOKUP(RESOURCE_5_TYPE,SELL_RATES,2,FALSE)*Input_Tasks[[#This Row],[R5 Business Hours]],0)+IFERROR(VLOOKUP(RESOURCE_5_TYPE,SELL_RATES,3,FALSE)*Input_Tasks[[#This Row],[R5 After Hours]],0)</f>
        <v>0</v>
      </c>
      <c r="AV171" s="400">
        <f>SUM(Input_Tasks[[#This Row],[Round Trips R1]:[Round Trips R5]])</f>
        <v>0</v>
      </c>
      <c r="AW171" s="401">
        <f>SUM(Input_Tasks[[#This Row],[Overnight StaysR1]:[Overnight StaysR5]])</f>
        <v>0</v>
      </c>
      <c r="AX171" s="401">
        <f>IF(AND(Input_Tasks[[#This Row],[Sell - Line Total]]&gt;0,OR(Input_Tasks[[#This Row],[Phase]]="",Input_Tasks[[#This Row],[Skill Required]]="",Input_Tasks[[#This Row],[Task Type]]="",Input_Tasks[[#This Row],[Description]]="")),1,0)</f>
        <v>0</v>
      </c>
      <c r="AY171" s="402">
        <f>IF(AND(Input_Tasks[[#This Row],[Task Type]]="ArchiTech Document Deliverable",Input_Tasks[[#This Row],[Hours]]&gt;0),1,0)</f>
        <v>0</v>
      </c>
      <c r="AZ17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7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7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7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7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7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7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7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7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7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7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7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7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71" s="405">
        <f>SUM(Input_Tasks[[#This Row],[R1 Business Hours]:[R1 After Hours]],Input_Tasks[[#This Row],[R2 Business Hours]:[R2 After Hours]],Input_Tasks[[#This Row],[R3 Business Hours]:[R3 After Hours]],Input_Tasks[[#This Row],[R4 Business Hours]:[R4 After Hours]],Input_Tasks[[#This Row],[R5 Business Hours]:[R5 After Hours]])</f>
        <v>0</v>
      </c>
    </row>
    <row r="172" spans="1:65">
      <c r="A172" s="384"/>
      <c r="B172" s="271"/>
      <c r="C172" s="271"/>
      <c r="D172" s="406"/>
      <c r="E172" s="385">
        <f>Input_Tasks[[#This Row],[Onsite Round Trips_Hidden]]</f>
        <v>0</v>
      </c>
      <c r="F172" s="385">
        <f>Input_Tasks[[#This Row],[Overnight Stays_Hidden]]</f>
        <v>0</v>
      </c>
      <c r="G172" s="385">
        <f>Input_Tasks[[#This Row],[Documents_Hidden]]</f>
        <v>0</v>
      </c>
      <c r="H172" s="387"/>
      <c r="I172" s="388"/>
      <c r="J172" s="389"/>
      <c r="K172" s="390"/>
      <c r="L172" s="390"/>
      <c r="M172" s="389"/>
      <c r="N172" s="390"/>
      <c r="O172" s="390"/>
      <c r="P172" s="389"/>
      <c r="Q172" s="390"/>
      <c r="R172" s="391"/>
      <c r="S172" s="389"/>
      <c r="T172" s="390"/>
      <c r="U172" s="391"/>
      <c r="V172" s="389"/>
      <c r="W172" s="390"/>
      <c r="X172" s="390"/>
      <c r="Y172" s="386" t="str">
        <f>Input_Tasks[[#This Row],[Onsite Round Trips_Hidden]]&amp;"/"&amp;Input_Tasks[[#This Row],[Overnight Stays_Hidden]]&amp;"/"&amp;Input_Tasks[[#This Row],[Documents_Hidden]]</f>
        <v>0/0/0</v>
      </c>
      <c r="Z172" s="392">
        <f>Input_Tasks[[#This Row],[R1 Cost_Hidden]]</f>
        <v>0</v>
      </c>
      <c r="AA172" s="393">
        <f>Input_Tasks[[#This Row],[R2 Cost_Hidden]]</f>
        <v>0</v>
      </c>
      <c r="AB172" s="393">
        <f>Input_Tasks[[#This Row],[R3 Cost_Hidden]]</f>
        <v>0</v>
      </c>
      <c r="AC172" s="393">
        <f>Input_Tasks[[#This Row],[R4 Cost_Hidden]]</f>
        <v>0</v>
      </c>
      <c r="AD172" s="394">
        <f>Input_Tasks[[#This Row],[R5 Cost_Hidden]]</f>
        <v>0</v>
      </c>
      <c r="AE172" s="395">
        <f>SUM(Input_Tasks[[#This Row],[R1 Cost]:[R5 Cost]])</f>
        <v>0</v>
      </c>
      <c r="AF172" s="392">
        <f>Input_Tasks[[#This Row],[R1 Sell_Hidden]]</f>
        <v>0</v>
      </c>
      <c r="AG172" s="393">
        <f>Input_Tasks[[#This Row],[R2 Sell_Hidden]]</f>
        <v>0</v>
      </c>
      <c r="AH172" s="393">
        <f>Input_Tasks[[#This Row],[R3 Sell_Hidden]]</f>
        <v>0</v>
      </c>
      <c r="AI172" s="393">
        <f>Input_Tasks[[#This Row],[R4 Sell_Hidden5]]</f>
        <v>0</v>
      </c>
      <c r="AJ172" s="394">
        <f>Input_Tasks[[#This Row],[R5 Sell_Hidden]]</f>
        <v>0</v>
      </c>
      <c r="AK172" s="396">
        <f>SUM(Input_Tasks[[#This Row],[R1 Sell]:[R5 Sell]])</f>
        <v>0</v>
      </c>
      <c r="AL172" s="397">
        <f>IFERROR(VLOOKUP(RESOURCE_1_TYPE,COST_RATES,2,FALSE)*Input_Tasks[[#This Row],[R1 Business Hours]],0)+IFERROR(VLOOKUP(RESOURCE_1_TYPE,COST_RATES,3,FALSE)*Input_Tasks[[#This Row],[R1 After Hours]],0)</f>
        <v>0</v>
      </c>
      <c r="AM172" s="398">
        <f>IFERROR(VLOOKUP(RESOURCE_2_TYPE,COST_RATES,2,FALSE)*Input_Tasks[[#This Row],[R2 Business Hours]],0)+IFERROR(VLOOKUP(RESOURCE_2_TYPE,COST_RATES,3,FALSE)*Input_Tasks[[#This Row],[R2 After Hours]],0)</f>
        <v>0</v>
      </c>
      <c r="AN172" s="398">
        <f>IFERROR(VLOOKUP(RESOURCE_3_TYPE,COST_RATES,2,FALSE)*Input_Tasks[[#This Row],[R3 Business Hours]],0)+IFERROR(VLOOKUP(RESOURCE_3_TYPE,COST_RATES,3,FALSE)*Input_Tasks[[#This Row],[R3 After Hours]],0)</f>
        <v>0</v>
      </c>
      <c r="AO172" s="398">
        <f>IFERROR(VLOOKUP(RESOURCE_4_TYPE,COST_RATES,2,FALSE)*Input_Tasks[[#This Row],[R4 Business Hours]],0)+IFERROR(VLOOKUP(RESOURCE_4_TYPE,COST_RATES,3,FALSE)*Input_Tasks[[#This Row],[R4 After Hours]],0)</f>
        <v>0</v>
      </c>
      <c r="AP172" s="398">
        <f>IFERROR(VLOOKUP(RESOURCE_5_TYPE,COST_RATES,2,FALSE)*Input_Tasks[[#This Row],[R5 Business Hours]],0)+IFERROR(VLOOKUP(RESOURCE_5_TYPE,COST_RATES,3,FALSE)*Input_Tasks[[#This Row],[R5 After Hours]],0)</f>
        <v>0</v>
      </c>
      <c r="AQ172" s="399">
        <f>IFERROR(VLOOKUP(RESOURCE_1_TYPE,SELL_RATES,2,FALSE)*Input_Tasks[[#This Row],[R1 Business Hours]],0)+IFERROR(VLOOKUP(RESOURCE_1_TYPE,SELL_RATES,3,FALSE)*Input_Tasks[[#This Row],[R1 After Hours]],0)</f>
        <v>0</v>
      </c>
      <c r="AR172" s="398">
        <f>IFERROR(VLOOKUP(RESOURCE_2_TYPE,SELL_RATES,2,FALSE)*Input_Tasks[[#This Row],[R2 Business Hours]],0)+IFERROR(VLOOKUP(RESOURCE_2_TYPE,SELL_RATES,3,FALSE)*Input_Tasks[[#This Row],[R2 After Hours]],0)</f>
        <v>0</v>
      </c>
      <c r="AS172" s="398">
        <f>IFERROR(VLOOKUP(RESOURCE_3_TYPE,SELL_RATES,2,FALSE)*Input_Tasks[[#This Row],[R3 Business Hours]],0)+IFERROR(VLOOKUP(RESOURCE_3_TYPE,SELL_RATES,3,FALSE)*Input_Tasks[[#This Row],[R3 After Hours]],0)</f>
        <v>0</v>
      </c>
      <c r="AT172" s="398">
        <f>IFERROR(VLOOKUP(RESOURCE_4_TYPE,SELL_RATES,2,FALSE)*Input_Tasks[[#This Row],[R4 Business Hours]],0)+IFERROR(VLOOKUP(RESOURCE_4_TYPE,SELL_RATES,3,FALSE)*Input_Tasks[[#This Row],[R4 After Hours]],0)</f>
        <v>0</v>
      </c>
      <c r="AU172" s="398">
        <f>IFERROR(VLOOKUP(RESOURCE_5_TYPE,SELL_RATES,2,FALSE)*Input_Tasks[[#This Row],[R5 Business Hours]],0)+IFERROR(VLOOKUP(RESOURCE_5_TYPE,SELL_RATES,3,FALSE)*Input_Tasks[[#This Row],[R5 After Hours]],0)</f>
        <v>0</v>
      </c>
      <c r="AV172" s="400">
        <f>SUM(Input_Tasks[[#This Row],[Round Trips R1]:[Round Trips R5]])</f>
        <v>0</v>
      </c>
      <c r="AW172" s="401">
        <f>SUM(Input_Tasks[[#This Row],[Overnight StaysR1]:[Overnight StaysR5]])</f>
        <v>0</v>
      </c>
      <c r="AX172" s="401">
        <f>IF(AND(Input_Tasks[[#This Row],[Sell - Line Total]]&gt;0,OR(Input_Tasks[[#This Row],[Phase]]="",Input_Tasks[[#This Row],[Skill Required]]="",Input_Tasks[[#This Row],[Task Type]]="",Input_Tasks[[#This Row],[Description]]="")),1,0)</f>
        <v>0</v>
      </c>
      <c r="AY172" s="402">
        <f>IF(AND(Input_Tasks[[#This Row],[Task Type]]="ArchiTech Document Deliverable",Input_Tasks[[#This Row],[Hours]]&gt;0),1,0)</f>
        <v>0</v>
      </c>
      <c r="AZ17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7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7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7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7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7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7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7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7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7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7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7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7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72" s="405">
        <f>SUM(Input_Tasks[[#This Row],[R1 Business Hours]:[R1 After Hours]],Input_Tasks[[#This Row],[R2 Business Hours]:[R2 After Hours]],Input_Tasks[[#This Row],[R3 Business Hours]:[R3 After Hours]],Input_Tasks[[#This Row],[R4 Business Hours]:[R4 After Hours]],Input_Tasks[[#This Row],[R5 Business Hours]:[R5 After Hours]])</f>
        <v>0</v>
      </c>
    </row>
    <row r="173" spans="1:65">
      <c r="A173" s="384"/>
      <c r="B173" s="271"/>
      <c r="C173" s="271"/>
      <c r="D173" s="406"/>
      <c r="E173" s="385">
        <f>Input_Tasks[[#This Row],[Onsite Round Trips_Hidden]]</f>
        <v>0</v>
      </c>
      <c r="F173" s="385">
        <f>Input_Tasks[[#This Row],[Overnight Stays_Hidden]]</f>
        <v>0</v>
      </c>
      <c r="G173" s="385">
        <f>Input_Tasks[[#This Row],[Documents_Hidden]]</f>
        <v>0</v>
      </c>
      <c r="H173" s="387"/>
      <c r="I173" s="388"/>
      <c r="J173" s="389"/>
      <c r="K173" s="390"/>
      <c r="L173" s="390"/>
      <c r="M173" s="389"/>
      <c r="N173" s="390"/>
      <c r="O173" s="390"/>
      <c r="P173" s="389"/>
      <c r="Q173" s="390"/>
      <c r="R173" s="391"/>
      <c r="S173" s="389"/>
      <c r="T173" s="390"/>
      <c r="U173" s="391"/>
      <c r="V173" s="389"/>
      <c r="W173" s="390"/>
      <c r="X173" s="390"/>
      <c r="Y173" s="386" t="str">
        <f>Input_Tasks[[#This Row],[Onsite Round Trips_Hidden]]&amp;"/"&amp;Input_Tasks[[#This Row],[Overnight Stays_Hidden]]&amp;"/"&amp;Input_Tasks[[#This Row],[Documents_Hidden]]</f>
        <v>0/0/0</v>
      </c>
      <c r="Z173" s="392">
        <f>Input_Tasks[[#This Row],[R1 Cost_Hidden]]</f>
        <v>0</v>
      </c>
      <c r="AA173" s="393">
        <f>Input_Tasks[[#This Row],[R2 Cost_Hidden]]</f>
        <v>0</v>
      </c>
      <c r="AB173" s="393">
        <f>Input_Tasks[[#This Row],[R3 Cost_Hidden]]</f>
        <v>0</v>
      </c>
      <c r="AC173" s="393">
        <f>Input_Tasks[[#This Row],[R4 Cost_Hidden]]</f>
        <v>0</v>
      </c>
      <c r="AD173" s="394">
        <f>Input_Tasks[[#This Row],[R5 Cost_Hidden]]</f>
        <v>0</v>
      </c>
      <c r="AE173" s="395">
        <f>SUM(Input_Tasks[[#This Row],[R1 Cost]:[R5 Cost]])</f>
        <v>0</v>
      </c>
      <c r="AF173" s="392">
        <f>Input_Tasks[[#This Row],[R1 Sell_Hidden]]</f>
        <v>0</v>
      </c>
      <c r="AG173" s="393">
        <f>Input_Tasks[[#This Row],[R2 Sell_Hidden]]</f>
        <v>0</v>
      </c>
      <c r="AH173" s="393">
        <f>Input_Tasks[[#This Row],[R3 Sell_Hidden]]</f>
        <v>0</v>
      </c>
      <c r="AI173" s="393">
        <f>Input_Tasks[[#This Row],[R4 Sell_Hidden5]]</f>
        <v>0</v>
      </c>
      <c r="AJ173" s="394">
        <f>Input_Tasks[[#This Row],[R5 Sell_Hidden]]</f>
        <v>0</v>
      </c>
      <c r="AK173" s="396">
        <f>SUM(Input_Tasks[[#This Row],[R1 Sell]:[R5 Sell]])</f>
        <v>0</v>
      </c>
      <c r="AL173" s="397">
        <f>IFERROR(VLOOKUP(RESOURCE_1_TYPE,COST_RATES,2,FALSE)*Input_Tasks[[#This Row],[R1 Business Hours]],0)+IFERROR(VLOOKUP(RESOURCE_1_TYPE,COST_RATES,3,FALSE)*Input_Tasks[[#This Row],[R1 After Hours]],0)</f>
        <v>0</v>
      </c>
      <c r="AM173" s="398">
        <f>IFERROR(VLOOKUP(RESOURCE_2_TYPE,COST_RATES,2,FALSE)*Input_Tasks[[#This Row],[R2 Business Hours]],0)+IFERROR(VLOOKUP(RESOURCE_2_TYPE,COST_RATES,3,FALSE)*Input_Tasks[[#This Row],[R2 After Hours]],0)</f>
        <v>0</v>
      </c>
      <c r="AN173" s="398">
        <f>IFERROR(VLOOKUP(RESOURCE_3_TYPE,COST_RATES,2,FALSE)*Input_Tasks[[#This Row],[R3 Business Hours]],0)+IFERROR(VLOOKUP(RESOURCE_3_TYPE,COST_RATES,3,FALSE)*Input_Tasks[[#This Row],[R3 After Hours]],0)</f>
        <v>0</v>
      </c>
      <c r="AO173" s="398">
        <f>IFERROR(VLOOKUP(RESOURCE_4_TYPE,COST_RATES,2,FALSE)*Input_Tasks[[#This Row],[R4 Business Hours]],0)+IFERROR(VLOOKUP(RESOURCE_4_TYPE,COST_RATES,3,FALSE)*Input_Tasks[[#This Row],[R4 After Hours]],0)</f>
        <v>0</v>
      </c>
      <c r="AP173" s="398">
        <f>IFERROR(VLOOKUP(RESOURCE_5_TYPE,COST_RATES,2,FALSE)*Input_Tasks[[#This Row],[R5 Business Hours]],0)+IFERROR(VLOOKUP(RESOURCE_5_TYPE,COST_RATES,3,FALSE)*Input_Tasks[[#This Row],[R5 After Hours]],0)</f>
        <v>0</v>
      </c>
      <c r="AQ173" s="399">
        <f>IFERROR(VLOOKUP(RESOURCE_1_TYPE,SELL_RATES,2,FALSE)*Input_Tasks[[#This Row],[R1 Business Hours]],0)+IFERROR(VLOOKUP(RESOURCE_1_TYPE,SELL_RATES,3,FALSE)*Input_Tasks[[#This Row],[R1 After Hours]],0)</f>
        <v>0</v>
      </c>
      <c r="AR173" s="398">
        <f>IFERROR(VLOOKUP(RESOURCE_2_TYPE,SELL_RATES,2,FALSE)*Input_Tasks[[#This Row],[R2 Business Hours]],0)+IFERROR(VLOOKUP(RESOURCE_2_TYPE,SELL_RATES,3,FALSE)*Input_Tasks[[#This Row],[R2 After Hours]],0)</f>
        <v>0</v>
      </c>
      <c r="AS173" s="398">
        <f>IFERROR(VLOOKUP(RESOURCE_3_TYPE,SELL_RATES,2,FALSE)*Input_Tasks[[#This Row],[R3 Business Hours]],0)+IFERROR(VLOOKUP(RESOURCE_3_TYPE,SELL_RATES,3,FALSE)*Input_Tasks[[#This Row],[R3 After Hours]],0)</f>
        <v>0</v>
      </c>
      <c r="AT173" s="398">
        <f>IFERROR(VLOOKUP(RESOURCE_4_TYPE,SELL_RATES,2,FALSE)*Input_Tasks[[#This Row],[R4 Business Hours]],0)+IFERROR(VLOOKUP(RESOURCE_4_TYPE,SELL_RATES,3,FALSE)*Input_Tasks[[#This Row],[R4 After Hours]],0)</f>
        <v>0</v>
      </c>
      <c r="AU173" s="398">
        <f>IFERROR(VLOOKUP(RESOURCE_5_TYPE,SELL_RATES,2,FALSE)*Input_Tasks[[#This Row],[R5 Business Hours]],0)+IFERROR(VLOOKUP(RESOURCE_5_TYPE,SELL_RATES,3,FALSE)*Input_Tasks[[#This Row],[R5 After Hours]],0)</f>
        <v>0</v>
      </c>
      <c r="AV173" s="400">
        <f>SUM(Input_Tasks[[#This Row],[Round Trips R1]:[Round Trips R5]])</f>
        <v>0</v>
      </c>
      <c r="AW173" s="401">
        <f>SUM(Input_Tasks[[#This Row],[Overnight StaysR1]:[Overnight StaysR5]])</f>
        <v>0</v>
      </c>
      <c r="AX173" s="401">
        <f>IF(AND(Input_Tasks[[#This Row],[Sell - Line Total]]&gt;0,OR(Input_Tasks[[#This Row],[Phase]]="",Input_Tasks[[#This Row],[Skill Required]]="",Input_Tasks[[#This Row],[Task Type]]="",Input_Tasks[[#This Row],[Description]]="")),1,0)</f>
        <v>0</v>
      </c>
      <c r="AY173" s="402">
        <f>IF(AND(Input_Tasks[[#This Row],[Task Type]]="ArchiTech Document Deliverable",Input_Tasks[[#This Row],[Hours]]&gt;0),1,0)</f>
        <v>0</v>
      </c>
      <c r="AZ17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7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7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7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7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7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7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7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7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7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7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7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7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73" s="405">
        <f>SUM(Input_Tasks[[#This Row],[R1 Business Hours]:[R1 After Hours]],Input_Tasks[[#This Row],[R2 Business Hours]:[R2 After Hours]],Input_Tasks[[#This Row],[R3 Business Hours]:[R3 After Hours]],Input_Tasks[[#This Row],[R4 Business Hours]:[R4 After Hours]],Input_Tasks[[#This Row],[R5 Business Hours]:[R5 After Hours]])</f>
        <v>0</v>
      </c>
    </row>
    <row r="174" spans="1:65">
      <c r="A174" s="384"/>
      <c r="B174" s="271"/>
      <c r="C174" s="271"/>
      <c r="D174" s="406"/>
      <c r="E174" s="385">
        <f>Input_Tasks[[#This Row],[Onsite Round Trips_Hidden]]</f>
        <v>0</v>
      </c>
      <c r="F174" s="385">
        <f>Input_Tasks[[#This Row],[Overnight Stays_Hidden]]</f>
        <v>0</v>
      </c>
      <c r="G174" s="385">
        <f>Input_Tasks[[#This Row],[Documents_Hidden]]</f>
        <v>0</v>
      </c>
      <c r="H174" s="387"/>
      <c r="I174" s="388"/>
      <c r="J174" s="389"/>
      <c r="K174" s="390"/>
      <c r="L174" s="390"/>
      <c r="M174" s="389"/>
      <c r="N174" s="390"/>
      <c r="O174" s="390"/>
      <c r="P174" s="389"/>
      <c r="Q174" s="390"/>
      <c r="R174" s="391"/>
      <c r="S174" s="389"/>
      <c r="T174" s="390"/>
      <c r="U174" s="391"/>
      <c r="V174" s="389"/>
      <c r="W174" s="390"/>
      <c r="X174" s="390"/>
      <c r="Y174" s="386" t="str">
        <f>Input_Tasks[[#This Row],[Onsite Round Trips_Hidden]]&amp;"/"&amp;Input_Tasks[[#This Row],[Overnight Stays_Hidden]]&amp;"/"&amp;Input_Tasks[[#This Row],[Documents_Hidden]]</f>
        <v>0/0/0</v>
      </c>
      <c r="Z174" s="392">
        <f>Input_Tasks[[#This Row],[R1 Cost_Hidden]]</f>
        <v>0</v>
      </c>
      <c r="AA174" s="393">
        <f>Input_Tasks[[#This Row],[R2 Cost_Hidden]]</f>
        <v>0</v>
      </c>
      <c r="AB174" s="393">
        <f>Input_Tasks[[#This Row],[R3 Cost_Hidden]]</f>
        <v>0</v>
      </c>
      <c r="AC174" s="393">
        <f>Input_Tasks[[#This Row],[R4 Cost_Hidden]]</f>
        <v>0</v>
      </c>
      <c r="AD174" s="394">
        <f>Input_Tasks[[#This Row],[R5 Cost_Hidden]]</f>
        <v>0</v>
      </c>
      <c r="AE174" s="395">
        <f>SUM(Input_Tasks[[#This Row],[R1 Cost]:[R5 Cost]])</f>
        <v>0</v>
      </c>
      <c r="AF174" s="392">
        <f>Input_Tasks[[#This Row],[R1 Sell_Hidden]]</f>
        <v>0</v>
      </c>
      <c r="AG174" s="393">
        <f>Input_Tasks[[#This Row],[R2 Sell_Hidden]]</f>
        <v>0</v>
      </c>
      <c r="AH174" s="393">
        <f>Input_Tasks[[#This Row],[R3 Sell_Hidden]]</f>
        <v>0</v>
      </c>
      <c r="AI174" s="393">
        <f>Input_Tasks[[#This Row],[R4 Sell_Hidden5]]</f>
        <v>0</v>
      </c>
      <c r="AJ174" s="394">
        <f>Input_Tasks[[#This Row],[R5 Sell_Hidden]]</f>
        <v>0</v>
      </c>
      <c r="AK174" s="396">
        <f>SUM(Input_Tasks[[#This Row],[R1 Sell]:[R5 Sell]])</f>
        <v>0</v>
      </c>
      <c r="AL174" s="397">
        <f>IFERROR(VLOOKUP(RESOURCE_1_TYPE,COST_RATES,2,FALSE)*Input_Tasks[[#This Row],[R1 Business Hours]],0)+IFERROR(VLOOKUP(RESOURCE_1_TYPE,COST_RATES,3,FALSE)*Input_Tasks[[#This Row],[R1 After Hours]],0)</f>
        <v>0</v>
      </c>
      <c r="AM174" s="398">
        <f>IFERROR(VLOOKUP(RESOURCE_2_TYPE,COST_RATES,2,FALSE)*Input_Tasks[[#This Row],[R2 Business Hours]],0)+IFERROR(VLOOKUP(RESOURCE_2_TYPE,COST_RATES,3,FALSE)*Input_Tasks[[#This Row],[R2 After Hours]],0)</f>
        <v>0</v>
      </c>
      <c r="AN174" s="398">
        <f>IFERROR(VLOOKUP(RESOURCE_3_TYPE,COST_RATES,2,FALSE)*Input_Tasks[[#This Row],[R3 Business Hours]],0)+IFERROR(VLOOKUP(RESOURCE_3_TYPE,COST_RATES,3,FALSE)*Input_Tasks[[#This Row],[R3 After Hours]],0)</f>
        <v>0</v>
      </c>
      <c r="AO174" s="398">
        <f>IFERROR(VLOOKUP(RESOURCE_4_TYPE,COST_RATES,2,FALSE)*Input_Tasks[[#This Row],[R4 Business Hours]],0)+IFERROR(VLOOKUP(RESOURCE_4_TYPE,COST_RATES,3,FALSE)*Input_Tasks[[#This Row],[R4 After Hours]],0)</f>
        <v>0</v>
      </c>
      <c r="AP174" s="398">
        <f>IFERROR(VLOOKUP(RESOURCE_5_TYPE,COST_RATES,2,FALSE)*Input_Tasks[[#This Row],[R5 Business Hours]],0)+IFERROR(VLOOKUP(RESOURCE_5_TYPE,COST_RATES,3,FALSE)*Input_Tasks[[#This Row],[R5 After Hours]],0)</f>
        <v>0</v>
      </c>
      <c r="AQ174" s="399">
        <f>IFERROR(VLOOKUP(RESOURCE_1_TYPE,SELL_RATES,2,FALSE)*Input_Tasks[[#This Row],[R1 Business Hours]],0)+IFERROR(VLOOKUP(RESOURCE_1_TYPE,SELL_RATES,3,FALSE)*Input_Tasks[[#This Row],[R1 After Hours]],0)</f>
        <v>0</v>
      </c>
      <c r="AR174" s="398">
        <f>IFERROR(VLOOKUP(RESOURCE_2_TYPE,SELL_RATES,2,FALSE)*Input_Tasks[[#This Row],[R2 Business Hours]],0)+IFERROR(VLOOKUP(RESOURCE_2_TYPE,SELL_RATES,3,FALSE)*Input_Tasks[[#This Row],[R2 After Hours]],0)</f>
        <v>0</v>
      </c>
      <c r="AS174" s="398">
        <f>IFERROR(VLOOKUP(RESOURCE_3_TYPE,SELL_RATES,2,FALSE)*Input_Tasks[[#This Row],[R3 Business Hours]],0)+IFERROR(VLOOKUP(RESOURCE_3_TYPE,SELL_RATES,3,FALSE)*Input_Tasks[[#This Row],[R3 After Hours]],0)</f>
        <v>0</v>
      </c>
      <c r="AT174" s="398">
        <f>IFERROR(VLOOKUP(RESOURCE_4_TYPE,SELL_RATES,2,FALSE)*Input_Tasks[[#This Row],[R4 Business Hours]],0)+IFERROR(VLOOKUP(RESOURCE_4_TYPE,SELL_RATES,3,FALSE)*Input_Tasks[[#This Row],[R4 After Hours]],0)</f>
        <v>0</v>
      </c>
      <c r="AU174" s="398">
        <f>IFERROR(VLOOKUP(RESOURCE_5_TYPE,SELL_RATES,2,FALSE)*Input_Tasks[[#This Row],[R5 Business Hours]],0)+IFERROR(VLOOKUP(RESOURCE_5_TYPE,SELL_RATES,3,FALSE)*Input_Tasks[[#This Row],[R5 After Hours]],0)</f>
        <v>0</v>
      </c>
      <c r="AV174" s="400">
        <f>SUM(Input_Tasks[[#This Row],[Round Trips R1]:[Round Trips R5]])</f>
        <v>0</v>
      </c>
      <c r="AW174" s="401">
        <f>SUM(Input_Tasks[[#This Row],[Overnight StaysR1]:[Overnight StaysR5]])</f>
        <v>0</v>
      </c>
      <c r="AX174" s="401">
        <f>IF(AND(Input_Tasks[[#This Row],[Sell - Line Total]]&gt;0,OR(Input_Tasks[[#This Row],[Phase]]="",Input_Tasks[[#This Row],[Skill Required]]="",Input_Tasks[[#This Row],[Task Type]]="",Input_Tasks[[#This Row],[Description]]="")),1,0)</f>
        <v>0</v>
      </c>
      <c r="AY174" s="402">
        <f>IF(AND(Input_Tasks[[#This Row],[Task Type]]="ArchiTech Document Deliverable",Input_Tasks[[#This Row],[Hours]]&gt;0),1,0)</f>
        <v>0</v>
      </c>
      <c r="AZ17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7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7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7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7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7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7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7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7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7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7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7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7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74" s="405">
        <f>SUM(Input_Tasks[[#This Row],[R1 Business Hours]:[R1 After Hours]],Input_Tasks[[#This Row],[R2 Business Hours]:[R2 After Hours]],Input_Tasks[[#This Row],[R3 Business Hours]:[R3 After Hours]],Input_Tasks[[#This Row],[R4 Business Hours]:[R4 After Hours]],Input_Tasks[[#This Row],[R5 Business Hours]:[R5 After Hours]])</f>
        <v>0</v>
      </c>
    </row>
    <row r="175" spans="1:65">
      <c r="A175" s="384"/>
      <c r="B175" s="271"/>
      <c r="C175" s="271"/>
      <c r="D175" s="406"/>
      <c r="E175" s="385">
        <f>Input_Tasks[[#This Row],[Onsite Round Trips_Hidden]]</f>
        <v>0</v>
      </c>
      <c r="F175" s="385">
        <f>Input_Tasks[[#This Row],[Overnight Stays_Hidden]]</f>
        <v>0</v>
      </c>
      <c r="G175" s="385">
        <f>Input_Tasks[[#This Row],[Documents_Hidden]]</f>
        <v>0</v>
      </c>
      <c r="H175" s="387"/>
      <c r="I175" s="388"/>
      <c r="J175" s="389"/>
      <c r="K175" s="390"/>
      <c r="L175" s="390"/>
      <c r="M175" s="389"/>
      <c r="N175" s="390"/>
      <c r="O175" s="390"/>
      <c r="P175" s="389"/>
      <c r="Q175" s="390"/>
      <c r="R175" s="391"/>
      <c r="S175" s="389"/>
      <c r="T175" s="390"/>
      <c r="U175" s="391"/>
      <c r="V175" s="389"/>
      <c r="W175" s="390"/>
      <c r="X175" s="390"/>
      <c r="Y175" s="386" t="str">
        <f>Input_Tasks[[#This Row],[Onsite Round Trips_Hidden]]&amp;"/"&amp;Input_Tasks[[#This Row],[Overnight Stays_Hidden]]&amp;"/"&amp;Input_Tasks[[#This Row],[Documents_Hidden]]</f>
        <v>0/0/0</v>
      </c>
      <c r="Z175" s="392">
        <f>Input_Tasks[[#This Row],[R1 Cost_Hidden]]</f>
        <v>0</v>
      </c>
      <c r="AA175" s="393">
        <f>Input_Tasks[[#This Row],[R2 Cost_Hidden]]</f>
        <v>0</v>
      </c>
      <c r="AB175" s="393">
        <f>Input_Tasks[[#This Row],[R3 Cost_Hidden]]</f>
        <v>0</v>
      </c>
      <c r="AC175" s="393">
        <f>Input_Tasks[[#This Row],[R4 Cost_Hidden]]</f>
        <v>0</v>
      </c>
      <c r="AD175" s="394">
        <f>Input_Tasks[[#This Row],[R5 Cost_Hidden]]</f>
        <v>0</v>
      </c>
      <c r="AE175" s="395">
        <f>SUM(Input_Tasks[[#This Row],[R1 Cost]:[R5 Cost]])</f>
        <v>0</v>
      </c>
      <c r="AF175" s="392">
        <f>Input_Tasks[[#This Row],[R1 Sell_Hidden]]</f>
        <v>0</v>
      </c>
      <c r="AG175" s="393">
        <f>Input_Tasks[[#This Row],[R2 Sell_Hidden]]</f>
        <v>0</v>
      </c>
      <c r="AH175" s="393">
        <f>Input_Tasks[[#This Row],[R3 Sell_Hidden]]</f>
        <v>0</v>
      </c>
      <c r="AI175" s="393">
        <f>Input_Tasks[[#This Row],[R4 Sell_Hidden5]]</f>
        <v>0</v>
      </c>
      <c r="AJ175" s="394">
        <f>Input_Tasks[[#This Row],[R5 Sell_Hidden]]</f>
        <v>0</v>
      </c>
      <c r="AK175" s="396">
        <f>SUM(Input_Tasks[[#This Row],[R1 Sell]:[R5 Sell]])</f>
        <v>0</v>
      </c>
      <c r="AL175" s="397">
        <f>IFERROR(VLOOKUP(RESOURCE_1_TYPE,COST_RATES,2,FALSE)*Input_Tasks[[#This Row],[R1 Business Hours]],0)+IFERROR(VLOOKUP(RESOURCE_1_TYPE,COST_RATES,3,FALSE)*Input_Tasks[[#This Row],[R1 After Hours]],0)</f>
        <v>0</v>
      </c>
      <c r="AM175" s="398">
        <f>IFERROR(VLOOKUP(RESOURCE_2_TYPE,COST_RATES,2,FALSE)*Input_Tasks[[#This Row],[R2 Business Hours]],0)+IFERROR(VLOOKUP(RESOURCE_2_TYPE,COST_RATES,3,FALSE)*Input_Tasks[[#This Row],[R2 After Hours]],0)</f>
        <v>0</v>
      </c>
      <c r="AN175" s="398">
        <f>IFERROR(VLOOKUP(RESOURCE_3_TYPE,COST_RATES,2,FALSE)*Input_Tasks[[#This Row],[R3 Business Hours]],0)+IFERROR(VLOOKUP(RESOURCE_3_TYPE,COST_RATES,3,FALSE)*Input_Tasks[[#This Row],[R3 After Hours]],0)</f>
        <v>0</v>
      </c>
      <c r="AO175" s="398">
        <f>IFERROR(VLOOKUP(RESOURCE_4_TYPE,COST_RATES,2,FALSE)*Input_Tasks[[#This Row],[R4 Business Hours]],0)+IFERROR(VLOOKUP(RESOURCE_4_TYPE,COST_RATES,3,FALSE)*Input_Tasks[[#This Row],[R4 After Hours]],0)</f>
        <v>0</v>
      </c>
      <c r="AP175" s="398">
        <f>IFERROR(VLOOKUP(RESOURCE_5_TYPE,COST_RATES,2,FALSE)*Input_Tasks[[#This Row],[R5 Business Hours]],0)+IFERROR(VLOOKUP(RESOURCE_5_TYPE,COST_RATES,3,FALSE)*Input_Tasks[[#This Row],[R5 After Hours]],0)</f>
        <v>0</v>
      </c>
      <c r="AQ175" s="399">
        <f>IFERROR(VLOOKUP(RESOURCE_1_TYPE,SELL_RATES,2,FALSE)*Input_Tasks[[#This Row],[R1 Business Hours]],0)+IFERROR(VLOOKUP(RESOURCE_1_TYPE,SELL_RATES,3,FALSE)*Input_Tasks[[#This Row],[R1 After Hours]],0)</f>
        <v>0</v>
      </c>
      <c r="AR175" s="398">
        <f>IFERROR(VLOOKUP(RESOURCE_2_TYPE,SELL_RATES,2,FALSE)*Input_Tasks[[#This Row],[R2 Business Hours]],0)+IFERROR(VLOOKUP(RESOURCE_2_TYPE,SELL_RATES,3,FALSE)*Input_Tasks[[#This Row],[R2 After Hours]],0)</f>
        <v>0</v>
      </c>
      <c r="AS175" s="398">
        <f>IFERROR(VLOOKUP(RESOURCE_3_TYPE,SELL_RATES,2,FALSE)*Input_Tasks[[#This Row],[R3 Business Hours]],0)+IFERROR(VLOOKUP(RESOURCE_3_TYPE,SELL_RATES,3,FALSE)*Input_Tasks[[#This Row],[R3 After Hours]],0)</f>
        <v>0</v>
      </c>
      <c r="AT175" s="398">
        <f>IFERROR(VLOOKUP(RESOURCE_4_TYPE,SELL_RATES,2,FALSE)*Input_Tasks[[#This Row],[R4 Business Hours]],0)+IFERROR(VLOOKUP(RESOURCE_4_TYPE,SELL_RATES,3,FALSE)*Input_Tasks[[#This Row],[R4 After Hours]],0)</f>
        <v>0</v>
      </c>
      <c r="AU175" s="398">
        <f>IFERROR(VLOOKUP(RESOURCE_5_TYPE,SELL_RATES,2,FALSE)*Input_Tasks[[#This Row],[R5 Business Hours]],0)+IFERROR(VLOOKUP(RESOURCE_5_TYPE,SELL_RATES,3,FALSE)*Input_Tasks[[#This Row],[R5 After Hours]],0)</f>
        <v>0</v>
      </c>
      <c r="AV175" s="400">
        <f>SUM(Input_Tasks[[#This Row],[Round Trips R1]:[Round Trips R5]])</f>
        <v>0</v>
      </c>
      <c r="AW175" s="401">
        <f>SUM(Input_Tasks[[#This Row],[Overnight StaysR1]:[Overnight StaysR5]])</f>
        <v>0</v>
      </c>
      <c r="AX175" s="401">
        <f>IF(AND(Input_Tasks[[#This Row],[Sell - Line Total]]&gt;0,OR(Input_Tasks[[#This Row],[Phase]]="",Input_Tasks[[#This Row],[Skill Required]]="",Input_Tasks[[#This Row],[Task Type]]="",Input_Tasks[[#This Row],[Description]]="")),1,0)</f>
        <v>0</v>
      </c>
      <c r="AY175" s="402">
        <f>IF(AND(Input_Tasks[[#This Row],[Task Type]]="ArchiTech Document Deliverable",Input_Tasks[[#This Row],[Hours]]&gt;0),1,0)</f>
        <v>0</v>
      </c>
      <c r="AZ17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7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7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7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7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7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7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7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7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7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7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7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7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75" s="405">
        <f>SUM(Input_Tasks[[#This Row],[R1 Business Hours]:[R1 After Hours]],Input_Tasks[[#This Row],[R2 Business Hours]:[R2 After Hours]],Input_Tasks[[#This Row],[R3 Business Hours]:[R3 After Hours]],Input_Tasks[[#This Row],[R4 Business Hours]:[R4 After Hours]],Input_Tasks[[#This Row],[R5 Business Hours]:[R5 After Hours]])</f>
        <v>0</v>
      </c>
    </row>
    <row r="176" spans="1:65">
      <c r="A176" s="384"/>
      <c r="B176" s="271"/>
      <c r="C176" s="271"/>
      <c r="D176" s="406"/>
      <c r="E176" s="385">
        <f>Input_Tasks[[#This Row],[Onsite Round Trips_Hidden]]</f>
        <v>0</v>
      </c>
      <c r="F176" s="385">
        <f>Input_Tasks[[#This Row],[Overnight Stays_Hidden]]</f>
        <v>0</v>
      </c>
      <c r="G176" s="385">
        <f>Input_Tasks[[#This Row],[Documents_Hidden]]</f>
        <v>0</v>
      </c>
      <c r="H176" s="387"/>
      <c r="I176" s="388"/>
      <c r="J176" s="389"/>
      <c r="K176" s="390"/>
      <c r="L176" s="390"/>
      <c r="M176" s="389"/>
      <c r="N176" s="390"/>
      <c r="O176" s="390"/>
      <c r="P176" s="389"/>
      <c r="Q176" s="390"/>
      <c r="R176" s="391"/>
      <c r="S176" s="389"/>
      <c r="T176" s="390"/>
      <c r="U176" s="391"/>
      <c r="V176" s="389"/>
      <c r="W176" s="390"/>
      <c r="X176" s="390"/>
      <c r="Y176" s="386" t="str">
        <f>Input_Tasks[[#This Row],[Onsite Round Trips_Hidden]]&amp;"/"&amp;Input_Tasks[[#This Row],[Overnight Stays_Hidden]]&amp;"/"&amp;Input_Tasks[[#This Row],[Documents_Hidden]]</f>
        <v>0/0/0</v>
      </c>
      <c r="Z176" s="392">
        <f>Input_Tasks[[#This Row],[R1 Cost_Hidden]]</f>
        <v>0</v>
      </c>
      <c r="AA176" s="393">
        <f>Input_Tasks[[#This Row],[R2 Cost_Hidden]]</f>
        <v>0</v>
      </c>
      <c r="AB176" s="393">
        <f>Input_Tasks[[#This Row],[R3 Cost_Hidden]]</f>
        <v>0</v>
      </c>
      <c r="AC176" s="393">
        <f>Input_Tasks[[#This Row],[R4 Cost_Hidden]]</f>
        <v>0</v>
      </c>
      <c r="AD176" s="394">
        <f>Input_Tasks[[#This Row],[R5 Cost_Hidden]]</f>
        <v>0</v>
      </c>
      <c r="AE176" s="395">
        <f>SUM(Input_Tasks[[#This Row],[R1 Cost]:[R5 Cost]])</f>
        <v>0</v>
      </c>
      <c r="AF176" s="392">
        <f>Input_Tasks[[#This Row],[R1 Sell_Hidden]]</f>
        <v>0</v>
      </c>
      <c r="AG176" s="393">
        <f>Input_Tasks[[#This Row],[R2 Sell_Hidden]]</f>
        <v>0</v>
      </c>
      <c r="AH176" s="393">
        <f>Input_Tasks[[#This Row],[R3 Sell_Hidden]]</f>
        <v>0</v>
      </c>
      <c r="AI176" s="393">
        <f>Input_Tasks[[#This Row],[R4 Sell_Hidden5]]</f>
        <v>0</v>
      </c>
      <c r="AJ176" s="394">
        <f>Input_Tasks[[#This Row],[R5 Sell_Hidden]]</f>
        <v>0</v>
      </c>
      <c r="AK176" s="396">
        <f>SUM(Input_Tasks[[#This Row],[R1 Sell]:[R5 Sell]])</f>
        <v>0</v>
      </c>
      <c r="AL176" s="397">
        <f>IFERROR(VLOOKUP(RESOURCE_1_TYPE,COST_RATES,2,FALSE)*Input_Tasks[[#This Row],[R1 Business Hours]],0)+IFERROR(VLOOKUP(RESOURCE_1_TYPE,COST_RATES,3,FALSE)*Input_Tasks[[#This Row],[R1 After Hours]],0)</f>
        <v>0</v>
      </c>
      <c r="AM176" s="398">
        <f>IFERROR(VLOOKUP(RESOURCE_2_TYPE,COST_RATES,2,FALSE)*Input_Tasks[[#This Row],[R2 Business Hours]],0)+IFERROR(VLOOKUP(RESOURCE_2_TYPE,COST_RATES,3,FALSE)*Input_Tasks[[#This Row],[R2 After Hours]],0)</f>
        <v>0</v>
      </c>
      <c r="AN176" s="398">
        <f>IFERROR(VLOOKUP(RESOURCE_3_TYPE,COST_RATES,2,FALSE)*Input_Tasks[[#This Row],[R3 Business Hours]],0)+IFERROR(VLOOKUP(RESOURCE_3_TYPE,COST_RATES,3,FALSE)*Input_Tasks[[#This Row],[R3 After Hours]],0)</f>
        <v>0</v>
      </c>
      <c r="AO176" s="398">
        <f>IFERROR(VLOOKUP(RESOURCE_4_TYPE,COST_RATES,2,FALSE)*Input_Tasks[[#This Row],[R4 Business Hours]],0)+IFERROR(VLOOKUP(RESOURCE_4_TYPE,COST_RATES,3,FALSE)*Input_Tasks[[#This Row],[R4 After Hours]],0)</f>
        <v>0</v>
      </c>
      <c r="AP176" s="398">
        <f>IFERROR(VLOOKUP(RESOURCE_5_TYPE,COST_RATES,2,FALSE)*Input_Tasks[[#This Row],[R5 Business Hours]],0)+IFERROR(VLOOKUP(RESOURCE_5_TYPE,COST_RATES,3,FALSE)*Input_Tasks[[#This Row],[R5 After Hours]],0)</f>
        <v>0</v>
      </c>
      <c r="AQ176" s="399">
        <f>IFERROR(VLOOKUP(RESOURCE_1_TYPE,SELL_RATES,2,FALSE)*Input_Tasks[[#This Row],[R1 Business Hours]],0)+IFERROR(VLOOKUP(RESOURCE_1_TYPE,SELL_RATES,3,FALSE)*Input_Tasks[[#This Row],[R1 After Hours]],0)</f>
        <v>0</v>
      </c>
      <c r="AR176" s="398">
        <f>IFERROR(VLOOKUP(RESOURCE_2_TYPE,SELL_RATES,2,FALSE)*Input_Tasks[[#This Row],[R2 Business Hours]],0)+IFERROR(VLOOKUP(RESOURCE_2_TYPE,SELL_RATES,3,FALSE)*Input_Tasks[[#This Row],[R2 After Hours]],0)</f>
        <v>0</v>
      </c>
      <c r="AS176" s="398">
        <f>IFERROR(VLOOKUP(RESOURCE_3_TYPE,SELL_RATES,2,FALSE)*Input_Tasks[[#This Row],[R3 Business Hours]],0)+IFERROR(VLOOKUP(RESOURCE_3_TYPE,SELL_RATES,3,FALSE)*Input_Tasks[[#This Row],[R3 After Hours]],0)</f>
        <v>0</v>
      </c>
      <c r="AT176" s="398">
        <f>IFERROR(VLOOKUP(RESOURCE_4_TYPE,SELL_RATES,2,FALSE)*Input_Tasks[[#This Row],[R4 Business Hours]],0)+IFERROR(VLOOKUP(RESOURCE_4_TYPE,SELL_RATES,3,FALSE)*Input_Tasks[[#This Row],[R4 After Hours]],0)</f>
        <v>0</v>
      </c>
      <c r="AU176" s="398">
        <f>IFERROR(VLOOKUP(RESOURCE_5_TYPE,SELL_RATES,2,FALSE)*Input_Tasks[[#This Row],[R5 Business Hours]],0)+IFERROR(VLOOKUP(RESOURCE_5_TYPE,SELL_RATES,3,FALSE)*Input_Tasks[[#This Row],[R5 After Hours]],0)</f>
        <v>0</v>
      </c>
      <c r="AV176" s="400">
        <f>SUM(Input_Tasks[[#This Row],[Round Trips R1]:[Round Trips R5]])</f>
        <v>0</v>
      </c>
      <c r="AW176" s="401">
        <f>SUM(Input_Tasks[[#This Row],[Overnight StaysR1]:[Overnight StaysR5]])</f>
        <v>0</v>
      </c>
      <c r="AX176" s="401">
        <f>IF(AND(Input_Tasks[[#This Row],[Sell - Line Total]]&gt;0,OR(Input_Tasks[[#This Row],[Phase]]="",Input_Tasks[[#This Row],[Skill Required]]="",Input_Tasks[[#This Row],[Task Type]]="",Input_Tasks[[#This Row],[Description]]="")),1,0)</f>
        <v>0</v>
      </c>
      <c r="AY176" s="402">
        <f>IF(AND(Input_Tasks[[#This Row],[Task Type]]="ArchiTech Document Deliverable",Input_Tasks[[#This Row],[Hours]]&gt;0),1,0)</f>
        <v>0</v>
      </c>
      <c r="AZ17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7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7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7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7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7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7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7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7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7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7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7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7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76" s="405">
        <f>SUM(Input_Tasks[[#This Row],[R1 Business Hours]:[R1 After Hours]],Input_Tasks[[#This Row],[R2 Business Hours]:[R2 After Hours]],Input_Tasks[[#This Row],[R3 Business Hours]:[R3 After Hours]],Input_Tasks[[#This Row],[R4 Business Hours]:[R4 After Hours]],Input_Tasks[[#This Row],[R5 Business Hours]:[R5 After Hours]])</f>
        <v>0</v>
      </c>
    </row>
    <row r="177" spans="1:65">
      <c r="A177" s="384"/>
      <c r="B177" s="271"/>
      <c r="C177" s="271"/>
      <c r="D177" s="406"/>
      <c r="E177" s="385">
        <f>Input_Tasks[[#This Row],[Onsite Round Trips_Hidden]]</f>
        <v>0</v>
      </c>
      <c r="F177" s="385">
        <f>Input_Tasks[[#This Row],[Overnight Stays_Hidden]]</f>
        <v>0</v>
      </c>
      <c r="G177" s="385">
        <f>Input_Tasks[[#This Row],[Documents_Hidden]]</f>
        <v>0</v>
      </c>
      <c r="H177" s="387"/>
      <c r="I177" s="388"/>
      <c r="J177" s="389"/>
      <c r="K177" s="390"/>
      <c r="L177" s="390"/>
      <c r="M177" s="389"/>
      <c r="N177" s="390"/>
      <c r="O177" s="390"/>
      <c r="P177" s="389"/>
      <c r="Q177" s="390"/>
      <c r="R177" s="391"/>
      <c r="S177" s="389"/>
      <c r="T177" s="390"/>
      <c r="U177" s="391"/>
      <c r="V177" s="389"/>
      <c r="W177" s="390"/>
      <c r="X177" s="390"/>
      <c r="Y177" s="386" t="str">
        <f>Input_Tasks[[#This Row],[Onsite Round Trips_Hidden]]&amp;"/"&amp;Input_Tasks[[#This Row],[Overnight Stays_Hidden]]&amp;"/"&amp;Input_Tasks[[#This Row],[Documents_Hidden]]</f>
        <v>0/0/0</v>
      </c>
      <c r="Z177" s="392">
        <f>Input_Tasks[[#This Row],[R1 Cost_Hidden]]</f>
        <v>0</v>
      </c>
      <c r="AA177" s="393">
        <f>Input_Tasks[[#This Row],[R2 Cost_Hidden]]</f>
        <v>0</v>
      </c>
      <c r="AB177" s="393">
        <f>Input_Tasks[[#This Row],[R3 Cost_Hidden]]</f>
        <v>0</v>
      </c>
      <c r="AC177" s="393">
        <f>Input_Tasks[[#This Row],[R4 Cost_Hidden]]</f>
        <v>0</v>
      </c>
      <c r="AD177" s="394">
        <f>Input_Tasks[[#This Row],[R5 Cost_Hidden]]</f>
        <v>0</v>
      </c>
      <c r="AE177" s="395">
        <f>SUM(Input_Tasks[[#This Row],[R1 Cost]:[R5 Cost]])</f>
        <v>0</v>
      </c>
      <c r="AF177" s="392">
        <f>Input_Tasks[[#This Row],[R1 Sell_Hidden]]</f>
        <v>0</v>
      </c>
      <c r="AG177" s="393">
        <f>Input_Tasks[[#This Row],[R2 Sell_Hidden]]</f>
        <v>0</v>
      </c>
      <c r="AH177" s="393">
        <f>Input_Tasks[[#This Row],[R3 Sell_Hidden]]</f>
        <v>0</v>
      </c>
      <c r="AI177" s="393">
        <f>Input_Tasks[[#This Row],[R4 Sell_Hidden5]]</f>
        <v>0</v>
      </c>
      <c r="AJ177" s="394">
        <f>Input_Tasks[[#This Row],[R5 Sell_Hidden]]</f>
        <v>0</v>
      </c>
      <c r="AK177" s="396">
        <f>SUM(Input_Tasks[[#This Row],[R1 Sell]:[R5 Sell]])</f>
        <v>0</v>
      </c>
      <c r="AL177" s="397">
        <f>IFERROR(VLOOKUP(RESOURCE_1_TYPE,COST_RATES,2,FALSE)*Input_Tasks[[#This Row],[R1 Business Hours]],0)+IFERROR(VLOOKUP(RESOURCE_1_TYPE,COST_RATES,3,FALSE)*Input_Tasks[[#This Row],[R1 After Hours]],0)</f>
        <v>0</v>
      </c>
      <c r="AM177" s="398">
        <f>IFERROR(VLOOKUP(RESOURCE_2_TYPE,COST_RATES,2,FALSE)*Input_Tasks[[#This Row],[R2 Business Hours]],0)+IFERROR(VLOOKUP(RESOURCE_2_TYPE,COST_RATES,3,FALSE)*Input_Tasks[[#This Row],[R2 After Hours]],0)</f>
        <v>0</v>
      </c>
      <c r="AN177" s="398">
        <f>IFERROR(VLOOKUP(RESOURCE_3_TYPE,COST_RATES,2,FALSE)*Input_Tasks[[#This Row],[R3 Business Hours]],0)+IFERROR(VLOOKUP(RESOURCE_3_TYPE,COST_RATES,3,FALSE)*Input_Tasks[[#This Row],[R3 After Hours]],0)</f>
        <v>0</v>
      </c>
      <c r="AO177" s="398">
        <f>IFERROR(VLOOKUP(RESOURCE_4_TYPE,COST_RATES,2,FALSE)*Input_Tasks[[#This Row],[R4 Business Hours]],0)+IFERROR(VLOOKUP(RESOURCE_4_TYPE,COST_RATES,3,FALSE)*Input_Tasks[[#This Row],[R4 After Hours]],0)</f>
        <v>0</v>
      </c>
      <c r="AP177" s="398">
        <f>IFERROR(VLOOKUP(RESOURCE_5_TYPE,COST_RATES,2,FALSE)*Input_Tasks[[#This Row],[R5 Business Hours]],0)+IFERROR(VLOOKUP(RESOURCE_5_TYPE,COST_RATES,3,FALSE)*Input_Tasks[[#This Row],[R5 After Hours]],0)</f>
        <v>0</v>
      </c>
      <c r="AQ177" s="399">
        <f>IFERROR(VLOOKUP(RESOURCE_1_TYPE,SELL_RATES,2,FALSE)*Input_Tasks[[#This Row],[R1 Business Hours]],0)+IFERROR(VLOOKUP(RESOURCE_1_TYPE,SELL_RATES,3,FALSE)*Input_Tasks[[#This Row],[R1 After Hours]],0)</f>
        <v>0</v>
      </c>
      <c r="AR177" s="398">
        <f>IFERROR(VLOOKUP(RESOURCE_2_TYPE,SELL_RATES,2,FALSE)*Input_Tasks[[#This Row],[R2 Business Hours]],0)+IFERROR(VLOOKUP(RESOURCE_2_TYPE,SELL_RATES,3,FALSE)*Input_Tasks[[#This Row],[R2 After Hours]],0)</f>
        <v>0</v>
      </c>
      <c r="AS177" s="398">
        <f>IFERROR(VLOOKUP(RESOURCE_3_TYPE,SELL_RATES,2,FALSE)*Input_Tasks[[#This Row],[R3 Business Hours]],0)+IFERROR(VLOOKUP(RESOURCE_3_TYPE,SELL_RATES,3,FALSE)*Input_Tasks[[#This Row],[R3 After Hours]],0)</f>
        <v>0</v>
      </c>
      <c r="AT177" s="398">
        <f>IFERROR(VLOOKUP(RESOURCE_4_TYPE,SELL_RATES,2,FALSE)*Input_Tasks[[#This Row],[R4 Business Hours]],0)+IFERROR(VLOOKUP(RESOURCE_4_TYPE,SELL_RATES,3,FALSE)*Input_Tasks[[#This Row],[R4 After Hours]],0)</f>
        <v>0</v>
      </c>
      <c r="AU177" s="398">
        <f>IFERROR(VLOOKUP(RESOURCE_5_TYPE,SELL_RATES,2,FALSE)*Input_Tasks[[#This Row],[R5 Business Hours]],0)+IFERROR(VLOOKUP(RESOURCE_5_TYPE,SELL_RATES,3,FALSE)*Input_Tasks[[#This Row],[R5 After Hours]],0)</f>
        <v>0</v>
      </c>
      <c r="AV177" s="400">
        <f>SUM(Input_Tasks[[#This Row],[Round Trips R1]:[Round Trips R5]])</f>
        <v>0</v>
      </c>
      <c r="AW177" s="401">
        <f>SUM(Input_Tasks[[#This Row],[Overnight StaysR1]:[Overnight StaysR5]])</f>
        <v>0</v>
      </c>
      <c r="AX177" s="401">
        <f>IF(AND(Input_Tasks[[#This Row],[Sell - Line Total]]&gt;0,OR(Input_Tasks[[#This Row],[Phase]]="",Input_Tasks[[#This Row],[Skill Required]]="",Input_Tasks[[#This Row],[Task Type]]="",Input_Tasks[[#This Row],[Description]]="")),1,0)</f>
        <v>0</v>
      </c>
      <c r="AY177" s="402">
        <f>IF(AND(Input_Tasks[[#This Row],[Task Type]]="ArchiTech Document Deliverable",Input_Tasks[[#This Row],[Hours]]&gt;0),1,0)</f>
        <v>0</v>
      </c>
      <c r="AZ17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7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7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7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7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7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7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7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7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7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7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7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7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77" s="405">
        <f>SUM(Input_Tasks[[#This Row],[R1 Business Hours]:[R1 After Hours]],Input_Tasks[[#This Row],[R2 Business Hours]:[R2 After Hours]],Input_Tasks[[#This Row],[R3 Business Hours]:[R3 After Hours]],Input_Tasks[[#This Row],[R4 Business Hours]:[R4 After Hours]],Input_Tasks[[#This Row],[R5 Business Hours]:[R5 After Hours]])</f>
        <v>0</v>
      </c>
    </row>
    <row r="178" spans="1:65">
      <c r="A178" s="384"/>
      <c r="B178" s="271"/>
      <c r="C178" s="271"/>
      <c r="D178" s="406"/>
      <c r="E178" s="385">
        <f>Input_Tasks[[#This Row],[Onsite Round Trips_Hidden]]</f>
        <v>0</v>
      </c>
      <c r="F178" s="385">
        <f>Input_Tasks[[#This Row],[Overnight Stays_Hidden]]</f>
        <v>0</v>
      </c>
      <c r="G178" s="385">
        <f>Input_Tasks[[#This Row],[Documents_Hidden]]</f>
        <v>0</v>
      </c>
      <c r="H178" s="387"/>
      <c r="I178" s="388"/>
      <c r="J178" s="389"/>
      <c r="K178" s="390"/>
      <c r="L178" s="390"/>
      <c r="M178" s="389"/>
      <c r="N178" s="390"/>
      <c r="O178" s="390"/>
      <c r="P178" s="389"/>
      <c r="Q178" s="390"/>
      <c r="R178" s="391"/>
      <c r="S178" s="389"/>
      <c r="T178" s="390"/>
      <c r="U178" s="391"/>
      <c r="V178" s="389"/>
      <c r="W178" s="390"/>
      <c r="X178" s="390"/>
      <c r="Y178" s="386" t="str">
        <f>Input_Tasks[[#This Row],[Onsite Round Trips_Hidden]]&amp;"/"&amp;Input_Tasks[[#This Row],[Overnight Stays_Hidden]]&amp;"/"&amp;Input_Tasks[[#This Row],[Documents_Hidden]]</f>
        <v>0/0/0</v>
      </c>
      <c r="Z178" s="392">
        <f>Input_Tasks[[#This Row],[R1 Cost_Hidden]]</f>
        <v>0</v>
      </c>
      <c r="AA178" s="393">
        <f>Input_Tasks[[#This Row],[R2 Cost_Hidden]]</f>
        <v>0</v>
      </c>
      <c r="AB178" s="393">
        <f>Input_Tasks[[#This Row],[R3 Cost_Hidden]]</f>
        <v>0</v>
      </c>
      <c r="AC178" s="393">
        <f>Input_Tasks[[#This Row],[R4 Cost_Hidden]]</f>
        <v>0</v>
      </c>
      <c r="AD178" s="394">
        <f>Input_Tasks[[#This Row],[R5 Cost_Hidden]]</f>
        <v>0</v>
      </c>
      <c r="AE178" s="395">
        <f>SUM(Input_Tasks[[#This Row],[R1 Cost]:[R5 Cost]])</f>
        <v>0</v>
      </c>
      <c r="AF178" s="392">
        <f>Input_Tasks[[#This Row],[R1 Sell_Hidden]]</f>
        <v>0</v>
      </c>
      <c r="AG178" s="393">
        <f>Input_Tasks[[#This Row],[R2 Sell_Hidden]]</f>
        <v>0</v>
      </c>
      <c r="AH178" s="393">
        <f>Input_Tasks[[#This Row],[R3 Sell_Hidden]]</f>
        <v>0</v>
      </c>
      <c r="AI178" s="393">
        <f>Input_Tasks[[#This Row],[R4 Sell_Hidden5]]</f>
        <v>0</v>
      </c>
      <c r="AJ178" s="394">
        <f>Input_Tasks[[#This Row],[R5 Sell_Hidden]]</f>
        <v>0</v>
      </c>
      <c r="AK178" s="396">
        <f>SUM(Input_Tasks[[#This Row],[R1 Sell]:[R5 Sell]])</f>
        <v>0</v>
      </c>
      <c r="AL178" s="397">
        <f>IFERROR(VLOOKUP(RESOURCE_1_TYPE,COST_RATES,2,FALSE)*Input_Tasks[[#This Row],[R1 Business Hours]],0)+IFERROR(VLOOKUP(RESOURCE_1_TYPE,COST_RATES,3,FALSE)*Input_Tasks[[#This Row],[R1 After Hours]],0)</f>
        <v>0</v>
      </c>
      <c r="AM178" s="398">
        <f>IFERROR(VLOOKUP(RESOURCE_2_TYPE,COST_RATES,2,FALSE)*Input_Tasks[[#This Row],[R2 Business Hours]],0)+IFERROR(VLOOKUP(RESOURCE_2_TYPE,COST_RATES,3,FALSE)*Input_Tasks[[#This Row],[R2 After Hours]],0)</f>
        <v>0</v>
      </c>
      <c r="AN178" s="398">
        <f>IFERROR(VLOOKUP(RESOURCE_3_TYPE,COST_RATES,2,FALSE)*Input_Tasks[[#This Row],[R3 Business Hours]],0)+IFERROR(VLOOKUP(RESOURCE_3_TYPE,COST_RATES,3,FALSE)*Input_Tasks[[#This Row],[R3 After Hours]],0)</f>
        <v>0</v>
      </c>
      <c r="AO178" s="398">
        <f>IFERROR(VLOOKUP(RESOURCE_4_TYPE,COST_RATES,2,FALSE)*Input_Tasks[[#This Row],[R4 Business Hours]],0)+IFERROR(VLOOKUP(RESOURCE_4_TYPE,COST_RATES,3,FALSE)*Input_Tasks[[#This Row],[R4 After Hours]],0)</f>
        <v>0</v>
      </c>
      <c r="AP178" s="398">
        <f>IFERROR(VLOOKUP(RESOURCE_5_TYPE,COST_RATES,2,FALSE)*Input_Tasks[[#This Row],[R5 Business Hours]],0)+IFERROR(VLOOKUP(RESOURCE_5_TYPE,COST_RATES,3,FALSE)*Input_Tasks[[#This Row],[R5 After Hours]],0)</f>
        <v>0</v>
      </c>
      <c r="AQ178" s="399">
        <f>IFERROR(VLOOKUP(RESOURCE_1_TYPE,SELL_RATES,2,FALSE)*Input_Tasks[[#This Row],[R1 Business Hours]],0)+IFERROR(VLOOKUP(RESOURCE_1_TYPE,SELL_RATES,3,FALSE)*Input_Tasks[[#This Row],[R1 After Hours]],0)</f>
        <v>0</v>
      </c>
      <c r="AR178" s="398">
        <f>IFERROR(VLOOKUP(RESOURCE_2_TYPE,SELL_RATES,2,FALSE)*Input_Tasks[[#This Row],[R2 Business Hours]],0)+IFERROR(VLOOKUP(RESOURCE_2_TYPE,SELL_RATES,3,FALSE)*Input_Tasks[[#This Row],[R2 After Hours]],0)</f>
        <v>0</v>
      </c>
      <c r="AS178" s="398">
        <f>IFERROR(VLOOKUP(RESOURCE_3_TYPE,SELL_RATES,2,FALSE)*Input_Tasks[[#This Row],[R3 Business Hours]],0)+IFERROR(VLOOKUP(RESOURCE_3_TYPE,SELL_RATES,3,FALSE)*Input_Tasks[[#This Row],[R3 After Hours]],0)</f>
        <v>0</v>
      </c>
      <c r="AT178" s="398">
        <f>IFERROR(VLOOKUP(RESOURCE_4_TYPE,SELL_RATES,2,FALSE)*Input_Tasks[[#This Row],[R4 Business Hours]],0)+IFERROR(VLOOKUP(RESOURCE_4_TYPE,SELL_RATES,3,FALSE)*Input_Tasks[[#This Row],[R4 After Hours]],0)</f>
        <v>0</v>
      </c>
      <c r="AU178" s="398">
        <f>IFERROR(VLOOKUP(RESOURCE_5_TYPE,SELL_RATES,2,FALSE)*Input_Tasks[[#This Row],[R5 Business Hours]],0)+IFERROR(VLOOKUP(RESOURCE_5_TYPE,SELL_RATES,3,FALSE)*Input_Tasks[[#This Row],[R5 After Hours]],0)</f>
        <v>0</v>
      </c>
      <c r="AV178" s="400">
        <f>SUM(Input_Tasks[[#This Row],[Round Trips R1]:[Round Trips R5]])</f>
        <v>0</v>
      </c>
      <c r="AW178" s="401">
        <f>SUM(Input_Tasks[[#This Row],[Overnight StaysR1]:[Overnight StaysR5]])</f>
        <v>0</v>
      </c>
      <c r="AX178" s="401">
        <f>IF(AND(Input_Tasks[[#This Row],[Sell - Line Total]]&gt;0,OR(Input_Tasks[[#This Row],[Phase]]="",Input_Tasks[[#This Row],[Skill Required]]="",Input_Tasks[[#This Row],[Task Type]]="",Input_Tasks[[#This Row],[Description]]="")),1,0)</f>
        <v>0</v>
      </c>
      <c r="AY178" s="402">
        <f>IF(AND(Input_Tasks[[#This Row],[Task Type]]="ArchiTech Document Deliverable",Input_Tasks[[#This Row],[Hours]]&gt;0),1,0)</f>
        <v>0</v>
      </c>
      <c r="AZ17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7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7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7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7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7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7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7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7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7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7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7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7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78" s="405">
        <f>SUM(Input_Tasks[[#This Row],[R1 Business Hours]:[R1 After Hours]],Input_Tasks[[#This Row],[R2 Business Hours]:[R2 After Hours]],Input_Tasks[[#This Row],[R3 Business Hours]:[R3 After Hours]],Input_Tasks[[#This Row],[R4 Business Hours]:[R4 After Hours]],Input_Tasks[[#This Row],[R5 Business Hours]:[R5 After Hours]])</f>
        <v>0</v>
      </c>
    </row>
    <row r="179" spans="1:65">
      <c r="A179" s="384"/>
      <c r="B179" s="271"/>
      <c r="C179" s="271"/>
      <c r="D179" s="406"/>
      <c r="E179" s="385">
        <f>Input_Tasks[[#This Row],[Onsite Round Trips_Hidden]]</f>
        <v>0</v>
      </c>
      <c r="F179" s="385">
        <f>Input_Tasks[[#This Row],[Overnight Stays_Hidden]]</f>
        <v>0</v>
      </c>
      <c r="G179" s="385">
        <f>Input_Tasks[[#This Row],[Documents_Hidden]]</f>
        <v>0</v>
      </c>
      <c r="H179" s="387"/>
      <c r="I179" s="388"/>
      <c r="J179" s="389"/>
      <c r="K179" s="390"/>
      <c r="L179" s="390"/>
      <c r="M179" s="389"/>
      <c r="N179" s="390"/>
      <c r="O179" s="390"/>
      <c r="P179" s="389"/>
      <c r="Q179" s="390"/>
      <c r="R179" s="391"/>
      <c r="S179" s="389"/>
      <c r="T179" s="390"/>
      <c r="U179" s="391"/>
      <c r="V179" s="389"/>
      <c r="W179" s="390"/>
      <c r="X179" s="390"/>
      <c r="Y179" s="386" t="str">
        <f>Input_Tasks[[#This Row],[Onsite Round Trips_Hidden]]&amp;"/"&amp;Input_Tasks[[#This Row],[Overnight Stays_Hidden]]&amp;"/"&amp;Input_Tasks[[#This Row],[Documents_Hidden]]</f>
        <v>0/0/0</v>
      </c>
      <c r="Z179" s="392">
        <f>Input_Tasks[[#This Row],[R1 Cost_Hidden]]</f>
        <v>0</v>
      </c>
      <c r="AA179" s="393">
        <f>Input_Tasks[[#This Row],[R2 Cost_Hidden]]</f>
        <v>0</v>
      </c>
      <c r="AB179" s="393">
        <f>Input_Tasks[[#This Row],[R3 Cost_Hidden]]</f>
        <v>0</v>
      </c>
      <c r="AC179" s="393">
        <f>Input_Tasks[[#This Row],[R4 Cost_Hidden]]</f>
        <v>0</v>
      </c>
      <c r="AD179" s="394">
        <f>Input_Tasks[[#This Row],[R5 Cost_Hidden]]</f>
        <v>0</v>
      </c>
      <c r="AE179" s="395">
        <f>SUM(Input_Tasks[[#This Row],[R1 Cost]:[R5 Cost]])</f>
        <v>0</v>
      </c>
      <c r="AF179" s="392">
        <f>Input_Tasks[[#This Row],[R1 Sell_Hidden]]</f>
        <v>0</v>
      </c>
      <c r="AG179" s="393">
        <f>Input_Tasks[[#This Row],[R2 Sell_Hidden]]</f>
        <v>0</v>
      </c>
      <c r="AH179" s="393">
        <f>Input_Tasks[[#This Row],[R3 Sell_Hidden]]</f>
        <v>0</v>
      </c>
      <c r="AI179" s="393">
        <f>Input_Tasks[[#This Row],[R4 Sell_Hidden5]]</f>
        <v>0</v>
      </c>
      <c r="AJ179" s="394">
        <f>Input_Tasks[[#This Row],[R5 Sell_Hidden]]</f>
        <v>0</v>
      </c>
      <c r="AK179" s="396">
        <f>SUM(Input_Tasks[[#This Row],[R1 Sell]:[R5 Sell]])</f>
        <v>0</v>
      </c>
      <c r="AL179" s="397">
        <f>IFERROR(VLOOKUP(RESOURCE_1_TYPE,COST_RATES,2,FALSE)*Input_Tasks[[#This Row],[R1 Business Hours]],0)+IFERROR(VLOOKUP(RESOURCE_1_TYPE,COST_RATES,3,FALSE)*Input_Tasks[[#This Row],[R1 After Hours]],0)</f>
        <v>0</v>
      </c>
      <c r="AM179" s="398">
        <f>IFERROR(VLOOKUP(RESOURCE_2_TYPE,COST_RATES,2,FALSE)*Input_Tasks[[#This Row],[R2 Business Hours]],0)+IFERROR(VLOOKUP(RESOURCE_2_TYPE,COST_RATES,3,FALSE)*Input_Tasks[[#This Row],[R2 After Hours]],0)</f>
        <v>0</v>
      </c>
      <c r="AN179" s="398">
        <f>IFERROR(VLOOKUP(RESOURCE_3_TYPE,COST_RATES,2,FALSE)*Input_Tasks[[#This Row],[R3 Business Hours]],0)+IFERROR(VLOOKUP(RESOURCE_3_TYPE,COST_RATES,3,FALSE)*Input_Tasks[[#This Row],[R3 After Hours]],0)</f>
        <v>0</v>
      </c>
      <c r="AO179" s="398">
        <f>IFERROR(VLOOKUP(RESOURCE_4_TYPE,COST_RATES,2,FALSE)*Input_Tasks[[#This Row],[R4 Business Hours]],0)+IFERROR(VLOOKUP(RESOURCE_4_TYPE,COST_RATES,3,FALSE)*Input_Tasks[[#This Row],[R4 After Hours]],0)</f>
        <v>0</v>
      </c>
      <c r="AP179" s="398">
        <f>IFERROR(VLOOKUP(RESOURCE_5_TYPE,COST_RATES,2,FALSE)*Input_Tasks[[#This Row],[R5 Business Hours]],0)+IFERROR(VLOOKUP(RESOURCE_5_TYPE,COST_RATES,3,FALSE)*Input_Tasks[[#This Row],[R5 After Hours]],0)</f>
        <v>0</v>
      </c>
      <c r="AQ179" s="399">
        <f>IFERROR(VLOOKUP(RESOURCE_1_TYPE,SELL_RATES,2,FALSE)*Input_Tasks[[#This Row],[R1 Business Hours]],0)+IFERROR(VLOOKUP(RESOURCE_1_TYPE,SELL_RATES,3,FALSE)*Input_Tasks[[#This Row],[R1 After Hours]],0)</f>
        <v>0</v>
      </c>
      <c r="AR179" s="398">
        <f>IFERROR(VLOOKUP(RESOURCE_2_TYPE,SELL_RATES,2,FALSE)*Input_Tasks[[#This Row],[R2 Business Hours]],0)+IFERROR(VLOOKUP(RESOURCE_2_TYPE,SELL_RATES,3,FALSE)*Input_Tasks[[#This Row],[R2 After Hours]],0)</f>
        <v>0</v>
      </c>
      <c r="AS179" s="398">
        <f>IFERROR(VLOOKUP(RESOURCE_3_TYPE,SELL_RATES,2,FALSE)*Input_Tasks[[#This Row],[R3 Business Hours]],0)+IFERROR(VLOOKUP(RESOURCE_3_TYPE,SELL_RATES,3,FALSE)*Input_Tasks[[#This Row],[R3 After Hours]],0)</f>
        <v>0</v>
      </c>
      <c r="AT179" s="398">
        <f>IFERROR(VLOOKUP(RESOURCE_4_TYPE,SELL_RATES,2,FALSE)*Input_Tasks[[#This Row],[R4 Business Hours]],0)+IFERROR(VLOOKUP(RESOURCE_4_TYPE,SELL_RATES,3,FALSE)*Input_Tasks[[#This Row],[R4 After Hours]],0)</f>
        <v>0</v>
      </c>
      <c r="AU179" s="398">
        <f>IFERROR(VLOOKUP(RESOURCE_5_TYPE,SELL_RATES,2,FALSE)*Input_Tasks[[#This Row],[R5 Business Hours]],0)+IFERROR(VLOOKUP(RESOURCE_5_TYPE,SELL_RATES,3,FALSE)*Input_Tasks[[#This Row],[R5 After Hours]],0)</f>
        <v>0</v>
      </c>
      <c r="AV179" s="400">
        <f>SUM(Input_Tasks[[#This Row],[Round Trips R1]:[Round Trips R5]])</f>
        <v>0</v>
      </c>
      <c r="AW179" s="401">
        <f>SUM(Input_Tasks[[#This Row],[Overnight StaysR1]:[Overnight StaysR5]])</f>
        <v>0</v>
      </c>
      <c r="AX179" s="401">
        <f>IF(AND(Input_Tasks[[#This Row],[Sell - Line Total]]&gt;0,OR(Input_Tasks[[#This Row],[Phase]]="",Input_Tasks[[#This Row],[Skill Required]]="",Input_Tasks[[#This Row],[Task Type]]="",Input_Tasks[[#This Row],[Description]]="")),1,0)</f>
        <v>0</v>
      </c>
      <c r="AY179" s="402">
        <f>IF(AND(Input_Tasks[[#This Row],[Task Type]]="ArchiTech Document Deliverable",Input_Tasks[[#This Row],[Hours]]&gt;0),1,0)</f>
        <v>0</v>
      </c>
      <c r="AZ17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7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7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7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7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7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7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7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7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7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7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7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7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79" s="405">
        <f>SUM(Input_Tasks[[#This Row],[R1 Business Hours]:[R1 After Hours]],Input_Tasks[[#This Row],[R2 Business Hours]:[R2 After Hours]],Input_Tasks[[#This Row],[R3 Business Hours]:[R3 After Hours]],Input_Tasks[[#This Row],[R4 Business Hours]:[R4 After Hours]],Input_Tasks[[#This Row],[R5 Business Hours]:[R5 After Hours]])</f>
        <v>0</v>
      </c>
    </row>
    <row r="180" spans="1:65">
      <c r="A180" s="384"/>
      <c r="B180" s="271"/>
      <c r="C180" s="271"/>
      <c r="D180" s="406"/>
      <c r="E180" s="385">
        <f>Input_Tasks[[#This Row],[Onsite Round Trips_Hidden]]</f>
        <v>0</v>
      </c>
      <c r="F180" s="385">
        <f>Input_Tasks[[#This Row],[Overnight Stays_Hidden]]</f>
        <v>0</v>
      </c>
      <c r="G180" s="385">
        <f>Input_Tasks[[#This Row],[Documents_Hidden]]</f>
        <v>0</v>
      </c>
      <c r="H180" s="387"/>
      <c r="I180" s="388"/>
      <c r="J180" s="389"/>
      <c r="K180" s="390"/>
      <c r="L180" s="390"/>
      <c r="M180" s="389"/>
      <c r="N180" s="390"/>
      <c r="O180" s="390"/>
      <c r="P180" s="389"/>
      <c r="Q180" s="390"/>
      <c r="R180" s="391"/>
      <c r="S180" s="389"/>
      <c r="T180" s="390"/>
      <c r="U180" s="391"/>
      <c r="V180" s="389"/>
      <c r="W180" s="390"/>
      <c r="X180" s="390"/>
      <c r="Y180" s="386" t="str">
        <f>Input_Tasks[[#This Row],[Onsite Round Trips_Hidden]]&amp;"/"&amp;Input_Tasks[[#This Row],[Overnight Stays_Hidden]]&amp;"/"&amp;Input_Tasks[[#This Row],[Documents_Hidden]]</f>
        <v>0/0/0</v>
      </c>
      <c r="Z180" s="392">
        <f>Input_Tasks[[#This Row],[R1 Cost_Hidden]]</f>
        <v>0</v>
      </c>
      <c r="AA180" s="393">
        <f>Input_Tasks[[#This Row],[R2 Cost_Hidden]]</f>
        <v>0</v>
      </c>
      <c r="AB180" s="393">
        <f>Input_Tasks[[#This Row],[R3 Cost_Hidden]]</f>
        <v>0</v>
      </c>
      <c r="AC180" s="393">
        <f>Input_Tasks[[#This Row],[R4 Cost_Hidden]]</f>
        <v>0</v>
      </c>
      <c r="AD180" s="394">
        <f>Input_Tasks[[#This Row],[R5 Cost_Hidden]]</f>
        <v>0</v>
      </c>
      <c r="AE180" s="395">
        <f>SUM(Input_Tasks[[#This Row],[R1 Cost]:[R5 Cost]])</f>
        <v>0</v>
      </c>
      <c r="AF180" s="392">
        <f>Input_Tasks[[#This Row],[R1 Sell_Hidden]]</f>
        <v>0</v>
      </c>
      <c r="AG180" s="393">
        <f>Input_Tasks[[#This Row],[R2 Sell_Hidden]]</f>
        <v>0</v>
      </c>
      <c r="AH180" s="393">
        <f>Input_Tasks[[#This Row],[R3 Sell_Hidden]]</f>
        <v>0</v>
      </c>
      <c r="AI180" s="393">
        <f>Input_Tasks[[#This Row],[R4 Sell_Hidden5]]</f>
        <v>0</v>
      </c>
      <c r="AJ180" s="394">
        <f>Input_Tasks[[#This Row],[R5 Sell_Hidden]]</f>
        <v>0</v>
      </c>
      <c r="AK180" s="396">
        <f>SUM(Input_Tasks[[#This Row],[R1 Sell]:[R5 Sell]])</f>
        <v>0</v>
      </c>
      <c r="AL180" s="397">
        <f>IFERROR(VLOOKUP(RESOURCE_1_TYPE,COST_RATES,2,FALSE)*Input_Tasks[[#This Row],[R1 Business Hours]],0)+IFERROR(VLOOKUP(RESOURCE_1_TYPE,COST_RATES,3,FALSE)*Input_Tasks[[#This Row],[R1 After Hours]],0)</f>
        <v>0</v>
      </c>
      <c r="AM180" s="398">
        <f>IFERROR(VLOOKUP(RESOURCE_2_TYPE,COST_RATES,2,FALSE)*Input_Tasks[[#This Row],[R2 Business Hours]],0)+IFERROR(VLOOKUP(RESOURCE_2_TYPE,COST_RATES,3,FALSE)*Input_Tasks[[#This Row],[R2 After Hours]],0)</f>
        <v>0</v>
      </c>
      <c r="AN180" s="398">
        <f>IFERROR(VLOOKUP(RESOURCE_3_TYPE,COST_RATES,2,FALSE)*Input_Tasks[[#This Row],[R3 Business Hours]],0)+IFERROR(VLOOKUP(RESOURCE_3_TYPE,COST_RATES,3,FALSE)*Input_Tasks[[#This Row],[R3 After Hours]],0)</f>
        <v>0</v>
      </c>
      <c r="AO180" s="398">
        <f>IFERROR(VLOOKUP(RESOURCE_4_TYPE,COST_RATES,2,FALSE)*Input_Tasks[[#This Row],[R4 Business Hours]],0)+IFERROR(VLOOKUP(RESOURCE_4_TYPE,COST_RATES,3,FALSE)*Input_Tasks[[#This Row],[R4 After Hours]],0)</f>
        <v>0</v>
      </c>
      <c r="AP180" s="398">
        <f>IFERROR(VLOOKUP(RESOURCE_5_TYPE,COST_RATES,2,FALSE)*Input_Tasks[[#This Row],[R5 Business Hours]],0)+IFERROR(VLOOKUP(RESOURCE_5_TYPE,COST_RATES,3,FALSE)*Input_Tasks[[#This Row],[R5 After Hours]],0)</f>
        <v>0</v>
      </c>
      <c r="AQ180" s="399">
        <f>IFERROR(VLOOKUP(RESOURCE_1_TYPE,SELL_RATES,2,FALSE)*Input_Tasks[[#This Row],[R1 Business Hours]],0)+IFERROR(VLOOKUP(RESOURCE_1_TYPE,SELL_RATES,3,FALSE)*Input_Tasks[[#This Row],[R1 After Hours]],0)</f>
        <v>0</v>
      </c>
      <c r="AR180" s="398">
        <f>IFERROR(VLOOKUP(RESOURCE_2_TYPE,SELL_RATES,2,FALSE)*Input_Tasks[[#This Row],[R2 Business Hours]],0)+IFERROR(VLOOKUP(RESOURCE_2_TYPE,SELL_RATES,3,FALSE)*Input_Tasks[[#This Row],[R2 After Hours]],0)</f>
        <v>0</v>
      </c>
      <c r="AS180" s="398">
        <f>IFERROR(VLOOKUP(RESOURCE_3_TYPE,SELL_RATES,2,FALSE)*Input_Tasks[[#This Row],[R3 Business Hours]],0)+IFERROR(VLOOKUP(RESOURCE_3_TYPE,SELL_RATES,3,FALSE)*Input_Tasks[[#This Row],[R3 After Hours]],0)</f>
        <v>0</v>
      </c>
      <c r="AT180" s="398">
        <f>IFERROR(VLOOKUP(RESOURCE_4_TYPE,SELL_RATES,2,FALSE)*Input_Tasks[[#This Row],[R4 Business Hours]],0)+IFERROR(VLOOKUP(RESOURCE_4_TYPE,SELL_RATES,3,FALSE)*Input_Tasks[[#This Row],[R4 After Hours]],0)</f>
        <v>0</v>
      </c>
      <c r="AU180" s="398">
        <f>IFERROR(VLOOKUP(RESOURCE_5_TYPE,SELL_RATES,2,FALSE)*Input_Tasks[[#This Row],[R5 Business Hours]],0)+IFERROR(VLOOKUP(RESOURCE_5_TYPE,SELL_RATES,3,FALSE)*Input_Tasks[[#This Row],[R5 After Hours]],0)</f>
        <v>0</v>
      </c>
      <c r="AV180" s="400">
        <f>SUM(Input_Tasks[[#This Row],[Round Trips R1]:[Round Trips R5]])</f>
        <v>0</v>
      </c>
      <c r="AW180" s="401">
        <f>SUM(Input_Tasks[[#This Row],[Overnight StaysR1]:[Overnight StaysR5]])</f>
        <v>0</v>
      </c>
      <c r="AX180" s="401">
        <f>IF(AND(Input_Tasks[[#This Row],[Sell - Line Total]]&gt;0,OR(Input_Tasks[[#This Row],[Phase]]="",Input_Tasks[[#This Row],[Skill Required]]="",Input_Tasks[[#This Row],[Task Type]]="",Input_Tasks[[#This Row],[Description]]="")),1,0)</f>
        <v>0</v>
      </c>
      <c r="AY180" s="402">
        <f>IF(AND(Input_Tasks[[#This Row],[Task Type]]="ArchiTech Document Deliverable",Input_Tasks[[#This Row],[Hours]]&gt;0),1,0)</f>
        <v>0</v>
      </c>
      <c r="AZ18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8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8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8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8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8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8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8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8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8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8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8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8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80" s="405">
        <f>SUM(Input_Tasks[[#This Row],[R1 Business Hours]:[R1 After Hours]],Input_Tasks[[#This Row],[R2 Business Hours]:[R2 After Hours]],Input_Tasks[[#This Row],[R3 Business Hours]:[R3 After Hours]],Input_Tasks[[#This Row],[R4 Business Hours]:[R4 After Hours]],Input_Tasks[[#This Row],[R5 Business Hours]:[R5 After Hours]])</f>
        <v>0</v>
      </c>
    </row>
    <row r="181" spans="1:65">
      <c r="A181" s="384"/>
      <c r="B181" s="271"/>
      <c r="C181" s="271"/>
      <c r="D181" s="406"/>
      <c r="E181" s="385">
        <f>Input_Tasks[[#This Row],[Onsite Round Trips_Hidden]]</f>
        <v>0</v>
      </c>
      <c r="F181" s="385">
        <f>Input_Tasks[[#This Row],[Overnight Stays_Hidden]]</f>
        <v>0</v>
      </c>
      <c r="G181" s="385">
        <f>Input_Tasks[[#This Row],[Documents_Hidden]]</f>
        <v>0</v>
      </c>
      <c r="H181" s="387"/>
      <c r="I181" s="388"/>
      <c r="J181" s="389"/>
      <c r="K181" s="390"/>
      <c r="L181" s="390"/>
      <c r="M181" s="389"/>
      <c r="N181" s="390"/>
      <c r="O181" s="390"/>
      <c r="P181" s="389"/>
      <c r="Q181" s="390"/>
      <c r="R181" s="391"/>
      <c r="S181" s="389"/>
      <c r="T181" s="390"/>
      <c r="U181" s="391"/>
      <c r="V181" s="389"/>
      <c r="W181" s="390"/>
      <c r="X181" s="390"/>
      <c r="Y181" s="386" t="str">
        <f>Input_Tasks[[#This Row],[Onsite Round Trips_Hidden]]&amp;"/"&amp;Input_Tasks[[#This Row],[Overnight Stays_Hidden]]&amp;"/"&amp;Input_Tasks[[#This Row],[Documents_Hidden]]</f>
        <v>0/0/0</v>
      </c>
      <c r="Z181" s="392">
        <f>Input_Tasks[[#This Row],[R1 Cost_Hidden]]</f>
        <v>0</v>
      </c>
      <c r="AA181" s="393">
        <f>Input_Tasks[[#This Row],[R2 Cost_Hidden]]</f>
        <v>0</v>
      </c>
      <c r="AB181" s="393">
        <f>Input_Tasks[[#This Row],[R3 Cost_Hidden]]</f>
        <v>0</v>
      </c>
      <c r="AC181" s="393">
        <f>Input_Tasks[[#This Row],[R4 Cost_Hidden]]</f>
        <v>0</v>
      </c>
      <c r="AD181" s="394">
        <f>Input_Tasks[[#This Row],[R5 Cost_Hidden]]</f>
        <v>0</v>
      </c>
      <c r="AE181" s="395">
        <f>SUM(Input_Tasks[[#This Row],[R1 Cost]:[R5 Cost]])</f>
        <v>0</v>
      </c>
      <c r="AF181" s="392">
        <f>Input_Tasks[[#This Row],[R1 Sell_Hidden]]</f>
        <v>0</v>
      </c>
      <c r="AG181" s="393">
        <f>Input_Tasks[[#This Row],[R2 Sell_Hidden]]</f>
        <v>0</v>
      </c>
      <c r="AH181" s="393">
        <f>Input_Tasks[[#This Row],[R3 Sell_Hidden]]</f>
        <v>0</v>
      </c>
      <c r="AI181" s="393">
        <f>Input_Tasks[[#This Row],[R4 Sell_Hidden5]]</f>
        <v>0</v>
      </c>
      <c r="AJ181" s="394">
        <f>Input_Tasks[[#This Row],[R5 Sell_Hidden]]</f>
        <v>0</v>
      </c>
      <c r="AK181" s="396">
        <f>SUM(Input_Tasks[[#This Row],[R1 Sell]:[R5 Sell]])</f>
        <v>0</v>
      </c>
      <c r="AL181" s="397">
        <f>IFERROR(VLOOKUP(RESOURCE_1_TYPE,COST_RATES,2,FALSE)*Input_Tasks[[#This Row],[R1 Business Hours]],0)+IFERROR(VLOOKUP(RESOURCE_1_TYPE,COST_RATES,3,FALSE)*Input_Tasks[[#This Row],[R1 After Hours]],0)</f>
        <v>0</v>
      </c>
      <c r="AM181" s="398">
        <f>IFERROR(VLOOKUP(RESOURCE_2_TYPE,COST_RATES,2,FALSE)*Input_Tasks[[#This Row],[R2 Business Hours]],0)+IFERROR(VLOOKUP(RESOURCE_2_TYPE,COST_RATES,3,FALSE)*Input_Tasks[[#This Row],[R2 After Hours]],0)</f>
        <v>0</v>
      </c>
      <c r="AN181" s="398">
        <f>IFERROR(VLOOKUP(RESOURCE_3_TYPE,COST_RATES,2,FALSE)*Input_Tasks[[#This Row],[R3 Business Hours]],0)+IFERROR(VLOOKUP(RESOURCE_3_TYPE,COST_RATES,3,FALSE)*Input_Tasks[[#This Row],[R3 After Hours]],0)</f>
        <v>0</v>
      </c>
      <c r="AO181" s="398">
        <f>IFERROR(VLOOKUP(RESOURCE_4_TYPE,COST_RATES,2,FALSE)*Input_Tasks[[#This Row],[R4 Business Hours]],0)+IFERROR(VLOOKUP(RESOURCE_4_TYPE,COST_RATES,3,FALSE)*Input_Tasks[[#This Row],[R4 After Hours]],0)</f>
        <v>0</v>
      </c>
      <c r="AP181" s="398">
        <f>IFERROR(VLOOKUP(RESOURCE_5_TYPE,COST_RATES,2,FALSE)*Input_Tasks[[#This Row],[R5 Business Hours]],0)+IFERROR(VLOOKUP(RESOURCE_5_TYPE,COST_RATES,3,FALSE)*Input_Tasks[[#This Row],[R5 After Hours]],0)</f>
        <v>0</v>
      </c>
      <c r="AQ181" s="399">
        <f>IFERROR(VLOOKUP(RESOURCE_1_TYPE,SELL_RATES,2,FALSE)*Input_Tasks[[#This Row],[R1 Business Hours]],0)+IFERROR(VLOOKUP(RESOURCE_1_TYPE,SELL_RATES,3,FALSE)*Input_Tasks[[#This Row],[R1 After Hours]],0)</f>
        <v>0</v>
      </c>
      <c r="AR181" s="398">
        <f>IFERROR(VLOOKUP(RESOURCE_2_TYPE,SELL_RATES,2,FALSE)*Input_Tasks[[#This Row],[R2 Business Hours]],0)+IFERROR(VLOOKUP(RESOURCE_2_TYPE,SELL_RATES,3,FALSE)*Input_Tasks[[#This Row],[R2 After Hours]],0)</f>
        <v>0</v>
      </c>
      <c r="AS181" s="398">
        <f>IFERROR(VLOOKUP(RESOURCE_3_TYPE,SELL_RATES,2,FALSE)*Input_Tasks[[#This Row],[R3 Business Hours]],0)+IFERROR(VLOOKUP(RESOURCE_3_TYPE,SELL_RATES,3,FALSE)*Input_Tasks[[#This Row],[R3 After Hours]],0)</f>
        <v>0</v>
      </c>
      <c r="AT181" s="398">
        <f>IFERROR(VLOOKUP(RESOURCE_4_TYPE,SELL_RATES,2,FALSE)*Input_Tasks[[#This Row],[R4 Business Hours]],0)+IFERROR(VLOOKUP(RESOURCE_4_TYPE,SELL_RATES,3,FALSE)*Input_Tasks[[#This Row],[R4 After Hours]],0)</f>
        <v>0</v>
      </c>
      <c r="AU181" s="398">
        <f>IFERROR(VLOOKUP(RESOURCE_5_TYPE,SELL_RATES,2,FALSE)*Input_Tasks[[#This Row],[R5 Business Hours]],0)+IFERROR(VLOOKUP(RESOURCE_5_TYPE,SELL_RATES,3,FALSE)*Input_Tasks[[#This Row],[R5 After Hours]],0)</f>
        <v>0</v>
      </c>
      <c r="AV181" s="400">
        <f>SUM(Input_Tasks[[#This Row],[Round Trips R1]:[Round Trips R5]])</f>
        <v>0</v>
      </c>
      <c r="AW181" s="401">
        <f>SUM(Input_Tasks[[#This Row],[Overnight StaysR1]:[Overnight StaysR5]])</f>
        <v>0</v>
      </c>
      <c r="AX181" s="401">
        <f>IF(AND(Input_Tasks[[#This Row],[Sell - Line Total]]&gt;0,OR(Input_Tasks[[#This Row],[Phase]]="",Input_Tasks[[#This Row],[Skill Required]]="",Input_Tasks[[#This Row],[Task Type]]="",Input_Tasks[[#This Row],[Description]]="")),1,0)</f>
        <v>0</v>
      </c>
      <c r="AY181" s="402">
        <f>IF(AND(Input_Tasks[[#This Row],[Task Type]]="ArchiTech Document Deliverable",Input_Tasks[[#This Row],[Hours]]&gt;0),1,0)</f>
        <v>0</v>
      </c>
      <c r="AZ18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8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8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8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8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8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8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8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8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8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8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8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8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81" s="405">
        <f>SUM(Input_Tasks[[#This Row],[R1 Business Hours]:[R1 After Hours]],Input_Tasks[[#This Row],[R2 Business Hours]:[R2 After Hours]],Input_Tasks[[#This Row],[R3 Business Hours]:[R3 After Hours]],Input_Tasks[[#This Row],[R4 Business Hours]:[R4 After Hours]],Input_Tasks[[#This Row],[R5 Business Hours]:[R5 After Hours]])</f>
        <v>0</v>
      </c>
    </row>
    <row r="182" spans="1:65">
      <c r="A182" s="384"/>
      <c r="B182" s="271"/>
      <c r="C182" s="271"/>
      <c r="D182" s="406"/>
      <c r="E182" s="385">
        <f>Input_Tasks[[#This Row],[Onsite Round Trips_Hidden]]</f>
        <v>0</v>
      </c>
      <c r="F182" s="385">
        <f>Input_Tasks[[#This Row],[Overnight Stays_Hidden]]</f>
        <v>0</v>
      </c>
      <c r="G182" s="385">
        <f>Input_Tasks[[#This Row],[Documents_Hidden]]</f>
        <v>0</v>
      </c>
      <c r="H182" s="387"/>
      <c r="I182" s="388"/>
      <c r="J182" s="389"/>
      <c r="K182" s="390"/>
      <c r="L182" s="390"/>
      <c r="M182" s="389"/>
      <c r="N182" s="390"/>
      <c r="O182" s="390"/>
      <c r="P182" s="389"/>
      <c r="Q182" s="390"/>
      <c r="R182" s="391"/>
      <c r="S182" s="389"/>
      <c r="T182" s="390"/>
      <c r="U182" s="391"/>
      <c r="V182" s="389"/>
      <c r="W182" s="390"/>
      <c r="X182" s="390"/>
      <c r="Y182" s="386" t="str">
        <f>Input_Tasks[[#This Row],[Onsite Round Trips_Hidden]]&amp;"/"&amp;Input_Tasks[[#This Row],[Overnight Stays_Hidden]]&amp;"/"&amp;Input_Tasks[[#This Row],[Documents_Hidden]]</f>
        <v>0/0/0</v>
      </c>
      <c r="Z182" s="392">
        <f>Input_Tasks[[#This Row],[R1 Cost_Hidden]]</f>
        <v>0</v>
      </c>
      <c r="AA182" s="393">
        <f>Input_Tasks[[#This Row],[R2 Cost_Hidden]]</f>
        <v>0</v>
      </c>
      <c r="AB182" s="393">
        <f>Input_Tasks[[#This Row],[R3 Cost_Hidden]]</f>
        <v>0</v>
      </c>
      <c r="AC182" s="393">
        <f>Input_Tasks[[#This Row],[R4 Cost_Hidden]]</f>
        <v>0</v>
      </c>
      <c r="AD182" s="394">
        <f>Input_Tasks[[#This Row],[R5 Cost_Hidden]]</f>
        <v>0</v>
      </c>
      <c r="AE182" s="395">
        <f>SUM(Input_Tasks[[#This Row],[R1 Cost]:[R5 Cost]])</f>
        <v>0</v>
      </c>
      <c r="AF182" s="392">
        <f>Input_Tasks[[#This Row],[R1 Sell_Hidden]]</f>
        <v>0</v>
      </c>
      <c r="AG182" s="393">
        <f>Input_Tasks[[#This Row],[R2 Sell_Hidden]]</f>
        <v>0</v>
      </c>
      <c r="AH182" s="393">
        <f>Input_Tasks[[#This Row],[R3 Sell_Hidden]]</f>
        <v>0</v>
      </c>
      <c r="AI182" s="393">
        <f>Input_Tasks[[#This Row],[R4 Sell_Hidden5]]</f>
        <v>0</v>
      </c>
      <c r="AJ182" s="394">
        <f>Input_Tasks[[#This Row],[R5 Sell_Hidden]]</f>
        <v>0</v>
      </c>
      <c r="AK182" s="396">
        <f>SUM(Input_Tasks[[#This Row],[R1 Sell]:[R5 Sell]])</f>
        <v>0</v>
      </c>
      <c r="AL182" s="397">
        <f>IFERROR(VLOOKUP(RESOURCE_1_TYPE,COST_RATES,2,FALSE)*Input_Tasks[[#This Row],[R1 Business Hours]],0)+IFERROR(VLOOKUP(RESOURCE_1_TYPE,COST_RATES,3,FALSE)*Input_Tasks[[#This Row],[R1 After Hours]],0)</f>
        <v>0</v>
      </c>
      <c r="AM182" s="398">
        <f>IFERROR(VLOOKUP(RESOURCE_2_TYPE,COST_RATES,2,FALSE)*Input_Tasks[[#This Row],[R2 Business Hours]],0)+IFERROR(VLOOKUP(RESOURCE_2_TYPE,COST_RATES,3,FALSE)*Input_Tasks[[#This Row],[R2 After Hours]],0)</f>
        <v>0</v>
      </c>
      <c r="AN182" s="398">
        <f>IFERROR(VLOOKUP(RESOURCE_3_TYPE,COST_RATES,2,FALSE)*Input_Tasks[[#This Row],[R3 Business Hours]],0)+IFERROR(VLOOKUP(RESOURCE_3_TYPE,COST_RATES,3,FALSE)*Input_Tasks[[#This Row],[R3 After Hours]],0)</f>
        <v>0</v>
      </c>
      <c r="AO182" s="398">
        <f>IFERROR(VLOOKUP(RESOURCE_4_TYPE,COST_RATES,2,FALSE)*Input_Tasks[[#This Row],[R4 Business Hours]],0)+IFERROR(VLOOKUP(RESOURCE_4_TYPE,COST_RATES,3,FALSE)*Input_Tasks[[#This Row],[R4 After Hours]],0)</f>
        <v>0</v>
      </c>
      <c r="AP182" s="398">
        <f>IFERROR(VLOOKUP(RESOURCE_5_TYPE,COST_RATES,2,FALSE)*Input_Tasks[[#This Row],[R5 Business Hours]],0)+IFERROR(VLOOKUP(RESOURCE_5_TYPE,COST_RATES,3,FALSE)*Input_Tasks[[#This Row],[R5 After Hours]],0)</f>
        <v>0</v>
      </c>
      <c r="AQ182" s="399">
        <f>IFERROR(VLOOKUP(RESOURCE_1_TYPE,SELL_RATES,2,FALSE)*Input_Tasks[[#This Row],[R1 Business Hours]],0)+IFERROR(VLOOKUP(RESOURCE_1_TYPE,SELL_RATES,3,FALSE)*Input_Tasks[[#This Row],[R1 After Hours]],0)</f>
        <v>0</v>
      </c>
      <c r="AR182" s="398">
        <f>IFERROR(VLOOKUP(RESOURCE_2_TYPE,SELL_RATES,2,FALSE)*Input_Tasks[[#This Row],[R2 Business Hours]],0)+IFERROR(VLOOKUP(RESOURCE_2_TYPE,SELL_RATES,3,FALSE)*Input_Tasks[[#This Row],[R2 After Hours]],0)</f>
        <v>0</v>
      </c>
      <c r="AS182" s="398">
        <f>IFERROR(VLOOKUP(RESOURCE_3_TYPE,SELL_RATES,2,FALSE)*Input_Tasks[[#This Row],[R3 Business Hours]],0)+IFERROR(VLOOKUP(RESOURCE_3_TYPE,SELL_RATES,3,FALSE)*Input_Tasks[[#This Row],[R3 After Hours]],0)</f>
        <v>0</v>
      </c>
      <c r="AT182" s="398">
        <f>IFERROR(VLOOKUP(RESOURCE_4_TYPE,SELL_RATES,2,FALSE)*Input_Tasks[[#This Row],[R4 Business Hours]],0)+IFERROR(VLOOKUP(RESOURCE_4_TYPE,SELL_RATES,3,FALSE)*Input_Tasks[[#This Row],[R4 After Hours]],0)</f>
        <v>0</v>
      </c>
      <c r="AU182" s="398">
        <f>IFERROR(VLOOKUP(RESOURCE_5_TYPE,SELL_RATES,2,FALSE)*Input_Tasks[[#This Row],[R5 Business Hours]],0)+IFERROR(VLOOKUP(RESOURCE_5_TYPE,SELL_RATES,3,FALSE)*Input_Tasks[[#This Row],[R5 After Hours]],0)</f>
        <v>0</v>
      </c>
      <c r="AV182" s="400">
        <f>SUM(Input_Tasks[[#This Row],[Round Trips R1]:[Round Trips R5]])</f>
        <v>0</v>
      </c>
      <c r="AW182" s="401">
        <f>SUM(Input_Tasks[[#This Row],[Overnight StaysR1]:[Overnight StaysR5]])</f>
        <v>0</v>
      </c>
      <c r="AX182" s="401">
        <f>IF(AND(Input_Tasks[[#This Row],[Sell - Line Total]]&gt;0,OR(Input_Tasks[[#This Row],[Phase]]="",Input_Tasks[[#This Row],[Skill Required]]="",Input_Tasks[[#This Row],[Task Type]]="",Input_Tasks[[#This Row],[Description]]="")),1,0)</f>
        <v>0</v>
      </c>
      <c r="AY182" s="402">
        <f>IF(AND(Input_Tasks[[#This Row],[Task Type]]="ArchiTech Document Deliverable",Input_Tasks[[#This Row],[Hours]]&gt;0),1,0)</f>
        <v>0</v>
      </c>
      <c r="AZ18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8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8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8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8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8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8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8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8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8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8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8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8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82" s="405">
        <f>SUM(Input_Tasks[[#This Row],[R1 Business Hours]:[R1 After Hours]],Input_Tasks[[#This Row],[R2 Business Hours]:[R2 After Hours]],Input_Tasks[[#This Row],[R3 Business Hours]:[R3 After Hours]],Input_Tasks[[#This Row],[R4 Business Hours]:[R4 After Hours]],Input_Tasks[[#This Row],[R5 Business Hours]:[R5 After Hours]])</f>
        <v>0</v>
      </c>
    </row>
    <row r="183" spans="1:65">
      <c r="A183" s="384"/>
      <c r="B183" s="271"/>
      <c r="C183" s="271"/>
      <c r="D183" s="406"/>
      <c r="E183" s="385">
        <f>Input_Tasks[[#This Row],[Onsite Round Trips_Hidden]]</f>
        <v>0</v>
      </c>
      <c r="F183" s="385">
        <f>Input_Tasks[[#This Row],[Overnight Stays_Hidden]]</f>
        <v>0</v>
      </c>
      <c r="G183" s="385">
        <f>Input_Tasks[[#This Row],[Documents_Hidden]]</f>
        <v>0</v>
      </c>
      <c r="H183" s="387"/>
      <c r="I183" s="388"/>
      <c r="J183" s="389"/>
      <c r="K183" s="390"/>
      <c r="L183" s="390"/>
      <c r="M183" s="389"/>
      <c r="N183" s="390"/>
      <c r="O183" s="390"/>
      <c r="P183" s="389"/>
      <c r="Q183" s="390"/>
      <c r="R183" s="391"/>
      <c r="S183" s="389"/>
      <c r="T183" s="390"/>
      <c r="U183" s="391"/>
      <c r="V183" s="389"/>
      <c r="W183" s="390"/>
      <c r="X183" s="390"/>
      <c r="Y183" s="386" t="str">
        <f>Input_Tasks[[#This Row],[Onsite Round Trips_Hidden]]&amp;"/"&amp;Input_Tasks[[#This Row],[Overnight Stays_Hidden]]&amp;"/"&amp;Input_Tasks[[#This Row],[Documents_Hidden]]</f>
        <v>0/0/0</v>
      </c>
      <c r="Z183" s="392">
        <f>Input_Tasks[[#This Row],[R1 Cost_Hidden]]</f>
        <v>0</v>
      </c>
      <c r="AA183" s="393">
        <f>Input_Tasks[[#This Row],[R2 Cost_Hidden]]</f>
        <v>0</v>
      </c>
      <c r="AB183" s="393">
        <f>Input_Tasks[[#This Row],[R3 Cost_Hidden]]</f>
        <v>0</v>
      </c>
      <c r="AC183" s="393">
        <f>Input_Tasks[[#This Row],[R4 Cost_Hidden]]</f>
        <v>0</v>
      </c>
      <c r="AD183" s="394">
        <f>Input_Tasks[[#This Row],[R5 Cost_Hidden]]</f>
        <v>0</v>
      </c>
      <c r="AE183" s="395">
        <f>SUM(Input_Tasks[[#This Row],[R1 Cost]:[R5 Cost]])</f>
        <v>0</v>
      </c>
      <c r="AF183" s="392">
        <f>Input_Tasks[[#This Row],[R1 Sell_Hidden]]</f>
        <v>0</v>
      </c>
      <c r="AG183" s="393">
        <f>Input_Tasks[[#This Row],[R2 Sell_Hidden]]</f>
        <v>0</v>
      </c>
      <c r="AH183" s="393">
        <f>Input_Tasks[[#This Row],[R3 Sell_Hidden]]</f>
        <v>0</v>
      </c>
      <c r="AI183" s="393">
        <f>Input_Tasks[[#This Row],[R4 Sell_Hidden5]]</f>
        <v>0</v>
      </c>
      <c r="AJ183" s="394">
        <f>Input_Tasks[[#This Row],[R5 Sell_Hidden]]</f>
        <v>0</v>
      </c>
      <c r="AK183" s="396">
        <f>SUM(Input_Tasks[[#This Row],[R1 Sell]:[R5 Sell]])</f>
        <v>0</v>
      </c>
      <c r="AL183" s="397">
        <f>IFERROR(VLOOKUP(RESOURCE_1_TYPE,COST_RATES,2,FALSE)*Input_Tasks[[#This Row],[R1 Business Hours]],0)+IFERROR(VLOOKUP(RESOURCE_1_TYPE,COST_RATES,3,FALSE)*Input_Tasks[[#This Row],[R1 After Hours]],0)</f>
        <v>0</v>
      </c>
      <c r="AM183" s="398">
        <f>IFERROR(VLOOKUP(RESOURCE_2_TYPE,COST_RATES,2,FALSE)*Input_Tasks[[#This Row],[R2 Business Hours]],0)+IFERROR(VLOOKUP(RESOURCE_2_TYPE,COST_RATES,3,FALSE)*Input_Tasks[[#This Row],[R2 After Hours]],0)</f>
        <v>0</v>
      </c>
      <c r="AN183" s="398">
        <f>IFERROR(VLOOKUP(RESOURCE_3_TYPE,COST_RATES,2,FALSE)*Input_Tasks[[#This Row],[R3 Business Hours]],0)+IFERROR(VLOOKUP(RESOURCE_3_TYPE,COST_RATES,3,FALSE)*Input_Tasks[[#This Row],[R3 After Hours]],0)</f>
        <v>0</v>
      </c>
      <c r="AO183" s="398">
        <f>IFERROR(VLOOKUP(RESOURCE_4_TYPE,COST_RATES,2,FALSE)*Input_Tasks[[#This Row],[R4 Business Hours]],0)+IFERROR(VLOOKUP(RESOURCE_4_TYPE,COST_RATES,3,FALSE)*Input_Tasks[[#This Row],[R4 After Hours]],0)</f>
        <v>0</v>
      </c>
      <c r="AP183" s="398">
        <f>IFERROR(VLOOKUP(RESOURCE_5_TYPE,COST_RATES,2,FALSE)*Input_Tasks[[#This Row],[R5 Business Hours]],0)+IFERROR(VLOOKUP(RESOURCE_5_TYPE,COST_RATES,3,FALSE)*Input_Tasks[[#This Row],[R5 After Hours]],0)</f>
        <v>0</v>
      </c>
      <c r="AQ183" s="399">
        <f>IFERROR(VLOOKUP(RESOURCE_1_TYPE,SELL_RATES,2,FALSE)*Input_Tasks[[#This Row],[R1 Business Hours]],0)+IFERROR(VLOOKUP(RESOURCE_1_TYPE,SELL_RATES,3,FALSE)*Input_Tasks[[#This Row],[R1 After Hours]],0)</f>
        <v>0</v>
      </c>
      <c r="AR183" s="398">
        <f>IFERROR(VLOOKUP(RESOURCE_2_TYPE,SELL_RATES,2,FALSE)*Input_Tasks[[#This Row],[R2 Business Hours]],0)+IFERROR(VLOOKUP(RESOURCE_2_TYPE,SELL_RATES,3,FALSE)*Input_Tasks[[#This Row],[R2 After Hours]],0)</f>
        <v>0</v>
      </c>
      <c r="AS183" s="398">
        <f>IFERROR(VLOOKUP(RESOURCE_3_TYPE,SELL_RATES,2,FALSE)*Input_Tasks[[#This Row],[R3 Business Hours]],0)+IFERROR(VLOOKUP(RESOURCE_3_TYPE,SELL_RATES,3,FALSE)*Input_Tasks[[#This Row],[R3 After Hours]],0)</f>
        <v>0</v>
      </c>
      <c r="AT183" s="398">
        <f>IFERROR(VLOOKUP(RESOURCE_4_TYPE,SELL_RATES,2,FALSE)*Input_Tasks[[#This Row],[R4 Business Hours]],0)+IFERROR(VLOOKUP(RESOURCE_4_TYPE,SELL_RATES,3,FALSE)*Input_Tasks[[#This Row],[R4 After Hours]],0)</f>
        <v>0</v>
      </c>
      <c r="AU183" s="398">
        <f>IFERROR(VLOOKUP(RESOURCE_5_TYPE,SELL_RATES,2,FALSE)*Input_Tasks[[#This Row],[R5 Business Hours]],0)+IFERROR(VLOOKUP(RESOURCE_5_TYPE,SELL_RATES,3,FALSE)*Input_Tasks[[#This Row],[R5 After Hours]],0)</f>
        <v>0</v>
      </c>
      <c r="AV183" s="400">
        <f>SUM(Input_Tasks[[#This Row],[Round Trips R1]:[Round Trips R5]])</f>
        <v>0</v>
      </c>
      <c r="AW183" s="401">
        <f>SUM(Input_Tasks[[#This Row],[Overnight StaysR1]:[Overnight StaysR5]])</f>
        <v>0</v>
      </c>
      <c r="AX183" s="401">
        <f>IF(AND(Input_Tasks[[#This Row],[Sell - Line Total]]&gt;0,OR(Input_Tasks[[#This Row],[Phase]]="",Input_Tasks[[#This Row],[Skill Required]]="",Input_Tasks[[#This Row],[Task Type]]="",Input_Tasks[[#This Row],[Description]]="")),1,0)</f>
        <v>0</v>
      </c>
      <c r="AY183" s="402">
        <f>IF(AND(Input_Tasks[[#This Row],[Task Type]]="ArchiTech Document Deliverable",Input_Tasks[[#This Row],[Hours]]&gt;0),1,0)</f>
        <v>0</v>
      </c>
      <c r="AZ18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8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8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8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8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8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8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8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8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8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8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8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8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83" s="405">
        <f>SUM(Input_Tasks[[#This Row],[R1 Business Hours]:[R1 After Hours]],Input_Tasks[[#This Row],[R2 Business Hours]:[R2 After Hours]],Input_Tasks[[#This Row],[R3 Business Hours]:[R3 After Hours]],Input_Tasks[[#This Row],[R4 Business Hours]:[R4 After Hours]],Input_Tasks[[#This Row],[R5 Business Hours]:[R5 After Hours]])</f>
        <v>0</v>
      </c>
    </row>
    <row r="184" spans="1:65">
      <c r="A184" s="384"/>
      <c r="B184" s="271"/>
      <c r="C184" s="271"/>
      <c r="D184" s="406"/>
      <c r="E184" s="385">
        <f>Input_Tasks[[#This Row],[Onsite Round Trips_Hidden]]</f>
        <v>0</v>
      </c>
      <c r="F184" s="385">
        <f>Input_Tasks[[#This Row],[Overnight Stays_Hidden]]</f>
        <v>0</v>
      </c>
      <c r="G184" s="385">
        <f>Input_Tasks[[#This Row],[Documents_Hidden]]</f>
        <v>0</v>
      </c>
      <c r="H184" s="387"/>
      <c r="I184" s="388"/>
      <c r="J184" s="389"/>
      <c r="K184" s="390"/>
      <c r="L184" s="390"/>
      <c r="M184" s="389"/>
      <c r="N184" s="390"/>
      <c r="O184" s="390"/>
      <c r="P184" s="389"/>
      <c r="Q184" s="390"/>
      <c r="R184" s="391"/>
      <c r="S184" s="389"/>
      <c r="T184" s="390"/>
      <c r="U184" s="391"/>
      <c r="V184" s="389"/>
      <c r="W184" s="390"/>
      <c r="X184" s="390"/>
      <c r="Y184" s="386" t="str">
        <f>Input_Tasks[[#This Row],[Onsite Round Trips_Hidden]]&amp;"/"&amp;Input_Tasks[[#This Row],[Overnight Stays_Hidden]]&amp;"/"&amp;Input_Tasks[[#This Row],[Documents_Hidden]]</f>
        <v>0/0/0</v>
      </c>
      <c r="Z184" s="392">
        <f>Input_Tasks[[#This Row],[R1 Cost_Hidden]]</f>
        <v>0</v>
      </c>
      <c r="AA184" s="393">
        <f>Input_Tasks[[#This Row],[R2 Cost_Hidden]]</f>
        <v>0</v>
      </c>
      <c r="AB184" s="393">
        <f>Input_Tasks[[#This Row],[R3 Cost_Hidden]]</f>
        <v>0</v>
      </c>
      <c r="AC184" s="393">
        <f>Input_Tasks[[#This Row],[R4 Cost_Hidden]]</f>
        <v>0</v>
      </c>
      <c r="AD184" s="394">
        <f>Input_Tasks[[#This Row],[R5 Cost_Hidden]]</f>
        <v>0</v>
      </c>
      <c r="AE184" s="395">
        <f>SUM(Input_Tasks[[#This Row],[R1 Cost]:[R5 Cost]])</f>
        <v>0</v>
      </c>
      <c r="AF184" s="392">
        <f>Input_Tasks[[#This Row],[R1 Sell_Hidden]]</f>
        <v>0</v>
      </c>
      <c r="AG184" s="393">
        <f>Input_Tasks[[#This Row],[R2 Sell_Hidden]]</f>
        <v>0</v>
      </c>
      <c r="AH184" s="393">
        <f>Input_Tasks[[#This Row],[R3 Sell_Hidden]]</f>
        <v>0</v>
      </c>
      <c r="AI184" s="393">
        <f>Input_Tasks[[#This Row],[R4 Sell_Hidden5]]</f>
        <v>0</v>
      </c>
      <c r="AJ184" s="394">
        <f>Input_Tasks[[#This Row],[R5 Sell_Hidden]]</f>
        <v>0</v>
      </c>
      <c r="AK184" s="396">
        <f>SUM(Input_Tasks[[#This Row],[R1 Sell]:[R5 Sell]])</f>
        <v>0</v>
      </c>
      <c r="AL184" s="397">
        <f>IFERROR(VLOOKUP(RESOURCE_1_TYPE,COST_RATES,2,FALSE)*Input_Tasks[[#This Row],[R1 Business Hours]],0)+IFERROR(VLOOKUP(RESOURCE_1_TYPE,COST_RATES,3,FALSE)*Input_Tasks[[#This Row],[R1 After Hours]],0)</f>
        <v>0</v>
      </c>
      <c r="AM184" s="398">
        <f>IFERROR(VLOOKUP(RESOURCE_2_TYPE,COST_RATES,2,FALSE)*Input_Tasks[[#This Row],[R2 Business Hours]],0)+IFERROR(VLOOKUP(RESOURCE_2_TYPE,COST_RATES,3,FALSE)*Input_Tasks[[#This Row],[R2 After Hours]],0)</f>
        <v>0</v>
      </c>
      <c r="AN184" s="398">
        <f>IFERROR(VLOOKUP(RESOURCE_3_TYPE,COST_RATES,2,FALSE)*Input_Tasks[[#This Row],[R3 Business Hours]],0)+IFERROR(VLOOKUP(RESOURCE_3_TYPE,COST_RATES,3,FALSE)*Input_Tasks[[#This Row],[R3 After Hours]],0)</f>
        <v>0</v>
      </c>
      <c r="AO184" s="398">
        <f>IFERROR(VLOOKUP(RESOURCE_4_TYPE,COST_RATES,2,FALSE)*Input_Tasks[[#This Row],[R4 Business Hours]],0)+IFERROR(VLOOKUP(RESOURCE_4_TYPE,COST_RATES,3,FALSE)*Input_Tasks[[#This Row],[R4 After Hours]],0)</f>
        <v>0</v>
      </c>
      <c r="AP184" s="398">
        <f>IFERROR(VLOOKUP(RESOURCE_5_TYPE,COST_RATES,2,FALSE)*Input_Tasks[[#This Row],[R5 Business Hours]],0)+IFERROR(VLOOKUP(RESOURCE_5_TYPE,COST_RATES,3,FALSE)*Input_Tasks[[#This Row],[R5 After Hours]],0)</f>
        <v>0</v>
      </c>
      <c r="AQ184" s="399">
        <f>IFERROR(VLOOKUP(RESOURCE_1_TYPE,SELL_RATES,2,FALSE)*Input_Tasks[[#This Row],[R1 Business Hours]],0)+IFERROR(VLOOKUP(RESOURCE_1_TYPE,SELL_RATES,3,FALSE)*Input_Tasks[[#This Row],[R1 After Hours]],0)</f>
        <v>0</v>
      </c>
      <c r="AR184" s="398">
        <f>IFERROR(VLOOKUP(RESOURCE_2_TYPE,SELL_RATES,2,FALSE)*Input_Tasks[[#This Row],[R2 Business Hours]],0)+IFERROR(VLOOKUP(RESOURCE_2_TYPE,SELL_RATES,3,FALSE)*Input_Tasks[[#This Row],[R2 After Hours]],0)</f>
        <v>0</v>
      </c>
      <c r="AS184" s="398">
        <f>IFERROR(VLOOKUP(RESOURCE_3_TYPE,SELL_RATES,2,FALSE)*Input_Tasks[[#This Row],[R3 Business Hours]],0)+IFERROR(VLOOKUP(RESOURCE_3_TYPE,SELL_RATES,3,FALSE)*Input_Tasks[[#This Row],[R3 After Hours]],0)</f>
        <v>0</v>
      </c>
      <c r="AT184" s="398">
        <f>IFERROR(VLOOKUP(RESOURCE_4_TYPE,SELL_RATES,2,FALSE)*Input_Tasks[[#This Row],[R4 Business Hours]],0)+IFERROR(VLOOKUP(RESOURCE_4_TYPE,SELL_RATES,3,FALSE)*Input_Tasks[[#This Row],[R4 After Hours]],0)</f>
        <v>0</v>
      </c>
      <c r="AU184" s="398">
        <f>IFERROR(VLOOKUP(RESOURCE_5_TYPE,SELL_RATES,2,FALSE)*Input_Tasks[[#This Row],[R5 Business Hours]],0)+IFERROR(VLOOKUP(RESOURCE_5_TYPE,SELL_RATES,3,FALSE)*Input_Tasks[[#This Row],[R5 After Hours]],0)</f>
        <v>0</v>
      </c>
      <c r="AV184" s="400">
        <f>SUM(Input_Tasks[[#This Row],[Round Trips R1]:[Round Trips R5]])</f>
        <v>0</v>
      </c>
      <c r="AW184" s="401">
        <f>SUM(Input_Tasks[[#This Row],[Overnight StaysR1]:[Overnight StaysR5]])</f>
        <v>0</v>
      </c>
      <c r="AX184" s="401">
        <f>IF(AND(Input_Tasks[[#This Row],[Sell - Line Total]]&gt;0,OR(Input_Tasks[[#This Row],[Phase]]="",Input_Tasks[[#This Row],[Skill Required]]="",Input_Tasks[[#This Row],[Task Type]]="",Input_Tasks[[#This Row],[Description]]="")),1,0)</f>
        <v>0</v>
      </c>
      <c r="AY184" s="402">
        <f>IF(AND(Input_Tasks[[#This Row],[Task Type]]="ArchiTech Document Deliverable",Input_Tasks[[#This Row],[Hours]]&gt;0),1,0)</f>
        <v>0</v>
      </c>
      <c r="AZ18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8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8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8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8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8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8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8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8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8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8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8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8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84" s="405">
        <f>SUM(Input_Tasks[[#This Row],[R1 Business Hours]:[R1 After Hours]],Input_Tasks[[#This Row],[R2 Business Hours]:[R2 After Hours]],Input_Tasks[[#This Row],[R3 Business Hours]:[R3 After Hours]],Input_Tasks[[#This Row],[R4 Business Hours]:[R4 After Hours]],Input_Tasks[[#This Row],[R5 Business Hours]:[R5 After Hours]])</f>
        <v>0</v>
      </c>
    </row>
    <row r="185" spans="1:65">
      <c r="A185" s="384"/>
      <c r="B185" s="271"/>
      <c r="C185" s="271"/>
      <c r="D185" s="406"/>
      <c r="E185" s="385">
        <f>Input_Tasks[[#This Row],[Onsite Round Trips_Hidden]]</f>
        <v>0</v>
      </c>
      <c r="F185" s="385">
        <f>Input_Tasks[[#This Row],[Overnight Stays_Hidden]]</f>
        <v>0</v>
      </c>
      <c r="G185" s="385">
        <f>Input_Tasks[[#This Row],[Documents_Hidden]]</f>
        <v>0</v>
      </c>
      <c r="H185" s="387"/>
      <c r="I185" s="388"/>
      <c r="J185" s="389"/>
      <c r="K185" s="390"/>
      <c r="L185" s="390"/>
      <c r="M185" s="389"/>
      <c r="N185" s="390"/>
      <c r="O185" s="390"/>
      <c r="P185" s="389"/>
      <c r="Q185" s="390"/>
      <c r="R185" s="391"/>
      <c r="S185" s="389"/>
      <c r="T185" s="390"/>
      <c r="U185" s="391"/>
      <c r="V185" s="389"/>
      <c r="W185" s="390"/>
      <c r="X185" s="390"/>
      <c r="Y185" s="386" t="str">
        <f>Input_Tasks[[#This Row],[Onsite Round Trips_Hidden]]&amp;"/"&amp;Input_Tasks[[#This Row],[Overnight Stays_Hidden]]&amp;"/"&amp;Input_Tasks[[#This Row],[Documents_Hidden]]</f>
        <v>0/0/0</v>
      </c>
      <c r="Z185" s="392">
        <f>Input_Tasks[[#This Row],[R1 Cost_Hidden]]</f>
        <v>0</v>
      </c>
      <c r="AA185" s="393">
        <f>Input_Tasks[[#This Row],[R2 Cost_Hidden]]</f>
        <v>0</v>
      </c>
      <c r="AB185" s="393">
        <f>Input_Tasks[[#This Row],[R3 Cost_Hidden]]</f>
        <v>0</v>
      </c>
      <c r="AC185" s="393">
        <f>Input_Tasks[[#This Row],[R4 Cost_Hidden]]</f>
        <v>0</v>
      </c>
      <c r="AD185" s="394">
        <f>Input_Tasks[[#This Row],[R5 Cost_Hidden]]</f>
        <v>0</v>
      </c>
      <c r="AE185" s="395">
        <f>SUM(Input_Tasks[[#This Row],[R1 Cost]:[R5 Cost]])</f>
        <v>0</v>
      </c>
      <c r="AF185" s="392">
        <f>Input_Tasks[[#This Row],[R1 Sell_Hidden]]</f>
        <v>0</v>
      </c>
      <c r="AG185" s="393">
        <f>Input_Tasks[[#This Row],[R2 Sell_Hidden]]</f>
        <v>0</v>
      </c>
      <c r="AH185" s="393">
        <f>Input_Tasks[[#This Row],[R3 Sell_Hidden]]</f>
        <v>0</v>
      </c>
      <c r="AI185" s="393">
        <f>Input_Tasks[[#This Row],[R4 Sell_Hidden5]]</f>
        <v>0</v>
      </c>
      <c r="AJ185" s="394">
        <f>Input_Tasks[[#This Row],[R5 Sell_Hidden]]</f>
        <v>0</v>
      </c>
      <c r="AK185" s="396">
        <f>SUM(Input_Tasks[[#This Row],[R1 Sell]:[R5 Sell]])</f>
        <v>0</v>
      </c>
      <c r="AL185" s="397">
        <f>IFERROR(VLOOKUP(RESOURCE_1_TYPE,COST_RATES,2,FALSE)*Input_Tasks[[#This Row],[R1 Business Hours]],0)+IFERROR(VLOOKUP(RESOURCE_1_TYPE,COST_RATES,3,FALSE)*Input_Tasks[[#This Row],[R1 After Hours]],0)</f>
        <v>0</v>
      </c>
      <c r="AM185" s="398">
        <f>IFERROR(VLOOKUP(RESOURCE_2_TYPE,COST_RATES,2,FALSE)*Input_Tasks[[#This Row],[R2 Business Hours]],0)+IFERROR(VLOOKUP(RESOURCE_2_TYPE,COST_RATES,3,FALSE)*Input_Tasks[[#This Row],[R2 After Hours]],0)</f>
        <v>0</v>
      </c>
      <c r="AN185" s="398">
        <f>IFERROR(VLOOKUP(RESOURCE_3_TYPE,COST_RATES,2,FALSE)*Input_Tasks[[#This Row],[R3 Business Hours]],0)+IFERROR(VLOOKUP(RESOURCE_3_TYPE,COST_RATES,3,FALSE)*Input_Tasks[[#This Row],[R3 After Hours]],0)</f>
        <v>0</v>
      </c>
      <c r="AO185" s="398">
        <f>IFERROR(VLOOKUP(RESOURCE_4_TYPE,COST_RATES,2,FALSE)*Input_Tasks[[#This Row],[R4 Business Hours]],0)+IFERROR(VLOOKUP(RESOURCE_4_TYPE,COST_RATES,3,FALSE)*Input_Tasks[[#This Row],[R4 After Hours]],0)</f>
        <v>0</v>
      </c>
      <c r="AP185" s="398">
        <f>IFERROR(VLOOKUP(RESOURCE_5_TYPE,COST_RATES,2,FALSE)*Input_Tasks[[#This Row],[R5 Business Hours]],0)+IFERROR(VLOOKUP(RESOURCE_5_TYPE,COST_RATES,3,FALSE)*Input_Tasks[[#This Row],[R5 After Hours]],0)</f>
        <v>0</v>
      </c>
      <c r="AQ185" s="399">
        <f>IFERROR(VLOOKUP(RESOURCE_1_TYPE,SELL_RATES,2,FALSE)*Input_Tasks[[#This Row],[R1 Business Hours]],0)+IFERROR(VLOOKUP(RESOURCE_1_TYPE,SELL_RATES,3,FALSE)*Input_Tasks[[#This Row],[R1 After Hours]],0)</f>
        <v>0</v>
      </c>
      <c r="AR185" s="398">
        <f>IFERROR(VLOOKUP(RESOURCE_2_TYPE,SELL_RATES,2,FALSE)*Input_Tasks[[#This Row],[R2 Business Hours]],0)+IFERROR(VLOOKUP(RESOURCE_2_TYPE,SELL_RATES,3,FALSE)*Input_Tasks[[#This Row],[R2 After Hours]],0)</f>
        <v>0</v>
      </c>
      <c r="AS185" s="398">
        <f>IFERROR(VLOOKUP(RESOURCE_3_TYPE,SELL_RATES,2,FALSE)*Input_Tasks[[#This Row],[R3 Business Hours]],0)+IFERROR(VLOOKUP(RESOURCE_3_TYPE,SELL_RATES,3,FALSE)*Input_Tasks[[#This Row],[R3 After Hours]],0)</f>
        <v>0</v>
      </c>
      <c r="AT185" s="398">
        <f>IFERROR(VLOOKUP(RESOURCE_4_TYPE,SELL_RATES,2,FALSE)*Input_Tasks[[#This Row],[R4 Business Hours]],0)+IFERROR(VLOOKUP(RESOURCE_4_TYPE,SELL_RATES,3,FALSE)*Input_Tasks[[#This Row],[R4 After Hours]],0)</f>
        <v>0</v>
      </c>
      <c r="AU185" s="398">
        <f>IFERROR(VLOOKUP(RESOURCE_5_TYPE,SELL_RATES,2,FALSE)*Input_Tasks[[#This Row],[R5 Business Hours]],0)+IFERROR(VLOOKUP(RESOURCE_5_TYPE,SELL_RATES,3,FALSE)*Input_Tasks[[#This Row],[R5 After Hours]],0)</f>
        <v>0</v>
      </c>
      <c r="AV185" s="400">
        <f>SUM(Input_Tasks[[#This Row],[Round Trips R1]:[Round Trips R5]])</f>
        <v>0</v>
      </c>
      <c r="AW185" s="401">
        <f>SUM(Input_Tasks[[#This Row],[Overnight StaysR1]:[Overnight StaysR5]])</f>
        <v>0</v>
      </c>
      <c r="AX185" s="401">
        <f>IF(AND(Input_Tasks[[#This Row],[Sell - Line Total]]&gt;0,OR(Input_Tasks[[#This Row],[Phase]]="",Input_Tasks[[#This Row],[Skill Required]]="",Input_Tasks[[#This Row],[Task Type]]="",Input_Tasks[[#This Row],[Description]]="")),1,0)</f>
        <v>0</v>
      </c>
      <c r="AY185" s="402">
        <f>IF(AND(Input_Tasks[[#This Row],[Task Type]]="ArchiTech Document Deliverable",Input_Tasks[[#This Row],[Hours]]&gt;0),1,0)</f>
        <v>0</v>
      </c>
      <c r="AZ18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8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8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8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8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8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8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8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8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8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8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8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8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85" s="405">
        <f>SUM(Input_Tasks[[#This Row],[R1 Business Hours]:[R1 After Hours]],Input_Tasks[[#This Row],[R2 Business Hours]:[R2 After Hours]],Input_Tasks[[#This Row],[R3 Business Hours]:[R3 After Hours]],Input_Tasks[[#This Row],[R4 Business Hours]:[R4 After Hours]],Input_Tasks[[#This Row],[R5 Business Hours]:[R5 After Hours]])</f>
        <v>0</v>
      </c>
    </row>
    <row r="186" spans="1:65">
      <c r="A186" s="384"/>
      <c r="B186" s="271"/>
      <c r="C186" s="271"/>
      <c r="D186" s="406"/>
      <c r="E186" s="385">
        <f>Input_Tasks[[#This Row],[Onsite Round Trips_Hidden]]</f>
        <v>0</v>
      </c>
      <c r="F186" s="385">
        <f>Input_Tasks[[#This Row],[Overnight Stays_Hidden]]</f>
        <v>0</v>
      </c>
      <c r="G186" s="385">
        <f>Input_Tasks[[#This Row],[Documents_Hidden]]</f>
        <v>0</v>
      </c>
      <c r="H186" s="387"/>
      <c r="I186" s="388"/>
      <c r="J186" s="389"/>
      <c r="K186" s="390"/>
      <c r="L186" s="390"/>
      <c r="M186" s="389"/>
      <c r="N186" s="390"/>
      <c r="O186" s="390"/>
      <c r="P186" s="389"/>
      <c r="Q186" s="390"/>
      <c r="R186" s="391"/>
      <c r="S186" s="389"/>
      <c r="T186" s="390"/>
      <c r="U186" s="391"/>
      <c r="V186" s="389"/>
      <c r="W186" s="390"/>
      <c r="X186" s="390"/>
      <c r="Y186" s="386" t="str">
        <f>Input_Tasks[[#This Row],[Onsite Round Trips_Hidden]]&amp;"/"&amp;Input_Tasks[[#This Row],[Overnight Stays_Hidden]]&amp;"/"&amp;Input_Tasks[[#This Row],[Documents_Hidden]]</f>
        <v>0/0/0</v>
      </c>
      <c r="Z186" s="392">
        <f>Input_Tasks[[#This Row],[R1 Cost_Hidden]]</f>
        <v>0</v>
      </c>
      <c r="AA186" s="393">
        <f>Input_Tasks[[#This Row],[R2 Cost_Hidden]]</f>
        <v>0</v>
      </c>
      <c r="AB186" s="393">
        <f>Input_Tasks[[#This Row],[R3 Cost_Hidden]]</f>
        <v>0</v>
      </c>
      <c r="AC186" s="393">
        <f>Input_Tasks[[#This Row],[R4 Cost_Hidden]]</f>
        <v>0</v>
      </c>
      <c r="AD186" s="394">
        <f>Input_Tasks[[#This Row],[R5 Cost_Hidden]]</f>
        <v>0</v>
      </c>
      <c r="AE186" s="395">
        <f>SUM(Input_Tasks[[#This Row],[R1 Cost]:[R5 Cost]])</f>
        <v>0</v>
      </c>
      <c r="AF186" s="392">
        <f>Input_Tasks[[#This Row],[R1 Sell_Hidden]]</f>
        <v>0</v>
      </c>
      <c r="AG186" s="393">
        <f>Input_Tasks[[#This Row],[R2 Sell_Hidden]]</f>
        <v>0</v>
      </c>
      <c r="AH186" s="393">
        <f>Input_Tasks[[#This Row],[R3 Sell_Hidden]]</f>
        <v>0</v>
      </c>
      <c r="AI186" s="393">
        <f>Input_Tasks[[#This Row],[R4 Sell_Hidden5]]</f>
        <v>0</v>
      </c>
      <c r="AJ186" s="394">
        <f>Input_Tasks[[#This Row],[R5 Sell_Hidden]]</f>
        <v>0</v>
      </c>
      <c r="AK186" s="396">
        <f>SUM(Input_Tasks[[#This Row],[R1 Sell]:[R5 Sell]])</f>
        <v>0</v>
      </c>
      <c r="AL186" s="397">
        <f>IFERROR(VLOOKUP(RESOURCE_1_TYPE,COST_RATES,2,FALSE)*Input_Tasks[[#This Row],[R1 Business Hours]],0)+IFERROR(VLOOKUP(RESOURCE_1_TYPE,COST_RATES,3,FALSE)*Input_Tasks[[#This Row],[R1 After Hours]],0)</f>
        <v>0</v>
      </c>
      <c r="AM186" s="398">
        <f>IFERROR(VLOOKUP(RESOURCE_2_TYPE,COST_RATES,2,FALSE)*Input_Tasks[[#This Row],[R2 Business Hours]],0)+IFERROR(VLOOKUP(RESOURCE_2_TYPE,COST_RATES,3,FALSE)*Input_Tasks[[#This Row],[R2 After Hours]],0)</f>
        <v>0</v>
      </c>
      <c r="AN186" s="398">
        <f>IFERROR(VLOOKUP(RESOURCE_3_TYPE,COST_RATES,2,FALSE)*Input_Tasks[[#This Row],[R3 Business Hours]],0)+IFERROR(VLOOKUP(RESOURCE_3_TYPE,COST_RATES,3,FALSE)*Input_Tasks[[#This Row],[R3 After Hours]],0)</f>
        <v>0</v>
      </c>
      <c r="AO186" s="398">
        <f>IFERROR(VLOOKUP(RESOURCE_4_TYPE,COST_RATES,2,FALSE)*Input_Tasks[[#This Row],[R4 Business Hours]],0)+IFERROR(VLOOKUP(RESOURCE_4_TYPE,COST_RATES,3,FALSE)*Input_Tasks[[#This Row],[R4 After Hours]],0)</f>
        <v>0</v>
      </c>
      <c r="AP186" s="398">
        <f>IFERROR(VLOOKUP(RESOURCE_5_TYPE,COST_RATES,2,FALSE)*Input_Tasks[[#This Row],[R5 Business Hours]],0)+IFERROR(VLOOKUP(RESOURCE_5_TYPE,COST_RATES,3,FALSE)*Input_Tasks[[#This Row],[R5 After Hours]],0)</f>
        <v>0</v>
      </c>
      <c r="AQ186" s="399">
        <f>IFERROR(VLOOKUP(RESOURCE_1_TYPE,SELL_RATES,2,FALSE)*Input_Tasks[[#This Row],[R1 Business Hours]],0)+IFERROR(VLOOKUP(RESOURCE_1_TYPE,SELL_RATES,3,FALSE)*Input_Tasks[[#This Row],[R1 After Hours]],0)</f>
        <v>0</v>
      </c>
      <c r="AR186" s="398">
        <f>IFERROR(VLOOKUP(RESOURCE_2_TYPE,SELL_RATES,2,FALSE)*Input_Tasks[[#This Row],[R2 Business Hours]],0)+IFERROR(VLOOKUP(RESOURCE_2_TYPE,SELL_RATES,3,FALSE)*Input_Tasks[[#This Row],[R2 After Hours]],0)</f>
        <v>0</v>
      </c>
      <c r="AS186" s="398">
        <f>IFERROR(VLOOKUP(RESOURCE_3_TYPE,SELL_RATES,2,FALSE)*Input_Tasks[[#This Row],[R3 Business Hours]],0)+IFERROR(VLOOKUP(RESOURCE_3_TYPE,SELL_RATES,3,FALSE)*Input_Tasks[[#This Row],[R3 After Hours]],0)</f>
        <v>0</v>
      </c>
      <c r="AT186" s="398">
        <f>IFERROR(VLOOKUP(RESOURCE_4_TYPE,SELL_RATES,2,FALSE)*Input_Tasks[[#This Row],[R4 Business Hours]],0)+IFERROR(VLOOKUP(RESOURCE_4_TYPE,SELL_RATES,3,FALSE)*Input_Tasks[[#This Row],[R4 After Hours]],0)</f>
        <v>0</v>
      </c>
      <c r="AU186" s="398">
        <f>IFERROR(VLOOKUP(RESOURCE_5_TYPE,SELL_RATES,2,FALSE)*Input_Tasks[[#This Row],[R5 Business Hours]],0)+IFERROR(VLOOKUP(RESOURCE_5_TYPE,SELL_RATES,3,FALSE)*Input_Tasks[[#This Row],[R5 After Hours]],0)</f>
        <v>0</v>
      </c>
      <c r="AV186" s="400">
        <f>SUM(Input_Tasks[[#This Row],[Round Trips R1]:[Round Trips R5]])</f>
        <v>0</v>
      </c>
      <c r="AW186" s="401">
        <f>SUM(Input_Tasks[[#This Row],[Overnight StaysR1]:[Overnight StaysR5]])</f>
        <v>0</v>
      </c>
      <c r="AX186" s="401">
        <f>IF(AND(Input_Tasks[[#This Row],[Sell - Line Total]]&gt;0,OR(Input_Tasks[[#This Row],[Phase]]="",Input_Tasks[[#This Row],[Skill Required]]="",Input_Tasks[[#This Row],[Task Type]]="",Input_Tasks[[#This Row],[Description]]="")),1,0)</f>
        <v>0</v>
      </c>
      <c r="AY186" s="402">
        <f>IF(AND(Input_Tasks[[#This Row],[Task Type]]="ArchiTech Document Deliverable",Input_Tasks[[#This Row],[Hours]]&gt;0),1,0)</f>
        <v>0</v>
      </c>
      <c r="AZ18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8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8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8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8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8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8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8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8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8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8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8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8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86" s="405">
        <f>SUM(Input_Tasks[[#This Row],[R1 Business Hours]:[R1 After Hours]],Input_Tasks[[#This Row],[R2 Business Hours]:[R2 After Hours]],Input_Tasks[[#This Row],[R3 Business Hours]:[R3 After Hours]],Input_Tasks[[#This Row],[R4 Business Hours]:[R4 After Hours]],Input_Tasks[[#This Row],[R5 Business Hours]:[R5 After Hours]])</f>
        <v>0</v>
      </c>
    </row>
    <row r="187" spans="1:65">
      <c r="A187" s="384"/>
      <c r="B187" s="271"/>
      <c r="C187" s="271"/>
      <c r="D187" s="406"/>
      <c r="E187" s="385">
        <f>Input_Tasks[[#This Row],[Onsite Round Trips_Hidden]]</f>
        <v>0</v>
      </c>
      <c r="F187" s="385">
        <f>Input_Tasks[[#This Row],[Overnight Stays_Hidden]]</f>
        <v>0</v>
      </c>
      <c r="G187" s="385">
        <f>Input_Tasks[[#This Row],[Documents_Hidden]]</f>
        <v>0</v>
      </c>
      <c r="H187" s="387"/>
      <c r="I187" s="388"/>
      <c r="J187" s="389"/>
      <c r="K187" s="390"/>
      <c r="L187" s="390"/>
      <c r="M187" s="389"/>
      <c r="N187" s="390"/>
      <c r="O187" s="390"/>
      <c r="P187" s="389"/>
      <c r="Q187" s="390"/>
      <c r="R187" s="391"/>
      <c r="S187" s="389"/>
      <c r="T187" s="390"/>
      <c r="U187" s="391"/>
      <c r="V187" s="389"/>
      <c r="W187" s="390"/>
      <c r="X187" s="390"/>
      <c r="Y187" s="386" t="str">
        <f>Input_Tasks[[#This Row],[Onsite Round Trips_Hidden]]&amp;"/"&amp;Input_Tasks[[#This Row],[Overnight Stays_Hidden]]&amp;"/"&amp;Input_Tasks[[#This Row],[Documents_Hidden]]</f>
        <v>0/0/0</v>
      </c>
      <c r="Z187" s="392">
        <f>Input_Tasks[[#This Row],[R1 Cost_Hidden]]</f>
        <v>0</v>
      </c>
      <c r="AA187" s="393">
        <f>Input_Tasks[[#This Row],[R2 Cost_Hidden]]</f>
        <v>0</v>
      </c>
      <c r="AB187" s="393">
        <f>Input_Tasks[[#This Row],[R3 Cost_Hidden]]</f>
        <v>0</v>
      </c>
      <c r="AC187" s="393">
        <f>Input_Tasks[[#This Row],[R4 Cost_Hidden]]</f>
        <v>0</v>
      </c>
      <c r="AD187" s="394">
        <f>Input_Tasks[[#This Row],[R5 Cost_Hidden]]</f>
        <v>0</v>
      </c>
      <c r="AE187" s="395">
        <f>SUM(Input_Tasks[[#This Row],[R1 Cost]:[R5 Cost]])</f>
        <v>0</v>
      </c>
      <c r="AF187" s="392">
        <f>Input_Tasks[[#This Row],[R1 Sell_Hidden]]</f>
        <v>0</v>
      </c>
      <c r="AG187" s="393">
        <f>Input_Tasks[[#This Row],[R2 Sell_Hidden]]</f>
        <v>0</v>
      </c>
      <c r="AH187" s="393">
        <f>Input_Tasks[[#This Row],[R3 Sell_Hidden]]</f>
        <v>0</v>
      </c>
      <c r="AI187" s="393">
        <f>Input_Tasks[[#This Row],[R4 Sell_Hidden5]]</f>
        <v>0</v>
      </c>
      <c r="AJ187" s="394">
        <f>Input_Tasks[[#This Row],[R5 Sell_Hidden]]</f>
        <v>0</v>
      </c>
      <c r="AK187" s="396">
        <f>SUM(Input_Tasks[[#This Row],[R1 Sell]:[R5 Sell]])</f>
        <v>0</v>
      </c>
      <c r="AL187" s="397">
        <f>IFERROR(VLOOKUP(RESOURCE_1_TYPE,COST_RATES,2,FALSE)*Input_Tasks[[#This Row],[R1 Business Hours]],0)+IFERROR(VLOOKUP(RESOURCE_1_TYPE,COST_RATES,3,FALSE)*Input_Tasks[[#This Row],[R1 After Hours]],0)</f>
        <v>0</v>
      </c>
      <c r="AM187" s="398">
        <f>IFERROR(VLOOKUP(RESOURCE_2_TYPE,COST_RATES,2,FALSE)*Input_Tasks[[#This Row],[R2 Business Hours]],0)+IFERROR(VLOOKUP(RESOURCE_2_TYPE,COST_RATES,3,FALSE)*Input_Tasks[[#This Row],[R2 After Hours]],0)</f>
        <v>0</v>
      </c>
      <c r="AN187" s="398">
        <f>IFERROR(VLOOKUP(RESOURCE_3_TYPE,COST_RATES,2,FALSE)*Input_Tasks[[#This Row],[R3 Business Hours]],0)+IFERROR(VLOOKUP(RESOURCE_3_TYPE,COST_RATES,3,FALSE)*Input_Tasks[[#This Row],[R3 After Hours]],0)</f>
        <v>0</v>
      </c>
      <c r="AO187" s="398">
        <f>IFERROR(VLOOKUP(RESOURCE_4_TYPE,COST_RATES,2,FALSE)*Input_Tasks[[#This Row],[R4 Business Hours]],0)+IFERROR(VLOOKUP(RESOURCE_4_TYPE,COST_RATES,3,FALSE)*Input_Tasks[[#This Row],[R4 After Hours]],0)</f>
        <v>0</v>
      </c>
      <c r="AP187" s="398">
        <f>IFERROR(VLOOKUP(RESOURCE_5_TYPE,COST_RATES,2,FALSE)*Input_Tasks[[#This Row],[R5 Business Hours]],0)+IFERROR(VLOOKUP(RESOURCE_5_TYPE,COST_RATES,3,FALSE)*Input_Tasks[[#This Row],[R5 After Hours]],0)</f>
        <v>0</v>
      </c>
      <c r="AQ187" s="399">
        <f>IFERROR(VLOOKUP(RESOURCE_1_TYPE,SELL_RATES,2,FALSE)*Input_Tasks[[#This Row],[R1 Business Hours]],0)+IFERROR(VLOOKUP(RESOURCE_1_TYPE,SELL_RATES,3,FALSE)*Input_Tasks[[#This Row],[R1 After Hours]],0)</f>
        <v>0</v>
      </c>
      <c r="AR187" s="398">
        <f>IFERROR(VLOOKUP(RESOURCE_2_TYPE,SELL_RATES,2,FALSE)*Input_Tasks[[#This Row],[R2 Business Hours]],0)+IFERROR(VLOOKUP(RESOURCE_2_TYPE,SELL_RATES,3,FALSE)*Input_Tasks[[#This Row],[R2 After Hours]],0)</f>
        <v>0</v>
      </c>
      <c r="AS187" s="398">
        <f>IFERROR(VLOOKUP(RESOURCE_3_TYPE,SELL_RATES,2,FALSE)*Input_Tasks[[#This Row],[R3 Business Hours]],0)+IFERROR(VLOOKUP(RESOURCE_3_TYPE,SELL_RATES,3,FALSE)*Input_Tasks[[#This Row],[R3 After Hours]],0)</f>
        <v>0</v>
      </c>
      <c r="AT187" s="398">
        <f>IFERROR(VLOOKUP(RESOURCE_4_TYPE,SELL_RATES,2,FALSE)*Input_Tasks[[#This Row],[R4 Business Hours]],0)+IFERROR(VLOOKUP(RESOURCE_4_TYPE,SELL_RATES,3,FALSE)*Input_Tasks[[#This Row],[R4 After Hours]],0)</f>
        <v>0</v>
      </c>
      <c r="AU187" s="398">
        <f>IFERROR(VLOOKUP(RESOURCE_5_TYPE,SELL_RATES,2,FALSE)*Input_Tasks[[#This Row],[R5 Business Hours]],0)+IFERROR(VLOOKUP(RESOURCE_5_TYPE,SELL_RATES,3,FALSE)*Input_Tasks[[#This Row],[R5 After Hours]],0)</f>
        <v>0</v>
      </c>
      <c r="AV187" s="400">
        <f>SUM(Input_Tasks[[#This Row],[Round Trips R1]:[Round Trips R5]])</f>
        <v>0</v>
      </c>
      <c r="AW187" s="401">
        <f>SUM(Input_Tasks[[#This Row],[Overnight StaysR1]:[Overnight StaysR5]])</f>
        <v>0</v>
      </c>
      <c r="AX187" s="401">
        <f>IF(AND(Input_Tasks[[#This Row],[Sell - Line Total]]&gt;0,OR(Input_Tasks[[#This Row],[Phase]]="",Input_Tasks[[#This Row],[Skill Required]]="",Input_Tasks[[#This Row],[Task Type]]="",Input_Tasks[[#This Row],[Description]]="")),1,0)</f>
        <v>0</v>
      </c>
      <c r="AY187" s="402">
        <f>IF(AND(Input_Tasks[[#This Row],[Task Type]]="ArchiTech Document Deliverable",Input_Tasks[[#This Row],[Hours]]&gt;0),1,0)</f>
        <v>0</v>
      </c>
      <c r="AZ18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8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8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8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8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8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8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8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8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8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8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8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8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87" s="405">
        <f>SUM(Input_Tasks[[#This Row],[R1 Business Hours]:[R1 After Hours]],Input_Tasks[[#This Row],[R2 Business Hours]:[R2 After Hours]],Input_Tasks[[#This Row],[R3 Business Hours]:[R3 After Hours]],Input_Tasks[[#This Row],[R4 Business Hours]:[R4 After Hours]],Input_Tasks[[#This Row],[R5 Business Hours]:[R5 After Hours]])</f>
        <v>0</v>
      </c>
    </row>
    <row r="188" spans="1:65">
      <c r="A188" s="384"/>
      <c r="B188" s="271"/>
      <c r="C188" s="271"/>
      <c r="D188" s="406"/>
      <c r="E188" s="385">
        <f>Input_Tasks[[#This Row],[Onsite Round Trips_Hidden]]</f>
        <v>0</v>
      </c>
      <c r="F188" s="385">
        <f>Input_Tasks[[#This Row],[Overnight Stays_Hidden]]</f>
        <v>0</v>
      </c>
      <c r="G188" s="385">
        <f>Input_Tasks[[#This Row],[Documents_Hidden]]</f>
        <v>0</v>
      </c>
      <c r="H188" s="387"/>
      <c r="I188" s="388"/>
      <c r="J188" s="389"/>
      <c r="K188" s="390"/>
      <c r="L188" s="390"/>
      <c r="M188" s="389"/>
      <c r="N188" s="390"/>
      <c r="O188" s="390"/>
      <c r="P188" s="389"/>
      <c r="Q188" s="390"/>
      <c r="R188" s="391"/>
      <c r="S188" s="389"/>
      <c r="T188" s="390"/>
      <c r="U188" s="391"/>
      <c r="V188" s="389"/>
      <c r="W188" s="390"/>
      <c r="X188" s="390"/>
      <c r="Y188" s="386" t="str">
        <f>Input_Tasks[[#This Row],[Onsite Round Trips_Hidden]]&amp;"/"&amp;Input_Tasks[[#This Row],[Overnight Stays_Hidden]]&amp;"/"&amp;Input_Tasks[[#This Row],[Documents_Hidden]]</f>
        <v>0/0/0</v>
      </c>
      <c r="Z188" s="392">
        <f>Input_Tasks[[#This Row],[R1 Cost_Hidden]]</f>
        <v>0</v>
      </c>
      <c r="AA188" s="393">
        <f>Input_Tasks[[#This Row],[R2 Cost_Hidden]]</f>
        <v>0</v>
      </c>
      <c r="AB188" s="393">
        <f>Input_Tasks[[#This Row],[R3 Cost_Hidden]]</f>
        <v>0</v>
      </c>
      <c r="AC188" s="393">
        <f>Input_Tasks[[#This Row],[R4 Cost_Hidden]]</f>
        <v>0</v>
      </c>
      <c r="AD188" s="394">
        <f>Input_Tasks[[#This Row],[R5 Cost_Hidden]]</f>
        <v>0</v>
      </c>
      <c r="AE188" s="395">
        <f>SUM(Input_Tasks[[#This Row],[R1 Cost]:[R5 Cost]])</f>
        <v>0</v>
      </c>
      <c r="AF188" s="392">
        <f>Input_Tasks[[#This Row],[R1 Sell_Hidden]]</f>
        <v>0</v>
      </c>
      <c r="AG188" s="393">
        <f>Input_Tasks[[#This Row],[R2 Sell_Hidden]]</f>
        <v>0</v>
      </c>
      <c r="AH188" s="393">
        <f>Input_Tasks[[#This Row],[R3 Sell_Hidden]]</f>
        <v>0</v>
      </c>
      <c r="AI188" s="393">
        <f>Input_Tasks[[#This Row],[R4 Sell_Hidden5]]</f>
        <v>0</v>
      </c>
      <c r="AJ188" s="394">
        <f>Input_Tasks[[#This Row],[R5 Sell_Hidden]]</f>
        <v>0</v>
      </c>
      <c r="AK188" s="396">
        <f>SUM(Input_Tasks[[#This Row],[R1 Sell]:[R5 Sell]])</f>
        <v>0</v>
      </c>
      <c r="AL188" s="397">
        <f>IFERROR(VLOOKUP(RESOURCE_1_TYPE,COST_RATES,2,FALSE)*Input_Tasks[[#This Row],[R1 Business Hours]],0)+IFERROR(VLOOKUP(RESOURCE_1_TYPE,COST_RATES,3,FALSE)*Input_Tasks[[#This Row],[R1 After Hours]],0)</f>
        <v>0</v>
      </c>
      <c r="AM188" s="398">
        <f>IFERROR(VLOOKUP(RESOURCE_2_TYPE,COST_RATES,2,FALSE)*Input_Tasks[[#This Row],[R2 Business Hours]],0)+IFERROR(VLOOKUP(RESOURCE_2_TYPE,COST_RATES,3,FALSE)*Input_Tasks[[#This Row],[R2 After Hours]],0)</f>
        <v>0</v>
      </c>
      <c r="AN188" s="398">
        <f>IFERROR(VLOOKUP(RESOURCE_3_TYPE,COST_RATES,2,FALSE)*Input_Tasks[[#This Row],[R3 Business Hours]],0)+IFERROR(VLOOKUP(RESOURCE_3_TYPE,COST_RATES,3,FALSE)*Input_Tasks[[#This Row],[R3 After Hours]],0)</f>
        <v>0</v>
      </c>
      <c r="AO188" s="398">
        <f>IFERROR(VLOOKUP(RESOURCE_4_TYPE,COST_RATES,2,FALSE)*Input_Tasks[[#This Row],[R4 Business Hours]],0)+IFERROR(VLOOKUP(RESOURCE_4_TYPE,COST_RATES,3,FALSE)*Input_Tasks[[#This Row],[R4 After Hours]],0)</f>
        <v>0</v>
      </c>
      <c r="AP188" s="398">
        <f>IFERROR(VLOOKUP(RESOURCE_5_TYPE,COST_RATES,2,FALSE)*Input_Tasks[[#This Row],[R5 Business Hours]],0)+IFERROR(VLOOKUP(RESOURCE_5_TYPE,COST_RATES,3,FALSE)*Input_Tasks[[#This Row],[R5 After Hours]],0)</f>
        <v>0</v>
      </c>
      <c r="AQ188" s="399">
        <f>IFERROR(VLOOKUP(RESOURCE_1_TYPE,SELL_RATES,2,FALSE)*Input_Tasks[[#This Row],[R1 Business Hours]],0)+IFERROR(VLOOKUP(RESOURCE_1_TYPE,SELL_RATES,3,FALSE)*Input_Tasks[[#This Row],[R1 After Hours]],0)</f>
        <v>0</v>
      </c>
      <c r="AR188" s="398">
        <f>IFERROR(VLOOKUP(RESOURCE_2_TYPE,SELL_RATES,2,FALSE)*Input_Tasks[[#This Row],[R2 Business Hours]],0)+IFERROR(VLOOKUP(RESOURCE_2_TYPE,SELL_RATES,3,FALSE)*Input_Tasks[[#This Row],[R2 After Hours]],0)</f>
        <v>0</v>
      </c>
      <c r="AS188" s="398">
        <f>IFERROR(VLOOKUP(RESOURCE_3_TYPE,SELL_RATES,2,FALSE)*Input_Tasks[[#This Row],[R3 Business Hours]],0)+IFERROR(VLOOKUP(RESOURCE_3_TYPE,SELL_RATES,3,FALSE)*Input_Tasks[[#This Row],[R3 After Hours]],0)</f>
        <v>0</v>
      </c>
      <c r="AT188" s="398">
        <f>IFERROR(VLOOKUP(RESOURCE_4_TYPE,SELL_RATES,2,FALSE)*Input_Tasks[[#This Row],[R4 Business Hours]],0)+IFERROR(VLOOKUP(RESOURCE_4_TYPE,SELL_RATES,3,FALSE)*Input_Tasks[[#This Row],[R4 After Hours]],0)</f>
        <v>0</v>
      </c>
      <c r="AU188" s="398">
        <f>IFERROR(VLOOKUP(RESOURCE_5_TYPE,SELL_RATES,2,FALSE)*Input_Tasks[[#This Row],[R5 Business Hours]],0)+IFERROR(VLOOKUP(RESOURCE_5_TYPE,SELL_RATES,3,FALSE)*Input_Tasks[[#This Row],[R5 After Hours]],0)</f>
        <v>0</v>
      </c>
      <c r="AV188" s="400">
        <f>SUM(Input_Tasks[[#This Row],[Round Trips R1]:[Round Trips R5]])</f>
        <v>0</v>
      </c>
      <c r="AW188" s="401">
        <f>SUM(Input_Tasks[[#This Row],[Overnight StaysR1]:[Overnight StaysR5]])</f>
        <v>0</v>
      </c>
      <c r="AX188" s="401">
        <f>IF(AND(Input_Tasks[[#This Row],[Sell - Line Total]]&gt;0,OR(Input_Tasks[[#This Row],[Phase]]="",Input_Tasks[[#This Row],[Skill Required]]="",Input_Tasks[[#This Row],[Task Type]]="",Input_Tasks[[#This Row],[Description]]="")),1,0)</f>
        <v>0</v>
      </c>
      <c r="AY188" s="402">
        <f>IF(AND(Input_Tasks[[#This Row],[Task Type]]="ArchiTech Document Deliverable",Input_Tasks[[#This Row],[Hours]]&gt;0),1,0)</f>
        <v>0</v>
      </c>
      <c r="AZ18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8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8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8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8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8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8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8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8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8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8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8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8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88" s="405">
        <f>SUM(Input_Tasks[[#This Row],[R1 Business Hours]:[R1 After Hours]],Input_Tasks[[#This Row],[R2 Business Hours]:[R2 After Hours]],Input_Tasks[[#This Row],[R3 Business Hours]:[R3 After Hours]],Input_Tasks[[#This Row],[R4 Business Hours]:[R4 After Hours]],Input_Tasks[[#This Row],[R5 Business Hours]:[R5 After Hours]])</f>
        <v>0</v>
      </c>
    </row>
    <row r="189" spans="1:65">
      <c r="A189" s="384"/>
      <c r="B189" s="271"/>
      <c r="C189" s="271"/>
      <c r="D189" s="406"/>
      <c r="E189" s="385">
        <f>Input_Tasks[[#This Row],[Onsite Round Trips_Hidden]]</f>
        <v>0</v>
      </c>
      <c r="F189" s="385">
        <f>Input_Tasks[[#This Row],[Overnight Stays_Hidden]]</f>
        <v>0</v>
      </c>
      <c r="G189" s="385">
        <f>Input_Tasks[[#This Row],[Documents_Hidden]]</f>
        <v>0</v>
      </c>
      <c r="H189" s="387"/>
      <c r="I189" s="388"/>
      <c r="J189" s="389"/>
      <c r="K189" s="390"/>
      <c r="L189" s="390"/>
      <c r="M189" s="389"/>
      <c r="N189" s="390"/>
      <c r="O189" s="390"/>
      <c r="P189" s="389"/>
      <c r="Q189" s="390"/>
      <c r="R189" s="391"/>
      <c r="S189" s="389"/>
      <c r="T189" s="390"/>
      <c r="U189" s="391"/>
      <c r="V189" s="389"/>
      <c r="W189" s="390"/>
      <c r="X189" s="390"/>
      <c r="Y189" s="386" t="str">
        <f>Input_Tasks[[#This Row],[Onsite Round Trips_Hidden]]&amp;"/"&amp;Input_Tasks[[#This Row],[Overnight Stays_Hidden]]&amp;"/"&amp;Input_Tasks[[#This Row],[Documents_Hidden]]</f>
        <v>0/0/0</v>
      </c>
      <c r="Z189" s="392">
        <f>Input_Tasks[[#This Row],[R1 Cost_Hidden]]</f>
        <v>0</v>
      </c>
      <c r="AA189" s="393">
        <f>Input_Tasks[[#This Row],[R2 Cost_Hidden]]</f>
        <v>0</v>
      </c>
      <c r="AB189" s="393">
        <f>Input_Tasks[[#This Row],[R3 Cost_Hidden]]</f>
        <v>0</v>
      </c>
      <c r="AC189" s="393">
        <f>Input_Tasks[[#This Row],[R4 Cost_Hidden]]</f>
        <v>0</v>
      </c>
      <c r="AD189" s="394">
        <f>Input_Tasks[[#This Row],[R5 Cost_Hidden]]</f>
        <v>0</v>
      </c>
      <c r="AE189" s="395">
        <f>SUM(Input_Tasks[[#This Row],[R1 Cost]:[R5 Cost]])</f>
        <v>0</v>
      </c>
      <c r="AF189" s="392">
        <f>Input_Tasks[[#This Row],[R1 Sell_Hidden]]</f>
        <v>0</v>
      </c>
      <c r="AG189" s="393">
        <f>Input_Tasks[[#This Row],[R2 Sell_Hidden]]</f>
        <v>0</v>
      </c>
      <c r="AH189" s="393">
        <f>Input_Tasks[[#This Row],[R3 Sell_Hidden]]</f>
        <v>0</v>
      </c>
      <c r="AI189" s="393">
        <f>Input_Tasks[[#This Row],[R4 Sell_Hidden5]]</f>
        <v>0</v>
      </c>
      <c r="AJ189" s="394">
        <f>Input_Tasks[[#This Row],[R5 Sell_Hidden]]</f>
        <v>0</v>
      </c>
      <c r="AK189" s="396">
        <f>SUM(Input_Tasks[[#This Row],[R1 Sell]:[R5 Sell]])</f>
        <v>0</v>
      </c>
      <c r="AL189" s="397">
        <f>IFERROR(VLOOKUP(RESOURCE_1_TYPE,COST_RATES,2,FALSE)*Input_Tasks[[#This Row],[R1 Business Hours]],0)+IFERROR(VLOOKUP(RESOURCE_1_TYPE,COST_RATES,3,FALSE)*Input_Tasks[[#This Row],[R1 After Hours]],0)</f>
        <v>0</v>
      </c>
      <c r="AM189" s="398">
        <f>IFERROR(VLOOKUP(RESOURCE_2_TYPE,COST_RATES,2,FALSE)*Input_Tasks[[#This Row],[R2 Business Hours]],0)+IFERROR(VLOOKUP(RESOURCE_2_TYPE,COST_RATES,3,FALSE)*Input_Tasks[[#This Row],[R2 After Hours]],0)</f>
        <v>0</v>
      </c>
      <c r="AN189" s="398">
        <f>IFERROR(VLOOKUP(RESOURCE_3_TYPE,COST_RATES,2,FALSE)*Input_Tasks[[#This Row],[R3 Business Hours]],0)+IFERROR(VLOOKUP(RESOURCE_3_TYPE,COST_RATES,3,FALSE)*Input_Tasks[[#This Row],[R3 After Hours]],0)</f>
        <v>0</v>
      </c>
      <c r="AO189" s="398">
        <f>IFERROR(VLOOKUP(RESOURCE_4_TYPE,COST_RATES,2,FALSE)*Input_Tasks[[#This Row],[R4 Business Hours]],0)+IFERROR(VLOOKUP(RESOURCE_4_TYPE,COST_RATES,3,FALSE)*Input_Tasks[[#This Row],[R4 After Hours]],0)</f>
        <v>0</v>
      </c>
      <c r="AP189" s="398">
        <f>IFERROR(VLOOKUP(RESOURCE_5_TYPE,COST_RATES,2,FALSE)*Input_Tasks[[#This Row],[R5 Business Hours]],0)+IFERROR(VLOOKUP(RESOURCE_5_TYPE,COST_RATES,3,FALSE)*Input_Tasks[[#This Row],[R5 After Hours]],0)</f>
        <v>0</v>
      </c>
      <c r="AQ189" s="399">
        <f>IFERROR(VLOOKUP(RESOURCE_1_TYPE,SELL_RATES,2,FALSE)*Input_Tasks[[#This Row],[R1 Business Hours]],0)+IFERROR(VLOOKUP(RESOURCE_1_TYPE,SELL_RATES,3,FALSE)*Input_Tasks[[#This Row],[R1 After Hours]],0)</f>
        <v>0</v>
      </c>
      <c r="AR189" s="398">
        <f>IFERROR(VLOOKUP(RESOURCE_2_TYPE,SELL_RATES,2,FALSE)*Input_Tasks[[#This Row],[R2 Business Hours]],0)+IFERROR(VLOOKUP(RESOURCE_2_TYPE,SELL_RATES,3,FALSE)*Input_Tasks[[#This Row],[R2 After Hours]],0)</f>
        <v>0</v>
      </c>
      <c r="AS189" s="398">
        <f>IFERROR(VLOOKUP(RESOURCE_3_TYPE,SELL_RATES,2,FALSE)*Input_Tasks[[#This Row],[R3 Business Hours]],0)+IFERROR(VLOOKUP(RESOURCE_3_TYPE,SELL_RATES,3,FALSE)*Input_Tasks[[#This Row],[R3 After Hours]],0)</f>
        <v>0</v>
      </c>
      <c r="AT189" s="398">
        <f>IFERROR(VLOOKUP(RESOURCE_4_TYPE,SELL_RATES,2,FALSE)*Input_Tasks[[#This Row],[R4 Business Hours]],0)+IFERROR(VLOOKUP(RESOURCE_4_TYPE,SELL_RATES,3,FALSE)*Input_Tasks[[#This Row],[R4 After Hours]],0)</f>
        <v>0</v>
      </c>
      <c r="AU189" s="398">
        <f>IFERROR(VLOOKUP(RESOURCE_5_TYPE,SELL_RATES,2,FALSE)*Input_Tasks[[#This Row],[R5 Business Hours]],0)+IFERROR(VLOOKUP(RESOURCE_5_TYPE,SELL_RATES,3,FALSE)*Input_Tasks[[#This Row],[R5 After Hours]],0)</f>
        <v>0</v>
      </c>
      <c r="AV189" s="400">
        <f>SUM(Input_Tasks[[#This Row],[Round Trips R1]:[Round Trips R5]])</f>
        <v>0</v>
      </c>
      <c r="AW189" s="401">
        <f>SUM(Input_Tasks[[#This Row],[Overnight StaysR1]:[Overnight StaysR5]])</f>
        <v>0</v>
      </c>
      <c r="AX189" s="401">
        <f>IF(AND(Input_Tasks[[#This Row],[Sell - Line Total]]&gt;0,OR(Input_Tasks[[#This Row],[Phase]]="",Input_Tasks[[#This Row],[Skill Required]]="",Input_Tasks[[#This Row],[Task Type]]="",Input_Tasks[[#This Row],[Description]]="")),1,0)</f>
        <v>0</v>
      </c>
      <c r="AY189" s="402">
        <f>IF(AND(Input_Tasks[[#This Row],[Task Type]]="ArchiTech Document Deliverable",Input_Tasks[[#This Row],[Hours]]&gt;0),1,0)</f>
        <v>0</v>
      </c>
      <c r="AZ18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8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8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8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8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8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8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8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8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8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8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8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8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89" s="405">
        <f>SUM(Input_Tasks[[#This Row],[R1 Business Hours]:[R1 After Hours]],Input_Tasks[[#This Row],[R2 Business Hours]:[R2 After Hours]],Input_Tasks[[#This Row],[R3 Business Hours]:[R3 After Hours]],Input_Tasks[[#This Row],[R4 Business Hours]:[R4 After Hours]],Input_Tasks[[#This Row],[R5 Business Hours]:[R5 After Hours]])</f>
        <v>0</v>
      </c>
    </row>
    <row r="190" spans="1:65">
      <c r="A190" s="384"/>
      <c r="B190" s="271"/>
      <c r="C190" s="271"/>
      <c r="D190" s="406"/>
      <c r="E190" s="385">
        <f>Input_Tasks[[#This Row],[Onsite Round Trips_Hidden]]</f>
        <v>0</v>
      </c>
      <c r="F190" s="385">
        <f>Input_Tasks[[#This Row],[Overnight Stays_Hidden]]</f>
        <v>0</v>
      </c>
      <c r="G190" s="385">
        <f>Input_Tasks[[#This Row],[Documents_Hidden]]</f>
        <v>0</v>
      </c>
      <c r="H190" s="387"/>
      <c r="I190" s="388"/>
      <c r="J190" s="389"/>
      <c r="K190" s="390"/>
      <c r="L190" s="390"/>
      <c r="M190" s="389"/>
      <c r="N190" s="390"/>
      <c r="O190" s="390"/>
      <c r="P190" s="389"/>
      <c r="Q190" s="390"/>
      <c r="R190" s="391"/>
      <c r="S190" s="389"/>
      <c r="T190" s="390"/>
      <c r="U190" s="391"/>
      <c r="V190" s="389"/>
      <c r="W190" s="390"/>
      <c r="X190" s="390"/>
      <c r="Y190" s="386" t="str">
        <f>Input_Tasks[[#This Row],[Onsite Round Trips_Hidden]]&amp;"/"&amp;Input_Tasks[[#This Row],[Overnight Stays_Hidden]]&amp;"/"&amp;Input_Tasks[[#This Row],[Documents_Hidden]]</f>
        <v>0/0/0</v>
      </c>
      <c r="Z190" s="392">
        <f>Input_Tasks[[#This Row],[R1 Cost_Hidden]]</f>
        <v>0</v>
      </c>
      <c r="AA190" s="393">
        <f>Input_Tasks[[#This Row],[R2 Cost_Hidden]]</f>
        <v>0</v>
      </c>
      <c r="AB190" s="393">
        <f>Input_Tasks[[#This Row],[R3 Cost_Hidden]]</f>
        <v>0</v>
      </c>
      <c r="AC190" s="393">
        <f>Input_Tasks[[#This Row],[R4 Cost_Hidden]]</f>
        <v>0</v>
      </c>
      <c r="AD190" s="394">
        <f>Input_Tasks[[#This Row],[R5 Cost_Hidden]]</f>
        <v>0</v>
      </c>
      <c r="AE190" s="395">
        <f>SUM(Input_Tasks[[#This Row],[R1 Cost]:[R5 Cost]])</f>
        <v>0</v>
      </c>
      <c r="AF190" s="392">
        <f>Input_Tasks[[#This Row],[R1 Sell_Hidden]]</f>
        <v>0</v>
      </c>
      <c r="AG190" s="393">
        <f>Input_Tasks[[#This Row],[R2 Sell_Hidden]]</f>
        <v>0</v>
      </c>
      <c r="AH190" s="393">
        <f>Input_Tasks[[#This Row],[R3 Sell_Hidden]]</f>
        <v>0</v>
      </c>
      <c r="AI190" s="393">
        <f>Input_Tasks[[#This Row],[R4 Sell_Hidden5]]</f>
        <v>0</v>
      </c>
      <c r="AJ190" s="394">
        <f>Input_Tasks[[#This Row],[R5 Sell_Hidden]]</f>
        <v>0</v>
      </c>
      <c r="AK190" s="396">
        <f>SUM(Input_Tasks[[#This Row],[R1 Sell]:[R5 Sell]])</f>
        <v>0</v>
      </c>
      <c r="AL190" s="397">
        <f>IFERROR(VLOOKUP(RESOURCE_1_TYPE,COST_RATES,2,FALSE)*Input_Tasks[[#This Row],[R1 Business Hours]],0)+IFERROR(VLOOKUP(RESOURCE_1_TYPE,COST_RATES,3,FALSE)*Input_Tasks[[#This Row],[R1 After Hours]],0)</f>
        <v>0</v>
      </c>
      <c r="AM190" s="398">
        <f>IFERROR(VLOOKUP(RESOURCE_2_TYPE,COST_RATES,2,FALSE)*Input_Tasks[[#This Row],[R2 Business Hours]],0)+IFERROR(VLOOKUP(RESOURCE_2_TYPE,COST_RATES,3,FALSE)*Input_Tasks[[#This Row],[R2 After Hours]],0)</f>
        <v>0</v>
      </c>
      <c r="AN190" s="398">
        <f>IFERROR(VLOOKUP(RESOURCE_3_TYPE,COST_RATES,2,FALSE)*Input_Tasks[[#This Row],[R3 Business Hours]],0)+IFERROR(VLOOKUP(RESOURCE_3_TYPE,COST_RATES,3,FALSE)*Input_Tasks[[#This Row],[R3 After Hours]],0)</f>
        <v>0</v>
      </c>
      <c r="AO190" s="398">
        <f>IFERROR(VLOOKUP(RESOURCE_4_TYPE,COST_RATES,2,FALSE)*Input_Tasks[[#This Row],[R4 Business Hours]],0)+IFERROR(VLOOKUP(RESOURCE_4_TYPE,COST_RATES,3,FALSE)*Input_Tasks[[#This Row],[R4 After Hours]],0)</f>
        <v>0</v>
      </c>
      <c r="AP190" s="398">
        <f>IFERROR(VLOOKUP(RESOURCE_5_TYPE,COST_RATES,2,FALSE)*Input_Tasks[[#This Row],[R5 Business Hours]],0)+IFERROR(VLOOKUP(RESOURCE_5_TYPE,COST_RATES,3,FALSE)*Input_Tasks[[#This Row],[R5 After Hours]],0)</f>
        <v>0</v>
      </c>
      <c r="AQ190" s="399">
        <f>IFERROR(VLOOKUP(RESOURCE_1_TYPE,SELL_RATES,2,FALSE)*Input_Tasks[[#This Row],[R1 Business Hours]],0)+IFERROR(VLOOKUP(RESOURCE_1_TYPE,SELL_RATES,3,FALSE)*Input_Tasks[[#This Row],[R1 After Hours]],0)</f>
        <v>0</v>
      </c>
      <c r="AR190" s="398">
        <f>IFERROR(VLOOKUP(RESOURCE_2_TYPE,SELL_RATES,2,FALSE)*Input_Tasks[[#This Row],[R2 Business Hours]],0)+IFERROR(VLOOKUP(RESOURCE_2_TYPE,SELL_RATES,3,FALSE)*Input_Tasks[[#This Row],[R2 After Hours]],0)</f>
        <v>0</v>
      </c>
      <c r="AS190" s="398">
        <f>IFERROR(VLOOKUP(RESOURCE_3_TYPE,SELL_RATES,2,FALSE)*Input_Tasks[[#This Row],[R3 Business Hours]],0)+IFERROR(VLOOKUP(RESOURCE_3_TYPE,SELL_RATES,3,FALSE)*Input_Tasks[[#This Row],[R3 After Hours]],0)</f>
        <v>0</v>
      </c>
      <c r="AT190" s="398">
        <f>IFERROR(VLOOKUP(RESOURCE_4_TYPE,SELL_RATES,2,FALSE)*Input_Tasks[[#This Row],[R4 Business Hours]],0)+IFERROR(VLOOKUP(RESOURCE_4_TYPE,SELL_RATES,3,FALSE)*Input_Tasks[[#This Row],[R4 After Hours]],0)</f>
        <v>0</v>
      </c>
      <c r="AU190" s="398">
        <f>IFERROR(VLOOKUP(RESOURCE_5_TYPE,SELL_RATES,2,FALSE)*Input_Tasks[[#This Row],[R5 Business Hours]],0)+IFERROR(VLOOKUP(RESOURCE_5_TYPE,SELL_RATES,3,FALSE)*Input_Tasks[[#This Row],[R5 After Hours]],0)</f>
        <v>0</v>
      </c>
      <c r="AV190" s="400">
        <f>SUM(Input_Tasks[[#This Row],[Round Trips R1]:[Round Trips R5]])</f>
        <v>0</v>
      </c>
      <c r="AW190" s="401">
        <f>SUM(Input_Tasks[[#This Row],[Overnight StaysR1]:[Overnight StaysR5]])</f>
        <v>0</v>
      </c>
      <c r="AX190" s="401">
        <f>IF(AND(Input_Tasks[[#This Row],[Sell - Line Total]]&gt;0,OR(Input_Tasks[[#This Row],[Phase]]="",Input_Tasks[[#This Row],[Skill Required]]="",Input_Tasks[[#This Row],[Task Type]]="",Input_Tasks[[#This Row],[Description]]="")),1,0)</f>
        <v>0</v>
      </c>
      <c r="AY190" s="402">
        <f>IF(AND(Input_Tasks[[#This Row],[Task Type]]="ArchiTech Document Deliverable",Input_Tasks[[#This Row],[Hours]]&gt;0),1,0)</f>
        <v>0</v>
      </c>
      <c r="AZ19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9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9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9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9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9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9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9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9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9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9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9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9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90" s="405">
        <f>SUM(Input_Tasks[[#This Row],[R1 Business Hours]:[R1 After Hours]],Input_Tasks[[#This Row],[R2 Business Hours]:[R2 After Hours]],Input_Tasks[[#This Row],[R3 Business Hours]:[R3 After Hours]],Input_Tasks[[#This Row],[R4 Business Hours]:[R4 After Hours]],Input_Tasks[[#This Row],[R5 Business Hours]:[R5 After Hours]])</f>
        <v>0</v>
      </c>
    </row>
    <row r="191" spans="1:65">
      <c r="A191" s="384"/>
      <c r="B191" s="271"/>
      <c r="C191" s="271"/>
      <c r="D191" s="406"/>
      <c r="E191" s="385">
        <f>Input_Tasks[[#This Row],[Onsite Round Trips_Hidden]]</f>
        <v>0</v>
      </c>
      <c r="F191" s="385">
        <f>Input_Tasks[[#This Row],[Overnight Stays_Hidden]]</f>
        <v>0</v>
      </c>
      <c r="G191" s="385">
        <f>Input_Tasks[[#This Row],[Documents_Hidden]]</f>
        <v>0</v>
      </c>
      <c r="H191" s="387"/>
      <c r="I191" s="388"/>
      <c r="J191" s="389"/>
      <c r="K191" s="390"/>
      <c r="L191" s="390"/>
      <c r="M191" s="389"/>
      <c r="N191" s="390"/>
      <c r="O191" s="390"/>
      <c r="P191" s="389"/>
      <c r="Q191" s="390"/>
      <c r="R191" s="391"/>
      <c r="S191" s="389"/>
      <c r="T191" s="390"/>
      <c r="U191" s="391"/>
      <c r="V191" s="389"/>
      <c r="W191" s="390"/>
      <c r="X191" s="390"/>
      <c r="Y191" s="386" t="str">
        <f>Input_Tasks[[#This Row],[Onsite Round Trips_Hidden]]&amp;"/"&amp;Input_Tasks[[#This Row],[Overnight Stays_Hidden]]&amp;"/"&amp;Input_Tasks[[#This Row],[Documents_Hidden]]</f>
        <v>0/0/0</v>
      </c>
      <c r="Z191" s="392">
        <f>Input_Tasks[[#This Row],[R1 Cost_Hidden]]</f>
        <v>0</v>
      </c>
      <c r="AA191" s="393">
        <f>Input_Tasks[[#This Row],[R2 Cost_Hidden]]</f>
        <v>0</v>
      </c>
      <c r="AB191" s="393">
        <f>Input_Tasks[[#This Row],[R3 Cost_Hidden]]</f>
        <v>0</v>
      </c>
      <c r="AC191" s="393">
        <f>Input_Tasks[[#This Row],[R4 Cost_Hidden]]</f>
        <v>0</v>
      </c>
      <c r="AD191" s="394">
        <f>Input_Tasks[[#This Row],[R5 Cost_Hidden]]</f>
        <v>0</v>
      </c>
      <c r="AE191" s="395">
        <f>SUM(Input_Tasks[[#This Row],[R1 Cost]:[R5 Cost]])</f>
        <v>0</v>
      </c>
      <c r="AF191" s="392">
        <f>Input_Tasks[[#This Row],[R1 Sell_Hidden]]</f>
        <v>0</v>
      </c>
      <c r="AG191" s="393">
        <f>Input_Tasks[[#This Row],[R2 Sell_Hidden]]</f>
        <v>0</v>
      </c>
      <c r="AH191" s="393">
        <f>Input_Tasks[[#This Row],[R3 Sell_Hidden]]</f>
        <v>0</v>
      </c>
      <c r="AI191" s="393">
        <f>Input_Tasks[[#This Row],[R4 Sell_Hidden5]]</f>
        <v>0</v>
      </c>
      <c r="AJ191" s="394">
        <f>Input_Tasks[[#This Row],[R5 Sell_Hidden]]</f>
        <v>0</v>
      </c>
      <c r="AK191" s="396">
        <f>SUM(Input_Tasks[[#This Row],[R1 Sell]:[R5 Sell]])</f>
        <v>0</v>
      </c>
      <c r="AL191" s="397">
        <f>IFERROR(VLOOKUP(RESOURCE_1_TYPE,COST_RATES,2,FALSE)*Input_Tasks[[#This Row],[R1 Business Hours]],0)+IFERROR(VLOOKUP(RESOURCE_1_TYPE,COST_RATES,3,FALSE)*Input_Tasks[[#This Row],[R1 After Hours]],0)</f>
        <v>0</v>
      </c>
      <c r="AM191" s="398">
        <f>IFERROR(VLOOKUP(RESOURCE_2_TYPE,COST_RATES,2,FALSE)*Input_Tasks[[#This Row],[R2 Business Hours]],0)+IFERROR(VLOOKUP(RESOURCE_2_TYPE,COST_RATES,3,FALSE)*Input_Tasks[[#This Row],[R2 After Hours]],0)</f>
        <v>0</v>
      </c>
      <c r="AN191" s="398">
        <f>IFERROR(VLOOKUP(RESOURCE_3_TYPE,COST_RATES,2,FALSE)*Input_Tasks[[#This Row],[R3 Business Hours]],0)+IFERROR(VLOOKUP(RESOURCE_3_TYPE,COST_RATES,3,FALSE)*Input_Tasks[[#This Row],[R3 After Hours]],0)</f>
        <v>0</v>
      </c>
      <c r="AO191" s="398">
        <f>IFERROR(VLOOKUP(RESOURCE_4_TYPE,COST_RATES,2,FALSE)*Input_Tasks[[#This Row],[R4 Business Hours]],0)+IFERROR(VLOOKUP(RESOURCE_4_TYPE,COST_RATES,3,FALSE)*Input_Tasks[[#This Row],[R4 After Hours]],0)</f>
        <v>0</v>
      </c>
      <c r="AP191" s="398">
        <f>IFERROR(VLOOKUP(RESOURCE_5_TYPE,COST_RATES,2,FALSE)*Input_Tasks[[#This Row],[R5 Business Hours]],0)+IFERROR(VLOOKUP(RESOURCE_5_TYPE,COST_RATES,3,FALSE)*Input_Tasks[[#This Row],[R5 After Hours]],0)</f>
        <v>0</v>
      </c>
      <c r="AQ191" s="399">
        <f>IFERROR(VLOOKUP(RESOURCE_1_TYPE,SELL_RATES,2,FALSE)*Input_Tasks[[#This Row],[R1 Business Hours]],0)+IFERROR(VLOOKUP(RESOURCE_1_TYPE,SELL_RATES,3,FALSE)*Input_Tasks[[#This Row],[R1 After Hours]],0)</f>
        <v>0</v>
      </c>
      <c r="AR191" s="398">
        <f>IFERROR(VLOOKUP(RESOURCE_2_TYPE,SELL_RATES,2,FALSE)*Input_Tasks[[#This Row],[R2 Business Hours]],0)+IFERROR(VLOOKUP(RESOURCE_2_TYPE,SELL_RATES,3,FALSE)*Input_Tasks[[#This Row],[R2 After Hours]],0)</f>
        <v>0</v>
      </c>
      <c r="AS191" s="398">
        <f>IFERROR(VLOOKUP(RESOURCE_3_TYPE,SELL_RATES,2,FALSE)*Input_Tasks[[#This Row],[R3 Business Hours]],0)+IFERROR(VLOOKUP(RESOURCE_3_TYPE,SELL_RATES,3,FALSE)*Input_Tasks[[#This Row],[R3 After Hours]],0)</f>
        <v>0</v>
      </c>
      <c r="AT191" s="398">
        <f>IFERROR(VLOOKUP(RESOURCE_4_TYPE,SELL_RATES,2,FALSE)*Input_Tasks[[#This Row],[R4 Business Hours]],0)+IFERROR(VLOOKUP(RESOURCE_4_TYPE,SELL_RATES,3,FALSE)*Input_Tasks[[#This Row],[R4 After Hours]],0)</f>
        <v>0</v>
      </c>
      <c r="AU191" s="398">
        <f>IFERROR(VLOOKUP(RESOURCE_5_TYPE,SELL_RATES,2,FALSE)*Input_Tasks[[#This Row],[R5 Business Hours]],0)+IFERROR(VLOOKUP(RESOURCE_5_TYPE,SELL_RATES,3,FALSE)*Input_Tasks[[#This Row],[R5 After Hours]],0)</f>
        <v>0</v>
      </c>
      <c r="AV191" s="400">
        <f>SUM(Input_Tasks[[#This Row],[Round Trips R1]:[Round Trips R5]])</f>
        <v>0</v>
      </c>
      <c r="AW191" s="401">
        <f>SUM(Input_Tasks[[#This Row],[Overnight StaysR1]:[Overnight StaysR5]])</f>
        <v>0</v>
      </c>
      <c r="AX191" s="401">
        <f>IF(AND(Input_Tasks[[#This Row],[Sell - Line Total]]&gt;0,OR(Input_Tasks[[#This Row],[Phase]]="",Input_Tasks[[#This Row],[Skill Required]]="",Input_Tasks[[#This Row],[Task Type]]="",Input_Tasks[[#This Row],[Description]]="")),1,0)</f>
        <v>0</v>
      </c>
      <c r="AY191" s="402">
        <f>IF(AND(Input_Tasks[[#This Row],[Task Type]]="ArchiTech Document Deliverable",Input_Tasks[[#This Row],[Hours]]&gt;0),1,0)</f>
        <v>0</v>
      </c>
      <c r="AZ19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9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9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9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9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9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9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9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9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9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9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9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9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91" s="405">
        <f>SUM(Input_Tasks[[#This Row],[R1 Business Hours]:[R1 After Hours]],Input_Tasks[[#This Row],[R2 Business Hours]:[R2 After Hours]],Input_Tasks[[#This Row],[R3 Business Hours]:[R3 After Hours]],Input_Tasks[[#This Row],[R4 Business Hours]:[R4 After Hours]],Input_Tasks[[#This Row],[R5 Business Hours]:[R5 After Hours]])</f>
        <v>0</v>
      </c>
    </row>
    <row r="192" spans="1:65">
      <c r="A192" s="384"/>
      <c r="B192" s="271"/>
      <c r="C192" s="271"/>
      <c r="D192" s="406"/>
      <c r="E192" s="385">
        <f>Input_Tasks[[#This Row],[Onsite Round Trips_Hidden]]</f>
        <v>0</v>
      </c>
      <c r="F192" s="385">
        <f>Input_Tasks[[#This Row],[Overnight Stays_Hidden]]</f>
        <v>0</v>
      </c>
      <c r="G192" s="385">
        <f>Input_Tasks[[#This Row],[Documents_Hidden]]</f>
        <v>0</v>
      </c>
      <c r="H192" s="387"/>
      <c r="I192" s="388"/>
      <c r="J192" s="389"/>
      <c r="K192" s="390"/>
      <c r="L192" s="390"/>
      <c r="M192" s="389"/>
      <c r="N192" s="390"/>
      <c r="O192" s="390"/>
      <c r="P192" s="389"/>
      <c r="Q192" s="390"/>
      <c r="R192" s="391"/>
      <c r="S192" s="389"/>
      <c r="T192" s="390"/>
      <c r="U192" s="391"/>
      <c r="V192" s="389"/>
      <c r="W192" s="390"/>
      <c r="X192" s="390"/>
      <c r="Y192" s="386" t="str">
        <f>Input_Tasks[[#This Row],[Onsite Round Trips_Hidden]]&amp;"/"&amp;Input_Tasks[[#This Row],[Overnight Stays_Hidden]]&amp;"/"&amp;Input_Tasks[[#This Row],[Documents_Hidden]]</f>
        <v>0/0/0</v>
      </c>
      <c r="Z192" s="392">
        <f>Input_Tasks[[#This Row],[R1 Cost_Hidden]]</f>
        <v>0</v>
      </c>
      <c r="AA192" s="393">
        <f>Input_Tasks[[#This Row],[R2 Cost_Hidden]]</f>
        <v>0</v>
      </c>
      <c r="AB192" s="393">
        <f>Input_Tasks[[#This Row],[R3 Cost_Hidden]]</f>
        <v>0</v>
      </c>
      <c r="AC192" s="393">
        <f>Input_Tasks[[#This Row],[R4 Cost_Hidden]]</f>
        <v>0</v>
      </c>
      <c r="AD192" s="394">
        <f>Input_Tasks[[#This Row],[R5 Cost_Hidden]]</f>
        <v>0</v>
      </c>
      <c r="AE192" s="395">
        <f>SUM(Input_Tasks[[#This Row],[R1 Cost]:[R5 Cost]])</f>
        <v>0</v>
      </c>
      <c r="AF192" s="392">
        <f>Input_Tasks[[#This Row],[R1 Sell_Hidden]]</f>
        <v>0</v>
      </c>
      <c r="AG192" s="393">
        <f>Input_Tasks[[#This Row],[R2 Sell_Hidden]]</f>
        <v>0</v>
      </c>
      <c r="AH192" s="393">
        <f>Input_Tasks[[#This Row],[R3 Sell_Hidden]]</f>
        <v>0</v>
      </c>
      <c r="AI192" s="393">
        <f>Input_Tasks[[#This Row],[R4 Sell_Hidden5]]</f>
        <v>0</v>
      </c>
      <c r="AJ192" s="394">
        <f>Input_Tasks[[#This Row],[R5 Sell_Hidden]]</f>
        <v>0</v>
      </c>
      <c r="AK192" s="396">
        <f>SUM(Input_Tasks[[#This Row],[R1 Sell]:[R5 Sell]])</f>
        <v>0</v>
      </c>
      <c r="AL192" s="397">
        <f>IFERROR(VLOOKUP(RESOURCE_1_TYPE,COST_RATES,2,FALSE)*Input_Tasks[[#This Row],[R1 Business Hours]],0)+IFERROR(VLOOKUP(RESOURCE_1_TYPE,COST_RATES,3,FALSE)*Input_Tasks[[#This Row],[R1 After Hours]],0)</f>
        <v>0</v>
      </c>
      <c r="AM192" s="398">
        <f>IFERROR(VLOOKUP(RESOURCE_2_TYPE,COST_RATES,2,FALSE)*Input_Tasks[[#This Row],[R2 Business Hours]],0)+IFERROR(VLOOKUP(RESOURCE_2_TYPE,COST_RATES,3,FALSE)*Input_Tasks[[#This Row],[R2 After Hours]],0)</f>
        <v>0</v>
      </c>
      <c r="AN192" s="398">
        <f>IFERROR(VLOOKUP(RESOURCE_3_TYPE,COST_RATES,2,FALSE)*Input_Tasks[[#This Row],[R3 Business Hours]],0)+IFERROR(VLOOKUP(RESOURCE_3_TYPE,COST_RATES,3,FALSE)*Input_Tasks[[#This Row],[R3 After Hours]],0)</f>
        <v>0</v>
      </c>
      <c r="AO192" s="398">
        <f>IFERROR(VLOOKUP(RESOURCE_4_TYPE,COST_RATES,2,FALSE)*Input_Tasks[[#This Row],[R4 Business Hours]],0)+IFERROR(VLOOKUP(RESOURCE_4_TYPE,COST_RATES,3,FALSE)*Input_Tasks[[#This Row],[R4 After Hours]],0)</f>
        <v>0</v>
      </c>
      <c r="AP192" s="398">
        <f>IFERROR(VLOOKUP(RESOURCE_5_TYPE,COST_RATES,2,FALSE)*Input_Tasks[[#This Row],[R5 Business Hours]],0)+IFERROR(VLOOKUP(RESOURCE_5_TYPE,COST_RATES,3,FALSE)*Input_Tasks[[#This Row],[R5 After Hours]],0)</f>
        <v>0</v>
      </c>
      <c r="AQ192" s="399">
        <f>IFERROR(VLOOKUP(RESOURCE_1_TYPE,SELL_RATES,2,FALSE)*Input_Tasks[[#This Row],[R1 Business Hours]],0)+IFERROR(VLOOKUP(RESOURCE_1_TYPE,SELL_RATES,3,FALSE)*Input_Tasks[[#This Row],[R1 After Hours]],0)</f>
        <v>0</v>
      </c>
      <c r="AR192" s="398">
        <f>IFERROR(VLOOKUP(RESOURCE_2_TYPE,SELL_RATES,2,FALSE)*Input_Tasks[[#This Row],[R2 Business Hours]],0)+IFERROR(VLOOKUP(RESOURCE_2_TYPE,SELL_RATES,3,FALSE)*Input_Tasks[[#This Row],[R2 After Hours]],0)</f>
        <v>0</v>
      </c>
      <c r="AS192" s="398">
        <f>IFERROR(VLOOKUP(RESOURCE_3_TYPE,SELL_RATES,2,FALSE)*Input_Tasks[[#This Row],[R3 Business Hours]],0)+IFERROR(VLOOKUP(RESOURCE_3_TYPE,SELL_RATES,3,FALSE)*Input_Tasks[[#This Row],[R3 After Hours]],0)</f>
        <v>0</v>
      </c>
      <c r="AT192" s="398">
        <f>IFERROR(VLOOKUP(RESOURCE_4_TYPE,SELL_RATES,2,FALSE)*Input_Tasks[[#This Row],[R4 Business Hours]],0)+IFERROR(VLOOKUP(RESOURCE_4_TYPE,SELL_RATES,3,FALSE)*Input_Tasks[[#This Row],[R4 After Hours]],0)</f>
        <v>0</v>
      </c>
      <c r="AU192" s="398">
        <f>IFERROR(VLOOKUP(RESOURCE_5_TYPE,SELL_RATES,2,FALSE)*Input_Tasks[[#This Row],[R5 Business Hours]],0)+IFERROR(VLOOKUP(RESOURCE_5_TYPE,SELL_RATES,3,FALSE)*Input_Tasks[[#This Row],[R5 After Hours]],0)</f>
        <v>0</v>
      </c>
      <c r="AV192" s="400">
        <f>SUM(Input_Tasks[[#This Row],[Round Trips R1]:[Round Trips R5]])</f>
        <v>0</v>
      </c>
      <c r="AW192" s="401">
        <f>SUM(Input_Tasks[[#This Row],[Overnight StaysR1]:[Overnight StaysR5]])</f>
        <v>0</v>
      </c>
      <c r="AX192" s="401">
        <f>IF(AND(Input_Tasks[[#This Row],[Sell - Line Total]]&gt;0,OR(Input_Tasks[[#This Row],[Phase]]="",Input_Tasks[[#This Row],[Skill Required]]="",Input_Tasks[[#This Row],[Task Type]]="",Input_Tasks[[#This Row],[Description]]="")),1,0)</f>
        <v>0</v>
      </c>
      <c r="AY192" s="402">
        <f>IF(AND(Input_Tasks[[#This Row],[Task Type]]="ArchiTech Document Deliverable",Input_Tasks[[#This Row],[Hours]]&gt;0),1,0)</f>
        <v>0</v>
      </c>
      <c r="AZ19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9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9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9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9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9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9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9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9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9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9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9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9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92" s="405">
        <f>SUM(Input_Tasks[[#This Row],[R1 Business Hours]:[R1 After Hours]],Input_Tasks[[#This Row],[R2 Business Hours]:[R2 After Hours]],Input_Tasks[[#This Row],[R3 Business Hours]:[R3 After Hours]],Input_Tasks[[#This Row],[R4 Business Hours]:[R4 After Hours]],Input_Tasks[[#This Row],[R5 Business Hours]:[R5 After Hours]])</f>
        <v>0</v>
      </c>
    </row>
    <row r="193" spans="1:65">
      <c r="A193" s="384"/>
      <c r="B193" s="271"/>
      <c r="C193" s="271"/>
      <c r="D193" s="406"/>
      <c r="E193" s="385">
        <f>Input_Tasks[[#This Row],[Onsite Round Trips_Hidden]]</f>
        <v>0</v>
      </c>
      <c r="F193" s="385">
        <f>Input_Tasks[[#This Row],[Overnight Stays_Hidden]]</f>
        <v>0</v>
      </c>
      <c r="G193" s="385">
        <f>Input_Tasks[[#This Row],[Documents_Hidden]]</f>
        <v>0</v>
      </c>
      <c r="H193" s="387"/>
      <c r="I193" s="388"/>
      <c r="J193" s="389"/>
      <c r="K193" s="390"/>
      <c r="L193" s="390"/>
      <c r="M193" s="389"/>
      <c r="N193" s="390"/>
      <c r="O193" s="390"/>
      <c r="P193" s="389"/>
      <c r="Q193" s="390"/>
      <c r="R193" s="391"/>
      <c r="S193" s="389"/>
      <c r="T193" s="390"/>
      <c r="U193" s="391"/>
      <c r="V193" s="389"/>
      <c r="W193" s="390"/>
      <c r="X193" s="390"/>
      <c r="Y193" s="386" t="str">
        <f>Input_Tasks[[#This Row],[Onsite Round Trips_Hidden]]&amp;"/"&amp;Input_Tasks[[#This Row],[Overnight Stays_Hidden]]&amp;"/"&amp;Input_Tasks[[#This Row],[Documents_Hidden]]</f>
        <v>0/0/0</v>
      </c>
      <c r="Z193" s="392">
        <f>Input_Tasks[[#This Row],[R1 Cost_Hidden]]</f>
        <v>0</v>
      </c>
      <c r="AA193" s="393">
        <f>Input_Tasks[[#This Row],[R2 Cost_Hidden]]</f>
        <v>0</v>
      </c>
      <c r="AB193" s="393">
        <f>Input_Tasks[[#This Row],[R3 Cost_Hidden]]</f>
        <v>0</v>
      </c>
      <c r="AC193" s="393">
        <f>Input_Tasks[[#This Row],[R4 Cost_Hidden]]</f>
        <v>0</v>
      </c>
      <c r="AD193" s="394">
        <f>Input_Tasks[[#This Row],[R5 Cost_Hidden]]</f>
        <v>0</v>
      </c>
      <c r="AE193" s="395">
        <f>SUM(Input_Tasks[[#This Row],[R1 Cost]:[R5 Cost]])</f>
        <v>0</v>
      </c>
      <c r="AF193" s="392">
        <f>Input_Tasks[[#This Row],[R1 Sell_Hidden]]</f>
        <v>0</v>
      </c>
      <c r="AG193" s="393">
        <f>Input_Tasks[[#This Row],[R2 Sell_Hidden]]</f>
        <v>0</v>
      </c>
      <c r="AH193" s="393">
        <f>Input_Tasks[[#This Row],[R3 Sell_Hidden]]</f>
        <v>0</v>
      </c>
      <c r="AI193" s="393">
        <f>Input_Tasks[[#This Row],[R4 Sell_Hidden5]]</f>
        <v>0</v>
      </c>
      <c r="AJ193" s="394">
        <f>Input_Tasks[[#This Row],[R5 Sell_Hidden]]</f>
        <v>0</v>
      </c>
      <c r="AK193" s="396">
        <f>SUM(Input_Tasks[[#This Row],[R1 Sell]:[R5 Sell]])</f>
        <v>0</v>
      </c>
      <c r="AL193" s="397">
        <f>IFERROR(VLOOKUP(RESOURCE_1_TYPE,COST_RATES,2,FALSE)*Input_Tasks[[#This Row],[R1 Business Hours]],0)+IFERROR(VLOOKUP(RESOURCE_1_TYPE,COST_RATES,3,FALSE)*Input_Tasks[[#This Row],[R1 After Hours]],0)</f>
        <v>0</v>
      </c>
      <c r="AM193" s="398">
        <f>IFERROR(VLOOKUP(RESOURCE_2_TYPE,COST_RATES,2,FALSE)*Input_Tasks[[#This Row],[R2 Business Hours]],0)+IFERROR(VLOOKUP(RESOURCE_2_TYPE,COST_RATES,3,FALSE)*Input_Tasks[[#This Row],[R2 After Hours]],0)</f>
        <v>0</v>
      </c>
      <c r="AN193" s="398">
        <f>IFERROR(VLOOKUP(RESOURCE_3_TYPE,COST_RATES,2,FALSE)*Input_Tasks[[#This Row],[R3 Business Hours]],0)+IFERROR(VLOOKUP(RESOURCE_3_TYPE,COST_RATES,3,FALSE)*Input_Tasks[[#This Row],[R3 After Hours]],0)</f>
        <v>0</v>
      </c>
      <c r="AO193" s="398">
        <f>IFERROR(VLOOKUP(RESOURCE_4_TYPE,COST_RATES,2,FALSE)*Input_Tasks[[#This Row],[R4 Business Hours]],0)+IFERROR(VLOOKUP(RESOURCE_4_TYPE,COST_RATES,3,FALSE)*Input_Tasks[[#This Row],[R4 After Hours]],0)</f>
        <v>0</v>
      </c>
      <c r="AP193" s="398">
        <f>IFERROR(VLOOKUP(RESOURCE_5_TYPE,COST_RATES,2,FALSE)*Input_Tasks[[#This Row],[R5 Business Hours]],0)+IFERROR(VLOOKUP(RESOURCE_5_TYPE,COST_RATES,3,FALSE)*Input_Tasks[[#This Row],[R5 After Hours]],0)</f>
        <v>0</v>
      </c>
      <c r="AQ193" s="399">
        <f>IFERROR(VLOOKUP(RESOURCE_1_TYPE,SELL_RATES,2,FALSE)*Input_Tasks[[#This Row],[R1 Business Hours]],0)+IFERROR(VLOOKUP(RESOURCE_1_TYPE,SELL_RATES,3,FALSE)*Input_Tasks[[#This Row],[R1 After Hours]],0)</f>
        <v>0</v>
      </c>
      <c r="AR193" s="398">
        <f>IFERROR(VLOOKUP(RESOURCE_2_TYPE,SELL_RATES,2,FALSE)*Input_Tasks[[#This Row],[R2 Business Hours]],0)+IFERROR(VLOOKUP(RESOURCE_2_TYPE,SELL_RATES,3,FALSE)*Input_Tasks[[#This Row],[R2 After Hours]],0)</f>
        <v>0</v>
      </c>
      <c r="AS193" s="398">
        <f>IFERROR(VLOOKUP(RESOURCE_3_TYPE,SELL_RATES,2,FALSE)*Input_Tasks[[#This Row],[R3 Business Hours]],0)+IFERROR(VLOOKUP(RESOURCE_3_TYPE,SELL_RATES,3,FALSE)*Input_Tasks[[#This Row],[R3 After Hours]],0)</f>
        <v>0</v>
      </c>
      <c r="AT193" s="398">
        <f>IFERROR(VLOOKUP(RESOURCE_4_TYPE,SELL_RATES,2,FALSE)*Input_Tasks[[#This Row],[R4 Business Hours]],0)+IFERROR(VLOOKUP(RESOURCE_4_TYPE,SELL_RATES,3,FALSE)*Input_Tasks[[#This Row],[R4 After Hours]],0)</f>
        <v>0</v>
      </c>
      <c r="AU193" s="398">
        <f>IFERROR(VLOOKUP(RESOURCE_5_TYPE,SELL_RATES,2,FALSE)*Input_Tasks[[#This Row],[R5 Business Hours]],0)+IFERROR(VLOOKUP(RESOURCE_5_TYPE,SELL_RATES,3,FALSE)*Input_Tasks[[#This Row],[R5 After Hours]],0)</f>
        <v>0</v>
      </c>
      <c r="AV193" s="400">
        <f>SUM(Input_Tasks[[#This Row],[Round Trips R1]:[Round Trips R5]])</f>
        <v>0</v>
      </c>
      <c r="AW193" s="401">
        <f>SUM(Input_Tasks[[#This Row],[Overnight StaysR1]:[Overnight StaysR5]])</f>
        <v>0</v>
      </c>
      <c r="AX193" s="401">
        <f>IF(AND(Input_Tasks[[#This Row],[Sell - Line Total]]&gt;0,OR(Input_Tasks[[#This Row],[Phase]]="",Input_Tasks[[#This Row],[Skill Required]]="",Input_Tasks[[#This Row],[Task Type]]="",Input_Tasks[[#This Row],[Description]]="")),1,0)</f>
        <v>0</v>
      </c>
      <c r="AY193" s="402">
        <f>IF(AND(Input_Tasks[[#This Row],[Task Type]]="ArchiTech Document Deliverable",Input_Tasks[[#This Row],[Hours]]&gt;0),1,0)</f>
        <v>0</v>
      </c>
      <c r="AZ19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9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9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9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9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9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9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9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9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9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9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9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9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93" s="405">
        <f>SUM(Input_Tasks[[#This Row],[R1 Business Hours]:[R1 After Hours]],Input_Tasks[[#This Row],[R2 Business Hours]:[R2 After Hours]],Input_Tasks[[#This Row],[R3 Business Hours]:[R3 After Hours]],Input_Tasks[[#This Row],[R4 Business Hours]:[R4 After Hours]],Input_Tasks[[#This Row],[R5 Business Hours]:[R5 After Hours]])</f>
        <v>0</v>
      </c>
    </row>
    <row r="194" spans="1:65">
      <c r="A194" s="384"/>
      <c r="B194" s="271"/>
      <c r="C194" s="271"/>
      <c r="D194" s="406"/>
      <c r="E194" s="385">
        <f>Input_Tasks[[#This Row],[Onsite Round Trips_Hidden]]</f>
        <v>0</v>
      </c>
      <c r="F194" s="385">
        <f>Input_Tasks[[#This Row],[Overnight Stays_Hidden]]</f>
        <v>0</v>
      </c>
      <c r="G194" s="385">
        <f>Input_Tasks[[#This Row],[Documents_Hidden]]</f>
        <v>0</v>
      </c>
      <c r="H194" s="387"/>
      <c r="I194" s="388"/>
      <c r="J194" s="389"/>
      <c r="K194" s="390"/>
      <c r="L194" s="390"/>
      <c r="M194" s="389"/>
      <c r="N194" s="390"/>
      <c r="O194" s="390"/>
      <c r="P194" s="389"/>
      <c r="Q194" s="390"/>
      <c r="R194" s="391"/>
      <c r="S194" s="389"/>
      <c r="T194" s="390"/>
      <c r="U194" s="391"/>
      <c r="V194" s="389"/>
      <c r="W194" s="390"/>
      <c r="X194" s="390"/>
      <c r="Y194" s="386" t="str">
        <f>Input_Tasks[[#This Row],[Onsite Round Trips_Hidden]]&amp;"/"&amp;Input_Tasks[[#This Row],[Overnight Stays_Hidden]]&amp;"/"&amp;Input_Tasks[[#This Row],[Documents_Hidden]]</f>
        <v>0/0/0</v>
      </c>
      <c r="Z194" s="392">
        <f>Input_Tasks[[#This Row],[R1 Cost_Hidden]]</f>
        <v>0</v>
      </c>
      <c r="AA194" s="393">
        <f>Input_Tasks[[#This Row],[R2 Cost_Hidden]]</f>
        <v>0</v>
      </c>
      <c r="AB194" s="393">
        <f>Input_Tasks[[#This Row],[R3 Cost_Hidden]]</f>
        <v>0</v>
      </c>
      <c r="AC194" s="393">
        <f>Input_Tasks[[#This Row],[R4 Cost_Hidden]]</f>
        <v>0</v>
      </c>
      <c r="AD194" s="394">
        <f>Input_Tasks[[#This Row],[R5 Cost_Hidden]]</f>
        <v>0</v>
      </c>
      <c r="AE194" s="395">
        <f>SUM(Input_Tasks[[#This Row],[R1 Cost]:[R5 Cost]])</f>
        <v>0</v>
      </c>
      <c r="AF194" s="392">
        <f>Input_Tasks[[#This Row],[R1 Sell_Hidden]]</f>
        <v>0</v>
      </c>
      <c r="AG194" s="393">
        <f>Input_Tasks[[#This Row],[R2 Sell_Hidden]]</f>
        <v>0</v>
      </c>
      <c r="AH194" s="393">
        <f>Input_Tasks[[#This Row],[R3 Sell_Hidden]]</f>
        <v>0</v>
      </c>
      <c r="AI194" s="393">
        <f>Input_Tasks[[#This Row],[R4 Sell_Hidden5]]</f>
        <v>0</v>
      </c>
      <c r="AJ194" s="394">
        <f>Input_Tasks[[#This Row],[R5 Sell_Hidden]]</f>
        <v>0</v>
      </c>
      <c r="AK194" s="396">
        <f>SUM(Input_Tasks[[#This Row],[R1 Sell]:[R5 Sell]])</f>
        <v>0</v>
      </c>
      <c r="AL194" s="397">
        <f>IFERROR(VLOOKUP(RESOURCE_1_TYPE,COST_RATES,2,FALSE)*Input_Tasks[[#This Row],[R1 Business Hours]],0)+IFERROR(VLOOKUP(RESOURCE_1_TYPE,COST_RATES,3,FALSE)*Input_Tasks[[#This Row],[R1 After Hours]],0)</f>
        <v>0</v>
      </c>
      <c r="AM194" s="398">
        <f>IFERROR(VLOOKUP(RESOURCE_2_TYPE,COST_RATES,2,FALSE)*Input_Tasks[[#This Row],[R2 Business Hours]],0)+IFERROR(VLOOKUP(RESOURCE_2_TYPE,COST_RATES,3,FALSE)*Input_Tasks[[#This Row],[R2 After Hours]],0)</f>
        <v>0</v>
      </c>
      <c r="AN194" s="398">
        <f>IFERROR(VLOOKUP(RESOURCE_3_TYPE,COST_RATES,2,FALSE)*Input_Tasks[[#This Row],[R3 Business Hours]],0)+IFERROR(VLOOKUP(RESOURCE_3_TYPE,COST_RATES,3,FALSE)*Input_Tasks[[#This Row],[R3 After Hours]],0)</f>
        <v>0</v>
      </c>
      <c r="AO194" s="398">
        <f>IFERROR(VLOOKUP(RESOURCE_4_TYPE,COST_RATES,2,FALSE)*Input_Tasks[[#This Row],[R4 Business Hours]],0)+IFERROR(VLOOKUP(RESOURCE_4_TYPE,COST_RATES,3,FALSE)*Input_Tasks[[#This Row],[R4 After Hours]],0)</f>
        <v>0</v>
      </c>
      <c r="AP194" s="398">
        <f>IFERROR(VLOOKUP(RESOURCE_5_TYPE,COST_RATES,2,FALSE)*Input_Tasks[[#This Row],[R5 Business Hours]],0)+IFERROR(VLOOKUP(RESOURCE_5_TYPE,COST_RATES,3,FALSE)*Input_Tasks[[#This Row],[R5 After Hours]],0)</f>
        <v>0</v>
      </c>
      <c r="AQ194" s="399">
        <f>IFERROR(VLOOKUP(RESOURCE_1_TYPE,SELL_RATES,2,FALSE)*Input_Tasks[[#This Row],[R1 Business Hours]],0)+IFERROR(VLOOKUP(RESOURCE_1_TYPE,SELL_RATES,3,FALSE)*Input_Tasks[[#This Row],[R1 After Hours]],0)</f>
        <v>0</v>
      </c>
      <c r="AR194" s="398">
        <f>IFERROR(VLOOKUP(RESOURCE_2_TYPE,SELL_RATES,2,FALSE)*Input_Tasks[[#This Row],[R2 Business Hours]],0)+IFERROR(VLOOKUP(RESOURCE_2_TYPE,SELL_RATES,3,FALSE)*Input_Tasks[[#This Row],[R2 After Hours]],0)</f>
        <v>0</v>
      </c>
      <c r="AS194" s="398">
        <f>IFERROR(VLOOKUP(RESOURCE_3_TYPE,SELL_RATES,2,FALSE)*Input_Tasks[[#This Row],[R3 Business Hours]],0)+IFERROR(VLOOKUP(RESOURCE_3_TYPE,SELL_RATES,3,FALSE)*Input_Tasks[[#This Row],[R3 After Hours]],0)</f>
        <v>0</v>
      </c>
      <c r="AT194" s="398">
        <f>IFERROR(VLOOKUP(RESOURCE_4_TYPE,SELL_RATES,2,FALSE)*Input_Tasks[[#This Row],[R4 Business Hours]],0)+IFERROR(VLOOKUP(RESOURCE_4_TYPE,SELL_RATES,3,FALSE)*Input_Tasks[[#This Row],[R4 After Hours]],0)</f>
        <v>0</v>
      </c>
      <c r="AU194" s="398">
        <f>IFERROR(VLOOKUP(RESOURCE_5_TYPE,SELL_RATES,2,FALSE)*Input_Tasks[[#This Row],[R5 Business Hours]],0)+IFERROR(VLOOKUP(RESOURCE_5_TYPE,SELL_RATES,3,FALSE)*Input_Tasks[[#This Row],[R5 After Hours]],0)</f>
        <v>0</v>
      </c>
      <c r="AV194" s="400">
        <f>SUM(Input_Tasks[[#This Row],[Round Trips R1]:[Round Trips R5]])</f>
        <v>0</v>
      </c>
      <c r="AW194" s="401">
        <f>SUM(Input_Tasks[[#This Row],[Overnight StaysR1]:[Overnight StaysR5]])</f>
        <v>0</v>
      </c>
      <c r="AX194" s="401">
        <f>IF(AND(Input_Tasks[[#This Row],[Sell - Line Total]]&gt;0,OR(Input_Tasks[[#This Row],[Phase]]="",Input_Tasks[[#This Row],[Skill Required]]="",Input_Tasks[[#This Row],[Task Type]]="",Input_Tasks[[#This Row],[Description]]="")),1,0)</f>
        <v>0</v>
      </c>
      <c r="AY194" s="402">
        <f>IF(AND(Input_Tasks[[#This Row],[Task Type]]="ArchiTech Document Deliverable",Input_Tasks[[#This Row],[Hours]]&gt;0),1,0)</f>
        <v>0</v>
      </c>
      <c r="AZ19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9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9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9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9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9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9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9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9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9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9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9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9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94" s="405">
        <f>SUM(Input_Tasks[[#This Row],[R1 Business Hours]:[R1 After Hours]],Input_Tasks[[#This Row],[R2 Business Hours]:[R2 After Hours]],Input_Tasks[[#This Row],[R3 Business Hours]:[R3 After Hours]],Input_Tasks[[#This Row],[R4 Business Hours]:[R4 After Hours]],Input_Tasks[[#This Row],[R5 Business Hours]:[R5 After Hours]])</f>
        <v>0</v>
      </c>
    </row>
    <row r="195" spans="1:65">
      <c r="A195" s="384"/>
      <c r="B195" s="271"/>
      <c r="C195" s="271"/>
      <c r="D195" s="406"/>
      <c r="E195" s="385">
        <f>Input_Tasks[[#This Row],[Onsite Round Trips_Hidden]]</f>
        <v>0</v>
      </c>
      <c r="F195" s="385">
        <f>Input_Tasks[[#This Row],[Overnight Stays_Hidden]]</f>
        <v>0</v>
      </c>
      <c r="G195" s="385">
        <f>Input_Tasks[[#This Row],[Documents_Hidden]]</f>
        <v>0</v>
      </c>
      <c r="H195" s="387"/>
      <c r="I195" s="388"/>
      <c r="J195" s="389"/>
      <c r="K195" s="390"/>
      <c r="L195" s="390"/>
      <c r="M195" s="389"/>
      <c r="N195" s="390"/>
      <c r="O195" s="390"/>
      <c r="P195" s="389"/>
      <c r="Q195" s="390"/>
      <c r="R195" s="391"/>
      <c r="S195" s="389"/>
      <c r="T195" s="390"/>
      <c r="U195" s="391"/>
      <c r="V195" s="389"/>
      <c r="W195" s="390"/>
      <c r="X195" s="390"/>
      <c r="Y195" s="386" t="str">
        <f>Input_Tasks[[#This Row],[Onsite Round Trips_Hidden]]&amp;"/"&amp;Input_Tasks[[#This Row],[Overnight Stays_Hidden]]&amp;"/"&amp;Input_Tasks[[#This Row],[Documents_Hidden]]</f>
        <v>0/0/0</v>
      </c>
      <c r="Z195" s="392">
        <f>Input_Tasks[[#This Row],[R1 Cost_Hidden]]</f>
        <v>0</v>
      </c>
      <c r="AA195" s="393">
        <f>Input_Tasks[[#This Row],[R2 Cost_Hidden]]</f>
        <v>0</v>
      </c>
      <c r="AB195" s="393">
        <f>Input_Tasks[[#This Row],[R3 Cost_Hidden]]</f>
        <v>0</v>
      </c>
      <c r="AC195" s="393">
        <f>Input_Tasks[[#This Row],[R4 Cost_Hidden]]</f>
        <v>0</v>
      </c>
      <c r="AD195" s="394">
        <f>Input_Tasks[[#This Row],[R5 Cost_Hidden]]</f>
        <v>0</v>
      </c>
      <c r="AE195" s="395">
        <f>SUM(Input_Tasks[[#This Row],[R1 Cost]:[R5 Cost]])</f>
        <v>0</v>
      </c>
      <c r="AF195" s="392">
        <f>Input_Tasks[[#This Row],[R1 Sell_Hidden]]</f>
        <v>0</v>
      </c>
      <c r="AG195" s="393">
        <f>Input_Tasks[[#This Row],[R2 Sell_Hidden]]</f>
        <v>0</v>
      </c>
      <c r="AH195" s="393">
        <f>Input_Tasks[[#This Row],[R3 Sell_Hidden]]</f>
        <v>0</v>
      </c>
      <c r="AI195" s="393">
        <f>Input_Tasks[[#This Row],[R4 Sell_Hidden5]]</f>
        <v>0</v>
      </c>
      <c r="AJ195" s="394">
        <f>Input_Tasks[[#This Row],[R5 Sell_Hidden]]</f>
        <v>0</v>
      </c>
      <c r="AK195" s="396">
        <f>SUM(Input_Tasks[[#This Row],[R1 Sell]:[R5 Sell]])</f>
        <v>0</v>
      </c>
      <c r="AL195" s="397">
        <f>IFERROR(VLOOKUP(RESOURCE_1_TYPE,COST_RATES,2,FALSE)*Input_Tasks[[#This Row],[R1 Business Hours]],0)+IFERROR(VLOOKUP(RESOURCE_1_TYPE,COST_RATES,3,FALSE)*Input_Tasks[[#This Row],[R1 After Hours]],0)</f>
        <v>0</v>
      </c>
      <c r="AM195" s="398">
        <f>IFERROR(VLOOKUP(RESOURCE_2_TYPE,COST_RATES,2,FALSE)*Input_Tasks[[#This Row],[R2 Business Hours]],0)+IFERROR(VLOOKUP(RESOURCE_2_TYPE,COST_RATES,3,FALSE)*Input_Tasks[[#This Row],[R2 After Hours]],0)</f>
        <v>0</v>
      </c>
      <c r="AN195" s="398">
        <f>IFERROR(VLOOKUP(RESOURCE_3_TYPE,COST_RATES,2,FALSE)*Input_Tasks[[#This Row],[R3 Business Hours]],0)+IFERROR(VLOOKUP(RESOURCE_3_TYPE,COST_RATES,3,FALSE)*Input_Tasks[[#This Row],[R3 After Hours]],0)</f>
        <v>0</v>
      </c>
      <c r="AO195" s="398">
        <f>IFERROR(VLOOKUP(RESOURCE_4_TYPE,COST_RATES,2,FALSE)*Input_Tasks[[#This Row],[R4 Business Hours]],0)+IFERROR(VLOOKUP(RESOURCE_4_TYPE,COST_RATES,3,FALSE)*Input_Tasks[[#This Row],[R4 After Hours]],0)</f>
        <v>0</v>
      </c>
      <c r="AP195" s="398">
        <f>IFERROR(VLOOKUP(RESOURCE_5_TYPE,COST_RATES,2,FALSE)*Input_Tasks[[#This Row],[R5 Business Hours]],0)+IFERROR(VLOOKUP(RESOURCE_5_TYPE,COST_RATES,3,FALSE)*Input_Tasks[[#This Row],[R5 After Hours]],0)</f>
        <v>0</v>
      </c>
      <c r="AQ195" s="399">
        <f>IFERROR(VLOOKUP(RESOURCE_1_TYPE,SELL_RATES,2,FALSE)*Input_Tasks[[#This Row],[R1 Business Hours]],0)+IFERROR(VLOOKUP(RESOURCE_1_TYPE,SELL_RATES,3,FALSE)*Input_Tasks[[#This Row],[R1 After Hours]],0)</f>
        <v>0</v>
      </c>
      <c r="AR195" s="398">
        <f>IFERROR(VLOOKUP(RESOURCE_2_TYPE,SELL_RATES,2,FALSE)*Input_Tasks[[#This Row],[R2 Business Hours]],0)+IFERROR(VLOOKUP(RESOURCE_2_TYPE,SELL_RATES,3,FALSE)*Input_Tasks[[#This Row],[R2 After Hours]],0)</f>
        <v>0</v>
      </c>
      <c r="AS195" s="398">
        <f>IFERROR(VLOOKUP(RESOURCE_3_TYPE,SELL_RATES,2,FALSE)*Input_Tasks[[#This Row],[R3 Business Hours]],0)+IFERROR(VLOOKUP(RESOURCE_3_TYPE,SELL_RATES,3,FALSE)*Input_Tasks[[#This Row],[R3 After Hours]],0)</f>
        <v>0</v>
      </c>
      <c r="AT195" s="398">
        <f>IFERROR(VLOOKUP(RESOURCE_4_TYPE,SELL_RATES,2,FALSE)*Input_Tasks[[#This Row],[R4 Business Hours]],0)+IFERROR(VLOOKUP(RESOURCE_4_TYPE,SELL_RATES,3,FALSE)*Input_Tasks[[#This Row],[R4 After Hours]],0)</f>
        <v>0</v>
      </c>
      <c r="AU195" s="398">
        <f>IFERROR(VLOOKUP(RESOURCE_5_TYPE,SELL_RATES,2,FALSE)*Input_Tasks[[#This Row],[R5 Business Hours]],0)+IFERROR(VLOOKUP(RESOURCE_5_TYPE,SELL_RATES,3,FALSE)*Input_Tasks[[#This Row],[R5 After Hours]],0)</f>
        <v>0</v>
      </c>
      <c r="AV195" s="400">
        <f>SUM(Input_Tasks[[#This Row],[Round Trips R1]:[Round Trips R5]])</f>
        <v>0</v>
      </c>
      <c r="AW195" s="401">
        <f>SUM(Input_Tasks[[#This Row],[Overnight StaysR1]:[Overnight StaysR5]])</f>
        <v>0</v>
      </c>
      <c r="AX195" s="401">
        <f>IF(AND(Input_Tasks[[#This Row],[Sell - Line Total]]&gt;0,OR(Input_Tasks[[#This Row],[Phase]]="",Input_Tasks[[#This Row],[Skill Required]]="",Input_Tasks[[#This Row],[Task Type]]="",Input_Tasks[[#This Row],[Description]]="")),1,0)</f>
        <v>0</v>
      </c>
      <c r="AY195" s="402">
        <f>IF(AND(Input_Tasks[[#This Row],[Task Type]]="ArchiTech Document Deliverable",Input_Tasks[[#This Row],[Hours]]&gt;0),1,0)</f>
        <v>0</v>
      </c>
      <c r="AZ19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9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9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9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9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9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9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9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9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9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9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9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9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95" s="405">
        <f>SUM(Input_Tasks[[#This Row],[R1 Business Hours]:[R1 After Hours]],Input_Tasks[[#This Row],[R2 Business Hours]:[R2 After Hours]],Input_Tasks[[#This Row],[R3 Business Hours]:[R3 After Hours]],Input_Tasks[[#This Row],[R4 Business Hours]:[R4 After Hours]],Input_Tasks[[#This Row],[R5 Business Hours]:[R5 After Hours]])</f>
        <v>0</v>
      </c>
    </row>
    <row r="196" spans="1:65">
      <c r="A196" s="384"/>
      <c r="B196" s="271"/>
      <c r="C196" s="271"/>
      <c r="D196" s="406"/>
      <c r="E196" s="385">
        <f>Input_Tasks[[#This Row],[Onsite Round Trips_Hidden]]</f>
        <v>0</v>
      </c>
      <c r="F196" s="385">
        <f>Input_Tasks[[#This Row],[Overnight Stays_Hidden]]</f>
        <v>0</v>
      </c>
      <c r="G196" s="385">
        <f>Input_Tasks[[#This Row],[Documents_Hidden]]</f>
        <v>0</v>
      </c>
      <c r="H196" s="387"/>
      <c r="I196" s="388"/>
      <c r="J196" s="389"/>
      <c r="K196" s="390"/>
      <c r="L196" s="390"/>
      <c r="M196" s="389"/>
      <c r="N196" s="390"/>
      <c r="O196" s="390"/>
      <c r="P196" s="389"/>
      <c r="Q196" s="390"/>
      <c r="R196" s="391"/>
      <c r="S196" s="389"/>
      <c r="T196" s="390"/>
      <c r="U196" s="391"/>
      <c r="V196" s="389"/>
      <c r="W196" s="390"/>
      <c r="X196" s="390"/>
      <c r="Y196" s="386" t="str">
        <f>Input_Tasks[[#This Row],[Onsite Round Trips_Hidden]]&amp;"/"&amp;Input_Tasks[[#This Row],[Overnight Stays_Hidden]]&amp;"/"&amp;Input_Tasks[[#This Row],[Documents_Hidden]]</f>
        <v>0/0/0</v>
      </c>
      <c r="Z196" s="392">
        <f>Input_Tasks[[#This Row],[R1 Cost_Hidden]]</f>
        <v>0</v>
      </c>
      <c r="AA196" s="393">
        <f>Input_Tasks[[#This Row],[R2 Cost_Hidden]]</f>
        <v>0</v>
      </c>
      <c r="AB196" s="393">
        <f>Input_Tasks[[#This Row],[R3 Cost_Hidden]]</f>
        <v>0</v>
      </c>
      <c r="AC196" s="393">
        <f>Input_Tasks[[#This Row],[R4 Cost_Hidden]]</f>
        <v>0</v>
      </c>
      <c r="AD196" s="394">
        <f>Input_Tasks[[#This Row],[R5 Cost_Hidden]]</f>
        <v>0</v>
      </c>
      <c r="AE196" s="395">
        <f>SUM(Input_Tasks[[#This Row],[R1 Cost]:[R5 Cost]])</f>
        <v>0</v>
      </c>
      <c r="AF196" s="392">
        <f>Input_Tasks[[#This Row],[R1 Sell_Hidden]]</f>
        <v>0</v>
      </c>
      <c r="AG196" s="393">
        <f>Input_Tasks[[#This Row],[R2 Sell_Hidden]]</f>
        <v>0</v>
      </c>
      <c r="AH196" s="393">
        <f>Input_Tasks[[#This Row],[R3 Sell_Hidden]]</f>
        <v>0</v>
      </c>
      <c r="AI196" s="393">
        <f>Input_Tasks[[#This Row],[R4 Sell_Hidden5]]</f>
        <v>0</v>
      </c>
      <c r="AJ196" s="394">
        <f>Input_Tasks[[#This Row],[R5 Sell_Hidden]]</f>
        <v>0</v>
      </c>
      <c r="AK196" s="396">
        <f>SUM(Input_Tasks[[#This Row],[R1 Sell]:[R5 Sell]])</f>
        <v>0</v>
      </c>
      <c r="AL196" s="397">
        <f>IFERROR(VLOOKUP(RESOURCE_1_TYPE,COST_RATES,2,FALSE)*Input_Tasks[[#This Row],[R1 Business Hours]],0)+IFERROR(VLOOKUP(RESOURCE_1_TYPE,COST_RATES,3,FALSE)*Input_Tasks[[#This Row],[R1 After Hours]],0)</f>
        <v>0</v>
      </c>
      <c r="AM196" s="398">
        <f>IFERROR(VLOOKUP(RESOURCE_2_TYPE,COST_RATES,2,FALSE)*Input_Tasks[[#This Row],[R2 Business Hours]],0)+IFERROR(VLOOKUP(RESOURCE_2_TYPE,COST_RATES,3,FALSE)*Input_Tasks[[#This Row],[R2 After Hours]],0)</f>
        <v>0</v>
      </c>
      <c r="AN196" s="398">
        <f>IFERROR(VLOOKUP(RESOURCE_3_TYPE,COST_RATES,2,FALSE)*Input_Tasks[[#This Row],[R3 Business Hours]],0)+IFERROR(VLOOKUP(RESOURCE_3_TYPE,COST_RATES,3,FALSE)*Input_Tasks[[#This Row],[R3 After Hours]],0)</f>
        <v>0</v>
      </c>
      <c r="AO196" s="398">
        <f>IFERROR(VLOOKUP(RESOURCE_4_TYPE,COST_RATES,2,FALSE)*Input_Tasks[[#This Row],[R4 Business Hours]],0)+IFERROR(VLOOKUP(RESOURCE_4_TYPE,COST_RATES,3,FALSE)*Input_Tasks[[#This Row],[R4 After Hours]],0)</f>
        <v>0</v>
      </c>
      <c r="AP196" s="398">
        <f>IFERROR(VLOOKUP(RESOURCE_5_TYPE,COST_RATES,2,FALSE)*Input_Tasks[[#This Row],[R5 Business Hours]],0)+IFERROR(VLOOKUP(RESOURCE_5_TYPE,COST_RATES,3,FALSE)*Input_Tasks[[#This Row],[R5 After Hours]],0)</f>
        <v>0</v>
      </c>
      <c r="AQ196" s="399">
        <f>IFERROR(VLOOKUP(RESOURCE_1_TYPE,SELL_RATES,2,FALSE)*Input_Tasks[[#This Row],[R1 Business Hours]],0)+IFERROR(VLOOKUP(RESOURCE_1_TYPE,SELL_RATES,3,FALSE)*Input_Tasks[[#This Row],[R1 After Hours]],0)</f>
        <v>0</v>
      </c>
      <c r="AR196" s="398">
        <f>IFERROR(VLOOKUP(RESOURCE_2_TYPE,SELL_RATES,2,FALSE)*Input_Tasks[[#This Row],[R2 Business Hours]],0)+IFERROR(VLOOKUP(RESOURCE_2_TYPE,SELL_RATES,3,FALSE)*Input_Tasks[[#This Row],[R2 After Hours]],0)</f>
        <v>0</v>
      </c>
      <c r="AS196" s="398">
        <f>IFERROR(VLOOKUP(RESOURCE_3_TYPE,SELL_RATES,2,FALSE)*Input_Tasks[[#This Row],[R3 Business Hours]],0)+IFERROR(VLOOKUP(RESOURCE_3_TYPE,SELL_RATES,3,FALSE)*Input_Tasks[[#This Row],[R3 After Hours]],0)</f>
        <v>0</v>
      </c>
      <c r="AT196" s="398">
        <f>IFERROR(VLOOKUP(RESOURCE_4_TYPE,SELL_RATES,2,FALSE)*Input_Tasks[[#This Row],[R4 Business Hours]],0)+IFERROR(VLOOKUP(RESOURCE_4_TYPE,SELL_RATES,3,FALSE)*Input_Tasks[[#This Row],[R4 After Hours]],0)</f>
        <v>0</v>
      </c>
      <c r="AU196" s="398">
        <f>IFERROR(VLOOKUP(RESOURCE_5_TYPE,SELL_RATES,2,FALSE)*Input_Tasks[[#This Row],[R5 Business Hours]],0)+IFERROR(VLOOKUP(RESOURCE_5_TYPE,SELL_RATES,3,FALSE)*Input_Tasks[[#This Row],[R5 After Hours]],0)</f>
        <v>0</v>
      </c>
      <c r="AV196" s="400">
        <f>SUM(Input_Tasks[[#This Row],[Round Trips R1]:[Round Trips R5]])</f>
        <v>0</v>
      </c>
      <c r="AW196" s="401">
        <f>SUM(Input_Tasks[[#This Row],[Overnight StaysR1]:[Overnight StaysR5]])</f>
        <v>0</v>
      </c>
      <c r="AX196" s="401">
        <f>IF(AND(Input_Tasks[[#This Row],[Sell - Line Total]]&gt;0,OR(Input_Tasks[[#This Row],[Phase]]="",Input_Tasks[[#This Row],[Skill Required]]="",Input_Tasks[[#This Row],[Task Type]]="",Input_Tasks[[#This Row],[Description]]="")),1,0)</f>
        <v>0</v>
      </c>
      <c r="AY196" s="402">
        <f>IF(AND(Input_Tasks[[#This Row],[Task Type]]="ArchiTech Document Deliverable",Input_Tasks[[#This Row],[Hours]]&gt;0),1,0)</f>
        <v>0</v>
      </c>
      <c r="AZ19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9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9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9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9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9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9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9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9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9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9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9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9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96" s="405">
        <f>SUM(Input_Tasks[[#This Row],[R1 Business Hours]:[R1 After Hours]],Input_Tasks[[#This Row],[R2 Business Hours]:[R2 After Hours]],Input_Tasks[[#This Row],[R3 Business Hours]:[R3 After Hours]],Input_Tasks[[#This Row],[R4 Business Hours]:[R4 After Hours]],Input_Tasks[[#This Row],[R5 Business Hours]:[R5 After Hours]])</f>
        <v>0</v>
      </c>
    </row>
    <row r="197" spans="1:65">
      <c r="A197" s="384"/>
      <c r="B197" s="271"/>
      <c r="C197" s="271"/>
      <c r="D197" s="406"/>
      <c r="E197" s="385">
        <f>Input_Tasks[[#This Row],[Onsite Round Trips_Hidden]]</f>
        <v>0</v>
      </c>
      <c r="F197" s="385">
        <f>Input_Tasks[[#This Row],[Overnight Stays_Hidden]]</f>
        <v>0</v>
      </c>
      <c r="G197" s="385">
        <f>Input_Tasks[[#This Row],[Documents_Hidden]]</f>
        <v>0</v>
      </c>
      <c r="H197" s="387"/>
      <c r="I197" s="388"/>
      <c r="J197" s="389"/>
      <c r="K197" s="390"/>
      <c r="L197" s="390"/>
      <c r="M197" s="389"/>
      <c r="N197" s="390"/>
      <c r="O197" s="390"/>
      <c r="P197" s="389"/>
      <c r="Q197" s="390"/>
      <c r="R197" s="391"/>
      <c r="S197" s="389"/>
      <c r="T197" s="390"/>
      <c r="U197" s="391"/>
      <c r="V197" s="389"/>
      <c r="W197" s="390"/>
      <c r="X197" s="390"/>
      <c r="Y197" s="386" t="str">
        <f>Input_Tasks[[#This Row],[Onsite Round Trips_Hidden]]&amp;"/"&amp;Input_Tasks[[#This Row],[Overnight Stays_Hidden]]&amp;"/"&amp;Input_Tasks[[#This Row],[Documents_Hidden]]</f>
        <v>0/0/0</v>
      </c>
      <c r="Z197" s="392">
        <f>Input_Tasks[[#This Row],[R1 Cost_Hidden]]</f>
        <v>0</v>
      </c>
      <c r="AA197" s="393">
        <f>Input_Tasks[[#This Row],[R2 Cost_Hidden]]</f>
        <v>0</v>
      </c>
      <c r="AB197" s="393">
        <f>Input_Tasks[[#This Row],[R3 Cost_Hidden]]</f>
        <v>0</v>
      </c>
      <c r="AC197" s="393">
        <f>Input_Tasks[[#This Row],[R4 Cost_Hidden]]</f>
        <v>0</v>
      </c>
      <c r="AD197" s="394">
        <f>Input_Tasks[[#This Row],[R5 Cost_Hidden]]</f>
        <v>0</v>
      </c>
      <c r="AE197" s="395">
        <f>SUM(Input_Tasks[[#This Row],[R1 Cost]:[R5 Cost]])</f>
        <v>0</v>
      </c>
      <c r="AF197" s="392">
        <f>Input_Tasks[[#This Row],[R1 Sell_Hidden]]</f>
        <v>0</v>
      </c>
      <c r="AG197" s="393">
        <f>Input_Tasks[[#This Row],[R2 Sell_Hidden]]</f>
        <v>0</v>
      </c>
      <c r="AH197" s="393">
        <f>Input_Tasks[[#This Row],[R3 Sell_Hidden]]</f>
        <v>0</v>
      </c>
      <c r="AI197" s="393">
        <f>Input_Tasks[[#This Row],[R4 Sell_Hidden5]]</f>
        <v>0</v>
      </c>
      <c r="AJ197" s="394">
        <f>Input_Tasks[[#This Row],[R5 Sell_Hidden]]</f>
        <v>0</v>
      </c>
      <c r="AK197" s="396">
        <f>SUM(Input_Tasks[[#This Row],[R1 Sell]:[R5 Sell]])</f>
        <v>0</v>
      </c>
      <c r="AL197" s="397">
        <f>IFERROR(VLOOKUP(RESOURCE_1_TYPE,COST_RATES,2,FALSE)*Input_Tasks[[#This Row],[R1 Business Hours]],0)+IFERROR(VLOOKUP(RESOURCE_1_TYPE,COST_RATES,3,FALSE)*Input_Tasks[[#This Row],[R1 After Hours]],0)</f>
        <v>0</v>
      </c>
      <c r="AM197" s="398">
        <f>IFERROR(VLOOKUP(RESOURCE_2_TYPE,COST_RATES,2,FALSE)*Input_Tasks[[#This Row],[R2 Business Hours]],0)+IFERROR(VLOOKUP(RESOURCE_2_TYPE,COST_RATES,3,FALSE)*Input_Tasks[[#This Row],[R2 After Hours]],0)</f>
        <v>0</v>
      </c>
      <c r="AN197" s="398">
        <f>IFERROR(VLOOKUP(RESOURCE_3_TYPE,COST_RATES,2,FALSE)*Input_Tasks[[#This Row],[R3 Business Hours]],0)+IFERROR(VLOOKUP(RESOURCE_3_TYPE,COST_RATES,3,FALSE)*Input_Tasks[[#This Row],[R3 After Hours]],0)</f>
        <v>0</v>
      </c>
      <c r="AO197" s="398">
        <f>IFERROR(VLOOKUP(RESOURCE_4_TYPE,COST_RATES,2,FALSE)*Input_Tasks[[#This Row],[R4 Business Hours]],0)+IFERROR(VLOOKUP(RESOURCE_4_TYPE,COST_RATES,3,FALSE)*Input_Tasks[[#This Row],[R4 After Hours]],0)</f>
        <v>0</v>
      </c>
      <c r="AP197" s="398">
        <f>IFERROR(VLOOKUP(RESOURCE_5_TYPE,COST_RATES,2,FALSE)*Input_Tasks[[#This Row],[R5 Business Hours]],0)+IFERROR(VLOOKUP(RESOURCE_5_TYPE,COST_RATES,3,FALSE)*Input_Tasks[[#This Row],[R5 After Hours]],0)</f>
        <v>0</v>
      </c>
      <c r="AQ197" s="399">
        <f>IFERROR(VLOOKUP(RESOURCE_1_TYPE,SELL_RATES,2,FALSE)*Input_Tasks[[#This Row],[R1 Business Hours]],0)+IFERROR(VLOOKUP(RESOURCE_1_TYPE,SELL_RATES,3,FALSE)*Input_Tasks[[#This Row],[R1 After Hours]],0)</f>
        <v>0</v>
      </c>
      <c r="AR197" s="398">
        <f>IFERROR(VLOOKUP(RESOURCE_2_TYPE,SELL_RATES,2,FALSE)*Input_Tasks[[#This Row],[R2 Business Hours]],0)+IFERROR(VLOOKUP(RESOURCE_2_TYPE,SELL_RATES,3,FALSE)*Input_Tasks[[#This Row],[R2 After Hours]],0)</f>
        <v>0</v>
      </c>
      <c r="AS197" s="398">
        <f>IFERROR(VLOOKUP(RESOURCE_3_TYPE,SELL_RATES,2,FALSE)*Input_Tasks[[#This Row],[R3 Business Hours]],0)+IFERROR(VLOOKUP(RESOURCE_3_TYPE,SELL_RATES,3,FALSE)*Input_Tasks[[#This Row],[R3 After Hours]],0)</f>
        <v>0</v>
      </c>
      <c r="AT197" s="398">
        <f>IFERROR(VLOOKUP(RESOURCE_4_TYPE,SELL_RATES,2,FALSE)*Input_Tasks[[#This Row],[R4 Business Hours]],0)+IFERROR(VLOOKUP(RESOURCE_4_TYPE,SELL_RATES,3,FALSE)*Input_Tasks[[#This Row],[R4 After Hours]],0)</f>
        <v>0</v>
      </c>
      <c r="AU197" s="398">
        <f>IFERROR(VLOOKUP(RESOURCE_5_TYPE,SELL_RATES,2,FALSE)*Input_Tasks[[#This Row],[R5 Business Hours]],0)+IFERROR(VLOOKUP(RESOURCE_5_TYPE,SELL_RATES,3,FALSE)*Input_Tasks[[#This Row],[R5 After Hours]],0)</f>
        <v>0</v>
      </c>
      <c r="AV197" s="400">
        <f>SUM(Input_Tasks[[#This Row],[Round Trips R1]:[Round Trips R5]])</f>
        <v>0</v>
      </c>
      <c r="AW197" s="401">
        <f>SUM(Input_Tasks[[#This Row],[Overnight StaysR1]:[Overnight StaysR5]])</f>
        <v>0</v>
      </c>
      <c r="AX197" s="401">
        <f>IF(AND(Input_Tasks[[#This Row],[Sell - Line Total]]&gt;0,OR(Input_Tasks[[#This Row],[Phase]]="",Input_Tasks[[#This Row],[Skill Required]]="",Input_Tasks[[#This Row],[Task Type]]="",Input_Tasks[[#This Row],[Description]]="")),1,0)</f>
        <v>0</v>
      </c>
      <c r="AY197" s="402">
        <f>IF(AND(Input_Tasks[[#This Row],[Task Type]]="ArchiTech Document Deliverable",Input_Tasks[[#This Row],[Hours]]&gt;0),1,0)</f>
        <v>0</v>
      </c>
      <c r="AZ19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9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9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9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9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9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9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9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9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9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9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9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9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97" s="405">
        <f>SUM(Input_Tasks[[#This Row],[R1 Business Hours]:[R1 After Hours]],Input_Tasks[[#This Row],[R2 Business Hours]:[R2 After Hours]],Input_Tasks[[#This Row],[R3 Business Hours]:[R3 After Hours]],Input_Tasks[[#This Row],[R4 Business Hours]:[R4 After Hours]],Input_Tasks[[#This Row],[R5 Business Hours]:[R5 After Hours]])</f>
        <v>0</v>
      </c>
    </row>
    <row r="198" spans="1:65">
      <c r="A198" s="384"/>
      <c r="B198" s="271"/>
      <c r="C198" s="271"/>
      <c r="D198" s="406"/>
      <c r="E198" s="385">
        <f>Input_Tasks[[#This Row],[Onsite Round Trips_Hidden]]</f>
        <v>0</v>
      </c>
      <c r="F198" s="385">
        <f>Input_Tasks[[#This Row],[Overnight Stays_Hidden]]</f>
        <v>0</v>
      </c>
      <c r="G198" s="385">
        <f>Input_Tasks[[#This Row],[Documents_Hidden]]</f>
        <v>0</v>
      </c>
      <c r="H198" s="387"/>
      <c r="I198" s="388"/>
      <c r="J198" s="389"/>
      <c r="K198" s="390"/>
      <c r="L198" s="390"/>
      <c r="M198" s="389"/>
      <c r="N198" s="390"/>
      <c r="O198" s="390"/>
      <c r="P198" s="389"/>
      <c r="Q198" s="390"/>
      <c r="R198" s="391"/>
      <c r="S198" s="389"/>
      <c r="T198" s="390"/>
      <c r="U198" s="391"/>
      <c r="V198" s="389"/>
      <c r="W198" s="390"/>
      <c r="X198" s="390"/>
      <c r="Y198" s="386" t="str">
        <f>Input_Tasks[[#This Row],[Onsite Round Trips_Hidden]]&amp;"/"&amp;Input_Tasks[[#This Row],[Overnight Stays_Hidden]]&amp;"/"&amp;Input_Tasks[[#This Row],[Documents_Hidden]]</f>
        <v>0/0/0</v>
      </c>
      <c r="Z198" s="392">
        <f>Input_Tasks[[#This Row],[R1 Cost_Hidden]]</f>
        <v>0</v>
      </c>
      <c r="AA198" s="393">
        <f>Input_Tasks[[#This Row],[R2 Cost_Hidden]]</f>
        <v>0</v>
      </c>
      <c r="AB198" s="393">
        <f>Input_Tasks[[#This Row],[R3 Cost_Hidden]]</f>
        <v>0</v>
      </c>
      <c r="AC198" s="393">
        <f>Input_Tasks[[#This Row],[R4 Cost_Hidden]]</f>
        <v>0</v>
      </c>
      <c r="AD198" s="394">
        <f>Input_Tasks[[#This Row],[R5 Cost_Hidden]]</f>
        <v>0</v>
      </c>
      <c r="AE198" s="395">
        <f>SUM(Input_Tasks[[#This Row],[R1 Cost]:[R5 Cost]])</f>
        <v>0</v>
      </c>
      <c r="AF198" s="392">
        <f>Input_Tasks[[#This Row],[R1 Sell_Hidden]]</f>
        <v>0</v>
      </c>
      <c r="AG198" s="393">
        <f>Input_Tasks[[#This Row],[R2 Sell_Hidden]]</f>
        <v>0</v>
      </c>
      <c r="AH198" s="393">
        <f>Input_Tasks[[#This Row],[R3 Sell_Hidden]]</f>
        <v>0</v>
      </c>
      <c r="AI198" s="393">
        <f>Input_Tasks[[#This Row],[R4 Sell_Hidden5]]</f>
        <v>0</v>
      </c>
      <c r="AJ198" s="394">
        <f>Input_Tasks[[#This Row],[R5 Sell_Hidden]]</f>
        <v>0</v>
      </c>
      <c r="AK198" s="396">
        <f>SUM(Input_Tasks[[#This Row],[R1 Sell]:[R5 Sell]])</f>
        <v>0</v>
      </c>
      <c r="AL198" s="397">
        <f>IFERROR(VLOOKUP(RESOURCE_1_TYPE,COST_RATES,2,FALSE)*Input_Tasks[[#This Row],[R1 Business Hours]],0)+IFERROR(VLOOKUP(RESOURCE_1_TYPE,COST_RATES,3,FALSE)*Input_Tasks[[#This Row],[R1 After Hours]],0)</f>
        <v>0</v>
      </c>
      <c r="AM198" s="398">
        <f>IFERROR(VLOOKUP(RESOURCE_2_TYPE,COST_RATES,2,FALSE)*Input_Tasks[[#This Row],[R2 Business Hours]],0)+IFERROR(VLOOKUP(RESOURCE_2_TYPE,COST_RATES,3,FALSE)*Input_Tasks[[#This Row],[R2 After Hours]],0)</f>
        <v>0</v>
      </c>
      <c r="AN198" s="398">
        <f>IFERROR(VLOOKUP(RESOURCE_3_TYPE,COST_RATES,2,FALSE)*Input_Tasks[[#This Row],[R3 Business Hours]],0)+IFERROR(VLOOKUP(RESOURCE_3_TYPE,COST_RATES,3,FALSE)*Input_Tasks[[#This Row],[R3 After Hours]],0)</f>
        <v>0</v>
      </c>
      <c r="AO198" s="398">
        <f>IFERROR(VLOOKUP(RESOURCE_4_TYPE,COST_RATES,2,FALSE)*Input_Tasks[[#This Row],[R4 Business Hours]],0)+IFERROR(VLOOKUP(RESOURCE_4_TYPE,COST_RATES,3,FALSE)*Input_Tasks[[#This Row],[R4 After Hours]],0)</f>
        <v>0</v>
      </c>
      <c r="AP198" s="398">
        <f>IFERROR(VLOOKUP(RESOURCE_5_TYPE,COST_RATES,2,FALSE)*Input_Tasks[[#This Row],[R5 Business Hours]],0)+IFERROR(VLOOKUP(RESOURCE_5_TYPE,COST_RATES,3,FALSE)*Input_Tasks[[#This Row],[R5 After Hours]],0)</f>
        <v>0</v>
      </c>
      <c r="AQ198" s="399">
        <f>IFERROR(VLOOKUP(RESOURCE_1_TYPE,SELL_RATES,2,FALSE)*Input_Tasks[[#This Row],[R1 Business Hours]],0)+IFERROR(VLOOKUP(RESOURCE_1_TYPE,SELL_RATES,3,FALSE)*Input_Tasks[[#This Row],[R1 After Hours]],0)</f>
        <v>0</v>
      </c>
      <c r="AR198" s="398">
        <f>IFERROR(VLOOKUP(RESOURCE_2_TYPE,SELL_RATES,2,FALSE)*Input_Tasks[[#This Row],[R2 Business Hours]],0)+IFERROR(VLOOKUP(RESOURCE_2_TYPE,SELL_RATES,3,FALSE)*Input_Tasks[[#This Row],[R2 After Hours]],0)</f>
        <v>0</v>
      </c>
      <c r="AS198" s="398">
        <f>IFERROR(VLOOKUP(RESOURCE_3_TYPE,SELL_RATES,2,FALSE)*Input_Tasks[[#This Row],[R3 Business Hours]],0)+IFERROR(VLOOKUP(RESOURCE_3_TYPE,SELL_RATES,3,FALSE)*Input_Tasks[[#This Row],[R3 After Hours]],0)</f>
        <v>0</v>
      </c>
      <c r="AT198" s="398">
        <f>IFERROR(VLOOKUP(RESOURCE_4_TYPE,SELL_RATES,2,FALSE)*Input_Tasks[[#This Row],[R4 Business Hours]],0)+IFERROR(VLOOKUP(RESOURCE_4_TYPE,SELL_RATES,3,FALSE)*Input_Tasks[[#This Row],[R4 After Hours]],0)</f>
        <v>0</v>
      </c>
      <c r="AU198" s="398">
        <f>IFERROR(VLOOKUP(RESOURCE_5_TYPE,SELL_RATES,2,FALSE)*Input_Tasks[[#This Row],[R5 Business Hours]],0)+IFERROR(VLOOKUP(RESOURCE_5_TYPE,SELL_RATES,3,FALSE)*Input_Tasks[[#This Row],[R5 After Hours]],0)</f>
        <v>0</v>
      </c>
      <c r="AV198" s="400">
        <f>SUM(Input_Tasks[[#This Row],[Round Trips R1]:[Round Trips R5]])</f>
        <v>0</v>
      </c>
      <c r="AW198" s="401">
        <f>SUM(Input_Tasks[[#This Row],[Overnight StaysR1]:[Overnight StaysR5]])</f>
        <v>0</v>
      </c>
      <c r="AX198" s="401">
        <f>IF(AND(Input_Tasks[[#This Row],[Sell - Line Total]]&gt;0,OR(Input_Tasks[[#This Row],[Phase]]="",Input_Tasks[[#This Row],[Skill Required]]="",Input_Tasks[[#This Row],[Task Type]]="",Input_Tasks[[#This Row],[Description]]="")),1,0)</f>
        <v>0</v>
      </c>
      <c r="AY198" s="402">
        <f>IF(AND(Input_Tasks[[#This Row],[Task Type]]="ArchiTech Document Deliverable",Input_Tasks[[#This Row],[Hours]]&gt;0),1,0)</f>
        <v>0</v>
      </c>
      <c r="AZ19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9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9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9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9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9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9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9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9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9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9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9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9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98" s="405">
        <f>SUM(Input_Tasks[[#This Row],[R1 Business Hours]:[R1 After Hours]],Input_Tasks[[#This Row],[R2 Business Hours]:[R2 After Hours]],Input_Tasks[[#This Row],[R3 Business Hours]:[R3 After Hours]],Input_Tasks[[#This Row],[R4 Business Hours]:[R4 After Hours]],Input_Tasks[[#This Row],[R5 Business Hours]:[R5 After Hours]])</f>
        <v>0</v>
      </c>
    </row>
    <row r="199" spans="1:65">
      <c r="A199" s="384"/>
      <c r="B199" s="271"/>
      <c r="C199" s="271"/>
      <c r="D199" s="406"/>
      <c r="E199" s="385">
        <f>Input_Tasks[[#This Row],[Onsite Round Trips_Hidden]]</f>
        <v>0</v>
      </c>
      <c r="F199" s="385">
        <f>Input_Tasks[[#This Row],[Overnight Stays_Hidden]]</f>
        <v>0</v>
      </c>
      <c r="G199" s="385">
        <f>Input_Tasks[[#This Row],[Documents_Hidden]]</f>
        <v>0</v>
      </c>
      <c r="H199" s="387"/>
      <c r="I199" s="388"/>
      <c r="J199" s="389"/>
      <c r="K199" s="390"/>
      <c r="L199" s="390"/>
      <c r="M199" s="389"/>
      <c r="N199" s="390"/>
      <c r="O199" s="390"/>
      <c r="P199" s="389"/>
      <c r="Q199" s="390"/>
      <c r="R199" s="391"/>
      <c r="S199" s="389"/>
      <c r="T199" s="390"/>
      <c r="U199" s="391"/>
      <c r="V199" s="389"/>
      <c r="W199" s="390"/>
      <c r="X199" s="390"/>
      <c r="Y199" s="386" t="str">
        <f>Input_Tasks[[#This Row],[Onsite Round Trips_Hidden]]&amp;"/"&amp;Input_Tasks[[#This Row],[Overnight Stays_Hidden]]&amp;"/"&amp;Input_Tasks[[#This Row],[Documents_Hidden]]</f>
        <v>0/0/0</v>
      </c>
      <c r="Z199" s="392">
        <f>Input_Tasks[[#This Row],[R1 Cost_Hidden]]</f>
        <v>0</v>
      </c>
      <c r="AA199" s="393">
        <f>Input_Tasks[[#This Row],[R2 Cost_Hidden]]</f>
        <v>0</v>
      </c>
      <c r="AB199" s="393">
        <f>Input_Tasks[[#This Row],[R3 Cost_Hidden]]</f>
        <v>0</v>
      </c>
      <c r="AC199" s="393">
        <f>Input_Tasks[[#This Row],[R4 Cost_Hidden]]</f>
        <v>0</v>
      </c>
      <c r="AD199" s="394">
        <f>Input_Tasks[[#This Row],[R5 Cost_Hidden]]</f>
        <v>0</v>
      </c>
      <c r="AE199" s="395">
        <f>SUM(Input_Tasks[[#This Row],[R1 Cost]:[R5 Cost]])</f>
        <v>0</v>
      </c>
      <c r="AF199" s="392">
        <f>Input_Tasks[[#This Row],[R1 Sell_Hidden]]</f>
        <v>0</v>
      </c>
      <c r="AG199" s="393">
        <f>Input_Tasks[[#This Row],[R2 Sell_Hidden]]</f>
        <v>0</v>
      </c>
      <c r="AH199" s="393">
        <f>Input_Tasks[[#This Row],[R3 Sell_Hidden]]</f>
        <v>0</v>
      </c>
      <c r="AI199" s="393">
        <f>Input_Tasks[[#This Row],[R4 Sell_Hidden5]]</f>
        <v>0</v>
      </c>
      <c r="AJ199" s="394">
        <f>Input_Tasks[[#This Row],[R5 Sell_Hidden]]</f>
        <v>0</v>
      </c>
      <c r="AK199" s="396">
        <f>SUM(Input_Tasks[[#This Row],[R1 Sell]:[R5 Sell]])</f>
        <v>0</v>
      </c>
      <c r="AL199" s="397">
        <f>IFERROR(VLOOKUP(RESOURCE_1_TYPE,COST_RATES,2,FALSE)*Input_Tasks[[#This Row],[R1 Business Hours]],0)+IFERROR(VLOOKUP(RESOURCE_1_TYPE,COST_RATES,3,FALSE)*Input_Tasks[[#This Row],[R1 After Hours]],0)</f>
        <v>0</v>
      </c>
      <c r="AM199" s="398">
        <f>IFERROR(VLOOKUP(RESOURCE_2_TYPE,COST_RATES,2,FALSE)*Input_Tasks[[#This Row],[R2 Business Hours]],0)+IFERROR(VLOOKUP(RESOURCE_2_TYPE,COST_RATES,3,FALSE)*Input_Tasks[[#This Row],[R2 After Hours]],0)</f>
        <v>0</v>
      </c>
      <c r="AN199" s="398">
        <f>IFERROR(VLOOKUP(RESOURCE_3_TYPE,COST_RATES,2,FALSE)*Input_Tasks[[#This Row],[R3 Business Hours]],0)+IFERROR(VLOOKUP(RESOURCE_3_TYPE,COST_RATES,3,FALSE)*Input_Tasks[[#This Row],[R3 After Hours]],0)</f>
        <v>0</v>
      </c>
      <c r="AO199" s="398">
        <f>IFERROR(VLOOKUP(RESOURCE_4_TYPE,COST_RATES,2,FALSE)*Input_Tasks[[#This Row],[R4 Business Hours]],0)+IFERROR(VLOOKUP(RESOURCE_4_TYPE,COST_RATES,3,FALSE)*Input_Tasks[[#This Row],[R4 After Hours]],0)</f>
        <v>0</v>
      </c>
      <c r="AP199" s="398">
        <f>IFERROR(VLOOKUP(RESOURCE_5_TYPE,COST_RATES,2,FALSE)*Input_Tasks[[#This Row],[R5 Business Hours]],0)+IFERROR(VLOOKUP(RESOURCE_5_TYPE,COST_RATES,3,FALSE)*Input_Tasks[[#This Row],[R5 After Hours]],0)</f>
        <v>0</v>
      </c>
      <c r="AQ199" s="399">
        <f>IFERROR(VLOOKUP(RESOURCE_1_TYPE,SELL_RATES,2,FALSE)*Input_Tasks[[#This Row],[R1 Business Hours]],0)+IFERROR(VLOOKUP(RESOURCE_1_TYPE,SELL_RATES,3,FALSE)*Input_Tasks[[#This Row],[R1 After Hours]],0)</f>
        <v>0</v>
      </c>
      <c r="AR199" s="398">
        <f>IFERROR(VLOOKUP(RESOURCE_2_TYPE,SELL_RATES,2,FALSE)*Input_Tasks[[#This Row],[R2 Business Hours]],0)+IFERROR(VLOOKUP(RESOURCE_2_TYPE,SELL_RATES,3,FALSE)*Input_Tasks[[#This Row],[R2 After Hours]],0)</f>
        <v>0</v>
      </c>
      <c r="AS199" s="398">
        <f>IFERROR(VLOOKUP(RESOURCE_3_TYPE,SELL_RATES,2,FALSE)*Input_Tasks[[#This Row],[R3 Business Hours]],0)+IFERROR(VLOOKUP(RESOURCE_3_TYPE,SELL_RATES,3,FALSE)*Input_Tasks[[#This Row],[R3 After Hours]],0)</f>
        <v>0</v>
      </c>
      <c r="AT199" s="398">
        <f>IFERROR(VLOOKUP(RESOURCE_4_TYPE,SELL_RATES,2,FALSE)*Input_Tasks[[#This Row],[R4 Business Hours]],0)+IFERROR(VLOOKUP(RESOURCE_4_TYPE,SELL_RATES,3,FALSE)*Input_Tasks[[#This Row],[R4 After Hours]],0)</f>
        <v>0</v>
      </c>
      <c r="AU199" s="398">
        <f>IFERROR(VLOOKUP(RESOURCE_5_TYPE,SELL_RATES,2,FALSE)*Input_Tasks[[#This Row],[R5 Business Hours]],0)+IFERROR(VLOOKUP(RESOURCE_5_TYPE,SELL_RATES,3,FALSE)*Input_Tasks[[#This Row],[R5 After Hours]],0)</f>
        <v>0</v>
      </c>
      <c r="AV199" s="400">
        <f>SUM(Input_Tasks[[#This Row],[Round Trips R1]:[Round Trips R5]])</f>
        <v>0</v>
      </c>
      <c r="AW199" s="401">
        <f>SUM(Input_Tasks[[#This Row],[Overnight StaysR1]:[Overnight StaysR5]])</f>
        <v>0</v>
      </c>
      <c r="AX199" s="401">
        <f>IF(AND(Input_Tasks[[#This Row],[Sell - Line Total]]&gt;0,OR(Input_Tasks[[#This Row],[Phase]]="",Input_Tasks[[#This Row],[Skill Required]]="",Input_Tasks[[#This Row],[Task Type]]="",Input_Tasks[[#This Row],[Description]]="")),1,0)</f>
        <v>0</v>
      </c>
      <c r="AY199" s="402">
        <f>IF(AND(Input_Tasks[[#This Row],[Task Type]]="ArchiTech Document Deliverable",Input_Tasks[[#This Row],[Hours]]&gt;0),1,0)</f>
        <v>0</v>
      </c>
      <c r="AZ19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19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19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19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19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19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19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19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19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19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19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19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19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199" s="405">
        <f>SUM(Input_Tasks[[#This Row],[R1 Business Hours]:[R1 After Hours]],Input_Tasks[[#This Row],[R2 Business Hours]:[R2 After Hours]],Input_Tasks[[#This Row],[R3 Business Hours]:[R3 After Hours]],Input_Tasks[[#This Row],[R4 Business Hours]:[R4 After Hours]],Input_Tasks[[#This Row],[R5 Business Hours]:[R5 After Hours]])</f>
        <v>0</v>
      </c>
    </row>
    <row r="200" spans="1:65">
      <c r="A200" s="384"/>
      <c r="B200" s="271"/>
      <c r="C200" s="271"/>
      <c r="D200" s="406"/>
      <c r="E200" s="385">
        <f>Input_Tasks[[#This Row],[Onsite Round Trips_Hidden]]</f>
        <v>0</v>
      </c>
      <c r="F200" s="385">
        <f>Input_Tasks[[#This Row],[Overnight Stays_Hidden]]</f>
        <v>0</v>
      </c>
      <c r="G200" s="385">
        <f>Input_Tasks[[#This Row],[Documents_Hidden]]</f>
        <v>0</v>
      </c>
      <c r="H200" s="387"/>
      <c r="I200" s="388"/>
      <c r="J200" s="389"/>
      <c r="K200" s="390"/>
      <c r="L200" s="390"/>
      <c r="M200" s="389"/>
      <c r="N200" s="390"/>
      <c r="O200" s="390"/>
      <c r="P200" s="389"/>
      <c r="Q200" s="390"/>
      <c r="R200" s="391"/>
      <c r="S200" s="389"/>
      <c r="T200" s="390"/>
      <c r="U200" s="391"/>
      <c r="V200" s="389"/>
      <c r="W200" s="390"/>
      <c r="X200" s="390"/>
      <c r="Y200" s="386" t="str">
        <f>Input_Tasks[[#This Row],[Onsite Round Trips_Hidden]]&amp;"/"&amp;Input_Tasks[[#This Row],[Overnight Stays_Hidden]]&amp;"/"&amp;Input_Tasks[[#This Row],[Documents_Hidden]]</f>
        <v>0/0/0</v>
      </c>
      <c r="Z200" s="392">
        <f>Input_Tasks[[#This Row],[R1 Cost_Hidden]]</f>
        <v>0</v>
      </c>
      <c r="AA200" s="393">
        <f>Input_Tasks[[#This Row],[R2 Cost_Hidden]]</f>
        <v>0</v>
      </c>
      <c r="AB200" s="393">
        <f>Input_Tasks[[#This Row],[R3 Cost_Hidden]]</f>
        <v>0</v>
      </c>
      <c r="AC200" s="393">
        <f>Input_Tasks[[#This Row],[R4 Cost_Hidden]]</f>
        <v>0</v>
      </c>
      <c r="AD200" s="394">
        <f>Input_Tasks[[#This Row],[R5 Cost_Hidden]]</f>
        <v>0</v>
      </c>
      <c r="AE200" s="395">
        <f>SUM(Input_Tasks[[#This Row],[R1 Cost]:[R5 Cost]])</f>
        <v>0</v>
      </c>
      <c r="AF200" s="392">
        <f>Input_Tasks[[#This Row],[R1 Sell_Hidden]]</f>
        <v>0</v>
      </c>
      <c r="AG200" s="393">
        <f>Input_Tasks[[#This Row],[R2 Sell_Hidden]]</f>
        <v>0</v>
      </c>
      <c r="AH200" s="393">
        <f>Input_Tasks[[#This Row],[R3 Sell_Hidden]]</f>
        <v>0</v>
      </c>
      <c r="AI200" s="393">
        <f>Input_Tasks[[#This Row],[R4 Sell_Hidden5]]</f>
        <v>0</v>
      </c>
      <c r="AJ200" s="394">
        <f>Input_Tasks[[#This Row],[R5 Sell_Hidden]]</f>
        <v>0</v>
      </c>
      <c r="AK200" s="396">
        <f>SUM(Input_Tasks[[#This Row],[R1 Sell]:[R5 Sell]])</f>
        <v>0</v>
      </c>
      <c r="AL200" s="397">
        <f>IFERROR(VLOOKUP(RESOURCE_1_TYPE,COST_RATES,2,FALSE)*Input_Tasks[[#This Row],[R1 Business Hours]],0)+IFERROR(VLOOKUP(RESOURCE_1_TYPE,COST_RATES,3,FALSE)*Input_Tasks[[#This Row],[R1 After Hours]],0)</f>
        <v>0</v>
      </c>
      <c r="AM200" s="398">
        <f>IFERROR(VLOOKUP(RESOURCE_2_TYPE,COST_RATES,2,FALSE)*Input_Tasks[[#This Row],[R2 Business Hours]],0)+IFERROR(VLOOKUP(RESOURCE_2_TYPE,COST_RATES,3,FALSE)*Input_Tasks[[#This Row],[R2 After Hours]],0)</f>
        <v>0</v>
      </c>
      <c r="AN200" s="398">
        <f>IFERROR(VLOOKUP(RESOURCE_3_TYPE,COST_RATES,2,FALSE)*Input_Tasks[[#This Row],[R3 Business Hours]],0)+IFERROR(VLOOKUP(RESOURCE_3_TYPE,COST_RATES,3,FALSE)*Input_Tasks[[#This Row],[R3 After Hours]],0)</f>
        <v>0</v>
      </c>
      <c r="AO200" s="398">
        <f>IFERROR(VLOOKUP(RESOURCE_4_TYPE,COST_RATES,2,FALSE)*Input_Tasks[[#This Row],[R4 Business Hours]],0)+IFERROR(VLOOKUP(RESOURCE_4_TYPE,COST_RATES,3,FALSE)*Input_Tasks[[#This Row],[R4 After Hours]],0)</f>
        <v>0</v>
      </c>
      <c r="AP200" s="398">
        <f>IFERROR(VLOOKUP(RESOURCE_5_TYPE,COST_RATES,2,FALSE)*Input_Tasks[[#This Row],[R5 Business Hours]],0)+IFERROR(VLOOKUP(RESOURCE_5_TYPE,COST_RATES,3,FALSE)*Input_Tasks[[#This Row],[R5 After Hours]],0)</f>
        <v>0</v>
      </c>
      <c r="AQ200" s="399">
        <f>IFERROR(VLOOKUP(RESOURCE_1_TYPE,SELL_RATES,2,FALSE)*Input_Tasks[[#This Row],[R1 Business Hours]],0)+IFERROR(VLOOKUP(RESOURCE_1_TYPE,SELL_RATES,3,FALSE)*Input_Tasks[[#This Row],[R1 After Hours]],0)</f>
        <v>0</v>
      </c>
      <c r="AR200" s="398">
        <f>IFERROR(VLOOKUP(RESOURCE_2_TYPE,SELL_RATES,2,FALSE)*Input_Tasks[[#This Row],[R2 Business Hours]],0)+IFERROR(VLOOKUP(RESOURCE_2_TYPE,SELL_RATES,3,FALSE)*Input_Tasks[[#This Row],[R2 After Hours]],0)</f>
        <v>0</v>
      </c>
      <c r="AS200" s="398">
        <f>IFERROR(VLOOKUP(RESOURCE_3_TYPE,SELL_RATES,2,FALSE)*Input_Tasks[[#This Row],[R3 Business Hours]],0)+IFERROR(VLOOKUP(RESOURCE_3_TYPE,SELL_RATES,3,FALSE)*Input_Tasks[[#This Row],[R3 After Hours]],0)</f>
        <v>0</v>
      </c>
      <c r="AT200" s="398">
        <f>IFERROR(VLOOKUP(RESOURCE_4_TYPE,SELL_RATES,2,FALSE)*Input_Tasks[[#This Row],[R4 Business Hours]],0)+IFERROR(VLOOKUP(RESOURCE_4_TYPE,SELL_RATES,3,FALSE)*Input_Tasks[[#This Row],[R4 After Hours]],0)</f>
        <v>0</v>
      </c>
      <c r="AU200" s="398">
        <f>IFERROR(VLOOKUP(RESOURCE_5_TYPE,SELL_RATES,2,FALSE)*Input_Tasks[[#This Row],[R5 Business Hours]],0)+IFERROR(VLOOKUP(RESOURCE_5_TYPE,SELL_RATES,3,FALSE)*Input_Tasks[[#This Row],[R5 After Hours]],0)</f>
        <v>0</v>
      </c>
      <c r="AV200" s="400">
        <f>SUM(Input_Tasks[[#This Row],[Round Trips R1]:[Round Trips R5]])</f>
        <v>0</v>
      </c>
      <c r="AW200" s="401">
        <f>SUM(Input_Tasks[[#This Row],[Overnight StaysR1]:[Overnight StaysR5]])</f>
        <v>0</v>
      </c>
      <c r="AX200" s="401">
        <f>IF(AND(Input_Tasks[[#This Row],[Sell - Line Total]]&gt;0,OR(Input_Tasks[[#This Row],[Phase]]="",Input_Tasks[[#This Row],[Skill Required]]="",Input_Tasks[[#This Row],[Task Type]]="",Input_Tasks[[#This Row],[Description]]="")),1,0)</f>
        <v>0</v>
      </c>
      <c r="AY200" s="402">
        <f>IF(AND(Input_Tasks[[#This Row],[Task Type]]="ArchiTech Document Deliverable",Input_Tasks[[#This Row],[Hours]]&gt;0),1,0)</f>
        <v>0</v>
      </c>
      <c r="AZ20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0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0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0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0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0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0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0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0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0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0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0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0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00" s="405">
        <f>SUM(Input_Tasks[[#This Row],[R1 Business Hours]:[R1 After Hours]],Input_Tasks[[#This Row],[R2 Business Hours]:[R2 After Hours]],Input_Tasks[[#This Row],[R3 Business Hours]:[R3 After Hours]],Input_Tasks[[#This Row],[R4 Business Hours]:[R4 After Hours]],Input_Tasks[[#This Row],[R5 Business Hours]:[R5 After Hours]])</f>
        <v>0</v>
      </c>
    </row>
    <row r="201" spans="1:65">
      <c r="A201" s="384"/>
      <c r="B201" s="271"/>
      <c r="C201" s="271"/>
      <c r="D201" s="406"/>
      <c r="E201" s="385">
        <f>Input_Tasks[[#This Row],[Onsite Round Trips_Hidden]]</f>
        <v>0</v>
      </c>
      <c r="F201" s="385">
        <f>Input_Tasks[[#This Row],[Overnight Stays_Hidden]]</f>
        <v>0</v>
      </c>
      <c r="G201" s="385">
        <f>Input_Tasks[[#This Row],[Documents_Hidden]]</f>
        <v>0</v>
      </c>
      <c r="H201" s="387"/>
      <c r="I201" s="388"/>
      <c r="J201" s="389"/>
      <c r="K201" s="390"/>
      <c r="L201" s="390"/>
      <c r="M201" s="389"/>
      <c r="N201" s="390"/>
      <c r="O201" s="390"/>
      <c r="P201" s="389"/>
      <c r="Q201" s="390"/>
      <c r="R201" s="391"/>
      <c r="S201" s="389"/>
      <c r="T201" s="390"/>
      <c r="U201" s="391"/>
      <c r="V201" s="389"/>
      <c r="W201" s="390"/>
      <c r="X201" s="390"/>
      <c r="Y201" s="386" t="str">
        <f>Input_Tasks[[#This Row],[Onsite Round Trips_Hidden]]&amp;"/"&amp;Input_Tasks[[#This Row],[Overnight Stays_Hidden]]&amp;"/"&amp;Input_Tasks[[#This Row],[Documents_Hidden]]</f>
        <v>0/0/0</v>
      </c>
      <c r="Z201" s="392">
        <f>Input_Tasks[[#This Row],[R1 Cost_Hidden]]</f>
        <v>0</v>
      </c>
      <c r="AA201" s="393">
        <f>Input_Tasks[[#This Row],[R2 Cost_Hidden]]</f>
        <v>0</v>
      </c>
      <c r="AB201" s="393">
        <f>Input_Tasks[[#This Row],[R3 Cost_Hidden]]</f>
        <v>0</v>
      </c>
      <c r="AC201" s="393">
        <f>Input_Tasks[[#This Row],[R4 Cost_Hidden]]</f>
        <v>0</v>
      </c>
      <c r="AD201" s="394">
        <f>Input_Tasks[[#This Row],[R5 Cost_Hidden]]</f>
        <v>0</v>
      </c>
      <c r="AE201" s="395">
        <f>SUM(Input_Tasks[[#This Row],[R1 Cost]:[R5 Cost]])</f>
        <v>0</v>
      </c>
      <c r="AF201" s="392">
        <f>Input_Tasks[[#This Row],[R1 Sell_Hidden]]</f>
        <v>0</v>
      </c>
      <c r="AG201" s="393">
        <f>Input_Tasks[[#This Row],[R2 Sell_Hidden]]</f>
        <v>0</v>
      </c>
      <c r="AH201" s="393">
        <f>Input_Tasks[[#This Row],[R3 Sell_Hidden]]</f>
        <v>0</v>
      </c>
      <c r="AI201" s="393">
        <f>Input_Tasks[[#This Row],[R4 Sell_Hidden5]]</f>
        <v>0</v>
      </c>
      <c r="AJ201" s="394">
        <f>Input_Tasks[[#This Row],[R5 Sell_Hidden]]</f>
        <v>0</v>
      </c>
      <c r="AK201" s="396">
        <f>SUM(Input_Tasks[[#This Row],[R1 Sell]:[R5 Sell]])</f>
        <v>0</v>
      </c>
      <c r="AL201" s="397">
        <f>IFERROR(VLOOKUP(RESOURCE_1_TYPE,COST_RATES,2,FALSE)*Input_Tasks[[#This Row],[R1 Business Hours]],0)+IFERROR(VLOOKUP(RESOURCE_1_TYPE,COST_RATES,3,FALSE)*Input_Tasks[[#This Row],[R1 After Hours]],0)</f>
        <v>0</v>
      </c>
      <c r="AM201" s="398">
        <f>IFERROR(VLOOKUP(RESOURCE_2_TYPE,COST_RATES,2,FALSE)*Input_Tasks[[#This Row],[R2 Business Hours]],0)+IFERROR(VLOOKUP(RESOURCE_2_TYPE,COST_RATES,3,FALSE)*Input_Tasks[[#This Row],[R2 After Hours]],0)</f>
        <v>0</v>
      </c>
      <c r="AN201" s="398">
        <f>IFERROR(VLOOKUP(RESOURCE_3_TYPE,COST_RATES,2,FALSE)*Input_Tasks[[#This Row],[R3 Business Hours]],0)+IFERROR(VLOOKUP(RESOURCE_3_TYPE,COST_RATES,3,FALSE)*Input_Tasks[[#This Row],[R3 After Hours]],0)</f>
        <v>0</v>
      </c>
      <c r="AO201" s="398">
        <f>IFERROR(VLOOKUP(RESOURCE_4_TYPE,COST_RATES,2,FALSE)*Input_Tasks[[#This Row],[R4 Business Hours]],0)+IFERROR(VLOOKUP(RESOURCE_4_TYPE,COST_RATES,3,FALSE)*Input_Tasks[[#This Row],[R4 After Hours]],0)</f>
        <v>0</v>
      </c>
      <c r="AP201" s="398">
        <f>IFERROR(VLOOKUP(RESOURCE_5_TYPE,COST_RATES,2,FALSE)*Input_Tasks[[#This Row],[R5 Business Hours]],0)+IFERROR(VLOOKUP(RESOURCE_5_TYPE,COST_RATES,3,FALSE)*Input_Tasks[[#This Row],[R5 After Hours]],0)</f>
        <v>0</v>
      </c>
      <c r="AQ201" s="399">
        <f>IFERROR(VLOOKUP(RESOURCE_1_TYPE,SELL_RATES,2,FALSE)*Input_Tasks[[#This Row],[R1 Business Hours]],0)+IFERROR(VLOOKUP(RESOURCE_1_TYPE,SELL_RATES,3,FALSE)*Input_Tasks[[#This Row],[R1 After Hours]],0)</f>
        <v>0</v>
      </c>
      <c r="AR201" s="398">
        <f>IFERROR(VLOOKUP(RESOURCE_2_TYPE,SELL_RATES,2,FALSE)*Input_Tasks[[#This Row],[R2 Business Hours]],0)+IFERROR(VLOOKUP(RESOURCE_2_TYPE,SELL_RATES,3,FALSE)*Input_Tasks[[#This Row],[R2 After Hours]],0)</f>
        <v>0</v>
      </c>
      <c r="AS201" s="398">
        <f>IFERROR(VLOOKUP(RESOURCE_3_TYPE,SELL_RATES,2,FALSE)*Input_Tasks[[#This Row],[R3 Business Hours]],0)+IFERROR(VLOOKUP(RESOURCE_3_TYPE,SELL_RATES,3,FALSE)*Input_Tasks[[#This Row],[R3 After Hours]],0)</f>
        <v>0</v>
      </c>
      <c r="AT201" s="398">
        <f>IFERROR(VLOOKUP(RESOURCE_4_TYPE,SELL_RATES,2,FALSE)*Input_Tasks[[#This Row],[R4 Business Hours]],0)+IFERROR(VLOOKUP(RESOURCE_4_TYPE,SELL_RATES,3,FALSE)*Input_Tasks[[#This Row],[R4 After Hours]],0)</f>
        <v>0</v>
      </c>
      <c r="AU201" s="398">
        <f>IFERROR(VLOOKUP(RESOURCE_5_TYPE,SELL_RATES,2,FALSE)*Input_Tasks[[#This Row],[R5 Business Hours]],0)+IFERROR(VLOOKUP(RESOURCE_5_TYPE,SELL_RATES,3,FALSE)*Input_Tasks[[#This Row],[R5 After Hours]],0)</f>
        <v>0</v>
      </c>
      <c r="AV201" s="400">
        <f>SUM(Input_Tasks[[#This Row],[Round Trips R1]:[Round Trips R5]])</f>
        <v>0</v>
      </c>
      <c r="AW201" s="401">
        <f>SUM(Input_Tasks[[#This Row],[Overnight StaysR1]:[Overnight StaysR5]])</f>
        <v>0</v>
      </c>
      <c r="AX201" s="401">
        <f>IF(AND(Input_Tasks[[#This Row],[Sell - Line Total]]&gt;0,OR(Input_Tasks[[#This Row],[Phase]]="",Input_Tasks[[#This Row],[Skill Required]]="",Input_Tasks[[#This Row],[Task Type]]="",Input_Tasks[[#This Row],[Description]]="")),1,0)</f>
        <v>0</v>
      </c>
      <c r="AY201" s="402">
        <f>IF(AND(Input_Tasks[[#This Row],[Task Type]]="ArchiTech Document Deliverable",Input_Tasks[[#This Row],[Hours]]&gt;0),1,0)</f>
        <v>0</v>
      </c>
      <c r="AZ20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0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0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0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0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0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0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0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0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0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0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0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0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01" s="405">
        <f>SUM(Input_Tasks[[#This Row],[R1 Business Hours]:[R1 After Hours]],Input_Tasks[[#This Row],[R2 Business Hours]:[R2 After Hours]],Input_Tasks[[#This Row],[R3 Business Hours]:[R3 After Hours]],Input_Tasks[[#This Row],[R4 Business Hours]:[R4 After Hours]],Input_Tasks[[#This Row],[R5 Business Hours]:[R5 After Hours]])</f>
        <v>0</v>
      </c>
    </row>
    <row r="202" spans="1:65">
      <c r="A202" s="384"/>
      <c r="B202" s="271"/>
      <c r="C202" s="271"/>
      <c r="D202" s="406"/>
      <c r="E202" s="385">
        <f>Input_Tasks[[#This Row],[Onsite Round Trips_Hidden]]</f>
        <v>0</v>
      </c>
      <c r="F202" s="385">
        <f>Input_Tasks[[#This Row],[Overnight Stays_Hidden]]</f>
        <v>0</v>
      </c>
      <c r="G202" s="385">
        <f>Input_Tasks[[#This Row],[Documents_Hidden]]</f>
        <v>0</v>
      </c>
      <c r="H202" s="387"/>
      <c r="I202" s="388"/>
      <c r="J202" s="389"/>
      <c r="K202" s="390"/>
      <c r="L202" s="390"/>
      <c r="M202" s="389"/>
      <c r="N202" s="390"/>
      <c r="O202" s="390"/>
      <c r="P202" s="389"/>
      <c r="Q202" s="390"/>
      <c r="R202" s="391"/>
      <c r="S202" s="389"/>
      <c r="T202" s="390"/>
      <c r="U202" s="391"/>
      <c r="V202" s="389"/>
      <c r="W202" s="390"/>
      <c r="X202" s="390"/>
      <c r="Y202" s="386" t="str">
        <f>Input_Tasks[[#This Row],[Onsite Round Trips_Hidden]]&amp;"/"&amp;Input_Tasks[[#This Row],[Overnight Stays_Hidden]]&amp;"/"&amp;Input_Tasks[[#This Row],[Documents_Hidden]]</f>
        <v>0/0/0</v>
      </c>
      <c r="Z202" s="392">
        <f>Input_Tasks[[#This Row],[R1 Cost_Hidden]]</f>
        <v>0</v>
      </c>
      <c r="AA202" s="393">
        <f>Input_Tasks[[#This Row],[R2 Cost_Hidden]]</f>
        <v>0</v>
      </c>
      <c r="AB202" s="393">
        <f>Input_Tasks[[#This Row],[R3 Cost_Hidden]]</f>
        <v>0</v>
      </c>
      <c r="AC202" s="393">
        <f>Input_Tasks[[#This Row],[R4 Cost_Hidden]]</f>
        <v>0</v>
      </c>
      <c r="AD202" s="394">
        <f>Input_Tasks[[#This Row],[R5 Cost_Hidden]]</f>
        <v>0</v>
      </c>
      <c r="AE202" s="395">
        <f>SUM(Input_Tasks[[#This Row],[R1 Cost]:[R5 Cost]])</f>
        <v>0</v>
      </c>
      <c r="AF202" s="392">
        <f>Input_Tasks[[#This Row],[R1 Sell_Hidden]]</f>
        <v>0</v>
      </c>
      <c r="AG202" s="393">
        <f>Input_Tasks[[#This Row],[R2 Sell_Hidden]]</f>
        <v>0</v>
      </c>
      <c r="AH202" s="393">
        <f>Input_Tasks[[#This Row],[R3 Sell_Hidden]]</f>
        <v>0</v>
      </c>
      <c r="AI202" s="393">
        <f>Input_Tasks[[#This Row],[R4 Sell_Hidden5]]</f>
        <v>0</v>
      </c>
      <c r="AJ202" s="394">
        <f>Input_Tasks[[#This Row],[R5 Sell_Hidden]]</f>
        <v>0</v>
      </c>
      <c r="AK202" s="396">
        <f>SUM(Input_Tasks[[#This Row],[R1 Sell]:[R5 Sell]])</f>
        <v>0</v>
      </c>
      <c r="AL202" s="397">
        <f>IFERROR(VLOOKUP(RESOURCE_1_TYPE,COST_RATES,2,FALSE)*Input_Tasks[[#This Row],[R1 Business Hours]],0)+IFERROR(VLOOKUP(RESOURCE_1_TYPE,COST_RATES,3,FALSE)*Input_Tasks[[#This Row],[R1 After Hours]],0)</f>
        <v>0</v>
      </c>
      <c r="AM202" s="398">
        <f>IFERROR(VLOOKUP(RESOURCE_2_TYPE,COST_RATES,2,FALSE)*Input_Tasks[[#This Row],[R2 Business Hours]],0)+IFERROR(VLOOKUP(RESOURCE_2_TYPE,COST_RATES,3,FALSE)*Input_Tasks[[#This Row],[R2 After Hours]],0)</f>
        <v>0</v>
      </c>
      <c r="AN202" s="398">
        <f>IFERROR(VLOOKUP(RESOURCE_3_TYPE,COST_RATES,2,FALSE)*Input_Tasks[[#This Row],[R3 Business Hours]],0)+IFERROR(VLOOKUP(RESOURCE_3_TYPE,COST_RATES,3,FALSE)*Input_Tasks[[#This Row],[R3 After Hours]],0)</f>
        <v>0</v>
      </c>
      <c r="AO202" s="398">
        <f>IFERROR(VLOOKUP(RESOURCE_4_TYPE,COST_RATES,2,FALSE)*Input_Tasks[[#This Row],[R4 Business Hours]],0)+IFERROR(VLOOKUP(RESOURCE_4_TYPE,COST_RATES,3,FALSE)*Input_Tasks[[#This Row],[R4 After Hours]],0)</f>
        <v>0</v>
      </c>
      <c r="AP202" s="398">
        <f>IFERROR(VLOOKUP(RESOURCE_5_TYPE,COST_RATES,2,FALSE)*Input_Tasks[[#This Row],[R5 Business Hours]],0)+IFERROR(VLOOKUP(RESOURCE_5_TYPE,COST_RATES,3,FALSE)*Input_Tasks[[#This Row],[R5 After Hours]],0)</f>
        <v>0</v>
      </c>
      <c r="AQ202" s="399">
        <f>IFERROR(VLOOKUP(RESOURCE_1_TYPE,SELL_RATES,2,FALSE)*Input_Tasks[[#This Row],[R1 Business Hours]],0)+IFERROR(VLOOKUP(RESOURCE_1_TYPE,SELL_RATES,3,FALSE)*Input_Tasks[[#This Row],[R1 After Hours]],0)</f>
        <v>0</v>
      </c>
      <c r="AR202" s="398">
        <f>IFERROR(VLOOKUP(RESOURCE_2_TYPE,SELL_RATES,2,FALSE)*Input_Tasks[[#This Row],[R2 Business Hours]],0)+IFERROR(VLOOKUP(RESOURCE_2_TYPE,SELL_RATES,3,FALSE)*Input_Tasks[[#This Row],[R2 After Hours]],0)</f>
        <v>0</v>
      </c>
      <c r="AS202" s="398">
        <f>IFERROR(VLOOKUP(RESOURCE_3_TYPE,SELL_RATES,2,FALSE)*Input_Tasks[[#This Row],[R3 Business Hours]],0)+IFERROR(VLOOKUP(RESOURCE_3_TYPE,SELL_RATES,3,FALSE)*Input_Tasks[[#This Row],[R3 After Hours]],0)</f>
        <v>0</v>
      </c>
      <c r="AT202" s="398">
        <f>IFERROR(VLOOKUP(RESOURCE_4_TYPE,SELL_RATES,2,FALSE)*Input_Tasks[[#This Row],[R4 Business Hours]],0)+IFERROR(VLOOKUP(RESOURCE_4_TYPE,SELL_RATES,3,FALSE)*Input_Tasks[[#This Row],[R4 After Hours]],0)</f>
        <v>0</v>
      </c>
      <c r="AU202" s="398">
        <f>IFERROR(VLOOKUP(RESOURCE_5_TYPE,SELL_RATES,2,FALSE)*Input_Tasks[[#This Row],[R5 Business Hours]],0)+IFERROR(VLOOKUP(RESOURCE_5_TYPE,SELL_RATES,3,FALSE)*Input_Tasks[[#This Row],[R5 After Hours]],0)</f>
        <v>0</v>
      </c>
      <c r="AV202" s="400">
        <f>SUM(Input_Tasks[[#This Row],[Round Trips R1]:[Round Trips R5]])</f>
        <v>0</v>
      </c>
      <c r="AW202" s="401">
        <f>SUM(Input_Tasks[[#This Row],[Overnight StaysR1]:[Overnight StaysR5]])</f>
        <v>0</v>
      </c>
      <c r="AX202" s="401">
        <f>IF(AND(Input_Tasks[[#This Row],[Sell - Line Total]]&gt;0,OR(Input_Tasks[[#This Row],[Phase]]="",Input_Tasks[[#This Row],[Skill Required]]="",Input_Tasks[[#This Row],[Task Type]]="",Input_Tasks[[#This Row],[Description]]="")),1,0)</f>
        <v>0</v>
      </c>
      <c r="AY202" s="402">
        <f>IF(AND(Input_Tasks[[#This Row],[Task Type]]="ArchiTech Document Deliverable",Input_Tasks[[#This Row],[Hours]]&gt;0),1,0)</f>
        <v>0</v>
      </c>
      <c r="AZ20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0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0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0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0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0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0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0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0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0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0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0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0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02" s="405">
        <f>SUM(Input_Tasks[[#This Row],[R1 Business Hours]:[R1 After Hours]],Input_Tasks[[#This Row],[R2 Business Hours]:[R2 After Hours]],Input_Tasks[[#This Row],[R3 Business Hours]:[R3 After Hours]],Input_Tasks[[#This Row],[R4 Business Hours]:[R4 After Hours]],Input_Tasks[[#This Row],[R5 Business Hours]:[R5 After Hours]])</f>
        <v>0</v>
      </c>
    </row>
    <row r="203" spans="1:65">
      <c r="A203" s="384"/>
      <c r="B203" s="271"/>
      <c r="C203" s="271"/>
      <c r="D203" s="406"/>
      <c r="E203" s="385">
        <f>Input_Tasks[[#This Row],[Onsite Round Trips_Hidden]]</f>
        <v>0</v>
      </c>
      <c r="F203" s="385">
        <f>Input_Tasks[[#This Row],[Overnight Stays_Hidden]]</f>
        <v>0</v>
      </c>
      <c r="G203" s="385">
        <f>Input_Tasks[[#This Row],[Documents_Hidden]]</f>
        <v>0</v>
      </c>
      <c r="H203" s="387"/>
      <c r="I203" s="388"/>
      <c r="J203" s="389"/>
      <c r="K203" s="390"/>
      <c r="L203" s="390"/>
      <c r="M203" s="389"/>
      <c r="N203" s="390"/>
      <c r="O203" s="390"/>
      <c r="P203" s="389"/>
      <c r="Q203" s="390"/>
      <c r="R203" s="391"/>
      <c r="S203" s="389"/>
      <c r="T203" s="390"/>
      <c r="U203" s="391"/>
      <c r="V203" s="389"/>
      <c r="W203" s="390"/>
      <c r="X203" s="390"/>
      <c r="Y203" s="386" t="str">
        <f>Input_Tasks[[#This Row],[Onsite Round Trips_Hidden]]&amp;"/"&amp;Input_Tasks[[#This Row],[Overnight Stays_Hidden]]&amp;"/"&amp;Input_Tasks[[#This Row],[Documents_Hidden]]</f>
        <v>0/0/0</v>
      </c>
      <c r="Z203" s="392">
        <f>Input_Tasks[[#This Row],[R1 Cost_Hidden]]</f>
        <v>0</v>
      </c>
      <c r="AA203" s="393">
        <f>Input_Tasks[[#This Row],[R2 Cost_Hidden]]</f>
        <v>0</v>
      </c>
      <c r="AB203" s="393">
        <f>Input_Tasks[[#This Row],[R3 Cost_Hidden]]</f>
        <v>0</v>
      </c>
      <c r="AC203" s="393">
        <f>Input_Tasks[[#This Row],[R4 Cost_Hidden]]</f>
        <v>0</v>
      </c>
      <c r="AD203" s="394">
        <f>Input_Tasks[[#This Row],[R5 Cost_Hidden]]</f>
        <v>0</v>
      </c>
      <c r="AE203" s="395">
        <f>SUM(Input_Tasks[[#This Row],[R1 Cost]:[R5 Cost]])</f>
        <v>0</v>
      </c>
      <c r="AF203" s="392">
        <f>Input_Tasks[[#This Row],[R1 Sell_Hidden]]</f>
        <v>0</v>
      </c>
      <c r="AG203" s="393">
        <f>Input_Tasks[[#This Row],[R2 Sell_Hidden]]</f>
        <v>0</v>
      </c>
      <c r="AH203" s="393">
        <f>Input_Tasks[[#This Row],[R3 Sell_Hidden]]</f>
        <v>0</v>
      </c>
      <c r="AI203" s="393">
        <f>Input_Tasks[[#This Row],[R4 Sell_Hidden5]]</f>
        <v>0</v>
      </c>
      <c r="AJ203" s="394">
        <f>Input_Tasks[[#This Row],[R5 Sell_Hidden]]</f>
        <v>0</v>
      </c>
      <c r="AK203" s="396">
        <f>SUM(Input_Tasks[[#This Row],[R1 Sell]:[R5 Sell]])</f>
        <v>0</v>
      </c>
      <c r="AL203" s="397">
        <f>IFERROR(VLOOKUP(RESOURCE_1_TYPE,COST_RATES,2,FALSE)*Input_Tasks[[#This Row],[R1 Business Hours]],0)+IFERROR(VLOOKUP(RESOURCE_1_TYPE,COST_RATES,3,FALSE)*Input_Tasks[[#This Row],[R1 After Hours]],0)</f>
        <v>0</v>
      </c>
      <c r="AM203" s="398">
        <f>IFERROR(VLOOKUP(RESOURCE_2_TYPE,COST_RATES,2,FALSE)*Input_Tasks[[#This Row],[R2 Business Hours]],0)+IFERROR(VLOOKUP(RESOURCE_2_TYPE,COST_RATES,3,FALSE)*Input_Tasks[[#This Row],[R2 After Hours]],0)</f>
        <v>0</v>
      </c>
      <c r="AN203" s="398">
        <f>IFERROR(VLOOKUP(RESOURCE_3_TYPE,COST_RATES,2,FALSE)*Input_Tasks[[#This Row],[R3 Business Hours]],0)+IFERROR(VLOOKUP(RESOURCE_3_TYPE,COST_RATES,3,FALSE)*Input_Tasks[[#This Row],[R3 After Hours]],0)</f>
        <v>0</v>
      </c>
      <c r="AO203" s="398">
        <f>IFERROR(VLOOKUP(RESOURCE_4_TYPE,COST_RATES,2,FALSE)*Input_Tasks[[#This Row],[R4 Business Hours]],0)+IFERROR(VLOOKUP(RESOURCE_4_TYPE,COST_RATES,3,FALSE)*Input_Tasks[[#This Row],[R4 After Hours]],0)</f>
        <v>0</v>
      </c>
      <c r="AP203" s="398">
        <f>IFERROR(VLOOKUP(RESOURCE_5_TYPE,COST_RATES,2,FALSE)*Input_Tasks[[#This Row],[R5 Business Hours]],0)+IFERROR(VLOOKUP(RESOURCE_5_TYPE,COST_RATES,3,FALSE)*Input_Tasks[[#This Row],[R5 After Hours]],0)</f>
        <v>0</v>
      </c>
      <c r="AQ203" s="399">
        <f>IFERROR(VLOOKUP(RESOURCE_1_TYPE,SELL_RATES,2,FALSE)*Input_Tasks[[#This Row],[R1 Business Hours]],0)+IFERROR(VLOOKUP(RESOURCE_1_TYPE,SELL_RATES,3,FALSE)*Input_Tasks[[#This Row],[R1 After Hours]],0)</f>
        <v>0</v>
      </c>
      <c r="AR203" s="398">
        <f>IFERROR(VLOOKUP(RESOURCE_2_TYPE,SELL_RATES,2,FALSE)*Input_Tasks[[#This Row],[R2 Business Hours]],0)+IFERROR(VLOOKUP(RESOURCE_2_TYPE,SELL_RATES,3,FALSE)*Input_Tasks[[#This Row],[R2 After Hours]],0)</f>
        <v>0</v>
      </c>
      <c r="AS203" s="398">
        <f>IFERROR(VLOOKUP(RESOURCE_3_TYPE,SELL_RATES,2,FALSE)*Input_Tasks[[#This Row],[R3 Business Hours]],0)+IFERROR(VLOOKUP(RESOURCE_3_TYPE,SELL_RATES,3,FALSE)*Input_Tasks[[#This Row],[R3 After Hours]],0)</f>
        <v>0</v>
      </c>
      <c r="AT203" s="398">
        <f>IFERROR(VLOOKUP(RESOURCE_4_TYPE,SELL_RATES,2,FALSE)*Input_Tasks[[#This Row],[R4 Business Hours]],0)+IFERROR(VLOOKUP(RESOURCE_4_TYPE,SELL_RATES,3,FALSE)*Input_Tasks[[#This Row],[R4 After Hours]],0)</f>
        <v>0</v>
      </c>
      <c r="AU203" s="398">
        <f>IFERROR(VLOOKUP(RESOURCE_5_TYPE,SELL_RATES,2,FALSE)*Input_Tasks[[#This Row],[R5 Business Hours]],0)+IFERROR(VLOOKUP(RESOURCE_5_TYPE,SELL_RATES,3,FALSE)*Input_Tasks[[#This Row],[R5 After Hours]],0)</f>
        <v>0</v>
      </c>
      <c r="AV203" s="400">
        <f>SUM(Input_Tasks[[#This Row],[Round Trips R1]:[Round Trips R5]])</f>
        <v>0</v>
      </c>
      <c r="AW203" s="401">
        <f>SUM(Input_Tasks[[#This Row],[Overnight StaysR1]:[Overnight StaysR5]])</f>
        <v>0</v>
      </c>
      <c r="AX203" s="401">
        <f>IF(AND(Input_Tasks[[#This Row],[Sell - Line Total]]&gt;0,OR(Input_Tasks[[#This Row],[Phase]]="",Input_Tasks[[#This Row],[Skill Required]]="",Input_Tasks[[#This Row],[Task Type]]="",Input_Tasks[[#This Row],[Description]]="")),1,0)</f>
        <v>0</v>
      </c>
      <c r="AY203" s="402">
        <f>IF(AND(Input_Tasks[[#This Row],[Task Type]]="ArchiTech Document Deliverable",Input_Tasks[[#This Row],[Hours]]&gt;0),1,0)</f>
        <v>0</v>
      </c>
      <c r="AZ20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0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0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0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0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0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0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0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0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0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0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0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0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03" s="405">
        <f>SUM(Input_Tasks[[#This Row],[R1 Business Hours]:[R1 After Hours]],Input_Tasks[[#This Row],[R2 Business Hours]:[R2 After Hours]],Input_Tasks[[#This Row],[R3 Business Hours]:[R3 After Hours]],Input_Tasks[[#This Row],[R4 Business Hours]:[R4 After Hours]],Input_Tasks[[#This Row],[R5 Business Hours]:[R5 After Hours]])</f>
        <v>0</v>
      </c>
    </row>
    <row r="204" spans="1:65">
      <c r="A204" s="384"/>
      <c r="B204" s="271"/>
      <c r="C204" s="271"/>
      <c r="D204" s="406"/>
      <c r="E204" s="385">
        <f>Input_Tasks[[#This Row],[Onsite Round Trips_Hidden]]</f>
        <v>0</v>
      </c>
      <c r="F204" s="385">
        <f>Input_Tasks[[#This Row],[Overnight Stays_Hidden]]</f>
        <v>0</v>
      </c>
      <c r="G204" s="385">
        <f>Input_Tasks[[#This Row],[Documents_Hidden]]</f>
        <v>0</v>
      </c>
      <c r="H204" s="387"/>
      <c r="I204" s="388"/>
      <c r="J204" s="389"/>
      <c r="K204" s="390"/>
      <c r="L204" s="390"/>
      <c r="M204" s="389"/>
      <c r="N204" s="390"/>
      <c r="O204" s="390"/>
      <c r="P204" s="389"/>
      <c r="Q204" s="390"/>
      <c r="R204" s="391"/>
      <c r="S204" s="389"/>
      <c r="T204" s="390"/>
      <c r="U204" s="391"/>
      <c r="V204" s="389"/>
      <c r="W204" s="390"/>
      <c r="X204" s="390"/>
      <c r="Y204" s="386" t="str">
        <f>Input_Tasks[[#This Row],[Onsite Round Trips_Hidden]]&amp;"/"&amp;Input_Tasks[[#This Row],[Overnight Stays_Hidden]]&amp;"/"&amp;Input_Tasks[[#This Row],[Documents_Hidden]]</f>
        <v>0/0/0</v>
      </c>
      <c r="Z204" s="392">
        <f>Input_Tasks[[#This Row],[R1 Cost_Hidden]]</f>
        <v>0</v>
      </c>
      <c r="AA204" s="393">
        <f>Input_Tasks[[#This Row],[R2 Cost_Hidden]]</f>
        <v>0</v>
      </c>
      <c r="AB204" s="393">
        <f>Input_Tasks[[#This Row],[R3 Cost_Hidden]]</f>
        <v>0</v>
      </c>
      <c r="AC204" s="393">
        <f>Input_Tasks[[#This Row],[R4 Cost_Hidden]]</f>
        <v>0</v>
      </c>
      <c r="AD204" s="394">
        <f>Input_Tasks[[#This Row],[R5 Cost_Hidden]]</f>
        <v>0</v>
      </c>
      <c r="AE204" s="395">
        <f>SUM(Input_Tasks[[#This Row],[R1 Cost]:[R5 Cost]])</f>
        <v>0</v>
      </c>
      <c r="AF204" s="392">
        <f>Input_Tasks[[#This Row],[R1 Sell_Hidden]]</f>
        <v>0</v>
      </c>
      <c r="AG204" s="393">
        <f>Input_Tasks[[#This Row],[R2 Sell_Hidden]]</f>
        <v>0</v>
      </c>
      <c r="AH204" s="393">
        <f>Input_Tasks[[#This Row],[R3 Sell_Hidden]]</f>
        <v>0</v>
      </c>
      <c r="AI204" s="393">
        <f>Input_Tasks[[#This Row],[R4 Sell_Hidden5]]</f>
        <v>0</v>
      </c>
      <c r="AJ204" s="394">
        <f>Input_Tasks[[#This Row],[R5 Sell_Hidden]]</f>
        <v>0</v>
      </c>
      <c r="AK204" s="396">
        <f>SUM(Input_Tasks[[#This Row],[R1 Sell]:[R5 Sell]])</f>
        <v>0</v>
      </c>
      <c r="AL204" s="397">
        <f>IFERROR(VLOOKUP(RESOURCE_1_TYPE,COST_RATES,2,FALSE)*Input_Tasks[[#This Row],[R1 Business Hours]],0)+IFERROR(VLOOKUP(RESOURCE_1_TYPE,COST_RATES,3,FALSE)*Input_Tasks[[#This Row],[R1 After Hours]],0)</f>
        <v>0</v>
      </c>
      <c r="AM204" s="398">
        <f>IFERROR(VLOOKUP(RESOURCE_2_TYPE,COST_RATES,2,FALSE)*Input_Tasks[[#This Row],[R2 Business Hours]],0)+IFERROR(VLOOKUP(RESOURCE_2_TYPE,COST_RATES,3,FALSE)*Input_Tasks[[#This Row],[R2 After Hours]],0)</f>
        <v>0</v>
      </c>
      <c r="AN204" s="398">
        <f>IFERROR(VLOOKUP(RESOURCE_3_TYPE,COST_RATES,2,FALSE)*Input_Tasks[[#This Row],[R3 Business Hours]],0)+IFERROR(VLOOKUP(RESOURCE_3_TYPE,COST_RATES,3,FALSE)*Input_Tasks[[#This Row],[R3 After Hours]],0)</f>
        <v>0</v>
      </c>
      <c r="AO204" s="398">
        <f>IFERROR(VLOOKUP(RESOURCE_4_TYPE,COST_RATES,2,FALSE)*Input_Tasks[[#This Row],[R4 Business Hours]],0)+IFERROR(VLOOKUP(RESOURCE_4_TYPE,COST_RATES,3,FALSE)*Input_Tasks[[#This Row],[R4 After Hours]],0)</f>
        <v>0</v>
      </c>
      <c r="AP204" s="398">
        <f>IFERROR(VLOOKUP(RESOURCE_5_TYPE,COST_RATES,2,FALSE)*Input_Tasks[[#This Row],[R5 Business Hours]],0)+IFERROR(VLOOKUP(RESOURCE_5_TYPE,COST_RATES,3,FALSE)*Input_Tasks[[#This Row],[R5 After Hours]],0)</f>
        <v>0</v>
      </c>
      <c r="AQ204" s="399">
        <f>IFERROR(VLOOKUP(RESOURCE_1_TYPE,SELL_RATES,2,FALSE)*Input_Tasks[[#This Row],[R1 Business Hours]],0)+IFERROR(VLOOKUP(RESOURCE_1_TYPE,SELL_RATES,3,FALSE)*Input_Tasks[[#This Row],[R1 After Hours]],0)</f>
        <v>0</v>
      </c>
      <c r="AR204" s="398">
        <f>IFERROR(VLOOKUP(RESOURCE_2_TYPE,SELL_RATES,2,FALSE)*Input_Tasks[[#This Row],[R2 Business Hours]],0)+IFERROR(VLOOKUP(RESOURCE_2_TYPE,SELL_RATES,3,FALSE)*Input_Tasks[[#This Row],[R2 After Hours]],0)</f>
        <v>0</v>
      </c>
      <c r="AS204" s="398">
        <f>IFERROR(VLOOKUP(RESOURCE_3_TYPE,SELL_RATES,2,FALSE)*Input_Tasks[[#This Row],[R3 Business Hours]],0)+IFERROR(VLOOKUP(RESOURCE_3_TYPE,SELL_RATES,3,FALSE)*Input_Tasks[[#This Row],[R3 After Hours]],0)</f>
        <v>0</v>
      </c>
      <c r="AT204" s="398">
        <f>IFERROR(VLOOKUP(RESOURCE_4_TYPE,SELL_RATES,2,FALSE)*Input_Tasks[[#This Row],[R4 Business Hours]],0)+IFERROR(VLOOKUP(RESOURCE_4_TYPE,SELL_RATES,3,FALSE)*Input_Tasks[[#This Row],[R4 After Hours]],0)</f>
        <v>0</v>
      </c>
      <c r="AU204" s="398">
        <f>IFERROR(VLOOKUP(RESOURCE_5_TYPE,SELL_RATES,2,FALSE)*Input_Tasks[[#This Row],[R5 Business Hours]],0)+IFERROR(VLOOKUP(RESOURCE_5_TYPE,SELL_RATES,3,FALSE)*Input_Tasks[[#This Row],[R5 After Hours]],0)</f>
        <v>0</v>
      </c>
      <c r="AV204" s="400">
        <f>SUM(Input_Tasks[[#This Row],[Round Trips R1]:[Round Trips R5]])</f>
        <v>0</v>
      </c>
      <c r="AW204" s="401">
        <f>SUM(Input_Tasks[[#This Row],[Overnight StaysR1]:[Overnight StaysR5]])</f>
        <v>0</v>
      </c>
      <c r="AX204" s="401">
        <f>IF(AND(Input_Tasks[[#This Row],[Sell - Line Total]]&gt;0,OR(Input_Tasks[[#This Row],[Phase]]="",Input_Tasks[[#This Row],[Skill Required]]="",Input_Tasks[[#This Row],[Task Type]]="",Input_Tasks[[#This Row],[Description]]="")),1,0)</f>
        <v>0</v>
      </c>
      <c r="AY204" s="402">
        <f>IF(AND(Input_Tasks[[#This Row],[Task Type]]="ArchiTech Document Deliverable",Input_Tasks[[#This Row],[Hours]]&gt;0),1,0)</f>
        <v>0</v>
      </c>
      <c r="AZ20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0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0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0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0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0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0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0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0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0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0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0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0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04" s="405">
        <f>SUM(Input_Tasks[[#This Row],[R1 Business Hours]:[R1 After Hours]],Input_Tasks[[#This Row],[R2 Business Hours]:[R2 After Hours]],Input_Tasks[[#This Row],[R3 Business Hours]:[R3 After Hours]],Input_Tasks[[#This Row],[R4 Business Hours]:[R4 After Hours]],Input_Tasks[[#This Row],[R5 Business Hours]:[R5 After Hours]])</f>
        <v>0</v>
      </c>
    </row>
    <row r="205" spans="1:65">
      <c r="A205" s="384"/>
      <c r="B205" s="271"/>
      <c r="C205" s="271"/>
      <c r="D205" s="406"/>
      <c r="E205" s="385">
        <f>Input_Tasks[[#This Row],[Onsite Round Trips_Hidden]]</f>
        <v>0</v>
      </c>
      <c r="F205" s="385">
        <f>Input_Tasks[[#This Row],[Overnight Stays_Hidden]]</f>
        <v>0</v>
      </c>
      <c r="G205" s="385">
        <f>Input_Tasks[[#This Row],[Documents_Hidden]]</f>
        <v>0</v>
      </c>
      <c r="H205" s="387"/>
      <c r="I205" s="388"/>
      <c r="J205" s="389"/>
      <c r="K205" s="390"/>
      <c r="L205" s="390"/>
      <c r="M205" s="389"/>
      <c r="N205" s="390"/>
      <c r="O205" s="390"/>
      <c r="P205" s="389"/>
      <c r="Q205" s="390"/>
      <c r="R205" s="391"/>
      <c r="S205" s="389"/>
      <c r="T205" s="390"/>
      <c r="U205" s="391"/>
      <c r="V205" s="389"/>
      <c r="W205" s="390"/>
      <c r="X205" s="390"/>
      <c r="Y205" s="386" t="str">
        <f>Input_Tasks[[#This Row],[Onsite Round Trips_Hidden]]&amp;"/"&amp;Input_Tasks[[#This Row],[Overnight Stays_Hidden]]&amp;"/"&amp;Input_Tasks[[#This Row],[Documents_Hidden]]</f>
        <v>0/0/0</v>
      </c>
      <c r="Z205" s="392">
        <f>Input_Tasks[[#This Row],[R1 Cost_Hidden]]</f>
        <v>0</v>
      </c>
      <c r="AA205" s="393">
        <f>Input_Tasks[[#This Row],[R2 Cost_Hidden]]</f>
        <v>0</v>
      </c>
      <c r="AB205" s="393">
        <f>Input_Tasks[[#This Row],[R3 Cost_Hidden]]</f>
        <v>0</v>
      </c>
      <c r="AC205" s="393">
        <f>Input_Tasks[[#This Row],[R4 Cost_Hidden]]</f>
        <v>0</v>
      </c>
      <c r="AD205" s="394">
        <f>Input_Tasks[[#This Row],[R5 Cost_Hidden]]</f>
        <v>0</v>
      </c>
      <c r="AE205" s="395">
        <f>SUM(Input_Tasks[[#This Row],[R1 Cost]:[R5 Cost]])</f>
        <v>0</v>
      </c>
      <c r="AF205" s="392">
        <f>Input_Tasks[[#This Row],[R1 Sell_Hidden]]</f>
        <v>0</v>
      </c>
      <c r="AG205" s="393">
        <f>Input_Tasks[[#This Row],[R2 Sell_Hidden]]</f>
        <v>0</v>
      </c>
      <c r="AH205" s="393">
        <f>Input_Tasks[[#This Row],[R3 Sell_Hidden]]</f>
        <v>0</v>
      </c>
      <c r="AI205" s="393">
        <f>Input_Tasks[[#This Row],[R4 Sell_Hidden5]]</f>
        <v>0</v>
      </c>
      <c r="AJ205" s="394">
        <f>Input_Tasks[[#This Row],[R5 Sell_Hidden]]</f>
        <v>0</v>
      </c>
      <c r="AK205" s="396">
        <f>SUM(Input_Tasks[[#This Row],[R1 Sell]:[R5 Sell]])</f>
        <v>0</v>
      </c>
      <c r="AL205" s="397">
        <f>IFERROR(VLOOKUP(RESOURCE_1_TYPE,COST_RATES,2,FALSE)*Input_Tasks[[#This Row],[R1 Business Hours]],0)+IFERROR(VLOOKUP(RESOURCE_1_TYPE,COST_RATES,3,FALSE)*Input_Tasks[[#This Row],[R1 After Hours]],0)</f>
        <v>0</v>
      </c>
      <c r="AM205" s="398">
        <f>IFERROR(VLOOKUP(RESOURCE_2_TYPE,COST_RATES,2,FALSE)*Input_Tasks[[#This Row],[R2 Business Hours]],0)+IFERROR(VLOOKUP(RESOURCE_2_TYPE,COST_RATES,3,FALSE)*Input_Tasks[[#This Row],[R2 After Hours]],0)</f>
        <v>0</v>
      </c>
      <c r="AN205" s="398">
        <f>IFERROR(VLOOKUP(RESOURCE_3_TYPE,COST_RATES,2,FALSE)*Input_Tasks[[#This Row],[R3 Business Hours]],0)+IFERROR(VLOOKUP(RESOURCE_3_TYPE,COST_RATES,3,FALSE)*Input_Tasks[[#This Row],[R3 After Hours]],0)</f>
        <v>0</v>
      </c>
      <c r="AO205" s="398">
        <f>IFERROR(VLOOKUP(RESOURCE_4_TYPE,COST_RATES,2,FALSE)*Input_Tasks[[#This Row],[R4 Business Hours]],0)+IFERROR(VLOOKUP(RESOURCE_4_TYPE,COST_RATES,3,FALSE)*Input_Tasks[[#This Row],[R4 After Hours]],0)</f>
        <v>0</v>
      </c>
      <c r="AP205" s="398">
        <f>IFERROR(VLOOKUP(RESOURCE_5_TYPE,COST_RATES,2,FALSE)*Input_Tasks[[#This Row],[R5 Business Hours]],0)+IFERROR(VLOOKUP(RESOURCE_5_TYPE,COST_RATES,3,FALSE)*Input_Tasks[[#This Row],[R5 After Hours]],0)</f>
        <v>0</v>
      </c>
      <c r="AQ205" s="399">
        <f>IFERROR(VLOOKUP(RESOURCE_1_TYPE,SELL_RATES,2,FALSE)*Input_Tasks[[#This Row],[R1 Business Hours]],0)+IFERROR(VLOOKUP(RESOURCE_1_TYPE,SELL_RATES,3,FALSE)*Input_Tasks[[#This Row],[R1 After Hours]],0)</f>
        <v>0</v>
      </c>
      <c r="AR205" s="398">
        <f>IFERROR(VLOOKUP(RESOURCE_2_TYPE,SELL_RATES,2,FALSE)*Input_Tasks[[#This Row],[R2 Business Hours]],0)+IFERROR(VLOOKUP(RESOURCE_2_TYPE,SELL_RATES,3,FALSE)*Input_Tasks[[#This Row],[R2 After Hours]],0)</f>
        <v>0</v>
      </c>
      <c r="AS205" s="398">
        <f>IFERROR(VLOOKUP(RESOURCE_3_TYPE,SELL_RATES,2,FALSE)*Input_Tasks[[#This Row],[R3 Business Hours]],0)+IFERROR(VLOOKUP(RESOURCE_3_TYPE,SELL_RATES,3,FALSE)*Input_Tasks[[#This Row],[R3 After Hours]],0)</f>
        <v>0</v>
      </c>
      <c r="AT205" s="398">
        <f>IFERROR(VLOOKUP(RESOURCE_4_TYPE,SELL_RATES,2,FALSE)*Input_Tasks[[#This Row],[R4 Business Hours]],0)+IFERROR(VLOOKUP(RESOURCE_4_TYPE,SELL_RATES,3,FALSE)*Input_Tasks[[#This Row],[R4 After Hours]],0)</f>
        <v>0</v>
      </c>
      <c r="AU205" s="398">
        <f>IFERROR(VLOOKUP(RESOURCE_5_TYPE,SELL_RATES,2,FALSE)*Input_Tasks[[#This Row],[R5 Business Hours]],0)+IFERROR(VLOOKUP(RESOURCE_5_TYPE,SELL_RATES,3,FALSE)*Input_Tasks[[#This Row],[R5 After Hours]],0)</f>
        <v>0</v>
      </c>
      <c r="AV205" s="400">
        <f>SUM(Input_Tasks[[#This Row],[Round Trips R1]:[Round Trips R5]])</f>
        <v>0</v>
      </c>
      <c r="AW205" s="401">
        <f>SUM(Input_Tasks[[#This Row],[Overnight StaysR1]:[Overnight StaysR5]])</f>
        <v>0</v>
      </c>
      <c r="AX205" s="401">
        <f>IF(AND(Input_Tasks[[#This Row],[Sell - Line Total]]&gt;0,OR(Input_Tasks[[#This Row],[Phase]]="",Input_Tasks[[#This Row],[Skill Required]]="",Input_Tasks[[#This Row],[Task Type]]="",Input_Tasks[[#This Row],[Description]]="")),1,0)</f>
        <v>0</v>
      </c>
      <c r="AY205" s="402">
        <f>IF(AND(Input_Tasks[[#This Row],[Task Type]]="ArchiTech Document Deliverable",Input_Tasks[[#This Row],[Hours]]&gt;0),1,0)</f>
        <v>0</v>
      </c>
      <c r="AZ20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0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0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0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0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0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0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0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0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0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0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0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0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05" s="405">
        <f>SUM(Input_Tasks[[#This Row],[R1 Business Hours]:[R1 After Hours]],Input_Tasks[[#This Row],[R2 Business Hours]:[R2 After Hours]],Input_Tasks[[#This Row],[R3 Business Hours]:[R3 After Hours]],Input_Tasks[[#This Row],[R4 Business Hours]:[R4 After Hours]],Input_Tasks[[#This Row],[R5 Business Hours]:[R5 After Hours]])</f>
        <v>0</v>
      </c>
    </row>
    <row r="206" spans="1:65">
      <c r="A206" s="384"/>
      <c r="B206" s="271"/>
      <c r="C206" s="271"/>
      <c r="D206" s="406"/>
      <c r="E206" s="385">
        <f>Input_Tasks[[#This Row],[Onsite Round Trips_Hidden]]</f>
        <v>0</v>
      </c>
      <c r="F206" s="385">
        <f>Input_Tasks[[#This Row],[Overnight Stays_Hidden]]</f>
        <v>0</v>
      </c>
      <c r="G206" s="385">
        <f>Input_Tasks[[#This Row],[Documents_Hidden]]</f>
        <v>0</v>
      </c>
      <c r="H206" s="387"/>
      <c r="I206" s="388"/>
      <c r="J206" s="389"/>
      <c r="K206" s="390"/>
      <c r="L206" s="390"/>
      <c r="M206" s="389"/>
      <c r="N206" s="390"/>
      <c r="O206" s="390"/>
      <c r="P206" s="389"/>
      <c r="Q206" s="390"/>
      <c r="R206" s="391"/>
      <c r="S206" s="389"/>
      <c r="T206" s="390"/>
      <c r="U206" s="391"/>
      <c r="V206" s="389"/>
      <c r="W206" s="390"/>
      <c r="X206" s="390"/>
      <c r="Y206" s="386" t="str">
        <f>Input_Tasks[[#This Row],[Onsite Round Trips_Hidden]]&amp;"/"&amp;Input_Tasks[[#This Row],[Overnight Stays_Hidden]]&amp;"/"&amp;Input_Tasks[[#This Row],[Documents_Hidden]]</f>
        <v>0/0/0</v>
      </c>
      <c r="Z206" s="392">
        <f>Input_Tasks[[#This Row],[R1 Cost_Hidden]]</f>
        <v>0</v>
      </c>
      <c r="AA206" s="393">
        <f>Input_Tasks[[#This Row],[R2 Cost_Hidden]]</f>
        <v>0</v>
      </c>
      <c r="AB206" s="393">
        <f>Input_Tasks[[#This Row],[R3 Cost_Hidden]]</f>
        <v>0</v>
      </c>
      <c r="AC206" s="393">
        <f>Input_Tasks[[#This Row],[R4 Cost_Hidden]]</f>
        <v>0</v>
      </c>
      <c r="AD206" s="394">
        <f>Input_Tasks[[#This Row],[R5 Cost_Hidden]]</f>
        <v>0</v>
      </c>
      <c r="AE206" s="395">
        <f>SUM(Input_Tasks[[#This Row],[R1 Cost]:[R5 Cost]])</f>
        <v>0</v>
      </c>
      <c r="AF206" s="392">
        <f>Input_Tasks[[#This Row],[R1 Sell_Hidden]]</f>
        <v>0</v>
      </c>
      <c r="AG206" s="393">
        <f>Input_Tasks[[#This Row],[R2 Sell_Hidden]]</f>
        <v>0</v>
      </c>
      <c r="AH206" s="393">
        <f>Input_Tasks[[#This Row],[R3 Sell_Hidden]]</f>
        <v>0</v>
      </c>
      <c r="AI206" s="393">
        <f>Input_Tasks[[#This Row],[R4 Sell_Hidden5]]</f>
        <v>0</v>
      </c>
      <c r="AJ206" s="394">
        <f>Input_Tasks[[#This Row],[R5 Sell_Hidden]]</f>
        <v>0</v>
      </c>
      <c r="AK206" s="396">
        <f>SUM(Input_Tasks[[#This Row],[R1 Sell]:[R5 Sell]])</f>
        <v>0</v>
      </c>
      <c r="AL206" s="397">
        <f>IFERROR(VLOOKUP(RESOURCE_1_TYPE,COST_RATES,2,FALSE)*Input_Tasks[[#This Row],[R1 Business Hours]],0)+IFERROR(VLOOKUP(RESOURCE_1_TYPE,COST_RATES,3,FALSE)*Input_Tasks[[#This Row],[R1 After Hours]],0)</f>
        <v>0</v>
      </c>
      <c r="AM206" s="398">
        <f>IFERROR(VLOOKUP(RESOURCE_2_TYPE,COST_RATES,2,FALSE)*Input_Tasks[[#This Row],[R2 Business Hours]],0)+IFERROR(VLOOKUP(RESOURCE_2_TYPE,COST_RATES,3,FALSE)*Input_Tasks[[#This Row],[R2 After Hours]],0)</f>
        <v>0</v>
      </c>
      <c r="AN206" s="398">
        <f>IFERROR(VLOOKUP(RESOURCE_3_TYPE,COST_RATES,2,FALSE)*Input_Tasks[[#This Row],[R3 Business Hours]],0)+IFERROR(VLOOKUP(RESOURCE_3_TYPE,COST_RATES,3,FALSE)*Input_Tasks[[#This Row],[R3 After Hours]],0)</f>
        <v>0</v>
      </c>
      <c r="AO206" s="398">
        <f>IFERROR(VLOOKUP(RESOURCE_4_TYPE,COST_RATES,2,FALSE)*Input_Tasks[[#This Row],[R4 Business Hours]],0)+IFERROR(VLOOKUP(RESOURCE_4_TYPE,COST_RATES,3,FALSE)*Input_Tasks[[#This Row],[R4 After Hours]],0)</f>
        <v>0</v>
      </c>
      <c r="AP206" s="398">
        <f>IFERROR(VLOOKUP(RESOURCE_5_TYPE,COST_RATES,2,FALSE)*Input_Tasks[[#This Row],[R5 Business Hours]],0)+IFERROR(VLOOKUP(RESOURCE_5_TYPE,COST_RATES,3,FALSE)*Input_Tasks[[#This Row],[R5 After Hours]],0)</f>
        <v>0</v>
      </c>
      <c r="AQ206" s="399">
        <f>IFERROR(VLOOKUP(RESOURCE_1_TYPE,SELL_RATES,2,FALSE)*Input_Tasks[[#This Row],[R1 Business Hours]],0)+IFERROR(VLOOKUP(RESOURCE_1_TYPE,SELL_RATES,3,FALSE)*Input_Tasks[[#This Row],[R1 After Hours]],0)</f>
        <v>0</v>
      </c>
      <c r="AR206" s="398">
        <f>IFERROR(VLOOKUP(RESOURCE_2_TYPE,SELL_RATES,2,FALSE)*Input_Tasks[[#This Row],[R2 Business Hours]],0)+IFERROR(VLOOKUP(RESOURCE_2_TYPE,SELL_RATES,3,FALSE)*Input_Tasks[[#This Row],[R2 After Hours]],0)</f>
        <v>0</v>
      </c>
      <c r="AS206" s="398">
        <f>IFERROR(VLOOKUP(RESOURCE_3_TYPE,SELL_RATES,2,FALSE)*Input_Tasks[[#This Row],[R3 Business Hours]],0)+IFERROR(VLOOKUP(RESOURCE_3_TYPE,SELL_RATES,3,FALSE)*Input_Tasks[[#This Row],[R3 After Hours]],0)</f>
        <v>0</v>
      </c>
      <c r="AT206" s="398">
        <f>IFERROR(VLOOKUP(RESOURCE_4_TYPE,SELL_RATES,2,FALSE)*Input_Tasks[[#This Row],[R4 Business Hours]],0)+IFERROR(VLOOKUP(RESOURCE_4_TYPE,SELL_RATES,3,FALSE)*Input_Tasks[[#This Row],[R4 After Hours]],0)</f>
        <v>0</v>
      </c>
      <c r="AU206" s="398">
        <f>IFERROR(VLOOKUP(RESOURCE_5_TYPE,SELL_RATES,2,FALSE)*Input_Tasks[[#This Row],[R5 Business Hours]],0)+IFERROR(VLOOKUP(RESOURCE_5_TYPE,SELL_RATES,3,FALSE)*Input_Tasks[[#This Row],[R5 After Hours]],0)</f>
        <v>0</v>
      </c>
      <c r="AV206" s="400">
        <f>SUM(Input_Tasks[[#This Row],[Round Trips R1]:[Round Trips R5]])</f>
        <v>0</v>
      </c>
      <c r="AW206" s="401">
        <f>SUM(Input_Tasks[[#This Row],[Overnight StaysR1]:[Overnight StaysR5]])</f>
        <v>0</v>
      </c>
      <c r="AX206" s="401">
        <f>IF(AND(Input_Tasks[[#This Row],[Sell - Line Total]]&gt;0,OR(Input_Tasks[[#This Row],[Phase]]="",Input_Tasks[[#This Row],[Skill Required]]="",Input_Tasks[[#This Row],[Task Type]]="",Input_Tasks[[#This Row],[Description]]="")),1,0)</f>
        <v>0</v>
      </c>
      <c r="AY206" s="402">
        <f>IF(AND(Input_Tasks[[#This Row],[Task Type]]="ArchiTech Document Deliverable",Input_Tasks[[#This Row],[Hours]]&gt;0),1,0)</f>
        <v>0</v>
      </c>
      <c r="AZ20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0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0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0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0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0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0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0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0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0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0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0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0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06" s="405">
        <f>SUM(Input_Tasks[[#This Row],[R1 Business Hours]:[R1 After Hours]],Input_Tasks[[#This Row],[R2 Business Hours]:[R2 After Hours]],Input_Tasks[[#This Row],[R3 Business Hours]:[R3 After Hours]],Input_Tasks[[#This Row],[R4 Business Hours]:[R4 After Hours]],Input_Tasks[[#This Row],[R5 Business Hours]:[R5 After Hours]])</f>
        <v>0</v>
      </c>
    </row>
    <row r="207" spans="1:65">
      <c r="A207" s="384"/>
      <c r="B207" s="271"/>
      <c r="C207" s="271"/>
      <c r="D207" s="406"/>
      <c r="E207" s="385">
        <f>Input_Tasks[[#This Row],[Onsite Round Trips_Hidden]]</f>
        <v>0</v>
      </c>
      <c r="F207" s="385">
        <f>Input_Tasks[[#This Row],[Overnight Stays_Hidden]]</f>
        <v>0</v>
      </c>
      <c r="G207" s="385">
        <f>Input_Tasks[[#This Row],[Documents_Hidden]]</f>
        <v>0</v>
      </c>
      <c r="H207" s="387"/>
      <c r="I207" s="388"/>
      <c r="J207" s="389"/>
      <c r="K207" s="390"/>
      <c r="L207" s="390"/>
      <c r="M207" s="389"/>
      <c r="N207" s="390"/>
      <c r="O207" s="390"/>
      <c r="P207" s="389"/>
      <c r="Q207" s="390"/>
      <c r="R207" s="391"/>
      <c r="S207" s="389"/>
      <c r="T207" s="390"/>
      <c r="U207" s="391"/>
      <c r="V207" s="389"/>
      <c r="W207" s="390"/>
      <c r="X207" s="390"/>
      <c r="Y207" s="386" t="str">
        <f>Input_Tasks[[#This Row],[Onsite Round Trips_Hidden]]&amp;"/"&amp;Input_Tasks[[#This Row],[Overnight Stays_Hidden]]&amp;"/"&amp;Input_Tasks[[#This Row],[Documents_Hidden]]</f>
        <v>0/0/0</v>
      </c>
      <c r="Z207" s="392">
        <f>Input_Tasks[[#This Row],[R1 Cost_Hidden]]</f>
        <v>0</v>
      </c>
      <c r="AA207" s="393">
        <f>Input_Tasks[[#This Row],[R2 Cost_Hidden]]</f>
        <v>0</v>
      </c>
      <c r="AB207" s="393">
        <f>Input_Tasks[[#This Row],[R3 Cost_Hidden]]</f>
        <v>0</v>
      </c>
      <c r="AC207" s="393">
        <f>Input_Tasks[[#This Row],[R4 Cost_Hidden]]</f>
        <v>0</v>
      </c>
      <c r="AD207" s="394">
        <f>Input_Tasks[[#This Row],[R5 Cost_Hidden]]</f>
        <v>0</v>
      </c>
      <c r="AE207" s="395">
        <f>SUM(Input_Tasks[[#This Row],[R1 Cost]:[R5 Cost]])</f>
        <v>0</v>
      </c>
      <c r="AF207" s="392">
        <f>Input_Tasks[[#This Row],[R1 Sell_Hidden]]</f>
        <v>0</v>
      </c>
      <c r="AG207" s="393">
        <f>Input_Tasks[[#This Row],[R2 Sell_Hidden]]</f>
        <v>0</v>
      </c>
      <c r="AH207" s="393">
        <f>Input_Tasks[[#This Row],[R3 Sell_Hidden]]</f>
        <v>0</v>
      </c>
      <c r="AI207" s="393">
        <f>Input_Tasks[[#This Row],[R4 Sell_Hidden5]]</f>
        <v>0</v>
      </c>
      <c r="AJ207" s="394">
        <f>Input_Tasks[[#This Row],[R5 Sell_Hidden]]</f>
        <v>0</v>
      </c>
      <c r="AK207" s="396">
        <f>SUM(Input_Tasks[[#This Row],[R1 Sell]:[R5 Sell]])</f>
        <v>0</v>
      </c>
      <c r="AL207" s="397">
        <f>IFERROR(VLOOKUP(RESOURCE_1_TYPE,COST_RATES,2,FALSE)*Input_Tasks[[#This Row],[R1 Business Hours]],0)+IFERROR(VLOOKUP(RESOURCE_1_TYPE,COST_RATES,3,FALSE)*Input_Tasks[[#This Row],[R1 After Hours]],0)</f>
        <v>0</v>
      </c>
      <c r="AM207" s="398">
        <f>IFERROR(VLOOKUP(RESOURCE_2_TYPE,COST_RATES,2,FALSE)*Input_Tasks[[#This Row],[R2 Business Hours]],0)+IFERROR(VLOOKUP(RESOURCE_2_TYPE,COST_RATES,3,FALSE)*Input_Tasks[[#This Row],[R2 After Hours]],0)</f>
        <v>0</v>
      </c>
      <c r="AN207" s="398">
        <f>IFERROR(VLOOKUP(RESOURCE_3_TYPE,COST_RATES,2,FALSE)*Input_Tasks[[#This Row],[R3 Business Hours]],0)+IFERROR(VLOOKUP(RESOURCE_3_TYPE,COST_RATES,3,FALSE)*Input_Tasks[[#This Row],[R3 After Hours]],0)</f>
        <v>0</v>
      </c>
      <c r="AO207" s="398">
        <f>IFERROR(VLOOKUP(RESOURCE_4_TYPE,COST_RATES,2,FALSE)*Input_Tasks[[#This Row],[R4 Business Hours]],0)+IFERROR(VLOOKUP(RESOURCE_4_TYPE,COST_RATES,3,FALSE)*Input_Tasks[[#This Row],[R4 After Hours]],0)</f>
        <v>0</v>
      </c>
      <c r="AP207" s="398">
        <f>IFERROR(VLOOKUP(RESOURCE_5_TYPE,COST_RATES,2,FALSE)*Input_Tasks[[#This Row],[R5 Business Hours]],0)+IFERROR(VLOOKUP(RESOURCE_5_TYPE,COST_RATES,3,FALSE)*Input_Tasks[[#This Row],[R5 After Hours]],0)</f>
        <v>0</v>
      </c>
      <c r="AQ207" s="399">
        <f>IFERROR(VLOOKUP(RESOURCE_1_TYPE,SELL_RATES,2,FALSE)*Input_Tasks[[#This Row],[R1 Business Hours]],0)+IFERROR(VLOOKUP(RESOURCE_1_TYPE,SELL_RATES,3,FALSE)*Input_Tasks[[#This Row],[R1 After Hours]],0)</f>
        <v>0</v>
      </c>
      <c r="AR207" s="398">
        <f>IFERROR(VLOOKUP(RESOURCE_2_TYPE,SELL_RATES,2,FALSE)*Input_Tasks[[#This Row],[R2 Business Hours]],0)+IFERROR(VLOOKUP(RESOURCE_2_TYPE,SELL_RATES,3,FALSE)*Input_Tasks[[#This Row],[R2 After Hours]],0)</f>
        <v>0</v>
      </c>
      <c r="AS207" s="398">
        <f>IFERROR(VLOOKUP(RESOURCE_3_TYPE,SELL_RATES,2,FALSE)*Input_Tasks[[#This Row],[R3 Business Hours]],0)+IFERROR(VLOOKUP(RESOURCE_3_TYPE,SELL_RATES,3,FALSE)*Input_Tasks[[#This Row],[R3 After Hours]],0)</f>
        <v>0</v>
      </c>
      <c r="AT207" s="398">
        <f>IFERROR(VLOOKUP(RESOURCE_4_TYPE,SELL_RATES,2,FALSE)*Input_Tasks[[#This Row],[R4 Business Hours]],0)+IFERROR(VLOOKUP(RESOURCE_4_TYPE,SELL_RATES,3,FALSE)*Input_Tasks[[#This Row],[R4 After Hours]],0)</f>
        <v>0</v>
      </c>
      <c r="AU207" s="398">
        <f>IFERROR(VLOOKUP(RESOURCE_5_TYPE,SELL_RATES,2,FALSE)*Input_Tasks[[#This Row],[R5 Business Hours]],0)+IFERROR(VLOOKUP(RESOURCE_5_TYPE,SELL_RATES,3,FALSE)*Input_Tasks[[#This Row],[R5 After Hours]],0)</f>
        <v>0</v>
      </c>
      <c r="AV207" s="400">
        <f>SUM(Input_Tasks[[#This Row],[Round Trips R1]:[Round Trips R5]])</f>
        <v>0</v>
      </c>
      <c r="AW207" s="401">
        <f>SUM(Input_Tasks[[#This Row],[Overnight StaysR1]:[Overnight StaysR5]])</f>
        <v>0</v>
      </c>
      <c r="AX207" s="401">
        <f>IF(AND(Input_Tasks[[#This Row],[Sell - Line Total]]&gt;0,OR(Input_Tasks[[#This Row],[Phase]]="",Input_Tasks[[#This Row],[Skill Required]]="",Input_Tasks[[#This Row],[Task Type]]="",Input_Tasks[[#This Row],[Description]]="")),1,0)</f>
        <v>0</v>
      </c>
      <c r="AY207" s="402">
        <f>IF(AND(Input_Tasks[[#This Row],[Task Type]]="ArchiTech Document Deliverable",Input_Tasks[[#This Row],[Hours]]&gt;0),1,0)</f>
        <v>0</v>
      </c>
      <c r="AZ20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0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0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0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0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0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0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0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0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0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0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0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0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07" s="405">
        <f>SUM(Input_Tasks[[#This Row],[R1 Business Hours]:[R1 After Hours]],Input_Tasks[[#This Row],[R2 Business Hours]:[R2 After Hours]],Input_Tasks[[#This Row],[R3 Business Hours]:[R3 After Hours]],Input_Tasks[[#This Row],[R4 Business Hours]:[R4 After Hours]],Input_Tasks[[#This Row],[R5 Business Hours]:[R5 After Hours]])</f>
        <v>0</v>
      </c>
    </row>
    <row r="208" spans="1:65">
      <c r="A208" s="384"/>
      <c r="B208" s="271"/>
      <c r="C208" s="271"/>
      <c r="D208" s="406"/>
      <c r="E208" s="385">
        <f>Input_Tasks[[#This Row],[Onsite Round Trips_Hidden]]</f>
        <v>0</v>
      </c>
      <c r="F208" s="385">
        <f>Input_Tasks[[#This Row],[Overnight Stays_Hidden]]</f>
        <v>0</v>
      </c>
      <c r="G208" s="385">
        <f>Input_Tasks[[#This Row],[Documents_Hidden]]</f>
        <v>0</v>
      </c>
      <c r="H208" s="387"/>
      <c r="I208" s="388"/>
      <c r="J208" s="389"/>
      <c r="K208" s="390"/>
      <c r="L208" s="390"/>
      <c r="M208" s="389"/>
      <c r="N208" s="390"/>
      <c r="O208" s="390"/>
      <c r="P208" s="389"/>
      <c r="Q208" s="390"/>
      <c r="R208" s="391"/>
      <c r="S208" s="389"/>
      <c r="T208" s="390"/>
      <c r="U208" s="391"/>
      <c r="V208" s="389"/>
      <c r="W208" s="390"/>
      <c r="X208" s="390"/>
      <c r="Y208" s="386" t="str">
        <f>Input_Tasks[[#This Row],[Onsite Round Trips_Hidden]]&amp;"/"&amp;Input_Tasks[[#This Row],[Overnight Stays_Hidden]]&amp;"/"&amp;Input_Tasks[[#This Row],[Documents_Hidden]]</f>
        <v>0/0/0</v>
      </c>
      <c r="Z208" s="392">
        <f>Input_Tasks[[#This Row],[R1 Cost_Hidden]]</f>
        <v>0</v>
      </c>
      <c r="AA208" s="393">
        <f>Input_Tasks[[#This Row],[R2 Cost_Hidden]]</f>
        <v>0</v>
      </c>
      <c r="AB208" s="393">
        <f>Input_Tasks[[#This Row],[R3 Cost_Hidden]]</f>
        <v>0</v>
      </c>
      <c r="AC208" s="393">
        <f>Input_Tasks[[#This Row],[R4 Cost_Hidden]]</f>
        <v>0</v>
      </c>
      <c r="AD208" s="394">
        <f>Input_Tasks[[#This Row],[R5 Cost_Hidden]]</f>
        <v>0</v>
      </c>
      <c r="AE208" s="395">
        <f>SUM(Input_Tasks[[#This Row],[R1 Cost]:[R5 Cost]])</f>
        <v>0</v>
      </c>
      <c r="AF208" s="392">
        <f>Input_Tasks[[#This Row],[R1 Sell_Hidden]]</f>
        <v>0</v>
      </c>
      <c r="AG208" s="393">
        <f>Input_Tasks[[#This Row],[R2 Sell_Hidden]]</f>
        <v>0</v>
      </c>
      <c r="AH208" s="393">
        <f>Input_Tasks[[#This Row],[R3 Sell_Hidden]]</f>
        <v>0</v>
      </c>
      <c r="AI208" s="393">
        <f>Input_Tasks[[#This Row],[R4 Sell_Hidden5]]</f>
        <v>0</v>
      </c>
      <c r="AJ208" s="394">
        <f>Input_Tasks[[#This Row],[R5 Sell_Hidden]]</f>
        <v>0</v>
      </c>
      <c r="AK208" s="396">
        <f>SUM(Input_Tasks[[#This Row],[R1 Sell]:[R5 Sell]])</f>
        <v>0</v>
      </c>
      <c r="AL208" s="397">
        <f>IFERROR(VLOOKUP(RESOURCE_1_TYPE,COST_RATES,2,FALSE)*Input_Tasks[[#This Row],[R1 Business Hours]],0)+IFERROR(VLOOKUP(RESOURCE_1_TYPE,COST_RATES,3,FALSE)*Input_Tasks[[#This Row],[R1 After Hours]],0)</f>
        <v>0</v>
      </c>
      <c r="AM208" s="398">
        <f>IFERROR(VLOOKUP(RESOURCE_2_TYPE,COST_RATES,2,FALSE)*Input_Tasks[[#This Row],[R2 Business Hours]],0)+IFERROR(VLOOKUP(RESOURCE_2_TYPE,COST_RATES,3,FALSE)*Input_Tasks[[#This Row],[R2 After Hours]],0)</f>
        <v>0</v>
      </c>
      <c r="AN208" s="398">
        <f>IFERROR(VLOOKUP(RESOURCE_3_TYPE,COST_RATES,2,FALSE)*Input_Tasks[[#This Row],[R3 Business Hours]],0)+IFERROR(VLOOKUP(RESOURCE_3_TYPE,COST_RATES,3,FALSE)*Input_Tasks[[#This Row],[R3 After Hours]],0)</f>
        <v>0</v>
      </c>
      <c r="AO208" s="398">
        <f>IFERROR(VLOOKUP(RESOURCE_4_TYPE,COST_RATES,2,FALSE)*Input_Tasks[[#This Row],[R4 Business Hours]],0)+IFERROR(VLOOKUP(RESOURCE_4_TYPE,COST_RATES,3,FALSE)*Input_Tasks[[#This Row],[R4 After Hours]],0)</f>
        <v>0</v>
      </c>
      <c r="AP208" s="398">
        <f>IFERROR(VLOOKUP(RESOURCE_5_TYPE,COST_RATES,2,FALSE)*Input_Tasks[[#This Row],[R5 Business Hours]],0)+IFERROR(VLOOKUP(RESOURCE_5_TYPE,COST_RATES,3,FALSE)*Input_Tasks[[#This Row],[R5 After Hours]],0)</f>
        <v>0</v>
      </c>
      <c r="AQ208" s="399">
        <f>IFERROR(VLOOKUP(RESOURCE_1_TYPE,SELL_RATES,2,FALSE)*Input_Tasks[[#This Row],[R1 Business Hours]],0)+IFERROR(VLOOKUP(RESOURCE_1_TYPE,SELL_RATES,3,FALSE)*Input_Tasks[[#This Row],[R1 After Hours]],0)</f>
        <v>0</v>
      </c>
      <c r="AR208" s="398">
        <f>IFERROR(VLOOKUP(RESOURCE_2_TYPE,SELL_RATES,2,FALSE)*Input_Tasks[[#This Row],[R2 Business Hours]],0)+IFERROR(VLOOKUP(RESOURCE_2_TYPE,SELL_RATES,3,FALSE)*Input_Tasks[[#This Row],[R2 After Hours]],0)</f>
        <v>0</v>
      </c>
      <c r="AS208" s="398">
        <f>IFERROR(VLOOKUP(RESOURCE_3_TYPE,SELL_RATES,2,FALSE)*Input_Tasks[[#This Row],[R3 Business Hours]],0)+IFERROR(VLOOKUP(RESOURCE_3_TYPE,SELL_RATES,3,FALSE)*Input_Tasks[[#This Row],[R3 After Hours]],0)</f>
        <v>0</v>
      </c>
      <c r="AT208" s="398">
        <f>IFERROR(VLOOKUP(RESOURCE_4_TYPE,SELL_RATES,2,FALSE)*Input_Tasks[[#This Row],[R4 Business Hours]],0)+IFERROR(VLOOKUP(RESOURCE_4_TYPE,SELL_RATES,3,FALSE)*Input_Tasks[[#This Row],[R4 After Hours]],0)</f>
        <v>0</v>
      </c>
      <c r="AU208" s="398">
        <f>IFERROR(VLOOKUP(RESOURCE_5_TYPE,SELL_RATES,2,FALSE)*Input_Tasks[[#This Row],[R5 Business Hours]],0)+IFERROR(VLOOKUP(RESOURCE_5_TYPE,SELL_RATES,3,FALSE)*Input_Tasks[[#This Row],[R5 After Hours]],0)</f>
        <v>0</v>
      </c>
      <c r="AV208" s="400">
        <f>SUM(Input_Tasks[[#This Row],[Round Trips R1]:[Round Trips R5]])</f>
        <v>0</v>
      </c>
      <c r="AW208" s="401">
        <f>SUM(Input_Tasks[[#This Row],[Overnight StaysR1]:[Overnight StaysR5]])</f>
        <v>0</v>
      </c>
      <c r="AX208" s="401">
        <f>IF(AND(Input_Tasks[[#This Row],[Sell - Line Total]]&gt;0,OR(Input_Tasks[[#This Row],[Phase]]="",Input_Tasks[[#This Row],[Skill Required]]="",Input_Tasks[[#This Row],[Task Type]]="",Input_Tasks[[#This Row],[Description]]="")),1,0)</f>
        <v>0</v>
      </c>
      <c r="AY208" s="402">
        <f>IF(AND(Input_Tasks[[#This Row],[Task Type]]="ArchiTech Document Deliverable",Input_Tasks[[#This Row],[Hours]]&gt;0),1,0)</f>
        <v>0</v>
      </c>
      <c r="AZ20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0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0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0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0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0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0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0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0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0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0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0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0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08" s="405">
        <f>SUM(Input_Tasks[[#This Row],[R1 Business Hours]:[R1 After Hours]],Input_Tasks[[#This Row],[R2 Business Hours]:[R2 After Hours]],Input_Tasks[[#This Row],[R3 Business Hours]:[R3 After Hours]],Input_Tasks[[#This Row],[R4 Business Hours]:[R4 After Hours]],Input_Tasks[[#This Row],[R5 Business Hours]:[R5 After Hours]])</f>
        <v>0</v>
      </c>
    </row>
    <row r="209" spans="1:65">
      <c r="A209" s="384"/>
      <c r="B209" s="271"/>
      <c r="C209" s="271"/>
      <c r="D209" s="406"/>
      <c r="E209" s="385">
        <f>Input_Tasks[[#This Row],[Onsite Round Trips_Hidden]]</f>
        <v>0</v>
      </c>
      <c r="F209" s="385">
        <f>Input_Tasks[[#This Row],[Overnight Stays_Hidden]]</f>
        <v>0</v>
      </c>
      <c r="G209" s="385">
        <f>Input_Tasks[[#This Row],[Documents_Hidden]]</f>
        <v>0</v>
      </c>
      <c r="H209" s="387"/>
      <c r="I209" s="388"/>
      <c r="J209" s="389"/>
      <c r="K209" s="390"/>
      <c r="L209" s="390"/>
      <c r="M209" s="389"/>
      <c r="N209" s="390"/>
      <c r="O209" s="390"/>
      <c r="P209" s="389"/>
      <c r="Q209" s="390"/>
      <c r="R209" s="391"/>
      <c r="S209" s="389"/>
      <c r="T209" s="390"/>
      <c r="U209" s="391"/>
      <c r="V209" s="389"/>
      <c r="W209" s="390"/>
      <c r="X209" s="390"/>
      <c r="Y209" s="386" t="str">
        <f>Input_Tasks[[#This Row],[Onsite Round Trips_Hidden]]&amp;"/"&amp;Input_Tasks[[#This Row],[Overnight Stays_Hidden]]&amp;"/"&amp;Input_Tasks[[#This Row],[Documents_Hidden]]</f>
        <v>0/0/0</v>
      </c>
      <c r="Z209" s="392">
        <f>Input_Tasks[[#This Row],[R1 Cost_Hidden]]</f>
        <v>0</v>
      </c>
      <c r="AA209" s="393">
        <f>Input_Tasks[[#This Row],[R2 Cost_Hidden]]</f>
        <v>0</v>
      </c>
      <c r="AB209" s="393">
        <f>Input_Tasks[[#This Row],[R3 Cost_Hidden]]</f>
        <v>0</v>
      </c>
      <c r="AC209" s="393">
        <f>Input_Tasks[[#This Row],[R4 Cost_Hidden]]</f>
        <v>0</v>
      </c>
      <c r="AD209" s="394">
        <f>Input_Tasks[[#This Row],[R5 Cost_Hidden]]</f>
        <v>0</v>
      </c>
      <c r="AE209" s="395">
        <f>SUM(Input_Tasks[[#This Row],[R1 Cost]:[R5 Cost]])</f>
        <v>0</v>
      </c>
      <c r="AF209" s="392">
        <f>Input_Tasks[[#This Row],[R1 Sell_Hidden]]</f>
        <v>0</v>
      </c>
      <c r="AG209" s="393">
        <f>Input_Tasks[[#This Row],[R2 Sell_Hidden]]</f>
        <v>0</v>
      </c>
      <c r="AH209" s="393">
        <f>Input_Tasks[[#This Row],[R3 Sell_Hidden]]</f>
        <v>0</v>
      </c>
      <c r="AI209" s="393">
        <f>Input_Tasks[[#This Row],[R4 Sell_Hidden5]]</f>
        <v>0</v>
      </c>
      <c r="AJ209" s="394">
        <f>Input_Tasks[[#This Row],[R5 Sell_Hidden]]</f>
        <v>0</v>
      </c>
      <c r="AK209" s="396">
        <f>SUM(Input_Tasks[[#This Row],[R1 Sell]:[R5 Sell]])</f>
        <v>0</v>
      </c>
      <c r="AL209" s="397">
        <f>IFERROR(VLOOKUP(RESOURCE_1_TYPE,COST_RATES,2,FALSE)*Input_Tasks[[#This Row],[R1 Business Hours]],0)+IFERROR(VLOOKUP(RESOURCE_1_TYPE,COST_RATES,3,FALSE)*Input_Tasks[[#This Row],[R1 After Hours]],0)</f>
        <v>0</v>
      </c>
      <c r="AM209" s="398">
        <f>IFERROR(VLOOKUP(RESOURCE_2_TYPE,COST_RATES,2,FALSE)*Input_Tasks[[#This Row],[R2 Business Hours]],0)+IFERROR(VLOOKUP(RESOURCE_2_TYPE,COST_RATES,3,FALSE)*Input_Tasks[[#This Row],[R2 After Hours]],0)</f>
        <v>0</v>
      </c>
      <c r="AN209" s="398">
        <f>IFERROR(VLOOKUP(RESOURCE_3_TYPE,COST_RATES,2,FALSE)*Input_Tasks[[#This Row],[R3 Business Hours]],0)+IFERROR(VLOOKUP(RESOURCE_3_TYPE,COST_RATES,3,FALSE)*Input_Tasks[[#This Row],[R3 After Hours]],0)</f>
        <v>0</v>
      </c>
      <c r="AO209" s="398">
        <f>IFERROR(VLOOKUP(RESOURCE_4_TYPE,COST_RATES,2,FALSE)*Input_Tasks[[#This Row],[R4 Business Hours]],0)+IFERROR(VLOOKUP(RESOURCE_4_TYPE,COST_RATES,3,FALSE)*Input_Tasks[[#This Row],[R4 After Hours]],0)</f>
        <v>0</v>
      </c>
      <c r="AP209" s="398">
        <f>IFERROR(VLOOKUP(RESOURCE_5_TYPE,COST_RATES,2,FALSE)*Input_Tasks[[#This Row],[R5 Business Hours]],0)+IFERROR(VLOOKUP(RESOURCE_5_TYPE,COST_RATES,3,FALSE)*Input_Tasks[[#This Row],[R5 After Hours]],0)</f>
        <v>0</v>
      </c>
      <c r="AQ209" s="399">
        <f>IFERROR(VLOOKUP(RESOURCE_1_TYPE,SELL_RATES,2,FALSE)*Input_Tasks[[#This Row],[R1 Business Hours]],0)+IFERROR(VLOOKUP(RESOURCE_1_TYPE,SELL_RATES,3,FALSE)*Input_Tasks[[#This Row],[R1 After Hours]],0)</f>
        <v>0</v>
      </c>
      <c r="AR209" s="398">
        <f>IFERROR(VLOOKUP(RESOURCE_2_TYPE,SELL_RATES,2,FALSE)*Input_Tasks[[#This Row],[R2 Business Hours]],0)+IFERROR(VLOOKUP(RESOURCE_2_TYPE,SELL_RATES,3,FALSE)*Input_Tasks[[#This Row],[R2 After Hours]],0)</f>
        <v>0</v>
      </c>
      <c r="AS209" s="398">
        <f>IFERROR(VLOOKUP(RESOURCE_3_TYPE,SELL_RATES,2,FALSE)*Input_Tasks[[#This Row],[R3 Business Hours]],0)+IFERROR(VLOOKUP(RESOURCE_3_TYPE,SELL_RATES,3,FALSE)*Input_Tasks[[#This Row],[R3 After Hours]],0)</f>
        <v>0</v>
      </c>
      <c r="AT209" s="398">
        <f>IFERROR(VLOOKUP(RESOURCE_4_TYPE,SELL_RATES,2,FALSE)*Input_Tasks[[#This Row],[R4 Business Hours]],0)+IFERROR(VLOOKUP(RESOURCE_4_TYPE,SELL_RATES,3,FALSE)*Input_Tasks[[#This Row],[R4 After Hours]],0)</f>
        <v>0</v>
      </c>
      <c r="AU209" s="398">
        <f>IFERROR(VLOOKUP(RESOURCE_5_TYPE,SELL_RATES,2,FALSE)*Input_Tasks[[#This Row],[R5 Business Hours]],0)+IFERROR(VLOOKUP(RESOURCE_5_TYPE,SELL_RATES,3,FALSE)*Input_Tasks[[#This Row],[R5 After Hours]],0)</f>
        <v>0</v>
      </c>
      <c r="AV209" s="400">
        <f>SUM(Input_Tasks[[#This Row],[Round Trips R1]:[Round Trips R5]])</f>
        <v>0</v>
      </c>
      <c r="AW209" s="401">
        <f>SUM(Input_Tasks[[#This Row],[Overnight StaysR1]:[Overnight StaysR5]])</f>
        <v>0</v>
      </c>
      <c r="AX209" s="401">
        <f>IF(AND(Input_Tasks[[#This Row],[Sell - Line Total]]&gt;0,OR(Input_Tasks[[#This Row],[Phase]]="",Input_Tasks[[#This Row],[Skill Required]]="",Input_Tasks[[#This Row],[Task Type]]="",Input_Tasks[[#This Row],[Description]]="")),1,0)</f>
        <v>0</v>
      </c>
      <c r="AY209" s="402">
        <f>IF(AND(Input_Tasks[[#This Row],[Task Type]]="ArchiTech Document Deliverable",Input_Tasks[[#This Row],[Hours]]&gt;0),1,0)</f>
        <v>0</v>
      </c>
      <c r="AZ20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0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0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0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0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0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0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0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0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0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0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0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0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09" s="405">
        <f>SUM(Input_Tasks[[#This Row],[R1 Business Hours]:[R1 After Hours]],Input_Tasks[[#This Row],[R2 Business Hours]:[R2 After Hours]],Input_Tasks[[#This Row],[R3 Business Hours]:[R3 After Hours]],Input_Tasks[[#This Row],[R4 Business Hours]:[R4 After Hours]],Input_Tasks[[#This Row],[R5 Business Hours]:[R5 After Hours]])</f>
        <v>0</v>
      </c>
    </row>
    <row r="210" spans="1:65">
      <c r="A210" s="384"/>
      <c r="B210" s="271"/>
      <c r="C210" s="271"/>
      <c r="D210" s="406"/>
      <c r="E210" s="385">
        <f>Input_Tasks[[#This Row],[Onsite Round Trips_Hidden]]</f>
        <v>0</v>
      </c>
      <c r="F210" s="385">
        <f>Input_Tasks[[#This Row],[Overnight Stays_Hidden]]</f>
        <v>0</v>
      </c>
      <c r="G210" s="385">
        <f>Input_Tasks[[#This Row],[Documents_Hidden]]</f>
        <v>0</v>
      </c>
      <c r="H210" s="387"/>
      <c r="I210" s="388"/>
      <c r="J210" s="389"/>
      <c r="K210" s="390"/>
      <c r="L210" s="390"/>
      <c r="M210" s="389"/>
      <c r="N210" s="390"/>
      <c r="O210" s="390"/>
      <c r="P210" s="389"/>
      <c r="Q210" s="390"/>
      <c r="R210" s="391"/>
      <c r="S210" s="389"/>
      <c r="T210" s="390"/>
      <c r="U210" s="391"/>
      <c r="V210" s="389"/>
      <c r="W210" s="390"/>
      <c r="X210" s="390"/>
      <c r="Y210" s="386" t="str">
        <f>Input_Tasks[[#This Row],[Onsite Round Trips_Hidden]]&amp;"/"&amp;Input_Tasks[[#This Row],[Overnight Stays_Hidden]]&amp;"/"&amp;Input_Tasks[[#This Row],[Documents_Hidden]]</f>
        <v>0/0/0</v>
      </c>
      <c r="Z210" s="392">
        <f>Input_Tasks[[#This Row],[R1 Cost_Hidden]]</f>
        <v>0</v>
      </c>
      <c r="AA210" s="393">
        <f>Input_Tasks[[#This Row],[R2 Cost_Hidden]]</f>
        <v>0</v>
      </c>
      <c r="AB210" s="393">
        <f>Input_Tasks[[#This Row],[R3 Cost_Hidden]]</f>
        <v>0</v>
      </c>
      <c r="AC210" s="393">
        <f>Input_Tasks[[#This Row],[R4 Cost_Hidden]]</f>
        <v>0</v>
      </c>
      <c r="AD210" s="394">
        <f>Input_Tasks[[#This Row],[R5 Cost_Hidden]]</f>
        <v>0</v>
      </c>
      <c r="AE210" s="395">
        <f>SUM(Input_Tasks[[#This Row],[R1 Cost]:[R5 Cost]])</f>
        <v>0</v>
      </c>
      <c r="AF210" s="392">
        <f>Input_Tasks[[#This Row],[R1 Sell_Hidden]]</f>
        <v>0</v>
      </c>
      <c r="AG210" s="393">
        <f>Input_Tasks[[#This Row],[R2 Sell_Hidden]]</f>
        <v>0</v>
      </c>
      <c r="AH210" s="393">
        <f>Input_Tasks[[#This Row],[R3 Sell_Hidden]]</f>
        <v>0</v>
      </c>
      <c r="AI210" s="393">
        <f>Input_Tasks[[#This Row],[R4 Sell_Hidden5]]</f>
        <v>0</v>
      </c>
      <c r="AJ210" s="394">
        <f>Input_Tasks[[#This Row],[R5 Sell_Hidden]]</f>
        <v>0</v>
      </c>
      <c r="AK210" s="396">
        <f>SUM(Input_Tasks[[#This Row],[R1 Sell]:[R5 Sell]])</f>
        <v>0</v>
      </c>
      <c r="AL210" s="397">
        <f>IFERROR(VLOOKUP(RESOURCE_1_TYPE,COST_RATES,2,FALSE)*Input_Tasks[[#This Row],[R1 Business Hours]],0)+IFERROR(VLOOKUP(RESOURCE_1_TYPE,COST_RATES,3,FALSE)*Input_Tasks[[#This Row],[R1 After Hours]],0)</f>
        <v>0</v>
      </c>
      <c r="AM210" s="398">
        <f>IFERROR(VLOOKUP(RESOURCE_2_TYPE,COST_RATES,2,FALSE)*Input_Tasks[[#This Row],[R2 Business Hours]],0)+IFERROR(VLOOKUP(RESOURCE_2_TYPE,COST_RATES,3,FALSE)*Input_Tasks[[#This Row],[R2 After Hours]],0)</f>
        <v>0</v>
      </c>
      <c r="AN210" s="398">
        <f>IFERROR(VLOOKUP(RESOURCE_3_TYPE,COST_RATES,2,FALSE)*Input_Tasks[[#This Row],[R3 Business Hours]],0)+IFERROR(VLOOKUP(RESOURCE_3_TYPE,COST_RATES,3,FALSE)*Input_Tasks[[#This Row],[R3 After Hours]],0)</f>
        <v>0</v>
      </c>
      <c r="AO210" s="398">
        <f>IFERROR(VLOOKUP(RESOURCE_4_TYPE,COST_RATES,2,FALSE)*Input_Tasks[[#This Row],[R4 Business Hours]],0)+IFERROR(VLOOKUP(RESOURCE_4_TYPE,COST_RATES,3,FALSE)*Input_Tasks[[#This Row],[R4 After Hours]],0)</f>
        <v>0</v>
      </c>
      <c r="AP210" s="398">
        <f>IFERROR(VLOOKUP(RESOURCE_5_TYPE,COST_RATES,2,FALSE)*Input_Tasks[[#This Row],[R5 Business Hours]],0)+IFERROR(VLOOKUP(RESOURCE_5_TYPE,COST_RATES,3,FALSE)*Input_Tasks[[#This Row],[R5 After Hours]],0)</f>
        <v>0</v>
      </c>
      <c r="AQ210" s="399">
        <f>IFERROR(VLOOKUP(RESOURCE_1_TYPE,SELL_RATES,2,FALSE)*Input_Tasks[[#This Row],[R1 Business Hours]],0)+IFERROR(VLOOKUP(RESOURCE_1_TYPE,SELL_RATES,3,FALSE)*Input_Tasks[[#This Row],[R1 After Hours]],0)</f>
        <v>0</v>
      </c>
      <c r="AR210" s="398">
        <f>IFERROR(VLOOKUP(RESOURCE_2_TYPE,SELL_RATES,2,FALSE)*Input_Tasks[[#This Row],[R2 Business Hours]],0)+IFERROR(VLOOKUP(RESOURCE_2_TYPE,SELL_RATES,3,FALSE)*Input_Tasks[[#This Row],[R2 After Hours]],0)</f>
        <v>0</v>
      </c>
      <c r="AS210" s="398">
        <f>IFERROR(VLOOKUP(RESOURCE_3_TYPE,SELL_RATES,2,FALSE)*Input_Tasks[[#This Row],[R3 Business Hours]],0)+IFERROR(VLOOKUP(RESOURCE_3_TYPE,SELL_RATES,3,FALSE)*Input_Tasks[[#This Row],[R3 After Hours]],0)</f>
        <v>0</v>
      </c>
      <c r="AT210" s="398">
        <f>IFERROR(VLOOKUP(RESOURCE_4_TYPE,SELL_RATES,2,FALSE)*Input_Tasks[[#This Row],[R4 Business Hours]],0)+IFERROR(VLOOKUP(RESOURCE_4_TYPE,SELL_RATES,3,FALSE)*Input_Tasks[[#This Row],[R4 After Hours]],0)</f>
        <v>0</v>
      </c>
      <c r="AU210" s="398">
        <f>IFERROR(VLOOKUP(RESOURCE_5_TYPE,SELL_RATES,2,FALSE)*Input_Tasks[[#This Row],[R5 Business Hours]],0)+IFERROR(VLOOKUP(RESOURCE_5_TYPE,SELL_RATES,3,FALSE)*Input_Tasks[[#This Row],[R5 After Hours]],0)</f>
        <v>0</v>
      </c>
      <c r="AV210" s="400">
        <f>SUM(Input_Tasks[[#This Row],[Round Trips R1]:[Round Trips R5]])</f>
        <v>0</v>
      </c>
      <c r="AW210" s="401">
        <f>SUM(Input_Tasks[[#This Row],[Overnight StaysR1]:[Overnight StaysR5]])</f>
        <v>0</v>
      </c>
      <c r="AX210" s="401">
        <f>IF(AND(Input_Tasks[[#This Row],[Sell - Line Total]]&gt;0,OR(Input_Tasks[[#This Row],[Phase]]="",Input_Tasks[[#This Row],[Skill Required]]="",Input_Tasks[[#This Row],[Task Type]]="",Input_Tasks[[#This Row],[Description]]="")),1,0)</f>
        <v>0</v>
      </c>
      <c r="AY210" s="402">
        <f>IF(AND(Input_Tasks[[#This Row],[Task Type]]="ArchiTech Document Deliverable",Input_Tasks[[#This Row],[Hours]]&gt;0),1,0)</f>
        <v>0</v>
      </c>
      <c r="AZ21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1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1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1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1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1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1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1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1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1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1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1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1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10" s="405">
        <f>SUM(Input_Tasks[[#This Row],[R1 Business Hours]:[R1 After Hours]],Input_Tasks[[#This Row],[R2 Business Hours]:[R2 After Hours]],Input_Tasks[[#This Row],[R3 Business Hours]:[R3 After Hours]],Input_Tasks[[#This Row],[R4 Business Hours]:[R4 After Hours]],Input_Tasks[[#This Row],[R5 Business Hours]:[R5 After Hours]])</f>
        <v>0</v>
      </c>
    </row>
    <row r="211" spans="1:65">
      <c r="A211" s="384"/>
      <c r="B211" s="271"/>
      <c r="C211" s="271"/>
      <c r="D211" s="406"/>
      <c r="E211" s="385">
        <f>Input_Tasks[[#This Row],[Onsite Round Trips_Hidden]]</f>
        <v>0</v>
      </c>
      <c r="F211" s="385">
        <f>Input_Tasks[[#This Row],[Overnight Stays_Hidden]]</f>
        <v>0</v>
      </c>
      <c r="G211" s="385">
        <f>Input_Tasks[[#This Row],[Documents_Hidden]]</f>
        <v>0</v>
      </c>
      <c r="H211" s="387"/>
      <c r="I211" s="388"/>
      <c r="J211" s="389"/>
      <c r="K211" s="390"/>
      <c r="L211" s="390"/>
      <c r="M211" s="389"/>
      <c r="N211" s="390"/>
      <c r="O211" s="390"/>
      <c r="P211" s="389"/>
      <c r="Q211" s="390"/>
      <c r="R211" s="391"/>
      <c r="S211" s="389"/>
      <c r="T211" s="390"/>
      <c r="U211" s="391"/>
      <c r="V211" s="389"/>
      <c r="W211" s="390"/>
      <c r="X211" s="390"/>
      <c r="Y211" s="386" t="str">
        <f>Input_Tasks[[#This Row],[Onsite Round Trips_Hidden]]&amp;"/"&amp;Input_Tasks[[#This Row],[Overnight Stays_Hidden]]&amp;"/"&amp;Input_Tasks[[#This Row],[Documents_Hidden]]</f>
        <v>0/0/0</v>
      </c>
      <c r="Z211" s="392">
        <f>Input_Tasks[[#This Row],[R1 Cost_Hidden]]</f>
        <v>0</v>
      </c>
      <c r="AA211" s="393">
        <f>Input_Tasks[[#This Row],[R2 Cost_Hidden]]</f>
        <v>0</v>
      </c>
      <c r="AB211" s="393">
        <f>Input_Tasks[[#This Row],[R3 Cost_Hidden]]</f>
        <v>0</v>
      </c>
      <c r="AC211" s="393">
        <f>Input_Tasks[[#This Row],[R4 Cost_Hidden]]</f>
        <v>0</v>
      </c>
      <c r="AD211" s="394">
        <f>Input_Tasks[[#This Row],[R5 Cost_Hidden]]</f>
        <v>0</v>
      </c>
      <c r="AE211" s="395">
        <f>SUM(Input_Tasks[[#This Row],[R1 Cost]:[R5 Cost]])</f>
        <v>0</v>
      </c>
      <c r="AF211" s="392">
        <f>Input_Tasks[[#This Row],[R1 Sell_Hidden]]</f>
        <v>0</v>
      </c>
      <c r="AG211" s="393">
        <f>Input_Tasks[[#This Row],[R2 Sell_Hidden]]</f>
        <v>0</v>
      </c>
      <c r="AH211" s="393">
        <f>Input_Tasks[[#This Row],[R3 Sell_Hidden]]</f>
        <v>0</v>
      </c>
      <c r="AI211" s="393">
        <f>Input_Tasks[[#This Row],[R4 Sell_Hidden5]]</f>
        <v>0</v>
      </c>
      <c r="AJ211" s="394">
        <f>Input_Tasks[[#This Row],[R5 Sell_Hidden]]</f>
        <v>0</v>
      </c>
      <c r="AK211" s="396">
        <f>SUM(Input_Tasks[[#This Row],[R1 Sell]:[R5 Sell]])</f>
        <v>0</v>
      </c>
      <c r="AL211" s="397">
        <f>IFERROR(VLOOKUP(RESOURCE_1_TYPE,COST_RATES,2,FALSE)*Input_Tasks[[#This Row],[R1 Business Hours]],0)+IFERROR(VLOOKUP(RESOURCE_1_TYPE,COST_RATES,3,FALSE)*Input_Tasks[[#This Row],[R1 After Hours]],0)</f>
        <v>0</v>
      </c>
      <c r="AM211" s="398">
        <f>IFERROR(VLOOKUP(RESOURCE_2_TYPE,COST_RATES,2,FALSE)*Input_Tasks[[#This Row],[R2 Business Hours]],0)+IFERROR(VLOOKUP(RESOURCE_2_TYPE,COST_RATES,3,FALSE)*Input_Tasks[[#This Row],[R2 After Hours]],0)</f>
        <v>0</v>
      </c>
      <c r="AN211" s="398">
        <f>IFERROR(VLOOKUP(RESOURCE_3_TYPE,COST_RATES,2,FALSE)*Input_Tasks[[#This Row],[R3 Business Hours]],0)+IFERROR(VLOOKUP(RESOURCE_3_TYPE,COST_RATES,3,FALSE)*Input_Tasks[[#This Row],[R3 After Hours]],0)</f>
        <v>0</v>
      </c>
      <c r="AO211" s="398">
        <f>IFERROR(VLOOKUP(RESOURCE_4_TYPE,COST_RATES,2,FALSE)*Input_Tasks[[#This Row],[R4 Business Hours]],0)+IFERROR(VLOOKUP(RESOURCE_4_TYPE,COST_RATES,3,FALSE)*Input_Tasks[[#This Row],[R4 After Hours]],0)</f>
        <v>0</v>
      </c>
      <c r="AP211" s="398">
        <f>IFERROR(VLOOKUP(RESOURCE_5_TYPE,COST_RATES,2,FALSE)*Input_Tasks[[#This Row],[R5 Business Hours]],0)+IFERROR(VLOOKUP(RESOURCE_5_TYPE,COST_RATES,3,FALSE)*Input_Tasks[[#This Row],[R5 After Hours]],0)</f>
        <v>0</v>
      </c>
      <c r="AQ211" s="399">
        <f>IFERROR(VLOOKUP(RESOURCE_1_TYPE,SELL_RATES,2,FALSE)*Input_Tasks[[#This Row],[R1 Business Hours]],0)+IFERROR(VLOOKUP(RESOURCE_1_TYPE,SELL_RATES,3,FALSE)*Input_Tasks[[#This Row],[R1 After Hours]],0)</f>
        <v>0</v>
      </c>
      <c r="AR211" s="398">
        <f>IFERROR(VLOOKUP(RESOURCE_2_TYPE,SELL_RATES,2,FALSE)*Input_Tasks[[#This Row],[R2 Business Hours]],0)+IFERROR(VLOOKUP(RESOURCE_2_TYPE,SELL_RATES,3,FALSE)*Input_Tasks[[#This Row],[R2 After Hours]],0)</f>
        <v>0</v>
      </c>
      <c r="AS211" s="398">
        <f>IFERROR(VLOOKUP(RESOURCE_3_TYPE,SELL_RATES,2,FALSE)*Input_Tasks[[#This Row],[R3 Business Hours]],0)+IFERROR(VLOOKUP(RESOURCE_3_TYPE,SELL_RATES,3,FALSE)*Input_Tasks[[#This Row],[R3 After Hours]],0)</f>
        <v>0</v>
      </c>
      <c r="AT211" s="398">
        <f>IFERROR(VLOOKUP(RESOURCE_4_TYPE,SELL_RATES,2,FALSE)*Input_Tasks[[#This Row],[R4 Business Hours]],0)+IFERROR(VLOOKUP(RESOURCE_4_TYPE,SELL_RATES,3,FALSE)*Input_Tasks[[#This Row],[R4 After Hours]],0)</f>
        <v>0</v>
      </c>
      <c r="AU211" s="398">
        <f>IFERROR(VLOOKUP(RESOURCE_5_TYPE,SELL_RATES,2,FALSE)*Input_Tasks[[#This Row],[R5 Business Hours]],0)+IFERROR(VLOOKUP(RESOURCE_5_TYPE,SELL_RATES,3,FALSE)*Input_Tasks[[#This Row],[R5 After Hours]],0)</f>
        <v>0</v>
      </c>
      <c r="AV211" s="400">
        <f>SUM(Input_Tasks[[#This Row],[Round Trips R1]:[Round Trips R5]])</f>
        <v>0</v>
      </c>
      <c r="AW211" s="401">
        <f>SUM(Input_Tasks[[#This Row],[Overnight StaysR1]:[Overnight StaysR5]])</f>
        <v>0</v>
      </c>
      <c r="AX211" s="401">
        <f>IF(AND(Input_Tasks[[#This Row],[Sell - Line Total]]&gt;0,OR(Input_Tasks[[#This Row],[Phase]]="",Input_Tasks[[#This Row],[Skill Required]]="",Input_Tasks[[#This Row],[Task Type]]="",Input_Tasks[[#This Row],[Description]]="")),1,0)</f>
        <v>0</v>
      </c>
      <c r="AY211" s="402">
        <f>IF(AND(Input_Tasks[[#This Row],[Task Type]]="ArchiTech Document Deliverable",Input_Tasks[[#This Row],[Hours]]&gt;0),1,0)</f>
        <v>0</v>
      </c>
      <c r="AZ21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1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1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1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1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1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1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1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1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1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1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1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1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11" s="405">
        <f>SUM(Input_Tasks[[#This Row],[R1 Business Hours]:[R1 After Hours]],Input_Tasks[[#This Row],[R2 Business Hours]:[R2 After Hours]],Input_Tasks[[#This Row],[R3 Business Hours]:[R3 After Hours]],Input_Tasks[[#This Row],[R4 Business Hours]:[R4 After Hours]],Input_Tasks[[#This Row],[R5 Business Hours]:[R5 After Hours]])</f>
        <v>0</v>
      </c>
    </row>
    <row r="212" spans="1:65">
      <c r="A212" s="384"/>
      <c r="B212" s="271"/>
      <c r="C212" s="271"/>
      <c r="D212" s="406"/>
      <c r="E212" s="385">
        <f>Input_Tasks[[#This Row],[Onsite Round Trips_Hidden]]</f>
        <v>0</v>
      </c>
      <c r="F212" s="385">
        <f>Input_Tasks[[#This Row],[Overnight Stays_Hidden]]</f>
        <v>0</v>
      </c>
      <c r="G212" s="385">
        <f>Input_Tasks[[#This Row],[Documents_Hidden]]</f>
        <v>0</v>
      </c>
      <c r="H212" s="387"/>
      <c r="I212" s="388"/>
      <c r="J212" s="389"/>
      <c r="K212" s="390"/>
      <c r="L212" s="390"/>
      <c r="M212" s="389"/>
      <c r="N212" s="390"/>
      <c r="O212" s="390"/>
      <c r="P212" s="389"/>
      <c r="Q212" s="390"/>
      <c r="R212" s="391"/>
      <c r="S212" s="389"/>
      <c r="T212" s="390"/>
      <c r="U212" s="391"/>
      <c r="V212" s="389"/>
      <c r="W212" s="390"/>
      <c r="X212" s="390"/>
      <c r="Y212" s="386" t="str">
        <f>Input_Tasks[[#This Row],[Onsite Round Trips_Hidden]]&amp;"/"&amp;Input_Tasks[[#This Row],[Overnight Stays_Hidden]]&amp;"/"&amp;Input_Tasks[[#This Row],[Documents_Hidden]]</f>
        <v>0/0/0</v>
      </c>
      <c r="Z212" s="392">
        <f>Input_Tasks[[#This Row],[R1 Cost_Hidden]]</f>
        <v>0</v>
      </c>
      <c r="AA212" s="393">
        <f>Input_Tasks[[#This Row],[R2 Cost_Hidden]]</f>
        <v>0</v>
      </c>
      <c r="AB212" s="393">
        <f>Input_Tasks[[#This Row],[R3 Cost_Hidden]]</f>
        <v>0</v>
      </c>
      <c r="AC212" s="393">
        <f>Input_Tasks[[#This Row],[R4 Cost_Hidden]]</f>
        <v>0</v>
      </c>
      <c r="AD212" s="394">
        <f>Input_Tasks[[#This Row],[R5 Cost_Hidden]]</f>
        <v>0</v>
      </c>
      <c r="AE212" s="395">
        <f>SUM(Input_Tasks[[#This Row],[R1 Cost]:[R5 Cost]])</f>
        <v>0</v>
      </c>
      <c r="AF212" s="392">
        <f>Input_Tasks[[#This Row],[R1 Sell_Hidden]]</f>
        <v>0</v>
      </c>
      <c r="AG212" s="393">
        <f>Input_Tasks[[#This Row],[R2 Sell_Hidden]]</f>
        <v>0</v>
      </c>
      <c r="AH212" s="393">
        <f>Input_Tasks[[#This Row],[R3 Sell_Hidden]]</f>
        <v>0</v>
      </c>
      <c r="AI212" s="393">
        <f>Input_Tasks[[#This Row],[R4 Sell_Hidden5]]</f>
        <v>0</v>
      </c>
      <c r="AJ212" s="394">
        <f>Input_Tasks[[#This Row],[R5 Sell_Hidden]]</f>
        <v>0</v>
      </c>
      <c r="AK212" s="396">
        <f>SUM(Input_Tasks[[#This Row],[R1 Sell]:[R5 Sell]])</f>
        <v>0</v>
      </c>
      <c r="AL212" s="397">
        <f>IFERROR(VLOOKUP(RESOURCE_1_TYPE,COST_RATES,2,FALSE)*Input_Tasks[[#This Row],[R1 Business Hours]],0)+IFERROR(VLOOKUP(RESOURCE_1_TYPE,COST_RATES,3,FALSE)*Input_Tasks[[#This Row],[R1 After Hours]],0)</f>
        <v>0</v>
      </c>
      <c r="AM212" s="398">
        <f>IFERROR(VLOOKUP(RESOURCE_2_TYPE,COST_RATES,2,FALSE)*Input_Tasks[[#This Row],[R2 Business Hours]],0)+IFERROR(VLOOKUP(RESOURCE_2_TYPE,COST_RATES,3,FALSE)*Input_Tasks[[#This Row],[R2 After Hours]],0)</f>
        <v>0</v>
      </c>
      <c r="AN212" s="398">
        <f>IFERROR(VLOOKUP(RESOURCE_3_TYPE,COST_RATES,2,FALSE)*Input_Tasks[[#This Row],[R3 Business Hours]],0)+IFERROR(VLOOKUP(RESOURCE_3_TYPE,COST_RATES,3,FALSE)*Input_Tasks[[#This Row],[R3 After Hours]],0)</f>
        <v>0</v>
      </c>
      <c r="AO212" s="398">
        <f>IFERROR(VLOOKUP(RESOURCE_4_TYPE,COST_RATES,2,FALSE)*Input_Tasks[[#This Row],[R4 Business Hours]],0)+IFERROR(VLOOKUP(RESOURCE_4_TYPE,COST_RATES,3,FALSE)*Input_Tasks[[#This Row],[R4 After Hours]],0)</f>
        <v>0</v>
      </c>
      <c r="AP212" s="398">
        <f>IFERROR(VLOOKUP(RESOURCE_5_TYPE,COST_RATES,2,FALSE)*Input_Tasks[[#This Row],[R5 Business Hours]],0)+IFERROR(VLOOKUP(RESOURCE_5_TYPE,COST_RATES,3,FALSE)*Input_Tasks[[#This Row],[R5 After Hours]],0)</f>
        <v>0</v>
      </c>
      <c r="AQ212" s="399">
        <f>IFERROR(VLOOKUP(RESOURCE_1_TYPE,SELL_RATES,2,FALSE)*Input_Tasks[[#This Row],[R1 Business Hours]],0)+IFERROR(VLOOKUP(RESOURCE_1_TYPE,SELL_RATES,3,FALSE)*Input_Tasks[[#This Row],[R1 After Hours]],0)</f>
        <v>0</v>
      </c>
      <c r="AR212" s="398">
        <f>IFERROR(VLOOKUP(RESOURCE_2_TYPE,SELL_RATES,2,FALSE)*Input_Tasks[[#This Row],[R2 Business Hours]],0)+IFERROR(VLOOKUP(RESOURCE_2_TYPE,SELL_RATES,3,FALSE)*Input_Tasks[[#This Row],[R2 After Hours]],0)</f>
        <v>0</v>
      </c>
      <c r="AS212" s="398">
        <f>IFERROR(VLOOKUP(RESOURCE_3_TYPE,SELL_RATES,2,FALSE)*Input_Tasks[[#This Row],[R3 Business Hours]],0)+IFERROR(VLOOKUP(RESOURCE_3_TYPE,SELL_RATES,3,FALSE)*Input_Tasks[[#This Row],[R3 After Hours]],0)</f>
        <v>0</v>
      </c>
      <c r="AT212" s="398">
        <f>IFERROR(VLOOKUP(RESOURCE_4_TYPE,SELL_RATES,2,FALSE)*Input_Tasks[[#This Row],[R4 Business Hours]],0)+IFERROR(VLOOKUP(RESOURCE_4_TYPE,SELL_RATES,3,FALSE)*Input_Tasks[[#This Row],[R4 After Hours]],0)</f>
        <v>0</v>
      </c>
      <c r="AU212" s="398">
        <f>IFERROR(VLOOKUP(RESOURCE_5_TYPE,SELL_RATES,2,FALSE)*Input_Tasks[[#This Row],[R5 Business Hours]],0)+IFERROR(VLOOKUP(RESOURCE_5_TYPE,SELL_RATES,3,FALSE)*Input_Tasks[[#This Row],[R5 After Hours]],0)</f>
        <v>0</v>
      </c>
      <c r="AV212" s="400">
        <f>SUM(Input_Tasks[[#This Row],[Round Trips R1]:[Round Trips R5]])</f>
        <v>0</v>
      </c>
      <c r="AW212" s="401">
        <f>SUM(Input_Tasks[[#This Row],[Overnight StaysR1]:[Overnight StaysR5]])</f>
        <v>0</v>
      </c>
      <c r="AX212" s="401">
        <f>IF(AND(Input_Tasks[[#This Row],[Sell - Line Total]]&gt;0,OR(Input_Tasks[[#This Row],[Phase]]="",Input_Tasks[[#This Row],[Skill Required]]="",Input_Tasks[[#This Row],[Task Type]]="",Input_Tasks[[#This Row],[Description]]="")),1,0)</f>
        <v>0</v>
      </c>
      <c r="AY212" s="402">
        <f>IF(AND(Input_Tasks[[#This Row],[Task Type]]="ArchiTech Document Deliverable",Input_Tasks[[#This Row],[Hours]]&gt;0),1,0)</f>
        <v>0</v>
      </c>
      <c r="AZ21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1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1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1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1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1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1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1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1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1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1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1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1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12" s="405">
        <f>SUM(Input_Tasks[[#This Row],[R1 Business Hours]:[R1 After Hours]],Input_Tasks[[#This Row],[R2 Business Hours]:[R2 After Hours]],Input_Tasks[[#This Row],[R3 Business Hours]:[R3 After Hours]],Input_Tasks[[#This Row],[R4 Business Hours]:[R4 After Hours]],Input_Tasks[[#This Row],[R5 Business Hours]:[R5 After Hours]])</f>
        <v>0</v>
      </c>
    </row>
    <row r="213" spans="1:65">
      <c r="A213" s="384"/>
      <c r="B213" s="271"/>
      <c r="C213" s="271"/>
      <c r="D213" s="406"/>
      <c r="E213" s="385">
        <f>Input_Tasks[[#This Row],[Onsite Round Trips_Hidden]]</f>
        <v>0</v>
      </c>
      <c r="F213" s="385">
        <f>Input_Tasks[[#This Row],[Overnight Stays_Hidden]]</f>
        <v>0</v>
      </c>
      <c r="G213" s="385">
        <f>Input_Tasks[[#This Row],[Documents_Hidden]]</f>
        <v>0</v>
      </c>
      <c r="H213" s="387"/>
      <c r="I213" s="388"/>
      <c r="J213" s="389"/>
      <c r="K213" s="390"/>
      <c r="L213" s="390"/>
      <c r="M213" s="389"/>
      <c r="N213" s="390"/>
      <c r="O213" s="390"/>
      <c r="P213" s="389"/>
      <c r="Q213" s="390"/>
      <c r="R213" s="391"/>
      <c r="S213" s="389"/>
      <c r="T213" s="390"/>
      <c r="U213" s="391"/>
      <c r="V213" s="389"/>
      <c r="W213" s="390"/>
      <c r="X213" s="390"/>
      <c r="Y213" s="386" t="str">
        <f>Input_Tasks[[#This Row],[Onsite Round Trips_Hidden]]&amp;"/"&amp;Input_Tasks[[#This Row],[Overnight Stays_Hidden]]&amp;"/"&amp;Input_Tasks[[#This Row],[Documents_Hidden]]</f>
        <v>0/0/0</v>
      </c>
      <c r="Z213" s="392">
        <f>Input_Tasks[[#This Row],[R1 Cost_Hidden]]</f>
        <v>0</v>
      </c>
      <c r="AA213" s="393">
        <f>Input_Tasks[[#This Row],[R2 Cost_Hidden]]</f>
        <v>0</v>
      </c>
      <c r="AB213" s="393">
        <f>Input_Tasks[[#This Row],[R3 Cost_Hidden]]</f>
        <v>0</v>
      </c>
      <c r="AC213" s="393">
        <f>Input_Tasks[[#This Row],[R4 Cost_Hidden]]</f>
        <v>0</v>
      </c>
      <c r="AD213" s="394">
        <f>Input_Tasks[[#This Row],[R5 Cost_Hidden]]</f>
        <v>0</v>
      </c>
      <c r="AE213" s="395">
        <f>SUM(Input_Tasks[[#This Row],[R1 Cost]:[R5 Cost]])</f>
        <v>0</v>
      </c>
      <c r="AF213" s="392">
        <f>Input_Tasks[[#This Row],[R1 Sell_Hidden]]</f>
        <v>0</v>
      </c>
      <c r="AG213" s="393">
        <f>Input_Tasks[[#This Row],[R2 Sell_Hidden]]</f>
        <v>0</v>
      </c>
      <c r="AH213" s="393">
        <f>Input_Tasks[[#This Row],[R3 Sell_Hidden]]</f>
        <v>0</v>
      </c>
      <c r="AI213" s="393">
        <f>Input_Tasks[[#This Row],[R4 Sell_Hidden5]]</f>
        <v>0</v>
      </c>
      <c r="AJ213" s="394">
        <f>Input_Tasks[[#This Row],[R5 Sell_Hidden]]</f>
        <v>0</v>
      </c>
      <c r="AK213" s="396">
        <f>SUM(Input_Tasks[[#This Row],[R1 Sell]:[R5 Sell]])</f>
        <v>0</v>
      </c>
      <c r="AL213" s="397">
        <f>IFERROR(VLOOKUP(RESOURCE_1_TYPE,COST_RATES,2,FALSE)*Input_Tasks[[#This Row],[R1 Business Hours]],0)+IFERROR(VLOOKUP(RESOURCE_1_TYPE,COST_RATES,3,FALSE)*Input_Tasks[[#This Row],[R1 After Hours]],0)</f>
        <v>0</v>
      </c>
      <c r="AM213" s="398">
        <f>IFERROR(VLOOKUP(RESOURCE_2_TYPE,COST_RATES,2,FALSE)*Input_Tasks[[#This Row],[R2 Business Hours]],0)+IFERROR(VLOOKUP(RESOURCE_2_TYPE,COST_RATES,3,FALSE)*Input_Tasks[[#This Row],[R2 After Hours]],0)</f>
        <v>0</v>
      </c>
      <c r="AN213" s="398">
        <f>IFERROR(VLOOKUP(RESOURCE_3_TYPE,COST_RATES,2,FALSE)*Input_Tasks[[#This Row],[R3 Business Hours]],0)+IFERROR(VLOOKUP(RESOURCE_3_TYPE,COST_RATES,3,FALSE)*Input_Tasks[[#This Row],[R3 After Hours]],0)</f>
        <v>0</v>
      </c>
      <c r="AO213" s="398">
        <f>IFERROR(VLOOKUP(RESOURCE_4_TYPE,COST_RATES,2,FALSE)*Input_Tasks[[#This Row],[R4 Business Hours]],0)+IFERROR(VLOOKUP(RESOURCE_4_TYPE,COST_RATES,3,FALSE)*Input_Tasks[[#This Row],[R4 After Hours]],0)</f>
        <v>0</v>
      </c>
      <c r="AP213" s="398">
        <f>IFERROR(VLOOKUP(RESOURCE_5_TYPE,COST_RATES,2,FALSE)*Input_Tasks[[#This Row],[R5 Business Hours]],0)+IFERROR(VLOOKUP(RESOURCE_5_TYPE,COST_RATES,3,FALSE)*Input_Tasks[[#This Row],[R5 After Hours]],0)</f>
        <v>0</v>
      </c>
      <c r="AQ213" s="399">
        <f>IFERROR(VLOOKUP(RESOURCE_1_TYPE,SELL_RATES,2,FALSE)*Input_Tasks[[#This Row],[R1 Business Hours]],0)+IFERROR(VLOOKUP(RESOURCE_1_TYPE,SELL_RATES,3,FALSE)*Input_Tasks[[#This Row],[R1 After Hours]],0)</f>
        <v>0</v>
      </c>
      <c r="AR213" s="398">
        <f>IFERROR(VLOOKUP(RESOURCE_2_TYPE,SELL_RATES,2,FALSE)*Input_Tasks[[#This Row],[R2 Business Hours]],0)+IFERROR(VLOOKUP(RESOURCE_2_TYPE,SELL_RATES,3,FALSE)*Input_Tasks[[#This Row],[R2 After Hours]],0)</f>
        <v>0</v>
      </c>
      <c r="AS213" s="398">
        <f>IFERROR(VLOOKUP(RESOURCE_3_TYPE,SELL_RATES,2,FALSE)*Input_Tasks[[#This Row],[R3 Business Hours]],0)+IFERROR(VLOOKUP(RESOURCE_3_TYPE,SELL_RATES,3,FALSE)*Input_Tasks[[#This Row],[R3 After Hours]],0)</f>
        <v>0</v>
      </c>
      <c r="AT213" s="398">
        <f>IFERROR(VLOOKUP(RESOURCE_4_TYPE,SELL_RATES,2,FALSE)*Input_Tasks[[#This Row],[R4 Business Hours]],0)+IFERROR(VLOOKUP(RESOURCE_4_TYPE,SELL_RATES,3,FALSE)*Input_Tasks[[#This Row],[R4 After Hours]],0)</f>
        <v>0</v>
      </c>
      <c r="AU213" s="398">
        <f>IFERROR(VLOOKUP(RESOURCE_5_TYPE,SELL_RATES,2,FALSE)*Input_Tasks[[#This Row],[R5 Business Hours]],0)+IFERROR(VLOOKUP(RESOURCE_5_TYPE,SELL_RATES,3,FALSE)*Input_Tasks[[#This Row],[R5 After Hours]],0)</f>
        <v>0</v>
      </c>
      <c r="AV213" s="400">
        <f>SUM(Input_Tasks[[#This Row],[Round Trips R1]:[Round Trips R5]])</f>
        <v>0</v>
      </c>
      <c r="AW213" s="401">
        <f>SUM(Input_Tasks[[#This Row],[Overnight StaysR1]:[Overnight StaysR5]])</f>
        <v>0</v>
      </c>
      <c r="AX213" s="401">
        <f>IF(AND(Input_Tasks[[#This Row],[Sell - Line Total]]&gt;0,OR(Input_Tasks[[#This Row],[Phase]]="",Input_Tasks[[#This Row],[Skill Required]]="",Input_Tasks[[#This Row],[Task Type]]="",Input_Tasks[[#This Row],[Description]]="")),1,0)</f>
        <v>0</v>
      </c>
      <c r="AY213" s="402">
        <f>IF(AND(Input_Tasks[[#This Row],[Task Type]]="ArchiTech Document Deliverable",Input_Tasks[[#This Row],[Hours]]&gt;0),1,0)</f>
        <v>0</v>
      </c>
      <c r="AZ21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1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1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1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1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1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1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1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1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1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1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1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1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13" s="405">
        <f>SUM(Input_Tasks[[#This Row],[R1 Business Hours]:[R1 After Hours]],Input_Tasks[[#This Row],[R2 Business Hours]:[R2 After Hours]],Input_Tasks[[#This Row],[R3 Business Hours]:[R3 After Hours]],Input_Tasks[[#This Row],[R4 Business Hours]:[R4 After Hours]],Input_Tasks[[#This Row],[R5 Business Hours]:[R5 After Hours]])</f>
        <v>0</v>
      </c>
    </row>
    <row r="214" spans="1:65">
      <c r="A214" s="384"/>
      <c r="B214" s="271"/>
      <c r="C214" s="271"/>
      <c r="D214" s="406"/>
      <c r="E214" s="385">
        <f>Input_Tasks[[#This Row],[Onsite Round Trips_Hidden]]</f>
        <v>0</v>
      </c>
      <c r="F214" s="385">
        <f>Input_Tasks[[#This Row],[Overnight Stays_Hidden]]</f>
        <v>0</v>
      </c>
      <c r="G214" s="385">
        <f>Input_Tasks[[#This Row],[Documents_Hidden]]</f>
        <v>0</v>
      </c>
      <c r="H214" s="387"/>
      <c r="I214" s="388"/>
      <c r="J214" s="389"/>
      <c r="K214" s="390"/>
      <c r="L214" s="390"/>
      <c r="M214" s="389"/>
      <c r="N214" s="390"/>
      <c r="O214" s="390"/>
      <c r="P214" s="389"/>
      <c r="Q214" s="390"/>
      <c r="R214" s="391"/>
      <c r="S214" s="389"/>
      <c r="T214" s="390"/>
      <c r="U214" s="391"/>
      <c r="V214" s="389"/>
      <c r="W214" s="390"/>
      <c r="X214" s="390"/>
      <c r="Y214" s="386" t="str">
        <f>Input_Tasks[[#This Row],[Onsite Round Trips_Hidden]]&amp;"/"&amp;Input_Tasks[[#This Row],[Overnight Stays_Hidden]]&amp;"/"&amp;Input_Tasks[[#This Row],[Documents_Hidden]]</f>
        <v>0/0/0</v>
      </c>
      <c r="Z214" s="392">
        <f>Input_Tasks[[#This Row],[R1 Cost_Hidden]]</f>
        <v>0</v>
      </c>
      <c r="AA214" s="393">
        <f>Input_Tasks[[#This Row],[R2 Cost_Hidden]]</f>
        <v>0</v>
      </c>
      <c r="AB214" s="393">
        <f>Input_Tasks[[#This Row],[R3 Cost_Hidden]]</f>
        <v>0</v>
      </c>
      <c r="AC214" s="393">
        <f>Input_Tasks[[#This Row],[R4 Cost_Hidden]]</f>
        <v>0</v>
      </c>
      <c r="AD214" s="394">
        <f>Input_Tasks[[#This Row],[R5 Cost_Hidden]]</f>
        <v>0</v>
      </c>
      <c r="AE214" s="395">
        <f>SUM(Input_Tasks[[#This Row],[R1 Cost]:[R5 Cost]])</f>
        <v>0</v>
      </c>
      <c r="AF214" s="392">
        <f>Input_Tasks[[#This Row],[R1 Sell_Hidden]]</f>
        <v>0</v>
      </c>
      <c r="AG214" s="393">
        <f>Input_Tasks[[#This Row],[R2 Sell_Hidden]]</f>
        <v>0</v>
      </c>
      <c r="AH214" s="393">
        <f>Input_Tasks[[#This Row],[R3 Sell_Hidden]]</f>
        <v>0</v>
      </c>
      <c r="AI214" s="393">
        <f>Input_Tasks[[#This Row],[R4 Sell_Hidden5]]</f>
        <v>0</v>
      </c>
      <c r="AJ214" s="394">
        <f>Input_Tasks[[#This Row],[R5 Sell_Hidden]]</f>
        <v>0</v>
      </c>
      <c r="AK214" s="396">
        <f>SUM(Input_Tasks[[#This Row],[R1 Sell]:[R5 Sell]])</f>
        <v>0</v>
      </c>
      <c r="AL214" s="397">
        <f>IFERROR(VLOOKUP(RESOURCE_1_TYPE,COST_RATES,2,FALSE)*Input_Tasks[[#This Row],[R1 Business Hours]],0)+IFERROR(VLOOKUP(RESOURCE_1_TYPE,COST_RATES,3,FALSE)*Input_Tasks[[#This Row],[R1 After Hours]],0)</f>
        <v>0</v>
      </c>
      <c r="AM214" s="398">
        <f>IFERROR(VLOOKUP(RESOURCE_2_TYPE,COST_RATES,2,FALSE)*Input_Tasks[[#This Row],[R2 Business Hours]],0)+IFERROR(VLOOKUP(RESOURCE_2_TYPE,COST_RATES,3,FALSE)*Input_Tasks[[#This Row],[R2 After Hours]],0)</f>
        <v>0</v>
      </c>
      <c r="AN214" s="398">
        <f>IFERROR(VLOOKUP(RESOURCE_3_TYPE,COST_RATES,2,FALSE)*Input_Tasks[[#This Row],[R3 Business Hours]],0)+IFERROR(VLOOKUP(RESOURCE_3_TYPE,COST_RATES,3,FALSE)*Input_Tasks[[#This Row],[R3 After Hours]],0)</f>
        <v>0</v>
      </c>
      <c r="AO214" s="398">
        <f>IFERROR(VLOOKUP(RESOURCE_4_TYPE,COST_RATES,2,FALSE)*Input_Tasks[[#This Row],[R4 Business Hours]],0)+IFERROR(VLOOKUP(RESOURCE_4_TYPE,COST_RATES,3,FALSE)*Input_Tasks[[#This Row],[R4 After Hours]],0)</f>
        <v>0</v>
      </c>
      <c r="AP214" s="398">
        <f>IFERROR(VLOOKUP(RESOURCE_5_TYPE,COST_RATES,2,FALSE)*Input_Tasks[[#This Row],[R5 Business Hours]],0)+IFERROR(VLOOKUP(RESOURCE_5_TYPE,COST_RATES,3,FALSE)*Input_Tasks[[#This Row],[R5 After Hours]],0)</f>
        <v>0</v>
      </c>
      <c r="AQ214" s="399">
        <f>IFERROR(VLOOKUP(RESOURCE_1_TYPE,SELL_RATES,2,FALSE)*Input_Tasks[[#This Row],[R1 Business Hours]],0)+IFERROR(VLOOKUP(RESOURCE_1_TYPE,SELL_RATES,3,FALSE)*Input_Tasks[[#This Row],[R1 After Hours]],0)</f>
        <v>0</v>
      </c>
      <c r="AR214" s="398">
        <f>IFERROR(VLOOKUP(RESOURCE_2_TYPE,SELL_RATES,2,FALSE)*Input_Tasks[[#This Row],[R2 Business Hours]],0)+IFERROR(VLOOKUP(RESOURCE_2_TYPE,SELL_RATES,3,FALSE)*Input_Tasks[[#This Row],[R2 After Hours]],0)</f>
        <v>0</v>
      </c>
      <c r="AS214" s="398">
        <f>IFERROR(VLOOKUP(RESOURCE_3_TYPE,SELL_RATES,2,FALSE)*Input_Tasks[[#This Row],[R3 Business Hours]],0)+IFERROR(VLOOKUP(RESOURCE_3_TYPE,SELL_RATES,3,FALSE)*Input_Tasks[[#This Row],[R3 After Hours]],0)</f>
        <v>0</v>
      </c>
      <c r="AT214" s="398">
        <f>IFERROR(VLOOKUP(RESOURCE_4_TYPE,SELL_RATES,2,FALSE)*Input_Tasks[[#This Row],[R4 Business Hours]],0)+IFERROR(VLOOKUP(RESOURCE_4_TYPE,SELL_RATES,3,FALSE)*Input_Tasks[[#This Row],[R4 After Hours]],0)</f>
        <v>0</v>
      </c>
      <c r="AU214" s="398">
        <f>IFERROR(VLOOKUP(RESOURCE_5_TYPE,SELL_RATES,2,FALSE)*Input_Tasks[[#This Row],[R5 Business Hours]],0)+IFERROR(VLOOKUP(RESOURCE_5_TYPE,SELL_RATES,3,FALSE)*Input_Tasks[[#This Row],[R5 After Hours]],0)</f>
        <v>0</v>
      </c>
      <c r="AV214" s="400">
        <f>SUM(Input_Tasks[[#This Row],[Round Trips R1]:[Round Trips R5]])</f>
        <v>0</v>
      </c>
      <c r="AW214" s="401">
        <f>SUM(Input_Tasks[[#This Row],[Overnight StaysR1]:[Overnight StaysR5]])</f>
        <v>0</v>
      </c>
      <c r="AX214" s="401">
        <f>IF(AND(Input_Tasks[[#This Row],[Sell - Line Total]]&gt;0,OR(Input_Tasks[[#This Row],[Phase]]="",Input_Tasks[[#This Row],[Skill Required]]="",Input_Tasks[[#This Row],[Task Type]]="",Input_Tasks[[#This Row],[Description]]="")),1,0)</f>
        <v>0</v>
      </c>
      <c r="AY214" s="402">
        <f>IF(AND(Input_Tasks[[#This Row],[Task Type]]="ArchiTech Document Deliverable",Input_Tasks[[#This Row],[Hours]]&gt;0),1,0)</f>
        <v>0</v>
      </c>
      <c r="AZ21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1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1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1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1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1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1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1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1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1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1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1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1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14" s="405">
        <f>SUM(Input_Tasks[[#This Row],[R1 Business Hours]:[R1 After Hours]],Input_Tasks[[#This Row],[R2 Business Hours]:[R2 After Hours]],Input_Tasks[[#This Row],[R3 Business Hours]:[R3 After Hours]],Input_Tasks[[#This Row],[R4 Business Hours]:[R4 After Hours]],Input_Tasks[[#This Row],[R5 Business Hours]:[R5 After Hours]])</f>
        <v>0</v>
      </c>
    </row>
    <row r="215" spans="1:65">
      <c r="A215" s="384"/>
      <c r="B215" s="271"/>
      <c r="C215" s="271"/>
      <c r="D215" s="406"/>
      <c r="E215" s="385">
        <f>Input_Tasks[[#This Row],[Onsite Round Trips_Hidden]]</f>
        <v>0</v>
      </c>
      <c r="F215" s="385">
        <f>Input_Tasks[[#This Row],[Overnight Stays_Hidden]]</f>
        <v>0</v>
      </c>
      <c r="G215" s="385">
        <f>Input_Tasks[[#This Row],[Documents_Hidden]]</f>
        <v>0</v>
      </c>
      <c r="H215" s="387"/>
      <c r="I215" s="388"/>
      <c r="J215" s="389"/>
      <c r="K215" s="390"/>
      <c r="L215" s="390"/>
      <c r="M215" s="389"/>
      <c r="N215" s="390"/>
      <c r="O215" s="390"/>
      <c r="P215" s="389"/>
      <c r="Q215" s="390"/>
      <c r="R215" s="391"/>
      <c r="S215" s="389"/>
      <c r="T215" s="390"/>
      <c r="U215" s="391"/>
      <c r="V215" s="389"/>
      <c r="W215" s="390"/>
      <c r="X215" s="390"/>
      <c r="Y215" s="386" t="str">
        <f>Input_Tasks[[#This Row],[Onsite Round Trips_Hidden]]&amp;"/"&amp;Input_Tasks[[#This Row],[Overnight Stays_Hidden]]&amp;"/"&amp;Input_Tasks[[#This Row],[Documents_Hidden]]</f>
        <v>0/0/0</v>
      </c>
      <c r="Z215" s="392">
        <f>Input_Tasks[[#This Row],[R1 Cost_Hidden]]</f>
        <v>0</v>
      </c>
      <c r="AA215" s="393">
        <f>Input_Tasks[[#This Row],[R2 Cost_Hidden]]</f>
        <v>0</v>
      </c>
      <c r="AB215" s="393">
        <f>Input_Tasks[[#This Row],[R3 Cost_Hidden]]</f>
        <v>0</v>
      </c>
      <c r="AC215" s="393">
        <f>Input_Tasks[[#This Row],[R4 Cost_Hidden]]</f>
        <v>0</v>
      </c>
      <c r="AD215" s="394">
        <f>Input_Tasks[[#This Row],[R5 Cost_Hidden]]</f>
        <v>0</v>
      </c>
      <c r="AE215" s="395">
        <f>SUM(Input_Tasks[[#This Row],[R1 Cost]:[R5 Cost]])</f>
        <v>0</v>
      </c>
      <c r="AF215" s="392">
        <f>Input_Tasks[[#This Row],[R1 Sell_Hidden]]</f>
        <v>0</v>
      </c>
      <c r="AG215" s="393">
        <f>Input_Tasks[[#This Row],[R2 Sell_Hidden]]</f>
        <v>0</v>
      </c>
      <c r="AH215" s="393">
        <f>Input_Tasks[[#This Row],[R3 Sell_Hidden]]</f>
        <v>0</v>
      </c>
      <c r="AI215" s="393">
        <f>Input_Tasks[[#This Row],[R4 Sell_Hidden5]]</f>
        <v>0</v>
      </c>
      <c r="AJ215" s="394">
        <f>Input_Tasks[[#This Row],[R5 Sell_Hidden]]</f>
        <v>0</v>
      </c>
      <c r="AK215" s="396">
        <f>SUM(Input_Tasks[[#This Row],[R1 Sell]:[R5 Sell]])</f>
        <v>0</v>
      </c>
      <c r="AL215" s="397">
        <f>IFERROR(VLOOKUP(RESOURCE_1_TYPE,COST_RATES,2,FALSE)*Input_Tasks[[#This Row],[R1 Business Hours]],0)+IFERROR(VLOOKUP(RESOURCE_1_TYPE,COST_RATES,3,FALSE)*Input_Tasks[[#This Row],[R1 After Hours]],0)</f>
        <v>0</v>
      </c>
      <c r="AM215" s="398">
        <f>IFERROR(VLOOKUP(RESOURCE_2_TYPE,COST_RATES,2,FALSE)*Input_Tasks[[#This Row],[R2 Business Hours]],0)+IFERROR(VLOOKUP(RESOURCE_2_TYPE,COST_RATES,3,FALSE)*Input_Tasks[[#This Row],[R2 After Hours]],0)</f>
        <v>0</v>
      </c>
      <c r="AN215" s="398">
        <f>IFERROR(VLOOKUP(RESOURCE_3_TYPE,COST_RATES,2,FALSE)*Input_Tasks[[#This Row],[R3 Business Hours]],0)+IFERROR(VLOOKUP(RESOURCE_3_TYPE,COST_RATES,3,FALSE)*Input_Tasks[[#This Row],[R3 After Hours]],0)</f>
        <v>0</v>
      </c>
      <c r="AO215" s="398">
        <f>IFERROR(VLOOKUP(RESOURCE_4_TYPE,COST_RATES,2,FALSE)*Input_Tasks[[#This Row],[R4 Business Hours]],0)+IFERROR(VLOOKUP(RESOURCE_4_TYPE,COST_RATES,3,FALSE)*Input_Tasks[[#This Row],[R4 After Hours]],0)</f>
        <v>0</v>
      </c>
      <c r="AP215" s="398">
        <f>IFERROR(VLOOKUP(RESOURCE_5_TYPE,COST_RATES,2,FALSE)*Input_Tasks[[#This Row],[R5 Business Hours]],0)+IFERROR(VLOOKUP(RESOURCE_5_TYPE,COST_RATES,3,FALSE)*Input_Tasks[[#This Row],[R5 After Hours]],0)</f>
        <v>0</v>
      </c>
      <c r="AQ215" s="399">
        <f>IFERROR(VLOOKUP(RESOURCE_1_TYPE,SELL_RATES,2,FALSE)*Input_Tasks[[#This Row],[R1 Business Hours]],0)+IFERROR(VLOOKUP(RESOURCE_1_TYPE,SELL_RATES,3,FALSE)*Input_Tasks[[#This Row],[R1 After Hours]],0)</f>
        <v>0</v>
      </c>
      <c r="AR215" s="398">
        <f>IFERROR(VLOOKUP(RESOURCE_2_TYPE,SELL_RATES,2,FALSE)*Input_Tasks[[#This Row],[R2 Business Hours]],0)+IFERROR(VLOOKUP(RESOURCE_2_TYPE,SELL_RATES,3,FALSE)*Input_Tasks[[#This Row],[R2 After Hours]],0)</f>
        <v>0</v>
      </c>
      <c r="AS215" s="398">
        <f>IFERROR(VLOOKUP(RESOURCE_3_TYPE,SELL_RATES,2,FALSE)*Input_Tasks[[#This Row],[R3 Business Hours]],0)+IFERROR(VLOOKUP(RESOURCE_3_TYPE,SELL_RATES,3,FALSE)*Input_Tasks[[#This Row],[R3 After Hours]],0)</f>
        <v>0</v>
      </c>
      <c r="AT215" s="398">
        <f>IFERROR(VLOOKUP(RESOURCE_4_TYPE,SELL_RATES,2,FALSE)*Input_Tasks[[#This Row],[R4 Business Hours]],0)+IFERROR(VLOOKUP(RESOURCE_4_TYPE,SELL_RATES,3,FALSE)*Input_Tasks[[#This Row],[R4 After Hours]],0)</f>
        <v>0</v>
      </c>
      <c r="AU215" s="398">
        <f>IFERROR(VLOOKUP(RESOURCE_5_TYPE,SELL_RATES,2,FALSE)*Input_Tasks[[#This Row],[R5 Business Hours]],0)+IFERROR(VLOOKUP(RESOURCE_5_TYPE,SELL_RATES,3,FALSE)*Input_Tasks[[#This Row],[R5 After Hours]],0)</f>
        <v>0</v>
      </c>
      <c r="AV215" s="400">
        <f>SUM(Input_Tasks[[#This Row],[Round Trips R1]:[Round Trips R5]])</f>
        <v>0</v>
      </c>
      <c r="AW215" s="401">
        <f>SUM(Input_Tasks[[#This Row],[Overnight StaysR1]:[Overnight StaysR5]])</f>
        <v>0</v>
      </c>
      <c r="AX215" s="401">
        <f>IF(AND(Input_Tasks[[#This Row],[Sell - Line Total]]&gt;0,OR(Input_Tasks[[#This Row],[Phase]]="",Input_Tasks[[#This Row],[Skill Required]]="",Input_Tasks[[#This Row],[Task Type]]="",Input_Tasks[[#This Row],[Description]]="")),1,0)</f>
        <v>0</v>
      </c>
      <c r="AY215" s="402">
        <f>IF(AND(Input_Tasks[[#This Row],[Task Type]]="ArchiTech Document Deliverable",Input_Tasks[[#This Row],[Hours]]&gt;0),1,0)</f>
        <v>0</v>
      </c>
      <c r="AZ215"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15"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15"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15"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15"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15"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15"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15"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15"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15"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15"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15"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15"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15" s="405">
        <f>SUM(Input_Tasks[[#This Row],[R1 Business Hours]:[R1 After Hours]],Input_Tasks[[#This Row],[R2 Business Hours]:[R2 After Hours]],Input_Tasks[[#This Row],[R3 Business Hours]:[R3 After Hours]],Input_Tasks[[#This Row],[R4 Business Hours]:[R4 After Hours]],Input_Tasks[[#This Row],[R5 Business Hours]:[R5 After Hours]])</f>
        <v>0</v>
      </c>
    </row>
    <row r="216" spans="1:65">
      <c r="A216" s="384"/>
      <c r="B216" s="271"/>
      <c r="C216" s="271"/>
      <c r="D216" s="406"/>
      <c r="E216" s="385">
        <f>Input_Tasks[[#This Row],[Onsite Round Trips_Hidden]]</f>
        <v>0</v>
      </c>
      <c r="F216" s="385">
        <f>Input_Tasks[[#This Row],[Overnight Stays_Hidden]]</f>
        <v>0</v>
      </c>
      <c r="G216" s="385">
        <f>Input_Tasks[[#This Row],[Documents_Hidden]]</f>
        <v>0</v>
      </c>
      <c r="H216" s="387"/>
      <c r="I216" s="388"/>
      <c r="J216" s="389"/>
      <c r="K216" s="390"/>
      <c r="L216" s="390"/>
      <c r="M216" s="389"/>
      <c r="N216" s="390"/>
      <c r="O216" s="390"/>
      <c r="P216" s="389"/>
      <c r="Q216" s="390"/>
      <c r="R216" s="391"/>
      <c r="S216" s="389"/>
      <c r="T216" s="390"/>
      <c r="U216" s="391"/>
      <c r="V216" s="389"/>
      <c r="W216" s="390"/>
      <c r="X216" s="390"/>
      <c r="Y216" s="386" t="str">
        <f>Input_Tasks[[#This Row],[Onsite Round Trips_Hidden]]&amp;"/"&amp;Input_Tasks[[#This Row],[Overnight Stays_Hidden]]&amp;"/"&amp;Input_Tasks[[#This Row],[Documents_Hidden]]</f>
        <v>0/0/0</v>
      </c>
      <c r="Z216" s="392">
        <f>Input_Tasks[[#This Row],[R1 Cost_Hidden]]</f>
        <v>0</v>
      </c>
      <c r="AA216" s="393">
        <f>Input_Tasks[[#This Row],[R2 Cost_Hidden]]</f>
        <v>0</v>
      </c>
      <c r="AB216" s="393">
        <f>Input_Tasks[[#This Row],[R3 Cost_Hidden]]</f>
        <v>0</v>
      </c>
      <c r="AC216" s="393">
        <f>Input_Tasks[[#This Row],[R4 Cost_Hidden]]</f>
        <v>0</v>
      </c>
      <c r="AD216" s="394">
        <f>Input_Tasks[[#This Row],[R5 Cost_Hidden]]</f>
        <v>0</v>
      </c>
      <c r="AE216" s="395">
        <f>SUM(Input_Tasks[[#This Row],[R1 Cost]:[R5 Cost]])</f>
        <v>0</v>
      </c>
      <c r="AF216" s="392">
        <f>Input_Tasks[[#This Row],[R1 Sell_Hidden]]</f>
        <v>0</v>
      </c>
      <c r="AG216" s="393">
        <f>Input_Tasks[[#This Row],[R2 Sell_Hidden]]</f>
        <v>0</v>
      </c>
      <c r="AH216" s="393">
        <f>Input_Tasks[[#This Row],[R3 Sell_Hidden]]</f>
        <v>0</v>
      </c>
      <c r="AI216" s="393">
        <f>Input_Tasks[[#This Row],[R4 Sell_Hidden5]]</f>
        <v>0</v>
      </c>
      <c r="AJ216" s="394">
        <f>Input_Tasks[[#This Row],[R5 Sell_Hidden]]</f>
        <v>0</v>
      </c>
      <c r="AK216" s="396">
        <f>SUM(Input_Tasks[[#This Row],[R1 Sell]:[R5 Sell]])</f>
        <v>0</v>
      </c>
      <c r="AL216" s="397">
        <f>IFERROR(VLOOKUP(RESOURCE_1_TYPE,COST_RATES,2,FALSE)*Input_Tasks[[#This Row],[R1 Business Hours]],0)+IFERROR(VLOOKUP(RESOURCE_1_TYPE,COST_RATES,3,FALSE)*Input_Tasks[[#This Row],[R1 After Hours]],0)</f>
        <v>0</v>
      </c>
      <c r="AM216" s="398">
        <f>IFERROR(VLOOKUP(RESOURCE_2_TYPE,COST_RATES,2,FALSE)*Input_Tasks[[#This Row],[R2 Business Hours]],0)+IFERROR(VLOOKUP(RESOURCE_2_TYPE,COST_RATES,3,FALSE)*Input_Tasks[[#This Row],[R2 After Hours]],0)</f>
        <v>0</v>
      </c>
      <c r="AN216" s="398">
        <f>IFERROR(VLOOKUP(RESOURCE_3_TYPE,COST_RATES,2,FALSE)*Input_Tasks[[#This Row],[R3 Business Hours]],0)+IFERROR(VLOOKUP(RESOURCE_3_TYPE,COST_RATES,3,FALSE)*Input_Tasks[[#This Row],[R3 After Hours]],0)</f>
        <v>0</v>
      </c>
      <c r="AO216" s="398">
        <f>IFERROR(VLOOKUP(RESOURCE_4_TYPE,COST_RATES,2,FALSE)*Input_Tasks[[#This Row],[R4 Business Hours]],0)+IFERROR(VLOOKUP(RESOURCE_4_TYPE,COST_RATES,3,FALSE)*Input_Tasks[[#This Row],[R4 After Hours]],0)</f>
        <v>0</v>
      </c>
      <c r="AP216" s="398">
        <f>IFERROR(VLOOKUP(RESOURCE_5_TYPE,COST_RATES,2,FALSE)*Input_Tasks[[#This Row],[R5 Business Hours]],0)+IFERROR(VLOOKUP(RESOURCE_5_TYPE,COST_RATES,3,FALSE)*Input_Tasks[[#This Row],[R5 After Hours]],0)</f>
        <v>0</v>
      </c>
      <c r="AQ216" s="399">
        <f>IFERROR(VLOOKUP(RESOURCE_1_TYPE,SELL_RATES,2,FALSE)*Input_Tasks[[#This Row],[R1 Business Hours]],0)+IFERROR(VLOOKUP(RESOURCE_1_TYPE,SELL_RATES,3,FALSE)*Input_Tasks[[#This Row],[R1 After Hours]],0)</f>
        <v>0</v>
      </c>
      <c r="AR216" s="398">
        <f>IFERROR(VLOOKUP(RESOURCE_2_TYPE,SELL_RATES,2,FALSE)*Input_Tasks[[#This Row],[R2 Business Hours]],0)+IFERROR(VLOOKUP(RESOURCE_2_TYPE,SELL_RATES,3,FALSE)*Input_Tasks[[#This Row],[R2 After Hours]],0)</f>
        <v>0</v>
      </c>
      <c r="AS216" s="398">
        <f>IFERROR(VLOOKUP(RESOURCE_3_TYPE,SELL_RATES,2,FALSE)*Input_Tasks[[#This Row],[R3 Business Hours]],0)+IFERROR(VLOOKUP(RESOURCE_3_TYPE,SELL_RATES,3,FALSE)*Input_Tasks[[#This Row],[R3 After Hours]],0)</f>
        <v>0</v>
      </c>
      <c r="AT216" s="398">
        <f>IFERROR(VLOOKUP(RESOURCE_4_TYPE,SELL_RATES,2,FALSE)*Input_Tasks[[#This Row],[R4 Business Hours]],0)+IFERROR(VLOOKUP(RESOURCE_4_TYPE,SELL_RATES,3,FALSE)*Input_Tasks[[#This Row],[R4 After Hours]],0)</f>
        <v>0</v>
      </c>
      <c r="AU216" s="398">
        <f>IFERROR(VLOOKUP(RESOURCE_5_TYPE,SELL_RATES,2,FALSE)*Input_Tasks[[#This Row],[R5 Business Hours]],0)+IFERROR(VLOOKUP(RESOURCE_5_TYPE,SELL_RATES,3,FALSE)*Input_Tasks[[#This Row],[R5 After Hours]],0)</f>
        <v>0</v>
      </c>
      <c r="AV216" s="400">
        <f>SUM(Input_Tasks[[#This Row],[Round Trips R1]:[Round Trips R5]])</f>
        <v>0</v>
      </c>
      <c r="AW216" s="401">
        <f>SUM(Input_Tasks[[#This Row],[Overnight StaysR1]:[Overnight StaysR5]])</f>
        <v>0</v>
      </c>
      <c r="AX216" s="401">
        <f>IF(AND(Input_Tasks[[#This Row],[Sell - Line Total]]&gt;0,OR(Input_Tasks[[#This Row],[Phase]]="",Input_Tasks[[#This Row],[Skill Required]]="",Input_Tasks[[#This Row],[Task Type]]="",Input_Tasks[[#This Row],[Description]]="")),1,0)</f>
        <v>0</v>
      </c>
      <c r="AY216" s="402">
        <f>IF(AND(Input_Tasks[[#This Row],[Task Type]]="ArchiTech Document Deliverable",Input_Tasks[[#This Row],[Hours]]&gt;0),1,0)</f>
        <v>0</v>
      </c>
      <c r="AZ216"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16"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16"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16"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16"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16"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16"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16"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16"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16"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16"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16"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16"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16" s="405">
        <f>SUM(Input_Tasks[[#This Row],[R1 Business Hours]:[R1 After Hours]],Input_Tasks[[#This Row],[R2 Business Hours]:[R2 After Hours]],Input_Tasks[[#This Row],[R3 Business Hours]:[R3 After Hours]],Input_Tasks[[#This Row],[R4 Business Hours]:[R4 After Hours]],Input_Tasks[[#This Row],[R5 Business Hours]:[R5 After Hours]])</f>
        <v>0</v>
      </c>
    </row>
    <row r="217" spans="1:65">
      <c r="A217" s="384"/>
      <c r="B217" s="271"/>
      <c r="C217" s="271"/>
      <c r="D217" s="406"/>
      <c r="E217" s="385">
        <f>Input_Tasks[[#This Row],[Onsite Round Trips_Hidden]]</f>
        <v>0</v>
      </c>
      <c r="F217" s="385">
        <f>Input_Tasks[[#This Row],[Overnight Stays_Hidden]]</f>
        <v>0</v>
      </c>
      <c r="G217" s="385">
        <f>Input_Tasks[[#This Row],[Documents_Hidden]]</f>
        <v>0</v>
      </c>
      <c r="H217" s="387"/>
      <c r="I217" s="388"/>
      <c r="J217" s="389"/>
      <c r="K217" s="390"/>
      <c r="L217" s="390"/>
      <c r="M217" s="389"/>
      <c r="N217" s="390"/>
      <c r="O217" s="390"/>
      <c r="P217" s="389"/>
      <c r="Q217" s="390"/>
      <c r="R217" s="391"/>
      <c r="S217" s="389"/>
      <c r="T217" s="390"/>
      <c r="U217" s="391"/>
      <c r="V217" s="389"/>
      <c r="W217" s="390"/>
      <c r="X217" s="390"/>
      <c r="Y217" s="386" t="str">
        <f>Input_Tasks[[#This Row],[Onsite Round Trips_Hidden]]&amp;"/"&amp;Input_Tasks[[#This Row],[Overnight Stays_Hidden]]&amp;"/"&amp;Input_Tasks[[#This Row],[Documents_Hidden]]</f>
        <v>0/0/0</v>
      </c>
      <c r="Z217" s="392">
        <f>Input_Tasks[[#This Row],[R1 Cost_Hidden]]</f>
        <v>0</v>
      </c>
      <c r="AA217" s="393">
        <f>Input_Tasks[[#This Row],[R2 Cost_Hidden]]</f>
        <v>0</v>
      </c>
      <c r="AB217" s="393">
        <f>Input_Tasks[[#This Row],[R3 Cost_Hidden]]</f>
        <v>0</v>
      </c>
      <c r="AC217" s="393">
        <f>Input_Tasks[[#This Row],[R4 Cost_Hidden]]</f>
        <v>0</v>
      </c>
      <c r="AD217" s="394">
        <f>Input_Tasks[[#This Row],[R5 Cost_Hidden]]</f>
        <v>0</v>
      </c>
      <c r="AE217" s="395">
        <f>SUM(Input_Tasks[[#This Row],[R1 Cost]:[R5 Cost]])</f>
        <v>0</v>
      </c>
      <c r="AF217" s="392">
        <f>Input_Tasks[[#This Row],[R1 Sell_Hidden]]</f>
        <v>0</v>
      </c>
      <c r="AG217" s="393">
        <f>Input_Tasks[[#This Row],[R2 Sell_Hidden]]</f>
        <v>0</v>
      </c>
      <c r="AH217" s="393">
        <f>Input_Tasks[[#This Row],[R3 Sell_Hidden]]</f>
        <v>0</v>
      </c>
      <c r="AI217" s="393">
        <f>Input_Tasks[[#This Row],[R4 Sell_Hidden5]]</f>
        <v>0</v>
      </c>
      <c r="AJ217" s="394">
        <f>Input_Tasks[[#This Row],[R5 Sell_Hidden]]</f>
        <v>0</v>
      </c>
      <c r="AK217" s="396">
        <f>SUM(Input_Tasks[[#This Row],[R1 Sell]:[R5 Sell]])</f>
        <v>0</v>
      </c>
      <c r="AL217" s="397">
        <f>IFERROR(VLOOKUP(RESOURCE_1_TYPE,COST_RATES,2,FALSE)*Input_Tasks[[#This Row],[R1 Business Hours]],0)+IFERROR(VLOOKUP(RESOURCE_1_TYPE,COST_RATES,3,FALSE)*Input_Tasks[[#This Row],[R1 After Hours]],0)</f>
        <v>0</v>
      </c>
      <c r="AM217" s="398">
        <f>IFERROR(VLOOKUP(RESOURCE_2_TYPE,COST_RATES,2,FALSE)*Input_Tasks[[#This Row],[R2 Business Hours]],0)+IFERROR(VLOOKUP(RESOURCE_2_TYPE,COST_RATES,3,FALSE)*Input_Tasks[[#This Row],[R2 After Hours]],0)</f>
        <v>0</v>
      </c>
      <c r="AN217" s="398">
        <f>IFERROR(VLOOKUP(RESOURCE_3_TYPE,COST_RATES,2,FALSE)*Input_Tasks[[#This Row],[R3 Business Hours]],0)+IFERROR(VLOOKUP(RESOURCE_3_TYPE,COST_RATES,3,FALSE)*Input_Tasks[[#This Row],[R3 After Hours]],0)</f>
        <v>0</v>
      </c>
      <c r="AO217" s="398">
        <f>IFERROR(VLOOKUP(RESOURCE_4_TYPE,COST_RATES,2,FALSE)*Input_Tasks[[#This Row],[R4 Business Hours]],0)+IFERROR(VLOOKUP(RESOURCE_4_TYPE,COST_RATES,3,FALSE)*Input_Tasks[[#This Row],[R4 After Hours]],0)</f>
        <v>0</v>
      </c>
      <c r="AP217" s="398">
        <f>IFERROR(VLOOKUP(RESOURCE_5_TYPE,COST_RATES,2,FALSE)*Input_Tasks[[#This Row],[R5 Business Hours]],0)+IFERROR(VLOOKUP(RESOURCE_5_TYPE,COST_RATES,3,FALSE)*Input_Tasks[[#This Row],[R5 After Hours]],0)</f>
        <v>0</v>
      </c>
      <c r="AQ217" s="399">
        <f>IFERROR(VLOOKUP(RESOURCE_1_TYPE,SELL_RATES,2,FALSE)*Input_Tasks[[#This Row],[R1 Business Hours]],0)+IFERROR(VLOOKUP(RESOURCE_1_TYPE,SELL_RATES,3,FALSE)*Input_Tasks[[#This Row],[R1 After Hours]],0)</f>
        <v>0</v>
      </c>
      <c r="AR217" s="398">
        <f>IFERROR(VLOOKUP(RESOURCE_2_TYPE,SELL_RATES,2,FALSE)*Input_Tasks[[#This Row],[R2 Business Hours]],0)+IFERROR(VLOOKUP(RESOURCE_2_TYPE,SELL_RATES,3,FALSE)*Input_Tasks[[#This Row],[R2 After Hours]],0)</f>
        <v>0</v>
      </c>
      <c r="AS217" s="398">
        <f>IFERROR(VLOOKUP(RESOURCE_3_TYPE,SELL_RATES,2,FALSE)*Input_Tasks[[#This Row],[R3 Business Hours]],0)+IFERROR(VLOOKUP(RESOURCE_3_TYPE,SELL_RATES,3,FALSE)*Input_Tasks[[#This Row],[R3 After Hours]],0)</f>
        <v>0</v>
      </c>
      <c r="AT217" s="398">
        <f>IFERROR(VLOOKUP(RESOURCE_4_TYPE,SELL_RATES,2,FALSE)*Input_Tasks[[#This Row],[R4 Business Hours]],0)+IFERROR(VLOOKUP(RESOURCE_4_TYPE,SELL_RATES,3,FALSE)*Input_Tasks[[#This Row],[R4 After Hours]],0)</f>
        <v>0</v>
      </c>
      <c r="AU217" s="398">
        <f>IFERROR(VLOOKUP(RESOURCE_5_TYPE,SELL_RATES,2,FALSE)*Input_Tasks[[#This Row],[R5 Business Hours]],0)+IFERROR(VLOOKUP(RESOURCE_5_TYPE,SELL_RATES,3,FALSE)*Input_Tasks[[#This Row],[R5 After Hours]],0)</f>
        <v>0</v>
      </c>
      <c r="AV217" s="400">
        <f>SUM(Input_Tasks[[#This Row],[Round Trips R1]:[Round Trips R5]])</f>
        <v>0</v>
      </c>
      <c r="AW217" s="401">
        <f>SUM(Input_Tasks[[#This Row],[Overnight StaysR1]:[Overnight StaysR5]])</f>
        <v>0</v>
      </c>
      <c r="AX217" s="401">
        <f>IF(AND(Input_Tasks[[#This Row],[Sell - Line Total]]&gt;0,OR(Input_Tasks[[#This Row],[Phase]]="",Input_Tasks[[#This Row],[Skill Required]]="",Input_Tasks[[#This Row],[Task Type]]="",Input_Tasks[[#This Row],[Description]]="")),1,0)</f>
        <v>0</v>
      </c>
      <c r="AY217" s="402">
        <f>IF(AND(Input_Tasks[[#This Row],[Task Type]]="ArchiTech Document Deliverable",Input_Tasks[[#This Row],[Hours]]&gt;0),1,0)</f>
        <v>0</v>
      </c>
      <c r="AZ217"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17"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17"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17"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17"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17"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17"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17"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17"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17"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17"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17"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17"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17" s="405">
        <f>SUM(Input_Tasks[[#This Row],[R1 Business Hours]:[R1 After Hours]],Input_Tasks[[#This Row],[R2 Business Hours]:[R2 After Hours]],Input_Tasks[[#This Row],[R3 Business Hours]:[R3 After Hours]],Input_Tasks[[#This Row],[R4 Business Hours]:[R4 After Hours]],Input_Tasks[[#This Row],[R5 Business Hours]:[R5 After Hours]])</f>
        <v>0</v>
      </c>
    </row>
    <row r="218" spans="1:65">
      <c r="A218" s="384"/>
      <c r="B218" s="271"/>
      <c r="C218" s="271"/>
      <c r="D218" s="406"/>
      <c r="E218" s="385">
        <f>Input_Tasks[[#This Row],[Onsite Round Trips_Hidden]]</f>
        <v>0</v>
      </c>
      <c r="F218" s="385">
        <f>Input_Tasks[[#This Row],[Overnight Stays_Hidden]]</f>
        <v>0</v>
      </c>
      <c r="G218" s="385">
        <f>Input_Tasks[[#This Row],[Documents_Hidden]]</f>
        <v>0</v>
      </c>
      <c r="H218" s="387"/>
      <c r="I218" s="388"/>
      <c r="J218" s="389"/>
      <c r="K218" s="390"/>
      <c r="L218" s="390"/>
      <c r="M218" s="389"/>
      <c r="N218" s="390"/>
      <c r="O218" s="390"/>
      <c r="P218" s="389"/>
      <c r="Q218" s="390"/>
      <c r="R218" s="391"/>
      <c r="S218" s="389"/>
      <c r="T218" s="390"/>
      <c r="U218" s="391"/>
      <c r="V218" s="389"/>
      <c r="W218" s="390"/>
      <c r="X218" s="390"/>
      <c r="Y218" s="386" t="str">
        <f>Input_Tasks[[#This Row],[Onsite Round Trips_Hidden]]&amp;"/"&amp;Input_Tasks[[#This Row],[Overnight Stays_Hidden]]&amp;"/"&amp;Input_Tasks[[#This Row],[Documents_Hidden]]</f>
        <v>0/0/0</v>
      </c>
      <c r="Z218" s="392">
        <f>Input_Tasks[[#This Row],[R1 Cost_Hidden]]</f>
        <v>0</v>
      </c>
      <c r="AA218" s="393">
        <f>Input_Tasks[[#This Row],[R2 Cost_Hidden]]</f>
        <v>0</v>
      </c>
      <c r="AB218" s="393">
        <f>Input_Tasks[[#This Row],[R3 Cost_Hidden]]</f>
        <v>0</v>
      </c>
      <c r="AC218" s="393">
        <f>Input_Tasks[[#This Row],[R4 Cost_Hidden]]</f>
        <v>0</v>
      </c>
      <c r="AD218" s="394">
        <f>Input_Tasks[[#This Row],[R5 Cost_Hidden]]</f>
        <v>0</v>
      </c>
      <c r="AE218" s="395">
        <f>SUM(Input_Tasks[[#This Row],[R1 Cost]:[R5 Cost]])</f>
        <v>0</v>
      </c>
      <c r="AF218" s="392">
        <f>Input_Tasks[[#This Row],[R1 Sell_Hidden]]</f>
        <v>0</v>
      </c>
      <c r="AG218" s="393">
        <f>Input_Tasks[[#This Row],[R2 Sell_Hidden]]</f>
        <v>0</v>
      </c>
      <c r="AH218" s="393">
        <f>Input_Tasks[[#This Row],[R3 Sell_Hidden]]</f>
        <v>0</v>
      </c>
      <c r="AI218" s="393">
        <f>Input_Tasks[[#This Row],[R4 Sell_Hidden5]]</f>
        <v>0</v>
      </c>
      <c r="AJ218" s="394">
        <f>Input_Tasks[[#This Row],[R5 Sell_Hidden]]</f>
        <v>0</v>
      </c>
      <c r="AK218" s="396">
        <f>SUM(Input_Tasks[[#This Row],[R1 Sell]:[R5 Sell]])</f>
        <v>0</v>
      </c>
      <c r="AL218" s="397">
        <f>IFERROR(VLOOKUP(RESOURCE_1_TYPE,COST_RATES,2,FALSE)*Input_Tasks[[#This Row],[R1 Business Hours]],0)+IFERROR(VLOOKUP(RESOURCE_1_TYPE,COST_RATES,3,FALSE)*Input_Tasks[[#This Row],[R1 After Hours]],0)</f>
        <v>0</v>
      </c>
      <c r="AM218" s="398">
        <f>IFERROR(VLOOKUP(RESOURCE_2_TYPE,COST_RATES,2,FALSE)*Input_Tasks[[#This Row],[R2 Business Hours]],0)+IFERROR(VLOOKUP(RESOURCE_2_TYPE,COST_RATES,3,FALSE)*Input_Tasks[[#This Row],[R2 After Hours]],0)</f>
        <v>0</v>
      </c>
      <c r="AN218" s="398">
        <f>IFERROR(VLOOKUP(RESOURCE_3_TYPE,COST_RATES,2,FALSE)*Input_Tasks[[#This Row],[R3 Business Hours]],0)+IFERROR(VLOOKUP(RESOURCE_3_TYPE,COST_RATES,3,FALSE)*Input_Tasks[[#This Row],[R3 After Hours]],0)</f>
        <v>0</v>
      </c>
      <c r="AO218" s="398">
        <f>IFERROR(VLOOKUP(RESOURCE_4_TYPE,COST_RATES,2,FALSE)*Input_Tasks[[#This Row],[R4 Business Hours]],0)+IFERROR(VLOOKUP(RESOURCE_4_TYPE,COST_RATES,3,FALSE)*Input_Tasks[[#This Row],[R4 After Hours]],0)</f>
        <v>0</v>
      </c>
      <c r="AP218" s="398">
        <f>IFERROR(VLOOKUP(RESOURCE_5_TYPE,COST_RATES,2,FALSE)*Input_Tasks[[#This Row],[R5 Business Hours]],0)+IFERROR(VLOOKUP(RESOURCE_5_TYPE,COST_RATES,3,FALSE)*Input_Tasks[[#This Row],[R5 After Hours]],0)</f>
        <v>0</v>
      </c>
      <c r="AQ218" s="399">
        <f>IFERROR(VLOOKUP(RESOURCE_1_TYPE,SELL_RATES,2,FALSE)*Input_Tasks[[#This Row],[R1 Business Hours]],0)+IFERROR(VLOOKUP(RESOURCE_1_TYPE,SELL_RATES,3,FALSE)*Input_Tasks[[#This Row],[R1 After Hours]],0)</f>
        <v>0</v>
      </c>
      <c r="AR218" s="398">
        <f>IFERROR(VLOOKUP(RESOURCE_2_TYPE,SELL_RATES,2,FALSE)*Input_Tasks[[#This Row],[R2 Business Hours]],0)+IFERROR(VLOOKUP(RESOURCE_2_TYPE,SELL_RATES,3,FALSE)*Input_Tasks[[#This Row],[R2 After Hours]],0)</f>
        <v>0</v>
      </c>
      <c r="AS218" s="398">
        <f>IFERROR(VLOOKUP(RESOURCE_3_TYPE,SELL_RATES,2,FALSE)*Input_Tasks[[#This Row],[R3 Business Hours]],0)+IFERROR(VLOOKUP(RESOURCE_3_TYPE,SELL_RATES,3,FALSE)*Input_Tasks[[#This Row],[R3 After Hours]],0)</f>
        <v>0</v>
      </c>
      <c r="AT218" s="398">
        <f>IFERROR(VLOOKUP(RESOURCE_4_TYPE,SELL_RATES,2,FALSE)*Input_Tasks[[#This Row],[R4 Business Hours]],0)+IFERROR(VLOOKUP(RESOURCE_4_TYPE,SELL_RATES,3,FALSE)*Input_Tasks[[#This Row],[R4 After Hours]],0)</f>
        <v>0</v>
      </c>
      <c r="AU218" s="398">
        <f>IFERROR(VLOOKUP(RESOURCE_5_TYPE,SELL_RATES,2,FALSE)*Input_Tasks[[#This Row],[R5 Business Hours]],0)+IFERROR(VLOOKUP(RESOURCE_5_TYPE,SELL_RATES,3,FALSE)*Input_Tasks[[#This Row],[R5 After Hours]],0)</f>
        <v>0</v>
      </c>
      <c r="AV218" s="400">
        <f>SUM(Input_Tasks[[#This Row],[Round Trips R1]:[Round Trips R5]])</f>
        <v>0</v>
      </c>
      <c r="AW218" s="401">
        <f>SUM(Input_Tasks[[#This Row],[Overnight StaysR1]:[Overnight StaysR5]])</f>
        <v>0</v>
      </c>
      <c r="AX218" s="401">
        <f>IF(AND(Input_Tasks[[#This Row],[Sell - Line Total]]&gt;0,OR(Input_Tasks[[#This Row],[Phase]]="",Input_Tasks[[#This Row],[Skill Required]]="",Input_Tasks[[#This Row],[Task Type]]="",Input_Tasks[[#This Row],[Description]]="")),1,0)</f>
        <v>0</v>
      </c>
      <c r="AY218" s="402">
        <f>IF(AND(Input_Tasks[[#This Row],[Task Type]]="ArchiTech Document Deliverable",Input_Tasks[[#This Row],[Hours]]&gt;0),1,0)</f>
        <v>0</v>
      </c>
      <c r="AZ218"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18"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18"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18"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18"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18"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18"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18"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18"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18"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18"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18"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18"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18" s="405">
        <f>SUM(Input_Tasks[[#This Row],[R1 Business Hours]:[R1 After Hours]],Input_Tasks[[#This Row],[R2 Business Hours]:[R2 After Hours]],Input_Tasks[[#This Row],[R3 Business Hours]:[R3 After Hours]],Input_Tasks[[#This Row],[R4 Business Hours]:[R4 After Hours]],Input_Tasks[[#This Row],[R5 Business Hours]:[R5 After Hours]])</f>
        <v>0</v>
      </c>
    </row>
    <row r="219" spans="1:65">
      <c r="A219" s="384"/>
      <c r="B219" s="271"/>
      <c r="C219" s="271"/>
      <c r="D219" s="406"/>
      <c r="E219" s="385">
        <f>Input_Tasks[[#This Row],[Onsite Round Trips_Hidden]]</f>
        <v>0</v>
      </c>
      <c r="F219" s="385">
        <f>Input_Tasks[[#This Row],[Overnight Stays_Hidden]]</f>
        <v>0</v>
      </c>
      <c r="G219" s="385">
        <f>Input_Tasks[[#This Row],[Documents_Hidden]]</f>
        <v>0</v>
      </c>
      <c r="H219" s="387"/>
      <c r="I219" s="388"/>
      <c r="J219" s="389"/>
      <c r="K219" s="390"/>
      <c r="L219" s="390"/>
      <c r="M219" s="389"/>
      <c r="N219" s="390"/>
      <c r="O219" s="390"/>
      <c r="P219" s="389"/>
      <c r="Q219" s="390"/>
      <c r="R219" s="391"/>
      <c r="S219" s="389"/>
      <c r="T219" s="390"/>
      <c r="U219" s="391"/>
      <c r="V219" s="389"/>
      <c r="W219" s="390"/>
      <c r="X219" s="390"/>
      <c r="Y219" s="386" t="str">
        <f>Input_Tasks[[#This Row],[Onsite Round Trips_Hidden]]&amp;"/"&amp;Input_Tasks[[#This Row],[Overnight Stays_Hidden]]&amp;"/"&amp;Input_Tasks[[#This Row],[Documents_Hidden]]</f>
        <v>0/0/0</v>
      </c>
      <c r="Z219" s="392">
        <f>Input_Tasks[[#This Row],[R1 Cost_Hidden]]</f>
        <v>0</v>
      </c>
      <c r="AA219" s="393">
        <f>Input_Tasks[[#This Row],[R2 Cost_Hidden]]</f>
        <v>0</v>
      </c>
      <c r="AB219" s="393">
        <f>Input_Tasks[[#This Row],[R3 Cost_Hidden]]</f>
        <v>0</v>
      </c>
      <c r="AC219" s="393">
        <f>Input_Tasks[[#This Row],[R4 Cost_Hidden]]</f>
        <v>0</v>
      </c>
      <c r="AD219" s="394">
        <f>Input_Tasks[[#This Row],[R5 Cost_Hidden]]</f>
        <v>0</v>
      </c>
      <c r="AE219" s="395">
        <f>SUM(Input_Tasks[[#This Row],[R1 Cost]:[R5 Cost]])</f>
        <v>0</v>
      </c>
      <c r="AF219" s="392">
        <f>Input_Tasks[[#This Row],[R1 Sell_Hidden]]</f>
        <v>0</v>
      </c>
      <c r="AG219" s="393">
        <f>Input_Tasks[[#This Row],[R2 Sell_Hidden]]</f>
        <v>0</v>
      </c>
      <c r="AH219" s="393">
        <f>Input_Tasks[[#This Row],[R3 Sell_Hidden]]</f>
        <v>0</v>
      </c>
      <c r="AI219" s="393">
        <f>Input_Tasks[[#This Row],[R4 Sell_Hidden5]]</f>
        <v>0</v>
      </c>
      <c r="AJ219" s="394">
        <f>Input_Tasks[[#This Row],[R5 Sell_Hidden]]</f>
        <v>0</v>
      </c>
      <c r="AK219" s="396">
        <f>SUM(Input_Tasks[[#This Row],[R1 Sell]:[R5 Sell]])</f>
        <v>0</v>
      </c>
      <c r="AL219" s="397">
        <f>IFERROR(VLOOKUP(RESOURCE_1_TYPE,COST_RATES,2,FALSE)*Input_Tasks[[#This Row],[R1 Business Hours]],0)+IFERROR(VLOOKUP(RESOURCE_1_TYPE,COST_RATES,3,FALSE)*Input_Tasks[[#This Row],[R1 After Hours]],0)</f>
        <v>0</v>
      </c>
      <c r="AM219" s="398">
        <f>IFERROR(VLOOKUP(RESOURCE_2_TYPE,COST_RATES,2,FALSE)*Input_Tasks[[#This Row],[R2 Business Hours]],0)+IFERROR(VLOOKUP(RESOURCE_2_TYPE,COST_RATES,3,FALSE)*Input_Tasks[[#This Row],[R2 After Hours]],0)</f>
        <v>0</v>
      </c>
      <c r="AN219" s="398">
        <f>IFERROR(VLOOKUP(RESOURCE_3_TYPE,COST_RATES,2,FALSE)*Input_Tasks[[#This Row],[R3 Business Hours]],0)+IFERROR(VLOOKUP(RESOURCE_3_TYPE,COST_RATES,3,FALSE)*Input_Tasks[[#This Row],[R3 After Hours]],0)</f>
        <v>0</v>
      </c>
      <c r="AO219" s="398">
        <f>IFERROR(VLOOKUP(RESOURCE_4_TYPE,COST_RATES,2,FALSE)*Input_Tasks[[#This Row],[R4 Business Hours]],0)+IFERROR(VLOOKUP(RESOURCE_4_TYPE,COST_RATES,3,FALSE)*Input_Tasks[[#This Row],[R4 After Hours]],0)</f>
        <v>0</v>
      </c>
      <c r="AP219" s="398">
        <f>IFERROR(VLOOKUP(RESOURCE_5_TYPE,COST_RATES,2,FALSE)*Input_Tasks[[#This Row],[R5 Business Hours]],0)+IFERROR(VLOOKUP(RESOURCE_5_TYPE,COST_RATES,3,FALSE)*Input_Tasks[[#This Row],[R5 After Hours]],0)</f>
        <v>0</v>
      </c>
      <c r="AQ219" s="399">
        <f>IFERROR(VLOOKUP(RESOURCE_1_TYPE,SELL_RATES,2,FALSE)*Input_Tasks[[#This Row],[R1 Business Hours]],0)+IFERROR(VLOOKUP(RESOURCE_1_TYPE,SELL_RATES,3,FALSE)*Input_Tasks[[#This Row],[R1 After Hours]],0)</f>
        <v>0</v>
      </c>
      <c r="AR219" s="398">
        <f>IFERROR(VLOOKUP(RESOURCE_2_TYPE,SELL_RATES,2,FALSE)*Input_Tasks[[#This Row],[R2 Business Hours]],0)+IFERROR(VLOOKUP(RESOURCE_2_TYPE,SELL_RATES,3,FALSE)*Input_Tasks[[#This Row],[R2 After Hours]],0)</f>
        <v>0</v>
      </c>
      <c r="AS219" s="398">
        <f>IFERROR(VLOOKUP(RESOURCE_3_TYPE,SELL_RATES,2,FALSE)*Input_Tasks[[#This Row],[R3 Business Hours]],0)+IFERROR(VLOOKUP(RESOURCE_3_TYPE,SELL_RATES,3,FALSE)*Input_Tasks[[#This Row],[R3 After Hours]],0)</f>
        <v>0</v>
      </c>
      <c r="AT219" s="398">
        <f>IFERROR(VLOOKUP(RESOURCE_4_TYPE,SELL_RATES,2,FALSE)*Input_Tasks[[#This Row],[R4 Business Hours]],0)+IFERROR(VLOOKUP(RESOURCE_4_TYPE,SELL_RATES,3,FALSE)*Input_Tasks[[#This Row],[R4 After Hours]],0)</f>
        <v>0</v>
      </c>
      <c r="AU219" s="398">
        <f>IFERROR(VLOOKUP(RESOURCE_5_TYPE,SELL_RATES,2,FALSE)*Input_Tasks[[#This Row],[R5 Business Hours]],0)+IFERROR(VLOOKUP(RESOURCE_5_TYPE,SELL_RATES,3,FALSE)*Input_Tasks[[#This Row],[R5 After Hours]],0)</f>
        <v>0</v>
      </c>
      <c r="AV219" s="400">
        <f>SUM(Input_Tasks[[#This Row],[Round Trips R1]:[Round Trips R5]])</f>
        <v>0</v>
      </c>
      <c r="AW219" s="401">
        <f>SUM(Input_Tasks[[#This Row],[Overnight StaysR1]:[Overnight StaysR5]])</f>
        <v>0</v>
      </c>
      <c r="AX219" s="401">
        <f>IF(AND(Input_Tasks[[#This Row],[Sell - Line Total]]&gt;0,OR(Input_Tasks[[#This Row],[Phase]]="",Input_Tasks[[#This Row],[Skill Required]]="",Input_Tasks[[#This Row],[Task Type]]="",Input_Tasks[[#This Row],[Description]]="")),1,0)</f>
        <v>0</v>
      </c>
      <c r="AY219" s="402">
        <f>IF(AND(Input_Tasks[[#This Row],[Task Type]]="ArchiTech Document Deliverable",Input_Tasks[[#This Row],[Hours]]&gt;0),1,0)</f>
        <v>0</v>
      </c>
      <c r="AZ219"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19"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19"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19"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19"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19"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19"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19"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19"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19"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19"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19"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19"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19" s="405">
        <f>SUM(Input_Tasks[[#This Row],[R1 Business Hours]:[R1 After Hours]],Input_Tasks[[#This Row],[R2 Business Hours]:[R2 After Hours]],Input_Tasks[[#This Row],[R3 Business Hours]:[R3 After Hours]],Input_Tasks[[#This Row],[R4 Business Hours]:[R4 After Hours]],Input_Tasks[[#This Row],[R5 Business Hours]:[R5 After Hours]])</f>
        <v>0</v>
      </c>
    </row>
    <row r="220" spans="1:65">
      <c r="A220" s="384"/>
      <c r="B220" s="271"/>
      <c r="C220" s="271"/>
      <c r="D220" s="406"/>
      <c r="E220" s="385">
        <f>Input_Tasks[[#This Row],[Onsite Round Trips_Hidden]]</f>
        <v>0</v>
      </c>
      <c r="F220" s="385">
        <f>Input_Tasks[[#This Row],[Overnight Stays_Hidden]]</f>
        <v>0</v>
      </c>
      <c r="G220" s="385">
        <f>Input_Tasks[[#This Row],[Documents_Hidden]]</f>
        <v>0</v>
      </c>
      <c r="H220" s="387"/>
      <c r="I220" s="388"/>
      <c r="J220" s="389"/>
      <c r="K220" s="390"/>
      <c r="L220" s="390"/>
      <c r="M220" s="389"/>
      <c r="N220" s="390"/>
      <c r="O220" s="390"/>
      <c r="P220" s="389"/>
      <c r="Q220" s="390"/>
      <c r="R220" s="391"/>
      <c r="S220" s="389"/>
      <c r="T220" s="390"/>
      <c r="U220" s="391"/>
      <c r="V220" s="389"/>
      <c r="W220" s="390"/>
      <c r="X220" s="390"/>
      <c r="Y220" s="386" t="str">
        <f>Input_Tasks[[#This Row],[Onsite Round Trips_Hidden]]&amp;"/"&amp;Input_Tasks[[#This Row],[Overnight Stays_Hidden]]&amp;"/"&amp;Input_Tasks[[#This Row],[Documents_Hidden]]</f>
        <v>0/0/0</v>
      </c>
      <c r="Z220" s="392">
        <f>Input_Tasks[[#This Row],[R1 Cost_Hidden]]</f>
        <v>0</v>
      </c>
      <c r="AA220" s="393">
        <f>Input_Tasks[[#This Row],[R2 Cost_Hidden]]</f>
        <v>0</v>
      </c>
      <c r="AB220" s="393">
        <f>Input_Tasks[[#This Row],[R3 Cost_Hidden]]</f>
        <v>0</v>
      </c>
      <c r="AC220" s="393">
        <f>Input_Tasks[[#This Row],[R4 Cost_Hidden]]</f>
        <v>0</v>
      </c>
      <c r="AD220" s="394">
        <f>Input_Tasks[[#This Row],[R5 Cost_Hidden]]</f>
        <v>0</v>
      </c>
      <c r="AE220" s="395">
        <f>SUM(Input_Tasks[[#This Row],[R1 Cost]:[R5 Cost]])</f>
        <v>0</v>
      </c>
      <c r="AF220" s="392">
        <f>Input_Tasks[[#This Row],[R1 Sell_Hidden]]</f>
        <v>0</v>
      </c>
      <c r="AG220" s="393">
        <f>Input_Tasks[[#This Row],[R2 Sell_Hidden]]</f>
        <v>0</v>
      </c>
      <c r="AH220" s="393">
        <f>Input_Tasks[[#This Row],[R3 Sell_Hidden]]</f>
        <v>0</v>
      </c>
      <c r="AI220" s="393">
        <f>Input_Tasks[[#This Row],[R4 Sell_Hidden5]]</f>
        <v>0</v>
      </c>
      <c r="AJ220" s="394">
        <f>Input_Tasks[[#This Row],[R5 Sell_Hidden]]</f>
        <v>0</v>
      </c>
      <c r="AK220" s="396">
        <f>SUM(Input_Tasks[[#This Row],[R1 Sell]:[R5 Sell]])</f>
        <v>0</v>
      </c>
      <c r="AL220" s="397">
        <f>IFERROR(VLOOKUP(RESOURCE_1_TYPE,COST_RATES,2,FALSE)*Input_Tasks[[#This Row],[R1 Business Hours]],0)+IFERROR(VLOOKUP(RESOURCE_1_TYPE,COST_RATES,3,FALSE)*Input_Tasks[[#This Row],[R1 After Hours]],0)</f>
        <v>0</v>
      </c>
      <c r="AM220" s="398">
        <f>IFERROR(VLOOKUP(RESOURCE_2_TYPE,COST_RATES,2,FALSE)*Input_Tasks[[#This Row],[R2 Business Hours]],0)+IFERROR(VLOOKUP(RESOURCE_2_TYPE,COST_RATES,3,FALSE)*Input_Tasks[[#This Row],[R2 After Hours]],0)</f>
        <v>0</v>
      </c>
      <c r="AN220" s="398">
        <f>IFERROR(VLOOKUP(RESOURCE_3_TYPE,COST_RATES,2,FALSE)*Input_Tasks[[#This Row],[R3 Business Hours]],0)+IFERROR(VLOOKUP(RESOURCE_3_TYPE,COST_RATES,3,FALSE)*Input_Tasks[[#This Row],[R3 After Hours]],0)</f>
        <v>0</v>
      </c>
      <c r="AO220" s="398">
        <f>IFERROR(VLOOKUP(RESOURCE_4_TYPE,COST_RATES,2,FALSE)*Input_Tasks[[#This Row],[R4 Business Hours]],0)+IFERROR(VLOOKUP(RESOURCE_4_TYPE,COST_RATES,3,FALSE)*Input_Tasks[[#This Row],[R4 After Hours]],0)</f>
        <v>0</v>
      </c>
      <c r="AP220" s="398">
        <f>IFERROR(VLOOKUP(RESOURCE_5_TYPE,COST_RATES,2,FALSE)*Input_Tasks[[#This Row],[R5 Business Hours]],0)+IFERROR(VLOOKUP(RESOURCE_5_TYPE,COST_RATES,3,FALSE)*Input_Tasks[[#This Row],[R5 After Hours]],0)</f>
        <v>0</v>
      </c>
      <c r="AQ220" s="399">
        <f>IFERROR(VLOOKUP(RESOURCE_1_TYPE,SELL_RATES,2,FALSE)*Input_Tasks[[#This Row],[R1 Business Hours]],0)+IFERROR(VLOOKUP(RESOURCE_1_TYPE,SELL_RATES,3,FALSE)*Input_Tasks[[#This Row],[R1 After Hours]],0)</f>
        <v>0</v>
      </c>
      <c r="AR220" s="398">
        <f>IFERROR(VLOOKUP(RESOURCE_2_TYPE,SELL_RATES,2,FALSE)*Input_Tasks[[#This Row],[R2 Business Hours]],0)+IFERROR(VLOOKUP(RESOURCE_2_TYPE,SELL_RATES,3,FALSE)*Input_Tasks[[#This Row],[R2 After Hours]],0)</f>
        <v>0</v>
      </c>
      <c r="AS220" s="398">
        <f>IFERROR(VLOOKUP(RESOURCE_3_TYPE,SELL_RATES,2,FALSE)*Input_Tasks[[#This Row],[R3 Business Hours]],0)+IFERROR(VLOOKUP(RESOURCE_3_TYPE,SELL_RATES,3,FALSE)*Input_Tasks[[#This Row],[R3 After Hours]],0)</f>
        <v>0</v>
      </c>
      <c r="AT220" s="398">
        <f>IFERROR(VLOOKUP(RESOURCE_4_TYPE,SELL_RATES,2,FALSE)*Input_Tasks[[#This Row],[R4 Business Hours]],0)+IFERROR(VLOOKUP(RESOURCE_4_TYPE,SELL_RATES,3,FALSE)*Input_Tasks[[#This Row],[R4 After Hours]],0)</f>
        <v>0</v>
      </c>
      <c r="AU220" s="398">
        <f>IFERROR(VLOOKUP(RESOURCE_5_TYPE,SELL_RATES,2,FALSE)*Input_Tasks[[#This Row],[R5 Business Hours]],0)+IFERROR(VLOOKUP(RESOURCE_5_TYPE,SELL_RATES,3,FALSE)*Input_Tasks[[#This Row],[R5 After Hours]],0)</f>
        <v>0</v>
      </c>
      <c r="AV220" s="400">
        <f>SUM(Input_Tasks[[#This Row],[Round Trips R1]:[Round Trips R5]])</f>
        <v>0</v>
      </c>
      <c r="AW220" s="401">
        <f>SUM(Input_Tasks[[#This Row],[Overnight StaysR1]:[Overnight StaysR5]])</f>
        <v>0</v>
      </c>
      <c r="AX220" s="401">
        <f>IF(AND(Input_Tasks[[#This Row],[Sell - Line Total]]&gt;0,OR(Input_Tasks[[#This Row],[Phase]]="",Input_Tasks[[#This Row],[Skill Required]]="",Input_Tasks[[#This Row],[Task Type]]="",Input_Tasks[[#This Row],[Description]]="")),1,0)</f>
        <v>0</v>
      </c>
      <c r="AY220" s="402">
        <f>IF(AND(Input_Tasks[[#This Row],[Task Type]]="ArchiTech Document Deliverable",Input_Tasks[[#This Row],[Hours]]&gt;0),1,0)</f>
        <v>0</v>
      </c>
      <c r="AZ220"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20"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20"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20"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20"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20"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20"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20"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20"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20"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20"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20"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20"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20" s="405">
        <f>SUM(Input_Tasks[[#This Row],[R1 Business Hours]:[R1 After Hours]],Input_Tasks[[#This Row],[R2 Business Hours]:[R2 After Hours]],Input_Tasks[[#This Row],[R3 Business Hours]:[R3 After Hours]],Input_Tasks[[#This Row],[R4 Business Hours]:[R4 After Hours]],Input_Tasks[[#This Row],[R5 Business Hours]:[R5 After Hours]])</f>
        <v>0</v>
      </c>
    </row>
    <row r="221" spans="1:65">
      <c r="A221" s="384"/>
      <c r="B221" s="271"/>
      <c r="C221" s="271"/>
      <c r="D221" s="406"/>
      <c r="E221" s="385">
        <f>Input_Tasks[[#This Row],[Onsite Round Trips_Hidden]]</f>
        <v>0</v>
      </c>
      <c r="F221" s="385">
        <f>Input_Tasks[[#This Row],[Overnight Stays_Hidden]]</f>
        <v>0</v>
      </c>
      <c r="G221" s="385">
        <f>Input_Tasks[[#This Row],[Documents_Hidden]]</f>
        <v>0</v>
      </c>
      <c r="H221" s="387"/>
      <c r="I221" s="388"/>
      <c r="J221" s="389"/>
      <c r="K221" s="390"/>
      <c r="L221" s="390"/>
      <c r="M221" s="389"/>
      <c r="N221" s="390"/>
      <c r="O221" s="390"/>
      <c r="P221" s="389"/>
      <c r="Q221" s="390"/>
      <c r="R221" s="391"/>
      <c r="S221" s="389"/>
      <c r="T221" s="390"/>
      <c r="U221" s="391"/>
      <c r="V221" s="389"/>
      <c r="W221" s="390"/>
      <c r="X221" s="390"/>
      <c r="Y221" s="386" t="str">
        <f>Input_Tasks[[#This Row],[Onsite Round Trips_Hidden]]&amp;"/"&amp;Input_Tasks[[#This Row],[Overnight Stays_Hidden]]&amp;"/"&amp;Input_Tasks[[#This Row],[Documents_Hidden]]</f>
        <v>0/0/0</v>
      </c>
      <c r="Z221" s="392">
        <f>Input_Tasks[[#This Row],[R1 Cost_Hidden]]</f>
        <v>0</v>
      </c>
      <c r="AA221" s="393">
        <f>Input_Tasks[[#This Row],[R2 Cost_Hidden]]</f>
        <v>0</v>
      </c>
      <c r="AB221" s="393">
        <f>Input_Tasks[[#This Row],[R3 Cost_Hidden]]</f>
        <v>0</v>
      </c>
      <c r="AC221" s="393">
        <f>Input_Tasks[[#This Row],[R4 Cost_Hidden]]</f>
        <v>0</v>
      </c>
      <c r="AD221" s="394">
        <f>Input_Tasks[[#This Row],[R5 Cost_Hidden]]</f>
        <v>0</v>
      </c>
      <c r="AE221" s="395">
        <f>SUM(Input_Tasks[[#This Row],[R1 Cost]:[R5 Cost]])</f>
        <v>0</v>
      </c>
      <c r="AF221" s="392">
        <f>Input_Tasks[[#This Row],[R1 Sell_Hidden]]</f>
        <v>0</v>
      </c>
      <c r="AG221" s="393">
        <f>Input_Tasks[[#This Row],[R2 Sell_Hidden]]</f>
        <v>0</v>
      </c>
      <c r="AH221" s="393">
        <f>Input_Tasks[[#This Row],[R3 Sell_Hidden]]</f>
        <v>0</v>
      </c>
      <c r="AI221" s="393">
        <f>Input_Tasks[[#This Row],[R4 Sell_Hidden5]]</f>
        <v>0</v>
      </c>
      <c r="AJ221" s="394">
        <f>Input_Tasks[[#This Row],[R5 Sell_Hidden]]</f>
        <v>0</v>
      </c>
      <c r="AK221" s="396">
        <f>SUM(Input_Tasks[[#This Row],[R1 Sell]:[R5 Sell]])</f>
        <v>0</v>
      </c>
      <c r="AL221" s="397">
        <f>IFERROR(VLOOKUP(RESOURCE_1_TYPE,COST_RATES,2,FALSE)*Input_Tasks[[#This Row],[R1 Business Hours]],0)+IFERROR(VLOOKUP(RESOURCE_1_TYPE,COST_RATES,3,FALSE)*Input_Tasks[[#This Row],[R1 After Hours]],0)</f>
        <v>0</v>
      </c>
      <c r="AM221" s="398">
        <f>IFERROR(VLOOKUP(RESOURCE_2_TYPE,COST_RATES,2,FALSE)*Input_Tasks[[#This Row],[R2 Business Hours]],0)+IFERROR(VLOOKUP(RESOURCE_2_TYPE,COST_RATES,3,FALSE)*Input_Tasks[[#This Row],[R2 After Hours]],0)</f>
        <v>0</v>
      </c>
      <c r="AN221" s="398">
        <f>IFERROR(VLOOKUP(RESOURCE_3_TYPE,COST_RATES,2,FALSE)*Input_Tasks[[#This Row],[R3 Business Hours]],0)+IFERROR(VLOOKUP(RESOURCE_3_TYPE,COST_RATES,3,FALSE)*Input_Tasks[[#This Row],[R3 After Hours]],0)</f>
        <v>0</v>
      </c>
      <c r="AO221" s="398">
        <f>IFERROR(VLOOKUP(RESOURCE_4_TYPE,COST_RATES,2,FALSE)*Input_Tasks[[#This Row],[R4 Business Hours]],0)+IFERROR(VLOOKUP(RESOURCE_4_TYPE,COST_RATES,3,FALSE)*Input_Tasks[[#This Row],[R4 After Hours]],0)</f>
        <v>0</v>
      </c>
      <c r="AP221" s="398">
        <f>IFERROR(VLOOKUP(RESOURCE_5_TYPE,COST_RATES,2,FALSE)*Input_Tasks[[#This Row],[R5 Business Hours]],0)+IFERROR(VLOOKUP(RESOURCE_5_TYPE,COST_RATES,3,FALSE)*Input_Tasks[[#This Row],[R5 After Hours]],0)</f>
        <v>0</v>
      </c>
      <c r="AQ221" s="399">
        <f>IFERROR(VLOOKUP(RESOURCE_1_TYPE,SELL_RATES,2,FALSE)*Input_Tasks[[#This Row],[R1 Business Hours]],0)+IFERROR(VLOOKUP(RESOURCE_1_TYPE,SELL_RATES,3,FALSE)*Input_Tasks[[#This Row],[R1 After Hours]],0)</f>
        <v>0</v>
      </c>
      <c r="AR221" s="398">
        <f>IFERROR(VLOOKUP(RESOURCE_2_TYPE,SELL_RATES,2,FALSE)*Input_Tasks[[#This Row],[R2 Business Hours]],0)+IFERROR(VLOOKUP(RESOURCE_2_TYPE,SELL_RATES,3,FALSE)*Input_Tasks[[#This Row],[R2 After Hours]],0)</f>
        <v>0</v>
      </c>
      <c r="AS221" s="398">
        <f>IFERROR(VLOOKUP(RESOURCE_3_TYPE,SELL_RATES,2,FALSE)*Input_Tasks[[#This Row],[R3 Business Hours]],0)+IFERROR(VLOOKUP(RESOURCE_3_TYPE,SELL_RATES,3,FALSE)*Input_Tasks[[#This Row],[R3 After Hours]],0)</f>
        <v>0</v>
      </c>
      <c r="AT221" s="398">
        <f>IFERROR(VLOOKUP(RESOURCE_4_TYPE,SELL_RATES,2,FALSE)*Input_Tasks[[#This Row],[R4 Business Hours]],0)+IFERROR(VLOOKUP(RESOURCE_4_TYPE,SELL_RATES,3,FALSE)*Input_Tasks[[#This Row],[R4 After Hours]],0)</f>
        <v>0</v>
      </c>
      <c r="AU221" s="398">
        <f>IFERROR(VLOOKUP(RESOURCE_5_TYPE,SELL_RATES,2,FALSE)*Input_Tasks[[#This Row],[R5 Business Hours]],0)+IFERROR(VLOOKUP(RESOURCE_5_TYPE,SELL_RATES,3,FALSE)*Input_Tasks[[#This Row],[R5 After Hours]],0)</f>
        <v>0</v>
      </c>
      <c r="AV221" s="400">
        <f>SUM(Input_Tasks[[#This Row],[Round Trips R1]:[Round Trips R5]])</f>
        <v>0</v>
      </c>
      <c r="AW221" s="401">
        <f>SUM(Input_Tasks[[#This Row],[Overnight StaysR1]:[Overnight StaysR5]])</f>
        <v>0</v>
      </c>
      <c r="AX221" s="401">
        <f>IF(AND(Input_Tasks[[#This Row],[Sell - Line Total]]&gt;0,OR(Input_Tasks[[#This Row],[Phase]]="",Input_Tasks[[#This Row],[Skill Required]]="",Input_Tasks[[#This Row],[Task Type]]="",Input_Tasks[[#This Row],[Description]]="")),1,0)</f>
        <v>0</v>
      </c>
      <c r="AY221" s="402">
        <f>IF(AND(Input_Tasks[[#This Row],[Task Type]]="ArchiTech Document Deliverable",Input_Tasks[[#This Row],[Hours]]&gt;0),1,0)</f>
        <v>0</v>
      </c>
      <c r="AZ221"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21"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21"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21"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21"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21"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21"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21"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21"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21"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21"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21"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21"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21" s="405">
        <f>SUM(Input_Tasks[[#This Row],[R1 Business Hours]:[R1 After Hours]],Input_Tasks[[#This Row],[R2 Business Hours]:[R2 After Hours]],Input_Tasks[[#This Row],[R3 Business Hours]:[R3 After Hours]],Input_Tasks[[#This Row],[R4 Business Hours]:[R4 After Hours]],Input_Tasks[[#This Row],[R5 Business Hours]:[R5 After Hours]])</f>
        <v>0</v>
      </c>
    </row>
    <row r="222" spans="1:65">
      <c r="A222" s="384"/>
      <c r="B222" s="271"/>
      <c r="C222" s="271"/>
      <c r="D222" s="406"/>
      <c r="E222" s="385">
        <f>Input_Tasks[[#This Row],[Onsite Round Trips_Hidden]]</f>
        <v>0</v>
      </c>
      <c r="F222" s="385">
        <f>Input_Tasks[[#This Row],[Overnight Stays_Hidden]]</f>
        <v>0</v>
      </c>
      <c r="G222" s="385">
        <f>Input_Tasks[[#This Row],[Documents_Hidden]]</f>
        <v>0</v>
      </c>
      <c r="H222" s="387"/>
      <c r="I222" s="388"/>
      <c r="J222" s="389"/>
      <c r="K222" s="390"/>
      <c r="L222" s="390"/>
      <c r="M222" s="389"/>
      <c r="N222" s="390"/>
      <c r="O222" s="390"/>
      <c r="P222" s="389"/>
      <c r="Q222" s="390"/>
      <c r="R222" s="391"/>
      <c r="S222" s="389"/>
      <c r="T222" s="390"/>
      <c r="U222" s="391"/>
      <c r="V222" s="389"/>
      <c r="W222" s="390"/>
      <c r="X222" s="390"/>
      <c r="Y222" s="386" t="str">
        <f>Input_Tasks[[#This Row],[Onsite Round Trips_Hidden]]&amp;"/"&amp;Input_Tasks[[#This Row],[Overnight Stays_Hidden]]&amp;"/"&amp;Input_Tasks[[#This Row],[Documents_Hidden]]</f>
        <v>0/0/0</v>
      </c>
      <c r="Z222" s="392">
        <f>Input_Tasks[[#This Row],[R1 Cost_Hidden]]</f>
        <v>0</v>
      </c>
      <c r="AA222" s="393">
        <f>Input_Tasks[[#This Row],[R2 Cost_Hidden]]</f>
        <v>0</v>
      </c>
      <c r="AB222" s="393">
        <f>Input_Tasks[[#This Row],[R3 Cost_Hidden]]</f>
        <v>0</v>
      </c>
      <c r="AC222" s="393">
        <f>Input_Tasks[[#This Row],[R4 Cost_Hidden]]</f>
        <v>0</v>
      </c>
      <c r="AD222" s="394">
        <f>Input_Tasks[[#This Row],[R5 Cost_Hidden]]</f>
        <v>0</v>
      </c>
      <c r="AE222" s="395">
        <f>SUM(Input_Tasks[[#This Row],[R1 Cost]:[R5 Cost]])</f>
        <v>0</v>
      </c>
      <c r="AF222" s="392">
        <f>Input_Tasks[[#This Row],[R1 Sell_Hidden]]</f>
        <v>0</v>
      </c>
      <c r="AG222" s="393">
        <f>Input_Tasks[[#This Row],[R2 Sell_Hidden]]</f>
        <v>0</v>
      </c>
      <c r="AH222" s="393">
        <f>Input_Tasks[[#This Row],[R3 Sell_Hidden]]</f>
        <v>0</v>
      </c>
      <c r="AI222" s="393">
        <f>Input_Tasks[[#This Row],[R4 Sell_Hidden5]]</f>
        <v>0</v>
      </c>
      <c r="AJ222" s="394">
        <f>Input_Tasks[[#This Row],[R5 Sell_Hidden]]</f>
        <v>0</v>
      </c>
      <c r="AK222" s="396">
        <f>SUM(Input_Tasks[[#This Row],[R1 Sell]:[R5 Sell]])</f>
        <v>0</v>
      </c>
      <c r="AL222" s="397">
        <f>IFERROR(VLOOKUP(RESOURCE_1_TYPE,COST_RATES,2,FALSE)*Input_Tasks[[#This Row],[R1 Business Hours]],0)+IFERROR(VLOOKUP(RESOURCE_1_TYPE,COST_RATES,3,FALSE)*Input_Tasks[[#This Row],[R1 After Hours]],0)</f>
        <v>0</v>
      </c>
      <c r="AM222" s="398">
        <f>IFERROR(VLOOKUP(RESOURCE_2_TYPE,COST_RATES,2,FALSE)*Input_Tasks[[#This Row],[R2 Business Hours]],0)+IFERROR(VLOOKUP(RESOURCE_2_TYPE,COST_RATES,3,FALSE)*Input_Tasks[[#This Row],[R2 After Hours]],0)</f>
        <v>0</v>
      </c>
      <c r="AN222" s="398">
        <f>IFERROR(VLOOKUP(RESOURCE_3_TYPE,COST_RATES,2,FALSE)*Input_Tasks[[#This Row],[R3 Business Hours]],0)+IFERROR(VLOOKUP(RESOURCE_3_TYPE,COST_RATES,3,FALSE)*Input_Tasks[[#This Row],[R3 After Hours]],0)</f>
        <v>0</v>
      </c>
      <c r="AO222" s="398">
        <f>IFERROR(VLOOKUP(RESOURCE_4_TYPE,COST_RATES,2,FALSE)*Input_Tasks[[#This Row],[R4 Business Hours]],0)+IFERROR(VLOOKUP(RESOURCE_4_TYPE,COST_RATES,3,FALSE)*Input_Tasks[[#This Row],[R4 After Hours]],0)</f>
        <v>0</v>
      </c>
      <c r="AP222" s="398">
        <f>IFERROR(VLOOKUP(RESOURCE_5_TYPE,COST_RATES,2,FALSE)*Input_Tasks[[#This Row],[R5 Business Hours]],0)+IFERROR(VLOOKUP(RESOURCE_5_TYPE,COST_RATES,3,FALSE)*Input_Tasks[[#This Row],[R5 After Hours]],0)</f>
        <v>0</v>
      </c>
      <c r="AQ222" s="399">
        <f>IFERROR(VLOOKUP(RESOURCE_1_TYPE,SELL_RATES,2,FALSE)*Input_Tasks[[#This Row],[R1 Business Hours]],0)+IFERROR(VLOOKUP(RESOURCE_1_TYPE,SELL_RATES,3,FALSE)*Input_Tasks[[#This Row],[R1 After Hours]],0)</f>
        <v>0</v>
      </c>
      <c r="AR222" s="398">
        <f>IFERROR(VLOOKUP(RESOURCE_2_TYPE,SELL_RATES,2,FALSE)*Input_Tasks[[#This Row],[R2 Business Hours]],0)+IFERROR(VLOOKUP(RESOURCE_2_TYPE,SELL_RATES,3,FALSE)*Input_Tasks[[#This Row],[R2 After Hours]],0)</f>
        <v>0</v>
      </c>
      <c r="AS222" s="398">
        <f>IFERROR(VLOOKUP(RESOURCE_3_TYPE,SELL_RATES,2,FALSE)*Input_Tasks[[#This Row],[R3 Business Hours]],0)+IFERROR(VLOOKUP(RESOURCE_3_TYPE,SELL_RATES,3,FALSE)*Input_Tasks[[#This Row],[R3 After Hours]],0)</f>
        <v>0</v>
      </c>
      <c r="AT222" s="398">
        <f>IFERROR(VLOOKUP(RESOURCE_4_TYPE,SELL_RATES,2,FALSE)*Input_Tasks[[#This Row],[R4 Business Hours]],0)+IFERROR(VLOOKUP(RESOURCE_4_TYPE,SELL_RATES,3,FALSE)*Input_Tasks[[#This Row],[R4 After Hours]],0)</f>
        <v>0</v>
      </c>
      <c r="AU222" s="398">
        <f>IFERROR(VLOOKUP(RESOURCE_5_TYPE,SELL_RATES,2,FALSE)*Input_Tasks[[#This Row],[R5 Business Hours]],0)+IFERROR(VLOOKUP(RESOURCE_5_TYPE,SELL_RATES,3,FALSE)*Input_Tasks[[#This Row],[R5 After Hours]],0)</f>
        <v>0</v>
      </c>
      <c r="AV222" s="400">
        <f>SUM(Input_Tasks[[#This Row],[Round Trips R1]:[Round Trips R5]])</f>
        <v>0</v>
      </c>
      <c r="AW222" s="401">
        <f>SUM(Input_Tasks[[#This Row],[Overnight StaysR1]:[Overnight StaysR5]])</f>
        <v>0</v>
      </c>
      <c r="AX222" s="401">
        <f>IF(AND(Input_Tasks[[#This Row],[Sell - Line Total]]&gt;0,OR(Input_Tasks[[#This Row],[Phase]]="",Input_Tasks[[#This Row],[Skill Required]]="",Input_Tasks[[#This Row],[Task Type]]="",Input_Tasks[[#This Row],[Description]]="")),1,0)</f>
        <v>0</v>
      </c>
      <c r="AY222" s="402">
        <f>IF(AND(Input_Tasks[[#This Row],[Task Type]]="ArchiTech Document Deliverable",Input_Tasks[[#This Row],[Hours]]&gt;0),1,0)</f>
        <v>0</v>
      </c>
      <c r="AZ222"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22"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22"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22"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22"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22"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22"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22"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22"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22"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22"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22"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22"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22" s="405">
        <f>SUM(Input_Tasks[[#This Row],[R1 Business Hours]:[R1 After Hours]],Input_Tasks[[#This Row],[R2 Business Hours]:[R2 After Hours]],Input_Tasks[[#This Row],[R3 Business Hours]:[R3 After Hours]],Input_Tasks[[#This Row],[R4 Business Hours]:[R4 After Hours]],Input_Tasks[[#This Row],[R5 Business Hours]:[R5 After Hours]])</f>
        <v>0</v>
      </c>
    </row>
    <row r="223" spans="1:65">
      <c r="A223" s="384"/>
      <c r="B223" s="271"/>
      <c r="C223" s="271"/>
      <c r="D223" s="406"/>
      <c r="E223" s="385">
        <f>Input_Tasks[[#This Row],[Onsite Round Trips_Hidden]]</f>
        <v>0</v>
      </c>
      <c r="F223" s="385">
        <f>Input_Tasks[[#This Row],[Overnight Stays_Hidden]]</f>
        <v>0</v>
      </c>
      <c r="G223" s="385">
        <f>Input_Tasks[[#This Row],[Documents_Hidden]]</f>
        <v>0</v>
      </c>
      <c r="H223" s="387"/>
      <c r="I223" s="388"/>
      <c r="J223" s="389"/>
      <c r="K223" s="390"/>
      <c r="L223" s="390"/>
      <c r="M223" s="389"/>
      <c r="N223" s="390"/>
      <c r="O223" s="390"/>
      <c r="P223" s="389"/>
      <c r="Q223" s="390"/>
      <c r="R223" s="391"/>
      <c r="S223" s="389"/>
      <c r="T223" s="390"/>
      <c r="U223" s="391"/>
      <c r="V223" s="389"/>
      <c r="W223" s="390"/>
      <c r="X223" s="390"/>
      <c r="Y223" s="386" t="str">
        <f>Input_Tasks[[#This Row],[Onsite Round Trips_Hidden]]&amp;"/"&amp;Input_Tasks[[#This Row],[Overnight Stays_Hidden]]&amp;"/"&amp;Input_Tasks[[#This Row],[Documents_Hidden]]</f>
        <v>0/0/0</v>
      </c>
      <c r="Z223" s="392">
        <f>Input_Tasks[[#This Row],[R1 Cost_Hidden]]</f>
        <v>0</v>
      </c>
      <c r="AA223" s="393">
        <f>Input_Tasks[[#This Row],[R2 Cost_Hidden]]</f>
        <v>0</v>
      </c>
      <c r="AB223" s="393">
        <f>Input_Tasks[[#This Row],[R3 Cost_Hidden]]</f>
        <v>0</v>
      </c>
      <c r="AC223" s="393">
        <f>Input_Tasks[[#This Row],[R4 Cost_Hidden]]</f>
        <v>0</v>
      </c>
      <c r="AD223" s="394">
        <f>Input_Tasks[[#This Row],[R5 Cost_Hidden]]</f>
        <v>0</v>
      </c>
      <c r="AE223" s="395">
        <f>SUM(Input_Tasks[[#This Row],[R1 Cost]:[R5 Cost]])</f>
        <v>0</v>
      </c>
      <c r="AF223" s="392">
        <f>Input_Tasks[[#This Row],[R1 Sell_Hidden]]</f>
        <v>0</v>
      </c>
      <c r="AG223" s="393">
        <f>Input_Tasks[[#This Row],[R2 Sell_Hidden]]</f>
        <v>0</v>
      </c>
      <c r="AH223" s="393">
        <f>Input_Tasks[[#This Row],[R3 Sell_Hidden]]</f>
        <v>0</v>
      </c>
      <c r="AI223" s="393">
        <f>Input_Tasks[[#This Row],[R4 Sell_Hidden5]]</f>
        <v>0</v>
      </c>
      <c r="AJ223" s="394">
        <f>Input_Tasks[[#This Row],[R5 Sell_Hidden]]</f>
        <v>0</v>
      </c>
      <c r="AK223" s="396">
        <f>SUM(Input_Tasks[[#This Row],[R1 Sell]:[R5 Sell]])</f>
        <v>0</v>
      </c>
      <c r="AL223" s="397">
        <f>IFERROR(VLOOKUP(RESOURCE_1_TYPE,COST_RATES,2,FALSE)*Input_Tasks[[#This Row],[R1 Business Hours]],0)+IFERROR(VLOOKUP(RESOURCE_1_TYPE,COST_RATES,3,FALSE)*Input_Tasks[[#This Row],[R1 After Hours]],0)</f>
        <v>0</v>
      </c>
      <c r="AM223" s="398">
        <f>IFERROR(VLOOKUP(RESOURCE_2_TYPE,COST_RATES,2,FALSE)*Input_Tasks[[#This Row],[R2 Business Hours]],0)+IFERROR(VLOOKUP(RESOURCE_2_TYPE,COST_RATES,3,FALSE)*Input_Tasks[[#This Row],[R2 After Hours]],0)</f>
        <v>0</v>
      </c>
      <c r="AN223" s="398">
        <f>IFERROR(VLOOKUP(RESOURCE_3_TYPE,COST_RATES,2,FALSE)*Input_Tasks[[#This Row],[R3 Business Hours]],0)+IFERROR(VLOOKUP(RESOURCE_3_TYPE,COST_RATES,3,FALSE)*Input_Tasks[[#This Row],[R3 After Hours]],0)</f>
        <v>0</v>
      </c>
      <c r="AO223" s="398">
        <f>IFERROR(VLOOKUP(RESOURCE_4_TYPE,COST_RATES,2,FALSE)*Input_Tasks[[#This Row],[R4 Business Hours]],0)+IFERROR(VLOOKUP(RESOURCE_4_TYPE,COST_RATES,3,FALSE)*Input_Tasks[[#This Row],[R4 After Hours]],0)</f>
        <v>0</v>
      </c>
      <c r="AP223" s="398">
        <f>IFERROR(VLOOKUP(RESOURCE_5_TYPE,COST_RATES,2,FALSE)*Input_Tasks[[#This Row],[R5 Business Hours]],0)+IFERROR(VLOOKUP(RESOURCE_5_TYPE,COST_RATES,3,FALSE)*Input_Tasks[[#This Row],[R5 After Hours]],0)</f>
        <v>0</v>
      </c>
      <c r="AQ223" s="399">
        <f>IFERROR(VLOOKUP(RESOURCE_1_TYPE,SELL_RATES,2,FALSE)*Input_Tasks[[#This Row],[R1 Business Hours]],0)+IFERROR(VLOOKUP(RESOURCE_1_TYPE,SELL_RATES,3,FALSE)*Input_Tasks[[#This Row],[R1 After Hours]],0)</f>
        <v>0</v>
      </c>
      <c r="AR223" s="398">
        <f>IFERROR(VLOOKUP(RESOURCE_2_TYPE,SELL_RATES,2,FALSE)*Input_Tasks[[#This Row],[R2 Business Hours]],0)+IFERROR(VLOOKUP(RESOURCE_2_TYPE,SELL_RATES,3,FALSE)*Input_Tasks[[#This Row],[R2 After Hours]],0)</f>
        <v>0</v>
      </c>
      <c r="AS223" s="398">
        <f>IFERROR(VLOOKUP(RESOURCE_3_TYPE,SELL_RATES,2,FALSE)*Input_Tasks[[#This Row],[R3 Business Hours]],0)+IFERROR(VLOOKUP(RESOURCE_3_TYPE,SELL_RATES,3,FALSE)*Input_Tasks[[#This Row],[R3 After Hours]],0)</f>
        <v>0</v>
      </c>
      <c r="AT223" s="398">
        <f>IFERROR(VLOOKUP(RESOURCE_4_TYPE,SELL_RATES,2,FALSE)*Input_Tasks[[#This Row],[R4 Business Hours]],0)+IFERROR(VLOOKUP(RESOURCE_4_TYPE,SELL_RATES,3,FALSE)*Input_Tasks[[#This Row],[R4 After Hours]],0)</f>
        <v>0</v>
      </c>
      <c r="AU223" s="398">
        <f>IFERROR(VLOOKUP(RESOURCE_5_TYPE,SELL_RATES,2,FALSE)*Input_Tasks[[#This Row],[R5 Business Hours]],0)+IFERROR(VLOOKUP(RESOURCE_5_TYPE,SELL_RATES,3,FALSE)*Input_Tasks[[#This Row],[R5 After Hours]],0)</f>
        <v>0</v>
      </c>
      <c r="AV223" s="400">
        <f>SUM(Input_Tasks[[#This Row],[Round Trips R1]:[Round Trips R5]])</f>
        <v>0</v>
      </c>
      <c r="AW223" s="401">
        <f>SUM(Input_Tasks[[#This Row],[Overnight StaysR1]:[Overnight StaysR5]])</f>
        <v>0</v>
      </c>
      <c r="AX223" s="401">
        <f>IF(AND(Input_Tasks[[#This Row],[Sell - Line Total]]&gt;0,OR(Input_Tasks[[#This Row],[Phase]]="",Input_Tasks[[#This Row],[Skill Required]]="",Input_Tasks[[#This Row],[Task Type]]="",Input_Tasks[[#This Row],[Description]]="")),1,0)</f>
        <v>0</v>
      </c>
      <c r="AY223" s="402">
        <f>IF(AND(Input_Tasks[[#This Row],[Task Type]]="ArchiTech Document Deliverable",Input_Tasks[[#This Row],[Hours]]&gt;0),1,0)</f>
        <v>0</v>
      </c>
      <c r="AZ223"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23"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23"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23"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23"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23"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23"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23"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23"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23"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23"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23"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23"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23" s="405">
        <f>SUM(Input_Tasks[[#This Row],[R1 Business Hours]:[R1 After Hours]],Input_Tasks[[#This Row],[R2 Business Hours]:[R2 After Hours]],Input_Tasks[[#This Row],[R3 Business Hours]:[R3 After Hours]],Input_Tasks[[#This Row],[R4 Business Hours]:[R4 After Hours]],Input_Tasks[[#This Row],[R5 Business Hours]:[R5 After Hours]])</f>
        <v>0</v>
      </c>
    </row>
    <row r="224" spans="1:65">
      <c r="A224" s="384"/>
      <c r="B224" s="271"/>
      <c r="C224" s="271"/>
      <c r="D224" s="406"/>
      <c r="E224" s="385">
        <f>Input_Tasks[[#This Row],[Onsite Round Trips_Hidden]]</f>
        <v>0</v>
      </c>
      <c r="F224" s="385">
        <f>Input_Tasks[[#This Row],[Overnight Stays_Hidden]]</f>
        <v>0</v>
      </c>
      <c r="G224" s="385">
        <f>Input_Tasks[[#This Row],[Documents_Hidden]]</f>
        <v>0</v>
      </c>
      <c r="H224" s="387"/>
      <c r="I224" s="388"/>
      <c r="J224" s="389"/>
      <c r="K224" s="390"/>
      <c r="L224" s="390"/>
      <c r="M224" s="389"/>
      <c r="N224" s="390"/>
      <c r="O224" s="390"/>
      <c r="P224" s="389"/>
      <c r="Q224" s="390"/>
      <c r="R224" s="391"/>
      <c r="S224" s="389"/>
      <c r="T224" s="390"/>
      <c r="U224" s="391"/>
      <c r="V224" s="389"/>
      <c r="W224" s="390"/>
      <c r="X224" s="390"/>
      <c r="Y224" s="386" t="str">
        <f>Input_Tasks[[#This Row],[Onsite Round Trips_Hidden]]&amp;"/"&amp;Input_Tasks[[#This Row],[Overnight Stays_Hidden]]&amp;"/"&amp;Input_Tasks[[#This Row],[Documents_Hidden]]</f>
        <v>0/0/0</v>
      </c>
      <c r="Z224" s="392">
        <f>Input_Tasks[[#This Row],[R1 Cost_Hidden]]</f>
        <v>0</v>
      </c>
      <c r="AA224" s="393">
        <f>Input_Tasks[[#This Row],[R2 Cost_Hidden]]</f>
        <v>0</v>
      </c>
      <c r="AB224" s="393">
        <f>Input_Tasks[[#This Row],[R3 Cost_Hidden]]</f>
        <v>0</v>
      </c>
      <c r="AC224" s="393">
        <f>Input_Tasks[[#This Row],[R4 Cost_Hidden]]</f>
        <v>0</v>
      </c>
      <c r="AD224" s="394">
        <f>Input_Tasks[[#This Row],[R5 Cost_Hidden]]</f>
        <v>0</v>
      </c>
      <c r="AE224" s="395">
        <f>SUM(Input_Tasks[[#This Row],[R1 Cost]:[R5 Cost]])</f>
        <v>0</v>
      </c>
      <c r="AF224" s="392">
        <f>Input_Tasks[[#This Row],[R1 Sell_Hidden]]</f>
        <v>0</v>
      </c>
      <c r="AG224" s="393">
        <f>Input_Tasks[[#This Row],[R2 Sell_Hidden]]</f>
        <v>0</v>
      </c>
      <c r="AH224" s="393">
        <f>Input_Tasks[[#This Row],[R3 Sell_Hidden]]</f>
        <v>0</v>
      </c>
      <c r="AI224" s="393">
        <f>Input_Tasks[[#This Row],[R4 Sell_Hidden5]]</f>
        <v>0</v>
      </c>
      <c r="AJ224" s="394">
        <f>Input_Tasks[[#This Row],[R5 Sell_Hidden]]</f>
        <v>0</v>
      </c>
      <c r="AK224" s="396">
        <f>SUM(Input_Tasks[[#This Row],[R1 Sell]:[R5 Sell]])</f>
        <v>0</v>
      </c>
      <c r="AL224" s="397">
        <f>IFERROR(VLOOKUP(RESOURCE_1_TYPE,COST_RATES,2,FALSE)*Input_Tasks[[#This Row],[R1 Business Hours]],0)+IFERROR(VLOOKUP(RESOURCE_1_TYPE,COST_RATES,3,FALSE)*Input_Tasks[[#This Row],[R1 After Hours]],0)</f>
        <v>0</v>
      </c>
      <c r="AM224" s="398">
        <f>IFERROR(VLOOKUP(RESOURCE_2_TYPE,COST_RATES,2,FALSE)*Input_Tasks[[#This Row],[R2 Business Hours]],0)+IFERROR(VLOOKUP(RESOURCE_2_TYPE,COST_RATES,3,FALSE)*Input_Tasks[[#This Row],[R2 After Hours]],0)</f>
        <v>0</v>
      </c>
      <c r="AN224" s="398">
        <f>IFERROR(VLOOKUP(RESOURCE_3_TYPE,COST_RATES,2,FALSE)*Input_Tasks[[#This Row],[R3 Business Hours]],0)+IFERROR(VLOOKUP(RESOURCE_3_TYPE,COST_RATES,3,FALSE)*Input_Tasks[[#This Row],[R3 After Hours]],0)</f>
        <v>0</v>
      </c>
      <c r="AO224" s="398">
        <f>IFERROR(VLOOKUP(RESOURCE_4_TYPE,COST_RATES,2,FALSE)*Input_Tasks[[#This Row],[R4 Business Hours]],0)+IFERROR(VLOOKUP(RESOURCE_4_TYPE,COST_RATES,3,FALSE)*Input_Tasks[[#This Row],[R4 After Hours]],0)</f>
        <v>0</v>
      </c>
      <c r="AP224" s="398">
        <f>IFERROR(VLOOKUP(RESOURCE_5_TYPE,COST_RATES,2,FALSE)*Input_Tasks[[#This Row],[R5 Business Hours]],0)+IFERROR(VLOOKUP(RESOURCE_5_TYPE,COST_RATES,3,FALSE)*Input_Tasks[[#This Row],[R5 After Hours]],0)</f>
        <v>0</v>
      </c>
      <c r="AQ224" s="399">
        <f>IFERROR(VLOOKUP(RESOURCE_1_TYPE,SELL_RATES,2,FALSE)*Input_Tasks[[#This Row],[R1 Business Hours]],0)+IFERROR(VLOOKUP(RESOURCE_1_TYPE,SELL_RATES,3,FALSE)*Input_Tasks[[#This Row],[R1 After Hours]],0)</f>
        <v>0</v>
      </c>
      <c r="AR224" s="398">
        <f>IFERROR(VLOOKUP(RESOURCE_2_TYPE,SELL_RATES,2,FALSE)*Input_Tasks[[#This Row],[R2 Business Hours]],0)+IFERROR(VLOOKUP(RESOURCE_2_TYPE,SELL_RATES,3,FALSE)*Input_Tasks[[#This Row],[R2 After Hours]],0)</f>
        <v>0</v>
      </c>
      <c r="AS224" s="398">
        <f>IFERROR(VLOOKUP(RESOURCE_3_TYPE,SELL_RATES,2,FALSE)*Input_Tasks[[#This Row],[R3 Business Hours]],0)+IFERROR(VLOOKUP(RESOURCE_3_TYPE,SELL_RATES,3,FALSE)*Input_Tasks[[#This Row],[R3 After Hours]],0)</f>
        <v>0</v>
      </c>
      <c r="AT224" s="398">
        <f>IFERROR(VLOOKUP(RESOURCE_4_TYPE,SELL_RATES,2,FALSE)*Input_Tasks[[#This Row],[R4 Business Hours]],0)+IFERROR(VLOOKUP(RESOURCE_4_TYPE,SELL_RATES,3,FALSE)*Input_Tasks[[#This Row],[R4 After Hours]],0)</f>
        <v>0</v>
      </c>
      <c r="AU224" s="398">
        <f>IFERROR(VLOOKUP(RESOURCE_5_TYPE,SELL_RATES,2,FALSE)*Input_Tasks[[#This Row],[R5 Business Hours]],0)+IFERROR(VLOOKUP(RESOURCE_5_TYPE,SELL_RATES,3,FALSE)*Input_Tasks[[#This Row],[R5 After Hours]],0)</f>
        <v>0</v>
      </c>
      <c r="AV224" s="400">
        <f>SUM(Input_Tasks[[#This Row],[Round Trips R1]:[Round Trips R5]])</f>
        <v>0</v>
      </c>
      <c r="AW224" s="401">
        <f>SUM(Input_Tasks[[#This Row],[Overnight StaysR1]:[Overnight StaysR5]])</f>
        <v>0</v>
      </c>
      <c r="AX224" s="401">
        <f>IF(AND(Input_Tasks[[#This Row],[Sell - Line Total]]&gt;0,OR(Input_Tasks[[#This Row],[Phase]]="",Input_Tasks[[#This Row],[Skill Required]]="",Input_Tasks[[#This Row],[Task Type]]="",Input_Tasks[[#This Row],[Description]]="")),1,0)</f>
        <v>0</v>
      </c>
      <c r="AY224" s="402">
        <f>IF(AND(Input_Tasks[[#This Row],[Task Type]]="ArchiTech Document Deliverable",Input_Tasks[[#This Row],[Hours]]&gt;0),1,0)</f>
        <v>0</v>
      </c>
      <c r="AZ224" s="403" t="b">
        <f>(IF(OR(Input_Tasks[[#This Row],[Phase]]="Implementation",Input_Tasks[[#This Row],[Phase]]="Staging"),1,0)
*
(
(IF(Input_Tasks[[#This Row],[R1 Location]]=Setting_ArchiTech_Office_Term,1,0)*Input_Tasks[[#This Row],[R1 Business Hours]])
+(IF(Input_Tasks[[#This Row],[R2 Location]]=Setting_ArchiTech_Office_Term,1,0)*Input_Tasks[[#This Row],[R2 Business Hours]])
+(IF(Input_Tasks[[#This Row],[R3 Location]]=Setting_ArchiTech_Office_Term,1,0)*Input_Tasks[[#This Row],[R3 Business Hours]])
+(IF(Input_Tasks[[#This Row],[R4 Location]]=Setting_ArchiTech_Office_Term,1,0)*Input_Tasks[[#This Row],[R4 Business Hours]])
+(IF(Input_Tasks[[#This Row],[R5 Location]]=Setting_ArchiTech_Office_Term,1,0)*Input_Tasks[[#This Row],[R5 Business Hours]])
+(IF(Input_Tasks[[#This Row],[R1 Location]]=Setting_ArchiTech_Office_Term,1,0)*Input_Tasks[[#This Row],[R1 After Hours]])
+(IF(Input_Tasks[[#This Row],[R2 Location]]=Setting_ArchiTech_Office_Term,1,0)*Input_Tasks[[#This Row],[R2 After Hours]])
+(IF(Input_Tasks[[#This Row],[R3 Location]]=Setting_ArchiTech_Office_Term,1,0)*Input_Tasks[[#This Row],[R3 After Hours]])
+(IF(Input_Tasks[[#This Row],[R4 Location]]=Setting_ArchiTech_Office_Term,1,0)*Input_Tasks[[#This Row],[R4 After Hours]])
+(IF(Input_Tasks[[#This Row],[R5 Location]]=Setting_ArchiTech_Office_Term,1,0)*Input_Tasks[[#This Row],[R5 After Hours]])
))&gt;0</f>
        <v>0</v>
      </c>
      <c r="BA224" s="403" t="b">
        <f>(IF(OR(Input_Tasks[[#This Row],[Phase]]="Implementation",Input_Tasks[[#This Row],[Phase]]="Staging"),1,0)
*
(
(IF(Input_Tasks[[#This Row],[R1 Location]]=SETTING_client_site_term,1,0)*Input_Tasks[[#This Row],[R1 Business Hours]])
+(IF(Input_Tasks[[#This Row],[R2 Location]]=SETTING_client_site_term,1,0)*Input_Tasks[[#This Row],[R2 Business Hours]])
+(IF(Input_Tasks[[#This Row],[R3 Location]]=SETTING_client_site_term,1,0)*Input_Tasks[[#This Row],[R3 Business Hours]])
+(IF(Input_Tasks[[#This Row],[R4 Location]]=SETTING_client_site_term,1,0)*Input_Tasks[[#This Row],[R4 Business Hours]])
+(IF(Input_Tasks[[#This Row],[R5 Location]]=SETTING_client_site_term,1,0)*Input_Tasks[[#This Row],[R5 Business Hours]])
+(IF(Input_Tasks[[#This Row],[R1 Location]]=SETTING_client_site_term,1,0)*Input_Tasks[[#This Row],[R1 After Hours]])
+(IF(Input_Tasks[[#This Row],[R2 Location]]=SETTING_client_site_term,1,0)*Input_Tasks[[#This Row],[R2 After Hours]])
+(IF(Input_Tasks[[#This Row],[R3 Location]]=SETTING_client_site_term,1,0)*Input_Tasks[[#This Row],[R3 After Hours]])
+(IF(Input_Tasks[[#This Row],[R4 Location]]=SETTING_client_site_term,1,0)*Input_Tasks[[#This Row],[R4 After Hours]])
+(IF(Input_Tasks[[#This Row],[R5 Location]]=SETTING_client_site_term,1,0)*Input_Tasks[[#This Row],[R5 After Hours]])
))&gt;0</f>
        <v>0</v>
      </c>
      <c r="BB224" s="403">
        <f>IF(OR(AND(SUM(Input_Tasks[[#This Row],[R1 Business Hours]:[R1 After Hours]])&gt;0,Input_Tasks[[#This Row],[R1 Location]]=""),AND(SUM(Input_Tasks[[#This Row],[R2 Business Hours]:[R2 After Hours]])&gt;0,Input_Tasks[[#This Row],[R2 Location]]=""),AND(SUM(Input_Tasks[[#This Row],[R3 Business Hours]:[R3 After Hours]])&gt;0,Input_Tasks[[#This Row],[R3 Location]]=""),AND(SUM(Input_Tasks[[#This Row],[R4 Business Hours]:[R4 After Hours]])&gt;0,Input_Tasks[[#This Row],[R4 Location]]=""),AND(SUM(Input_Tasks[[#This Row],[R5 Business Hours]:[R5 After Hours]])&gt;0,Input_Tasks[[#This Row],[R5 Location]]="")),1,0)</f>
        <v>0</v>
      </c>
      <c r="BC224" s="404">
        <f>IF(Settings_Hidden!$C$116="Yes",IF(Input_Tasks[[#This Row],[R1 Location]]=Settings_Hidden!$C$17,ROUNDUP(SUM(Input_Tasks[[#This Row],[R1 Business Hours]:[R1 After Hours]])/Settings_Hidden!$C$122/Settings_Hidden!$C$123,0),0),IF(Input_Tasks[[#This Row],[R1 Location]]=Settings_Hidden!$C$17,ROUNDUP(SUM(Input_Tasks[[#This Row],[R1 Business Hours]:[R1 After Hours]])/Settings_Hidden!$C$121,0),0))</f>
        <v>0</v>
      </c>
      <c r="BD224" s="404">
        <f>IF(Settings_Hidden!$C$116="Yes",IF(Input_Tasks[[#This Row],[R2 Location]]=Settings_Hidden!$C$17,ROUNDUP(SUM(Input_Tasks[[#This Row],[R2 Business Hours]:[R2 After Hours]])/Settings_Hidden!$C$122/Settings_Hidden!$C$123,0),0),IF(Input_Tasks[[#This Row],[R2 Location]]=Settings_Hidden!$C$17,ROUNDUP(SUM(Input_Tasks[[#This Row],[R2 Business Hours]:[R2 After Hours]])/Settings_Hidden!$C$121,0),0))</f>
        <v>0</v>
      </c>
      <c r="BE224" s="404">
        <f>IF(Settings_Hidden!$C$116="Yes",IF(Input_Tasks[[#This Row],[R3 Location]]=Settings_Hidden!$C$17,ROUNDUP(SUM(Input_Tasks[[#This Row],[R3 Business Hours]:[R3 After Hours]])/Settings_Hidden!$C$122/Settings_Hidden!$C$123,0),0),IF(Input_Tasks[[#This Row],[R3 Location]]=Settings_Hidden!$C$17,ROUNDUP(SUM(Input_Tasks[[#This Row],[R3 Business Hours]:[R3 After Hours]])/Settings_Hidden!$C$121,0),0))</f>
        <v>0</v>
      </c>
      <c r="BF224" s="404">
        <f>IF(Settings_Hidden!$C$116="Yes",IF(Input_Tasks[[#This Row],[R4 Location]]=Settings_Hidden!$C$17,ROUNDUP(SUM(Input_Tasks[[#This Row],[R4 Business Hours]:[R4 After Hours]])/Settings_Hidden!$C$122/Settings_Hidden!$C$123,0),0),IF(Input_Tasks[[#This Row],[R4 Location]]=Settings_Hidden!$C$17,ROUNDUP(SUM(Input_Tasks[[#This Row],[R4 Business Hours]:[R4 After Hours]])/Settings_Hidden!$C$121,0),0))</f>
        <v>0</v>
      </c>
      <c r="BG224" s="404">
        <f>IF(Settings_Hidden!$C$116="Yes",IF(Input_Tasks[[#This Row],[R5 Location]]=Settings_Hidden!$C$17,ROUNDUP(SUM(Input_Tasks[[#This Row],[R5 Business Hours]:[R5 After Hours]])/Settings_Hidden!$C$122/Settings_Hidden!$C$123,0),0),IF(Input_Tasks[[#This Row],[R5 Location]]=Settings_Hidden!$C$17,ROUNDUP(SUM(Input_Tasks[[#This Row],[R5 Business Hours]:[R5 After Hours]])/Settings_Hidden!$C$121,0),0))</f>
        <v>0</v>
      </c>
      <c r="BH224" s="404">
        <f>IF(
Settings_Hidden!$C$116="No",
0,
IF(
Input_Tasks[[#This Row],[R1 Location]]=Settings_Hidden!$C$17,
(IF((SUM(Input_Tasks[[#This Row],[R1 Business Hours]:[R1 After Hours]])+Settings_Hidden!$C$115)&lt;Settings_Hidden!$C$122,0,
ROUNDDOWN((SUM(Input_Tasks[[#This Row],[R1 Business Hours]:[R1 After Hours]])+Settings_Hidden!$C$115)/Settings_Hidden!$C$122,0))),0))</f>
        <v>0</v>
      </c>
      <c r="BI224" s="404">
        <f>IF(
Settings_Hidden!$C$116="No",
0,
IF(
Input_Tasks[[#This Row],[R2 Location]]=Settings_Hidden!$C$17,
(IF((SUM(Input_Tasks[[#This Row],[R2 Business Hours]:[R2 After Hours]])+Settings_Hidden!$C$115)&lt;Settings_Hidden!$C$122,0,
ROUNDDOWN((SUM(Input_Tasks[[#This Row],[R2 Business Hours]:[R2 After Hours]])+Settings_Hidden!$C$115)/Settings_Hidden!$C$122,0))),0))</f>
        <v>0</v>
      </c>
      <c r="BJ224" s="404">
        <f>IF(
Settings_Hidden!$C$116="No",
0,
IF(
Input_Tasks[[#This Row],[R3 Location]]=Settings_Hidden!$C$17,
(IF((SUM(Input_Tasks[[#This Row],[R3 Business Hours]:[R3 After Hours]])+Settings_Hidden!$C$115)&lt;Settings_Hidden!$C$122,0,
ROUNDDOWN((SUM(Input_Tasks[[#This Row],[R3 Business Hours]:[R3 After Hours]])+Settings_Hidden!$C$115)/Settings_Hidden!$C$122,0))),0))</f>
        <v>0</v>
      </c>
      <c r="BK224" s="404">
        <f>IF(
Settings_Hidden!$C$116="No",
0,
IF(
Input_Tasks[[#This Row],[R4 Location]]=Settings_Hidden!$C$17,
(IF((SUM(Input_Tasks[[#This Row],[R4 Business Hours]:[R4 After Hours]])+Settings_Hidden!$C$115)&lt;Settings_Hidden!$C$122,0,
ROUNDDOWN((SUM(Input_Tasks[[#This Row],[R4 Business Hours]:[R4 After Hours]])+Settings_Hidden!$C$115)/Settings_Hidden!$C$122,0))),0))</f>
        <v>0</v>
      </c>
      <c r="BL224" s="404">
        <f>IF(
Settings_Hidden!$C$116="No",
0,
IF(
Input_Tasks[[#This Row],[R5 Location]]=Settings_Hidden!$C$17,
(IF((SUM(Input_Tasks[[#This Row],[R5 Business Hours]:[R5 After Hours]])+Settings_Hidden!$C$115)&lt;Settings_Hidden!$C$122,0,
ROUNDDOWN((SUM(Input_Tasks[[#This Row],[R5 Business Hours]:[R5 After Hours]])+Settings_Hidden!$C$115)/Settings_Hidden!$C$122,0))),0))</f>
        <v>0</v>
      </c>
      <c r="BM224" s="405">
        <f>SUM(Input_Tasks[[#This Row],[R1 Business Hours]:[R1 After Hours]],Input_Tasks[[#This Row],[R2 Business Hours]:[R2 After Hours]],Input_Tasks[[#This Row],[R3 Business Hours]:[R3 After Hours]],Input_Tasks[[#This Row],[R4 Business Hours]:[R4 After Hours]],Input_Tasks[[#This Row],[R5 Business Hours]:[R5 After Hours]])</f>
        <v>0</v>
      </c>
    </row>
  </sheetData>
  <sheetProtection algorithmName="SHA-512" hashValue="4sbOkWYi7lfUJco1yuKUcDTHYN3Bzq87xFFSJ3/Mi2SMJfT/SHd7nPIznWC+jWGJgIC3WgxVtItIAjJeHL2zag==" saltValue="eDsCbgkcS+s7oGa/aGH1OQ==" spinCount="100000" sheet="1"/>
  <mergeCells count="17">
    <mergeCell ref="H40:H41"/>
    <mergeCell ref="I40:I41"/>
    <mergeCell ref="D21:G30"/>
    <mergeCell ref="V41:X41"/>
    <mergeCell ref="J41:L41"/>
    <mergeCell ref="M41:O41"/>
    <mergeCell ref="P41:R41"/>
    <mergeCell ref="S41:U41"/>
    <mergeCell ref="AQ40:AU40"/>
    <mergeCell ref="AL40:AP40"/>
    <mergeCell ref="J40:L40"/>
    <mergeCell ref="M40:O40"/>
    <mergeCell ref="P40:R40"/>
    <mergeCell ref="S40:U40"/>
    <mergeCell ref="V40:X40"/>
    <mergeCell ref="AF40:AK40"/>
    <mergeCell ref="Z40:AE40"/>
  </mergeCells>
  <phoneticPr fontId="13" type="noConversion"/>
  <conditionalFormatting sqref="A44:D224">
    <cfRule type="expression" dxfId="121" priority="132">
      <formula>AND(A44="",OR($A44&lt;&gt;"",$B44&lt;&gt;"",$C44&lt;&gt;"",$D44&lt;&gt;""))</formula>
    </cfRule>
    <cfRule type="expression" dxfId="120" priority="133">
      <formula>AND(A44="",$AK44&gt;0)</formula>
    </cfRule>
  </conditionalFormatting>
  <conditionalFormatting sqref="A44:BM224">
    <cfRule type="expression" dxfId="119" priority="16" stopIfTrue="1">
      <formula>AND(CELL("protect",A44),ISODD(ROW(A44)))</formula>
    </cfRule>
    <cfRule type="expression" dxfId="118" priority="17" stopIfTrue="1">
      <formula>AND(CELL("protect",A44),ISEVEN(ROW(A44)))</formula>
    </cfRule>
    <cfRule type="expression" dxfId="117" priority="19">
      <formula>AND(_xlfn.ISFORMULA(A44),ISODD(ROW(A44)))</formula>
    </cfRule>
    <cfRule type="expression" dxfId="116" priority="20">
      <formula>AND(_xlfn.ISFORMULA(A44),ISEVEN(ROW(A44)))</formula>
    </cfRule>
  </conditionalFormatting>
  <conditionalFormatting sqref="B9:B17 B19">
    <cfRule type="expression" dxfId="115" priority="40">
      <formula>B9=""</formula>
    </cfRule>
  </conditionalFormatting>
  <conditionalFormatting sqref="B23">
    <cfRule type="expression" dxfId="114" priority="8">
      <formula>AND(B22="Yes",B23&lt;&gt;"")</formula>
    </cfRule>
    <cfRule type="expression" dxfId="113" priority="9">
      <formula>AND(B22="Yes",B23="")</formula>
    </cfRule>
  </conditionalFormatting>
  <conditionalFormatting sqref="E44:G224 Y44:Y224">
    <cfRule type="expression" dxfId="112" priority="11">
      <formula>E44=0</formula>
    </cfRule>
  </conditionalFormatting>
  <conditionalFormatting sqref="H44:H224">
    <cfRule type="expression" dxfId="111" priority="15" stopIfTrue="1">
      <formula>AND(NOT($A44&amp;$B44&amp;$C44&amp;$D44=""),NOT($C44="Client Dependency"))</formula>
    </cfRule>
  </conditionalFormatting>
  <conditionalFormatting sqref="H44:X224">
    <cfRule type="expression" dxfId="110" priority="131" stopIfTrue="1">
      <formula>(IF(NOT($H44=""),1,0)+IF(NOT($I44=""),1,0)+IF(NOT($BM44=0),1,0))&gt;1</formula>
    </cfRule>
  </conditionalFormatting>
  <conditionalFormatting sqref="I44:I224">
    <cfRule type="expression" dxfId="109" priority="14" stopIfTrue="1">
      <formula>AND(NOT($A44&amp;$B44&amp;$C44&amp;$D44=""),NOT($C44="ArchiTech Subcontractor Activity"))</formula>
    </cfRule>
  </conditionalFormatting>
  <conditionalFormatting sqref="I23:P37">
    <cfRule type="expression" dxfId="108" priority="5">
      <formula>$I23&lt;&gt;""</formula>
    </cfRule>
  </conditionalFormatting>
  <conditionalFormatting sqref="J44:J224 M44:M224 P44:P224 S44:S224 V44:V224">
    <cfRule type="expression" dxfId="106" priority="36">
      <formula>IF(AND(SUM(K44:L44)&gt;0,J44=""),TRUE,FALSE)</formula>
    </cfRule>
  </conditionalFormatting>
  <conditionalFormatting sqref="J44:AD224">
    <cfRule type="expression" dxfId="105" priority="13" stopIfTrue="1">
      <formula>AND(NOT($A44&amp;$B44&amp;$C44&amp;$D44=""),OR(NOT(ISNUMBER(SEARCH("ArchiTech",$C44))),$C44="ArchiTech Subcontractor Activity"))</formula>
    </cfRule>
  </conditionalFormatting>
  <dataValidations count="19">
    <dataValidation type="list" allowBlank="1" showInputMessage="1" showErrorMessage="1" sqref="B12" xr:uid="{234F4596-9A1F-4C4D-BD52-BEA9A5327223}">
      <formula1>"Port Melbourne,Bendigo,Other"</formula1>
    </dataValidation>
    <dataValidation type="whole" errorStyle="warning" allowBlank="1" showErrorMessage="1" errorTitle="Customer Distance" error="This cell is set to accept numbers between 1 and 1000. Please enter the number of Kilometers between the project's Primary ArchiTech Office and the Customer Site." sqref="B13" xr:uid="{E9FE33B2-CB67-44FD-AB91-E4F8A2A20E45}">
      <formula1>1</formula1>
      <formula2>1000</formula2>
    </dataValidation>
    <dataValidation type="list" allowBlank="1" showInputMessage="1" showErrorMessage="1" sqref="V44:V224 P44:P224 J44:J224 M44:M224 S44:S224" xr:uid="{A924A5AD-91E6-44E6-A412-26B9E98368B6}">
      <formula1>Locations</formula1>
    </dataValidation>
    <dataValidation errorStyle="warning" operator="greaterThan" allowBlank="1" showInputMessage="1" showErrorMessage="1" errorTitle="Task Hours" error="This field is set to accept values between 0 and 24. The ArchiTech Delivery Department requests all tasks of greater than 24 hours be divided into subtasks." sqref="AF44:AU224" xr:uid="{A4D986DA-18AB-487A-8369-3F48F2275C04}"/>
    <dataValidation type="date" errorStyle="warning" allowBlank="1" showErrorMessage="1" errorTitle="Invalid Date" error="This field is set to accept dates between Today +7 days and Today +650 days." sqref="B20:B21 B25:B28" xr:uid="{72AF945B-D28B-43C8-A97D-86ACC823DCC8}">
      <formula1>TODAY()+7</formula1>
      <formula2>TODAY()+730</formula2>
    </dataValidation>
    <dataValidation errorStyle="warning" allowBlank="1" showInputMessage="1" showErrorMessage="1" errorTitle="Task Hours" error="This field is set to accept values between 0 and 24. The ArchiTech Delivery Department requests all tasks of greater than 24 hours be divided into subtasks." sqref="Z44:AE224" xr:uid="{E7342193-EAC6-4C0D-A695-7D8CBAE44B1F}"/>
    <dataValidation type="list" allowBlank="1" showInputMessage="1" sqref="A44:A224" xr:uid="{4F4DC7B5-5041-4E95-A58E-B2F98F4C2F4D}">
      <formula1>"Kickoff,Design,Staging,Implementation,Project Completion &amp; Handover"</formula1>
    </dataValidation>
    <dataValidation type="list" allowBlank="1" showInputMessage="1" showErrorMessage="1" sqref="C44:C224" xr:uid="{A90BCA31-96BA-4E4A-8967-29221731EA67}">
      <formula1>"ArchiTech Activity,Client Dependency,ArchiTech Subcontractor Activity,ArchiTech Document Deliverable"</formula1>
    </dataValidation>
    <dataValidation type="decimal" errorStyle="information" allowBlank="1" showInputMessage="1" showErrorMessage="1" errorTitle="Task Hours" error="This field is set to accept values between 0 and 32. The ArchiTech Delivery Department requests any task greater than 32 hours be divided into subtasks._x000a__x000a_Proceed?" sqref="T44:U224 Q44:R224 K44:L224 N44:O224 W44:Y224" xr:uid="{EEF3123B-564B-43CD-A9F6-8FAD22605ABA}">
      <formula1>0</formula1>
      <formula2>32</formula2>
    </dataValidation>
    <dataValidation type="list" allowBlank="1" showInputMessage="1" showErrorMessage="1" sqref="Y41:Y42 J41:X41" xr:uid="{641D666E-F544-476A-A2E5-F46D18920F6E}">
      <formula1>ENGINEER_ROLES</formula1>
    </dataValidation>
    <dataValidation type="decimal" operator="greaterThanOrEqual" allowBlank="1" showInputMessage="1" showErrorMessage="1" sqref="H44:I224" xr:uid="{EB46BF5E-30E9-4AB7-9F5A-EFB6610D8F81}">
      <formula1>0</formula1>
    </dataValidation>
    <dataValidation type="list" errorStyle="warning" allowBlank="1" showErrorMessage="1" errorTitle="Variation Status" error="Please enter &quot;Yes&quot; or &quot;No&quot;" sqref="B22" xr:uid="{80DF6996-0261-4EC0-A59A-6F2D6DE924E3}">
      <formula1>"Yes,No"</formula1>
    </dataValidation>
    <dataValidation type="decimal" errorStyle="warning" operator="greaterThanOrEqual" allowBlank="1" showErrorMessage="1" errorTitle="Parking" error="This cell is set to accept numbers greater then or equal to 0" sqref="B14" xr:uid="{975D4A7E-BC5F-4D9C-9724-3CEDA80839B5}">
      <formula1>0</formula1>
    </dataValidation>
    <dataValidation type="decimal" errorStyle="warning" operator="greaterThanOrEqual" allowBlank="1" showErrorMessage="1" errorTitle="Incidentals Budget" error="This cell is set to accept numbers greater or equal to 0" sqref="B16" xr:uid="{229D59A6-969E-4792-951C-C007157BF6B6}">
      <formula1>0</formula1>
    </dataValidation>
    <dataValidation type="decimal" errorStyle="warning" operator="greaterThanOrEqual" allowBlank="1" showErrorMessage="1" errorTitle="Tolls" error="This cell is set to accept numbers greater then or equal to 0" sqref="B15" xr:uid="{1EAF318B-0273-40DB-AF7D-47CB04652B9B}">
      <formula1>0</formula1>
    </dataValidation>
    <dataValidation type="list" allowBlank="1" showErrorMessage="1" errorTitle="Invalid Selection" error="Select an option from the drop-down list" sqref="B17" xr:uid="{74B534CC-3DA3-4094-9341-F380FBE6B48F}">
      <formula1>"Fixed Fee,T&amp;M"</formula1>
    </dataValidation>
    <dataValidation errorStyle="warning" allowBlank="1" showErrorMessage="1" errorTitle="Invalid Date" error="This field is set to accept dates between Today +7 days and Today +650 days." sqref="B19" xr:uid="{06213518-04E1-41F4-B8D1-694E28C8B3CC}"/>
    <dataValidation type="list" allowBlank="1" showInputMessage="1" sqref="B44:B224" xr:uid="{2E9178BB-7C7D-4B65-913F-E81506F29C57}">
      <formula1>INDIRECT("Table.Settings_Skill.List[Skill Name]")</formula1>
    </dataValidation>
    <dataValidation type="list" allowBlank="1" showInputMessage="1" showErrorMessage="1" sqref="G33:G37" xr:uid="{00DE746A-8093-4F65-B12E-336AE238C4E7}">
      <formula1>"REMOVE"</formula1>
    </dataValidation>
  </dataValidations>
  <pageMargins left="0.7" right="0.7" top="0.75" bottom="0.75" header="0.3" footer="0.3"/>
  <pageSetup paperSize="9" orientation="portrait" r:id="rId1"/>
  <drawing r:id="rId2"/>
  <legacy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x14:cfRule type="expression" priority="175" id="{00000000-000E-0000-0100-000039000000}">
            <xm:f>IF(AND(J41="",Settings_Hidden!C182&gt;0),TRUE,FALSE)</xm:f>
            <x14:dxf>
              <font>
                <color auto="1"/>
              </font>
              <fill>
                <patternFill>
                  <bgColor rgb="FFC00000"/>
                </patternFill>
              </fill>
            </x14:dxf>
          </x14:cfRule>
          <xm:sqref>J41:J42 M42 P42 S42 V42</xm:sqref>
        </x14:conditionalFormatting>
        <x14:conditionalFormatting xmlns:xm="http://schemas.microsoft.com/office/excel/2006/main">
          <x14:cfRule type="expression" priority="176" id="{00000000-000E-0000-0100-00003A000000}">
            <xm:f>IF(AND(M41="",Settings_Hidden!C183&gt;0),TRUE,FALSE)</xm:f>
            <x14:dxf>
              <font>
                <color auto="1"/>
              </font>
              <fill>
                <patternFill>
                  <bgColor rgb="FFC00000"/>
                </patternFill>
              </fill>
            </x14:dxf>
          </x14:cfRule>
          <xm:sqref>M41</xm:sqref>
        </x14:conditionalFormatting>
        <x14:conditionalFormatting xmlns:xm="http://schemas.microsoft.com/office/excel/2006/main">
          <x14:cfRule type="expression" priority="177" id="{00000000-000E-0000-0100-00003B000000}">
            <xm:f>IF(AND(P41="",Settings_Hidden!C184&gt;0),TRUE,FALSE)</xm:f>
            <x14:dxf>
              <font>
                <color auto="1"/>
              </font>
              <fill>
                <patternFill>
                  <bgColor rgb="FFC00000"/>
                </patternFill>
              </fill>
            </x14:dxf>
          </x14:cfRule>
          <xm:sqref>P41</xm:sqref>
        </x14:conditionalFormatting>
        <x14:conditionalFormatting xmlns:xm="http://schemas.microsoft.com/office/excel/2006/main">
          <x14:cfRule type="expression" priority="178" id="{00000000-000E-0000-0100-00003C000000}">
            <xm:f>IF(AND(S41="",Settings_Hidden!C185&gt;0),TRUE,FALSE)</xm:f>
            <x14:dxf>
              <font>
                <color auto="1"/>
              </font>
              <fill>
                <patternFill>
                  <bgColor rgb="FFC00000"/>
                </patternFill>
              </fill>
            </x14:dxf>
          </x14:cfRule>
          <xm:sqref>S41</xm:sqref>
        </x14:conditionalFormatting>
        <x14:conditionalFormatting xmlns:xm="http://schemas.microsoft.com/office/excel/2006/main">
          <x14:cfRule type="expression" priority="179" id="{00000000-000E-0000-0100-000037000000}">
            <xm:f>IF(AND(V41="",Settings_Hidden!C186&gt;0),TRUE,FALSE)</xm:f>
            <x14:dxf>
              <font>
                <color auto="1"/>
              </font>
              <fill>
                <patternFill>
                  <bgColor rgb="FFC00000"/>
                </patternFill>
              </fill>
            </x14:dxf>
          </x14:cfRule>
          <xm:sqref>V41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C05B9-A6BC-4017-AA68-2EAB9DE47818}">
  <sheetPr codeName="Sheet5">
    <tabColor theme="5" tint="0.39997558519241921"/>
    <pageSetUpPr autoPageBreaks="0"/>
  </sheetPr>
  <dimension ref="A1:L26"/>
  <sheetViews>
    <sheetView showGridLines="0" zoomScale="50" zoomScaleNormal="50" workbookViewId="0"/>
  </sheetViews>
  <sheetFormatPr defaultColWidth="8.69921875" defaultRowHeight="15"/>
  <cols>
    <col min="1" max="1" width="18.59765625" style="162" customWidth="1"/>
    <col min="2" max="2" width="32" style="162" customWidth="1"/>
    <col min="3" max="3" width="27.19921875" style="162" customWidth="1"/>
    <col min="4" max="4" width="19.59765625" style="162" customWidth="1"/>
    <col min="5" max="5" width="30.69921875" style="162" customWidth="1"/>
    <col min="6" max="6" width="26.69921875" style="162" customWidth="1"/>
    <col min="7" max="12" width="23.5" style="162" customWidth="1"/>
    <col min="13" max="16384" width="8.69921875" style="162"/>
  </cols>
  <sheetData>
    <row r="1" spans="1:12">
      <c r="A1" s="164"/>
      <c r="D1" s="178"/>
      <c r="E1" s="178"/>
      <c r="F1" s="178"/>
      <c r="G1" s="178"/>
      <c r="H1" s="178"/>
      <c r="I1" s="178"/>
      <c r="J1" s="163"/>
      <c r="K1" s="163"/>
    </row>
    <row r="2" spans="1:12">
      <c r="A2" s="164"/>
      <c r="D2" s="178"/>
      <c r="E2" s="178"/>
      <c r="F2" s="178"/>
      <c r="G2" s="178"/>
      <c r="H2" s="178"/>
      <c r="I2" s="178"/>
      <c r="J2" s="163"/>
      <c r="K2" s="163"/>
    </row>
    <row r="3" spans="1:12">
      <c r="A3" s="164"/>
      <c r="D3" s="178"/>
      <c r="E3" s="178"/>
      <c r="F3" s="178"/>
      <c r="G3" s="178"/>
      <c r="H3" s="178"/>
      <c r="I3" s="178"/>
      <c r="J3" s="163"/>
      <c r="K3" s="163"/>
    </row>
    <row r="4" spans="1:12">
      <c r="A4" s="164"/>
      <c r="D4" s="178"/>
      <c r="E4" s="178"/>
      <c r="F4" s="178"/>
      <c r="G4" s="178"/>
      <c r="H4" s="178"/>
      <c r="I4" s="178"/>
      <c r="J4" s="163"/>
      <c r="K4" s="163"/>
    </row>
    <row r="5" spans="1:12">
      <c r="D5" s="178"/>
      <c r="E5" s="178"/>
      <c r="F5" s="178"/>
      <c r="G5" s="178"/>
      <c r="H5" s="178"/>
      <c r="I5" s="178"/>
      <c r="J5" s="163"/>
      <c r="K5" s="163"/>
    </row>
    <row r="6" spans="1:12" ht="22.8">
      <c r="A6" s="20" t="s">
        <v>199</v>
      </c>
    </row>
    <row r="7" spans="1:12" ht="15" customHeight="1">
      <c r="A7" s="20"/>
    </row>
    <row r="8" spans="1:12" ht="21.6" thickBot="1">
      <c r="A8" s="277" t="s">
        <v>363</v>
      </c>
    </row>
    <row r="9" spans="1:12" ht="17.100000000000001" customHeight="1" thickBot="1">
      <c r="A9" s="760" t="s">
        <v>307</v>
      </c>
      <c r="B9" s="761"/>
      <c r="C9" s="761"/>
      <c r="D9" s="286"/>
    </row>
    <row r="10" spans="1:12" ht="17.100000000000001" customHeight="1"/>
    <row r="11" spans="1:12" ht="17.100000000000001" customHeight="1">
      <c r="A11" s="277" t="s">
        <v>359</v>
      </c>
      <c r="I11" s="169"/>
    </row>
    <row r="12" spans="1:12" ht="17.100000000000001" customHeight="1">
      <c r="A12" s="292" t="s">
        <v>360</v>
      </c>
    </row>
    <row r="13" spans="1:12" ht="52.2">
      <c r="A13" s="31" t="s">
        <v>126</v>
      </c>
      <c r="B13" s="32" t="s">
        <v>121</v>
      </c>
      <c r="C13" s="31" t="s">
        <v>122</v>
      </c>
      <c r="D13" s="31" t="s">
        <v>123</v>
      </c>
      <c r="E13" s="31" t="s">
        <v>124</v>
      </c>
      <c r="F13" s="31" t="s">
        <v>324</v>
      </c>
      <c r="G13" s="31" t="s">
        <v>149</v>
      </c>
      <c r="H13" s="31" t="s">
        <v>209</v>
      </c>
      <c r="I13" s="31" t="s">
        <v>150</v>
      </c>
      <c r="J13" s="31" t="s">
        <v>260</v>
      </c>
      <c r="K13" s="31" t="s">
        <v>125</v>
      </c>
      <c r="L13" s="31" t="s">
        <v>348</v>
      </c>
    </row>
    <row r="14" spans="1:12" ht="17.399999999999999">
      <c r="A14" s="326" t="s">
        <v>127</v>
      </c>
      <c r="B14" s="271"/>
      <c r="C14" s="413"/>
      <c r="D14" s="271"/>
      <c r="E14" s="271"/>
      <c r="F14" s="271"/>
      <c r="G14" s="287"/>
      <c r="H14" s="502"/>
      <c r="I14" s="504" t="str">
        <f>IF(Table_Subcontractors[[#This Row],[Buy Price (ex. GST)]]&gt;0,Table_Subcontractors[[#This Row],[Buy Price (ex. GST)]]/(1-Table_Subcontractors[[#This Row],[Margin]]),"")</f>
        <v/>
      </c>
      <c r="J14" s="271"/>
      <c r="K14" s="271"/>
      <c r="L14" s="272"/>
    </row>
    <row r="15" spans="1:12" ht="17.399999999999999">
      <c r="A15" s="326" t="s">
        <v>128</v>
      </c>
      <c r="B15" s="271"/>
      <c r="C15" s="413"/>
      <c r="D15" s="271"/>
      <c r="E15" s="271"/>
      <c r="F15" s="271"/>
      <c r="G15" s="287"/>
      <c r="H15" s="502"/>
      <c r="I15" s="504" t="str">
        <f>IF(Table_Subcontractors[[#This Row],[Buy Price (ex. GST)]]&gt;0,Table_Subcontractors[[#This Row],[Buy Price (ex. GST)]]/(1-Table_Subcontractors[[#This Row],[Margin]]),"")</f>
        <v/>
      </c>
      <c r="J15" s="271"/>
      <c r="K15" s="271"/>
      <c r="L15" s="272"/>
    </row>
    <row r="16" spans="1:12" ht="17.399999999999999">
      <c r="A16" s="326" t="s">
        <v>129</v>
      </c>
      <c r="B16" s="271"/>
      <c r="C16" s="413"/>
      <c r="D16" s="271"/>
      <c r="E16" s="271"/>
      <c r="F16" s="271"/>
      <c r="G16" s="287"/>
      <c r="H16" s="502"/>
      <c r="I16" s="504" t="str">
        <f>IF(Table_Subcontractors[[#This Row],[Buy Price (ex. GST)]]&gt;0,Table_Subcontractors[[#This Row],[Buy Price (ex. GST)]]/(1-Table_Subcontractors[[#This Row],[Margin]]),"")</f>
        <v/>
      </c>
      <c r="J16" s="271"/>
      <c r="K16" s="271"/>
      <c r="L16" s="272"/>
    </row>
    <row r="17" spans="1:12" ht="17.399999999999999">
      <c r="A17" s="326" t="s">
        <v>130</v>
      </c>
      <c r="B17" s="288"/>
      <c r="C17" s="414"/>
      <c r="D17" s="288"/>
      <c r="E17" s="288"/>
      <c r="F17" s="288"/>
      <c r="G17" s="289"/>
      <c r="H17" s="503"/>
      <c r="I17" s="505" t="str">
        <f>IF(Table_Subcontractors[[#This Row],[Buy Price (ex. GST)]]&gt;0,Table_Subcontractors[[#This Row],[Buy Price (ex. GST)]]/(1-Table_Subcontractors[[#This Row],[Margin]]),"")</f>
        <v/>
      </c>
      <c r="J17" s="288"/>
      <c r="K17" s="288"/>
      <c r="L17" s="304"/>
    </row>
    <row r="18" spans="1:12" ht="17.399999999999999">
      <c r="A18" s="326" t="s">
        <v>131</v>
      </c>
      <c r="B18" s="288"/>
      <c r="C18" s="414"/>
      <c r="D18" s="288"/>
      <c r="E18" s="288"/>
      <c r="F18" s="288"/>
      <c r="G18" s="289"/>
      <c r="H18" s="503"/>
      <c r="I18" s="505" t="str">
        <f>IF(Table_Subcontractors[[#This Row],[Buy Price (ex. GST)]]&gt;0,Table_Subcontractors[[#This Row],[Buy Price (ex. GST)]]/(1-Table_Subcontractors[[#This Row],[Margin]]),"")</f>
        <v/>
      </c>
      <c r="J18" s="288"/>
      <c r="K18" s="288"/>
      <c r="L18" s="304"/>
    </row>
    <row r="19" spans="1:12" ht="17.399999999999999">
      <c r="A19" s="327" t="s">
        <v>31</v>
      </c>
      <c r="B19" s="23"/>
      <c r="C19" s="415"/>
      <c r="D19" s="23"/>
      <c r="E19" s="23"/>
      <c r="F19" s="23"/>
      <c r="G19" s="39">
        <f>SUBTOTAL(109,Table_Subcontractors[Buy Price (ex. GST)])</f>
        <v>0</v>
      </c>
      <c r="H19" s="39"/>
      <c r="I19" s="39">
        <f>SUBTOTAL(109,Table_Subcontractors[Sell Price (Ex. GST)])</f>
        <v>0</v>
      </c>
      <c r="J19" s="23">
        <f>SUBTOTAL(109,Table_Subcontractors[Subcontractor Sub-project duration estimate (weeks)])</f>
        <v>0</v>
      </c>
      <c r="K19" s="23">
        <f>SUBTOTAL(109,Table_Subcontractors[Document Output QTY])</f>
        <v>0</v>
      </c>
      <c r="L19" s="305">
        <f>SUBTOTAL(109,Table_Subcontractors[Client/3rd Party Workshops])</f>
        <v>0</v>
      </c>
    </row>
    <row r="21" spans="1:12" ht="21">
      <c r="A21" s="277" t="s">
        <v>362</v>
      </c>
    </row>
    <row r="22" spans="1:12" ht="16.2" thickBot="1">
      <c r="A22" s="292" t="s">
        <v>361</v>
      </c>
    </row>
    <row r="23" spans="1:12" ht="62.1" customHeight="1">
      <c r="A23" s="762" t="str">
        <f>Settings_Hidden!C140</f>
        <v>I have recorded all subcontractor engagements associated with this project, either fixed fee, T&amp;M, or otherwise, in the table above</v>
      </c>
      <c r="B23" s="763"/>
      <c r="C23" s="763"/>
      <c r="D23" s="763"/>
      <c r="E23" s="301"/>
      <c r="G23" s="747" t="s">
        <v>515</v>
      </c>
      <c r="H23" s="748"/>
      <c r="I23" s="748"/>
      <c r="J23" s="749"/>
    </row>
    <row r="24" spans="1:12" ht="62.1" customHeight="1">
      <c r="A24" s="764" t="str">
        <f>Settings_Hidden!C141</f>
        <v>I have considered pricing implications and copied all applicable subcontractor exclusions, terms and conditions, client requirements, and prerequisites into an ArchiTech proposal document OR quote.</v>
      </c>
      <c r="B24" s="765"/>
      <c r="C24" s="765"/>
      <c r="D24" s="765"/>
      <c r="E24" s="302"/>
      <c r="G24" s="750"/>
      <c r="H24" s="751"/>
      <c r="I24" s="751"/>
      <c r="J24" s="752"/>
    </row>
    <row r="25" spans="1:12" ht="62.1" customHeight="1">
      <c r="A25" s="764" t="str">
        <f>Settings_Hidden!C142</f>
        <v>I have reviewed subcontractor proposals and I have identified any delivery gaps (such as significant assumptions re. client or third party implementation activities). I have allowed for this effort in this PSE OR excluded this activity from scope and priced accordingly.</v>
      </c>
      <c r="B25" s="765"/>
      <c r="C25" s="765"/>
      <c r="D25" s="765"/>
      <c r="E25" s="302"/>
      <c r="G25" s="750"/>
      <c r="H25" s="751"/>
      <c r="I25" s="751"/>
      <c r="J25" s="752"/>
    </row>
    <row r="26" spans="1:12" ht="62.1" customHeight="1" thickBot="1">
      <c r="A26" s="766" t="str">
        <f>Settings_Hidden!C143</f>
        <v>I have assessed this subcontractor to the best of my abilities and have provided a full, accurate and written description of the scope and requirements of the task to the Subcontractor for scoping and pricing. I believe that they are competent to perform the activities scoped to a high professional standard, and that their engagement with ArchiTech is complete and adequate to deliver this solution.</v>
      </c>
      <c r="B26" s="767"/>
      <c r="C26" s="767"/>
      <c r="D26" s="767"/>
      <c r="E26" s="303"/>
      <c r="G26" s="753"/>
      <c r="H26" s="754"/>
      <c r="I26" s="754"/>
      <c r="J26" s="755"/>
    </row>
  </sheetData>
  <sheetProtection algorithmName="SHA-512" hashValue="wq1IloMYIo0+e36KPZp3Y09auCOAgC8VQYFvkielu1CfyvPIsU94CWsEzhjklqaFcr+JygOMKEtupwB/bTv9ig==" saltValue="wLCHACy/UmjhJH+j6QC0yg==" spinCount="100000" sheet="1"/>
  <mergeCells count="6">
    <mergeCell ref="A9:C9"/>
    <mergeCell ref="G23:J26"/>
    <mergeCell ref="A23:D23"/>
    <mergeCell ref="A24:D24"/>
    <mergeCell ref="A25:D25"/>
    <mergeCell ref="A26:D26"/>
  </mergeCells>
  <phoneticPr fontId="13" type="noConversion"/>
  <conditionalFormatting sqref="A13:L19 A23:F26 A11:A12 A20:K20 B21:K21 A21:A22 A22:K22 K23:K26">
    <cfRule type="expression" dxfId="100" priority="6">
      <formula>NOT($D$9="Yes")</formula>
    </cfRule>
  </conditionalFormatting>
  <conditionalFormatting sqref="A13:L19 E23:E26">
    <cfRule type="expression" dxfId="99" priority="5" stopIfTrue="1">
      <formula>NOT($D$9="Yes")</formula>
    </cfRule>
  </conditionalFormatting>
  <conditionalFormatting sqref="B14">
    <cfRule type="expression" dxfId="98" priority="1">
      <formula>AND($D$9="Yes",B14="")</formula>
    </cfRule>
  </conditionalFormatting>
  <conditionalFormatting sqref="B14:L18">
    <cfRule type="expression" dxfId="97" priority="131">
      <formula>AND(B14="",NOT($B14&amp;$C14&amp;$D14&amp;$E14&amp;$F14&amp;$G14&amp;$I14&amp;$J14&amp;$K14&amp;$L14=""))</formula>
    </cfRule>
  </conditionalFormatting>
  <conditionalFormatting sqref="D9">
    <cfRule type="expression" dxfId="96" priority="4">
      <formula>$D$9=""</formula>
    </cfRule>
  </conditionalFormatting>
  <dataValidations count="4">
    <dataValidation type="list" allowBlank="1" showInputMessage="1" showErrorMessage="1" sqref="E14:E18" xr:uid="{20069D18-B6CD-4397-BCA2-DF41466EFCFD}">
      <formula1>Subcontractor_Quote_Types</formula1>
    </dataValidation>
    <dataValidation type="list" allowBlank="1" showInputMessage="1" showErrorMessage="1" sqref="E23:E26" xr:uid="{20C4BE38-8BBB-4E06-8550-EB004AA81EDE}">
      <formula1>declaration_options</formula1>
    </dataValidation>
    <dataValidation type="list" allowBlank="1" showInputMessage="1" showErrorMessage="1" sqref="F14:F18 D9" xr:uid="{C7F381F2-A923-44C0-BD60-520EB78B6C21}">
      <formula1>"Yes,No"</formula1>
    </dataValidation>
    <dataValidation type="decimal" allowBlank="1" showInputMessage="1" showErrorMessage="1" sqref="H14:H18" xr:uid="{C8A7C3A5-7B14-4CD8-BAAE-0B094CD4CBAF}">
      <formula1>0</formula1>
      <formula2>1</formula2>
    </dataValidation>
  </dataValidations>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17" id="{69AAAD77-2A0F-470C-8E53-0AFFE9161408}">
            <xm:f>E23=Settings_Hidden!$C$146</xm:f>
            <x14:dxf>
              <fill>
                <patternFill>
                  <bgColor theme="9" tint="0.59996337778862885"/>
                </patternFill>
              </fill>
            </x14:dxf>
          </x14:cfRule>
          <x14:cfRule type="expression" priority="18" id="{14E19E6C-B984-4C6A-90F6-4692B183A985}">
            <xm:f>NOT(E23=Settings_Hidden!$C$146)</xm:f>
            <x14:dxf>
              <fill>
                <patternFill>
                  <bgColor rgb="FFC00000"/>
                </patternFill>
              </fill>
            </x14:dxf>
          </x14:cfRule>
          <xm:sqref>E23:E26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43DD2-CFDD-414C-B9CF-D821AB92E4AB}">
  <sheetPr codeName="Sheet8">
    <tabColor theme="5" tint="0.39997558519241921"/>
    <pageSetUpPr autoPageBreaks="0"/>
  </sheetPr>
  <dimension ref="A1:M124"/>
  <sheetViews>
    <sheetView showGridLines="0" zoomScale="50" zoomScaleNormal="50" workbookViewId="0"/>
  </sheetViews>
  <sheetFormatPr defaultColWidth="8.69921875" defaultRowHeight="15"/>
  <cols>
    <col min="1" max="1" width="45.8984375" style="162" customWidth="1"/>
    <col min="2" max="2" width="26.09765625" style="162" customWidth="1"/>
    <col min="3" max="6" width="28.69921875" style="162" customWidth="1"/>
    <col min="7" max="9" width="26.69921875" style="162" customWidth="1"/>
    <col min="10" max="10" width="27.19921875" style="162" customWidth="1"/>
    <col min="11" max="11" width="35.09765625" style="162" hidden="1" customWidth="1"/>
    <col min="12" max="12" width="0" style="162" hidden="1" customWidth="1"/>
    <col min="13" max="16384" width="8.69921875" style="162"/>
  </cols>
  <sheetData>
    <row r="1" spans="1:11">
      <c r="A1" s="164"/>
      <c r="D1" s="178"/>
      <c r="E1" s="178"/>
      <c r="F1" s="178"/>
      <c r="G1" s="178"/>
      <c r="H1" s="178"/>
      <c r="I1" s="178"/>
      <c r="J1" s="163"/>
      <c r="K1" s="163"/>
    </row>
    <row r="2" spans="1:11">
      <c r="A2" s="164"/>
      <c r="D2" s="178"/>
      <c r="E2" s="178"/>
      <c r="F2" s="178"/>
      <c r="G2" s="178"/>
      <c r="H2" s="178"/>
      <c r="I2" s="178"/>
      <c r="J2" s="163"/>
      <c r="K2" s="163"/>
    </row>
    <row r="3" spans="1:11" ht="15.6" thickBot="1">
      <c r="A3" s="164"/>
      <c r="D3" s="178"/>
      <c r="E3" s="178"/>
      <c r="F3" s="178"/>
      <c r="G3" s="178"/>
      <c r="H3" s="178"/>
      <c r="I3" s="178"/>
      <c r="J3" s="163"/>
      <c r="K3" s="163"/>
    </row>
    <row r="4" spans="1:11" ht="15.6" customHeight="1">
      <c r="A4" s="164"/>
      <c r="D4" s="178"/>
      <c r="E4" s="178"/>
      <c r="G4" s="770" t="s">
        <v>514</v>
      </c>
      <c r="H4" s="771"/>
      <c r="I4" s="772"/>
      <c r="J4" s="163"/>
      <c r="K4" s="163"/>
    </row>
    <row r="5" spans="1:11" ht="15.6" customHeight="1">
      <c r="D5" s="178"/>
      <c r="E5" s="178"/>
      <c r="G5" s="773"/>
      <c r="H5" s="774"/>
      <c r="I5" s="775"/>
      <c r="J5" s="163"/>
      <c r="K5" s="163"/>
    </row>
    <row r="6" spans="1:11" ht="22.8">
      <c r="A6" s="20" t="s">
        <v>161</v>
      </c>
      <c r="G6" s="773"/>
      <c r="H6" s="774"/>
      <c r="I6" s="775"/>
    </row>
    <row r="7" spans="1:11" ht="22.8">
      <c r="A7" s="20"/>
      <c r="G7" s="773"/>
      <c r="H7" s="774"/>
      <c r="I7" s="775"/>
    </row>
    <row r="8" spans="1:11" ht="21">
      <c r="A8" s="277" t="s">
        <v>778</v>
      </c>
      <c r="G8" s="773"/>
      <c r="H8" s="774"/>
      <c r="I8" s="775"/>
    </row>
    <row r="9" spans="1:11" ht="16.2" thickBot="1">
      <c r="A9" s="292" t="s">
        <v>365</v>
      </c>
      <c r="G9" s="773"/>
      <c r="H9" s="774"/>
      <c r="I9" s="775"/>
    </row>
    <row r="10" spans="1:11" ht="17.399999999999999">
      <c r="A10" s="314"/>
      <c r="B10" s="315" t="s">
        <v>299</v>
      </c>
      <c r="C10" s="316" t="s">
        <v>99</v>
      </c>
      <c r="G10" s="773"/>
      <c r="H10" s="774"/>
      <c r="I10" s="775"/>
    </row>
    <row r="11" spans="1:11" ht="18" thickBot="1">
      <c r="A11" s="243" t="s">
        <v>55</v>
      </c>
      <c r="B11" s="506" t="str">
        <f t="shared" ref="B11:B12" si="0">C11</f>
        <v>None</v>
      </c>
      <c r="C11" s="317" t="str">
        <f>Settings_Management_Hidden!C62</f>
        <v>None</v>
      </c>
      <c r="D11" s="562" t="s">
        <v>762</v>
      </c>
      <c r="G11" s="776"/>
      <c r="H11" s="777"/>
      <c r="I11" s="778"/>
    </row>
    <row r="12" spans="1:11" ht="17.399999999999999">
      <c r="A12" s="243" t="s">
        <v>752</v>
      </c>
      <c r="B12" s="506" t="str">
        <f t="shared" si="0"/>
        <v>Weekly</v>
      </c>
      <c r="C12" s="317" t="str">
        <f>Settings_Management_Hidden!C63</f>
        <v>Weekly</v>
      </c>
      <c r="D12" s="561" t="s">
        <v>826</v>
      </c>
    </row>
    <row r="13" spans="1:11" ht="17.399999999999999">
      <c r="A13" s="243" t="s">
        <v>737</v>
      </c>
      <c r="B13" s="506" t="str">
        <f>C13</f>
        <v>Project Manager</v>
      </c>
      <c r="C13" s="317" t="str">
        <f>Settings_Management_Hidden!C65</f>
        <v>Project Manager</v>
      </c>
      <c r="D13" s="561" t="s">
        <v>827</v>
      </c>
    </row>
    <row r="14" spans="1:11" ht="17.399999999999999">
      <c r="A14" s="243" t="s">
        <v>707</v>
      </c>
      <c r="B14" s="506">
        <f>C14</f>
        <v>0</v>
      </c>
      <c r="C14" s="317">
        <f>IF('Project Technical Tasks'!B13&gt;150,1,0)*B15</f>
        <v>0</v>
      </c>
      <c r="D14" s="561" t="s">
        <v>763</v>
      </c>
    </row>
    <row r="15" spans="1:11" ht="18" thickBot="1">
      <c r="A15" s="244" t="s">
        <v>706</v>
      </c>
      <c r="B15" s="507">
        <f>C15</f>
        <v>0</v>
      </c>
      <c r="C15" s="318">
        <f>IF(OR(B11="Medium Project",B11="Large Project"),ROUNDDOWN((Management!C23/Settings_Management_Hidden!C64)/2,0),0)</f>
        <v>0</v>
      </c>
      <c r="D15" s="561" t="s">
        <v>828</v>
      </c>
    </row>
    <row r="16" spans="1:11" ht="17.399999999999999">
      <c r="A16" s="291"/>
      <c r="B16" s="291"/>
      <c r="C16" s="291"/>
      <c r="D16" s="291"/>
      <c r="E16" s="291"/>
      <c r="F16" s="291"/>
      <c r="G16" s="328"/>
      <c r="H16" s="4"/>
    </row>
    <row r="17" spans="1:8" ht="21">
      <c r="A17" s="277" t="s">
        <v>777</v>
      </c>
      <c r="C17" s="25" t="s">
        <v>99</v>
      </c>
    </row>
    <row r="18" spans="1:8" ht="17.399999999999999">
      <c r="A18" s="151" t="s">
        <v>304</v>
      </c>
      <c r="B18" s="457"/>
    </row>
    <row r="19" spans="1:8" ht="17.399999999999999">
      <c r="A19" s="151" t="s">
        <v>765</v>
      </c>
      <c r="B19" s="457" t="str">
        <f>C19</f>
        <v/>
      </c>
      <c r="C19" s="583" t="str">
        <f>IF(B18="","",B18+(C23*7)+(B22*7))</f>
        <v/>
      </c>
    </row>
    <row r="20" spans="1:8" ht="17.399999999999999">
      <c r="C20" s="25"/>
    </row>
    <row r="21" spans="1:8" ht="17.399999999999999">
      <c r="A21" s="151" t="s">
        <v>768</v>
      </c>
      <c r="B21" s="600" t="str">
        <f>IF(OR(B18="",B19=""),"TBD",ROUNDUP(Settings_Hidden!C189,0))</f>
        <v>TBD</v>
      </c>
      <c r="C21" s="25"/>
    </row>
    <row r="22" spans="1:8" ht="18" thickBot="1">
      <c r="A22" s="151" t="s">
        <v>773</v>
      </c>
      <c r="B22" s="569"/>
    </row>
    <row r="23" spans="1:8" ht="17.399999999999999">
      <c r="A23" s="151" t="s">
        <v>774</v>
      </c>
      <c r="B23" s="600" t="str">
        <f>IF(OR(B18="",B19=""),"TBD",ROUNDUP(Settings_Hidden!C191,0))</f>
        <v>TBD</v>
      </c>
      <c r="C23" s="25">
        <f>Settings_Hidden!C188</f>
        <v>2</v>
      </c>
    </row>
    <row r="25" spans="1:8" ht="84.45" customHeight="1">
      <c r="A25" s="768" t="s">
        <v>829</v>
      </c>
      <c r="B25" s="768"/>
      <c r="C25" s="768"/>
      <c r="D25" s="277" t="s">
        <v>841</v>
      </c>
    </row>
    <row r="26" spans="1:8" ht="15.6">
      <c r="A26" s="151" t="s">
        <v>751</v>
      </c>
      <c r="B26" s="560">
        <f>SUM(Table6[Hours],Input_Tasks[Hours])</f>
        <v>0</v>
      </c>
      <c r="D26" s="571" t="s">
        <v>59</v>
      </c>
      <c r="E26" s="572" t="s">
        <v>115</v>
      </c>
      <c r="F26" s="572" t="s">
        <v>771</v>
      </c>
      <c r="G26" s="572" t="s">
        <v>837</v>
      </c>
    </row>
    <row r="27" spans="1:8" ht="17.399999999999999">
      <c r="A27" s="151" t="s">
        <v>809</v>
      </c>
      <c r="B27" s="588" t="str">
        <f>IF(OR(B18="",B19=""),"TBD",ROUND(B26/B23,1))</f>
        <v>TBD</v>
      </c>
      <c r="C27" s="584">
        <f>ROUNDUP(B26/C23,0)</f>
        <v>0</v>
      </c>
      <c r="D27" s="570" t="s">
        <v>770</v>
      </c>
      <c r="E27" s="574">
        <f>SUM(Table6[Hours],Input_Tasks[Hours])</f>
        <v>0</v>
      </c>
      <c r="F27" s="598">
        <f>SUM(Table6[Sell])+SUM(Input_Tasks[Sell - Line Total])</f>
        <v>0</v>
      </c>
      <c r="G27" s="599">
        <f>IFERROR(F27/SUM($F$27:$F$30),0)</f>
        <v>0</v>
      </c>
    </row>
    <row r="28" spans="1:8" ht="15.6">
      <c r="A28" s="151" t="s">
        <v>766</v>
      </c>
      <c r="B28" s="588">
        <f>Settings_Hidden!C32</f>
        <v>0</v>
      </c>
      <c r="C28" s="585"/>
      <c r="D28" s="570" t="s">
        <v>842</v>
      </c>
      <c r="E28" s="574">
        <f>Summary!H30</f>
        <v>0</v>
      </c>
      <c r="F28" s="598">
        <f>Summary!F30</f>
        <v>0</v>
      </c>
      <c r="G28" s="599">
        <f t="shared" ref="G28:G29" si="1">IFERROR(F28/SUM($F$27:$F$30),0)</f>
        <v>0</v>
      </c>
    </row>
    <row r="29" spans="1:8" ht="17.399999999999999">
      <c r="A29" s="151" t="s">
        <v>772</v>
      </c>
      <c r="B29" s="589" t="str">
        <f>IF(OR(B18="",B19=""),"TBD",ROUND(B26/ROUNDUP((B23/Settings_Management_Hidden!B64),0),1))</f>
        <v>TBD</v>
      </c>
      <c r="C29" s="584">
        <f>Settings_Hidden!B159</f>
        <v>32</v>
      </c>
      <c r="D29" s="570" t="s">
        <v>121</v>
      </c>
      <c r="E29" s="574"/>
      <c r="F29" s="598">
        <f>Table_Subcontractors[[#Totals],[Sell Price (Ex. GST)]]</f>
        <v>0</v>
      </c>
      <c r="G29" s="599">
        <f t="shared" si="1"/>
        <v>0</v>
      </c>
    </row>
    <row r="30" spans="1:8" ht="17.399999999999999">
      <c r="A30" s="151" t="s">
        <v>769</v>
      </c>
      <c r="B30" s="589" t="str">
        <f>IF(OR(B18="",B19=""),"TBD",MAX(Settings_Hidden!D182:D186))</f>
        <v>TBD</v>
      </c>
      <c r="C30" s="584">
        <f>Settings_Hidden!C180</f>
        <v>3.8</v>
      </c>
      <c r="D30" s="570" t="s">
        <v>161</v>
      </c>
      <c r="E30" s="574" t="str">
        <f>B44</f>
        <v>TBD</v>
      </c>
      <c r="F30" s="598" t="str">
        <f>Management!D44</f>
        <v>TBD</v>
      </c>
      <c r="G30" s="599" t="str">
        <f>IFERROR(F30/SUM($F$27:$F$30),"TBD")</f>
        <v>TBD</v>
      </c>
    </row>
    <row r="31" spans="1:8" ht="17.399999999999999">
      <c r="A31" s="291"/>
      <c r="B31" s="291"/>
      <c r="C31" s="291"/>
      <c r="E31" s="291"/>
      <c r="F31" s="291"/>
      <c r="G31" s="602" t="s">
        <v>838</v>
      </c>
      <c r="H31" s="4"/>
    </row>
    <row r="32" spans="1:8" ht="42" customHeight="1">
      <c r="A32" s="769" t="str">
        <f>IF(OR(B18="",B19=""),"Action Required: Enter Estimated Start and End Dates Above",
IF(Settings_Hidden!C235="","-Notification Box-",Settings_Hidden!C235))</f>
        <v>Action Required: Enter Estimated Start and End Dates Above</v>
      </c>
      <c r="B32" s="769"/>
      <c r="C32" s="769"/>
      <c r="D32" s="769"/>
      <c r="E32" s="769"/>
      <c r="F32" s="769"/>
      <c r="G32" s="769"/>
      <c r="H32" s="567"/>
    </row>
    <row r="33" spans="1:8" ht="42" customHeight="1">
      <c r="A33" s="769"/>
      <c r="B33" s="769"/>
      <c r="C33" s="769"/>
      <c r="D33" s="769"/>
      <c r="E33" s="769"/>
      <c r="F33" s="769"/>
      <c r="G33" s="769"/>
      <c r="H33" s="567"/>
    </row>
    <row r="34" spans="1:8" ht="42" customHeight="1">
      <c r="A34" s="769"/>
      <c r="B34" s="769"/>
      <c r="C34" s="769"/>
      <c r="D34" s="769"/>
      <c r="E34" s="769"/>
      <c r="F34" s="769"/>
      <c r="G34" s="769"/>
      <c r="H34" s="567"/>
    </row>
    <row r="36" spans="1:8" ht="21">
      <c r="A36" s="277" t="s">
        <v>780</v>
      </c>
      <c r="B36" s="4"/>
      <c r="C36" s="4"/>
      <c r="D36" s="4"/>
      <c r="E36" s="4"/>
      <c r="F36" s="4"/>
    </row>
    <row r="37" spans="1:8" ht="17.399999999999999">
      <c r="A37" s="292" t="s">
        <v>366</v>
      </c>
      <c r="B37" s="4"/>
      <c r="C37" s="4"/>
      <c r="D37" s="4"/>
      <c r="E37" s="4"/>
      <c r="F37" s="4"/>
    </row>
    <row r="38" spans="1:8" ht="17.399999999999999" customHeight="1">
      <c r="A38" s="430" t="s">
        <v>358</v>
      </c>
      <c r="B38" s="431" t="s">
        <v>115</v>
      </c>
      <c r="C38" s="431" t="s">
        <v>164</v>
      </c>
      <c r="D38" s="431" t="s">
        <v>13</v>
      </c>
      <c r="E38" s="783" t="s">
        <v>40</v>
      </c>
      <c r="F38" s="784"/>
      <c r="G38" s="785"/>
      <c r="H38" s="4"/>
    </row>
    <row r="39" spans="1:8" ht="17.399999999999999">
      <c r="A39" s="429" t="str">
        <f>Settings_Management_Hidden!A101</f>
        <v>Project Planning &amp; Engineer Management</v>
      </c>
      <c r="B39" s="591" t="str">
        <f>IF(OR(B18="",B19=""),"TBD",Settings_Management_Hidden!C101)</f>
        <v>TBD</v>
      </c>
      <c r="C39" s="595" t="str">
        <f>IF(OR(B18="",B19=""),"TBD",Settings_Management_Hidden!D101)</f>
        <v>TBD</v>
      </c>
      <c r="D39" s="595" t="str">
        <f>IF(OR(B18="",B19=""),"TBD",Settings_Management_Hidden!E101)</f>
        <v>TBD</v>
      </c>
      <c r="E39" s="575" t="s">
        <v>779</v>
      </c>
      <c r="F39" s="575"/>
      <c r="G39" s="576"/>
      <c r="H39" s="4"/>
    </row>
    <row r="40" spans="1:8" ht="17.399999999999999">
      <c r="A40" s="426" t="str">
        <f>Settings_Management_Hidden!A103</f>
        <v>Project Management</v>
      </c>
      <c r="B40" s="590" t="str">
        <f>IF(OR(B18="",B19=""),"TBD",Settings_Management_Hidden!C103)</f>
        <v>TBD</v>
      </c>
      <c r="C40" s="594" t="str">
        <f>IF(OR(B18="",B19=""),"TBD",Settings_Management_Hidden!D103)</f>
        <v>TBD</v>
      </c>
      <c r="D40" s="594" t="str">
        <f>IF(OR(B18="",B19=""),"TBD",Settings_Management_Hidden!E103)</f>
        <v>TBD</v>
      </c>
      <c r="E40" s="786" t="s">
        <v>785</v>
      </c>
      <c r="F40" s="787"/>
      <c r="G40" s="788"/>
      <c r="H40" s="4"/>
    </row>
    <row r="41" spans="1:8" ht="17.399999999999999">
      <c r="A41" s="429" t="str">
        <f>Settings_Management_Hidden!A104</f>
        <v>Project Management Adjustments</v>
      </c>
      <c r="B41" s="591" t="str">
        <f>IF(OR(B18="",B19=""),"TBD",Settings_Management_Hidden!C104)</f>
        <v>TBD</v>
      </c>
      <c r="C41" s="595" t="str">
        <f>IF(OR(B18="",B19=""),"TBD",Settings_Management_Hidden!D104)</f>
        <v>TBD</v>
      </c>
      <c r="D41" s="595" t="str">
        <f>IF(OR(B18="",B19=""),"TBD",Settings_Management_Hidden!E104)</f>
        <v>TBD</v>
      </c>
      <c r="E41" s="575" t="s">
        <v>786</v>
      </c>
      <c r="F41" s="575"/>
      <c r="G41" s="576"/>
      <c r="H41" s="4"/>
    </row>
    <row r="42" spans="1:8" ht="17.399999999999999">
      <c r="A42" s="426" t="str">
        <f>Settings_Management_Hidden!A102</f>
        <v>Subcontractor Management</v>
      </c>
      <c r="B42" s="590" t="str">
        <f>IF(OR(B18="",B19=""),"TBD",Settings_Management_Hidden!C102)</f>
        <v>TBD</v>
      </c>
      <c r="C42" s="594" t="str">
        <f>IF(OR(B18="",B19=""),"TBD",Settings_Management_Hidden!D102)</f>
        <v>TBD</v>
      </c>
      <c r="D42" s="594" t="str">
        <f>IF(OR(B18="",B19=""),"TBD",Settings_Management_Hidden!E102)</f>
        <v>TBD</v>
      </c>
      <c r="E42" s="786" t="s">
        <v>516</v>
      </c>
      <c r="F42" s="787"/>
      <c r="G42" s="788"/>
      <c r="H42" s="4"/>
    </row>
    <row r="43" spans="1:8" ht="17.399999999999999">
      <c r="A43" s="427" t="str">
        <f>Settings_Management_Hidden!A105</f>
        <v>Project Management Optional</v>
      </c>
      <c r="B43" s="592" t="str">
        <f>IF(OR(B18="",B19=""),"TBD",Settings_Management_Hidden!C105)</f>
        <v>TBD</v>
      </c>
      <c r="C43" s="596" t="str">
        <f>IF(OR(B18="",B19=""),"TBD",Settings_Management_Hidden!D105)</f>
        <v>TBD</v>
      </c>
      <c r="D43" s="596" t="str">
        <f>IF(OR(B18="",B19=""),"TBD",Settings_Management_Hidden!E105)</f>
        <v>TBD</v>
      </c>
      <c r="E43" s="779" t="s">
        <v>787</v>
      </c>
      <c r="F43" s="780"/>
      <c r="G43" s="781"/>
      <c r="H43" s="4"/>
    </row>
    <row r="44" spans="1:8" ht="18" thickBot="1">
      <c r="A44" s="428" t="str">
        <f>Settings_Management_Hidden!A106</f>
        <v>Total Management</v>
      </c>
      <c r="B44" s="593" t="str">
        <f>IF(OR(B18="",B19=""),"TBD",Settings_Management_Hidden!C106)</f>
        <v>TBD</v>
      </c>
      <c r="C44" s="597" t="str">
        <f>IF(OR(B18="",B19=""),"TBD",Settings_Management_Hidden!D106)</f>
        <v>TBD</v>
      </c>
      <c r="D44" s="597" t="str">
        <f>IF(OR(B18="",B19=""),"TBD",Settings_Management_Hidden!E106)</f>
        <v>TBD</v>
      </c>
      <c r="E44" s="789"/>
      <c r="F44" s="790"/>
      <c r="G44" s="790"/>
      <c r="H44" s="4"/>
    </row>
    <row r="45" spans="1:8" s="568" customFormat="1" ht="17.399999999999999"/>
    <row r="46" spans="1:8" ht="17.399999999999999">
      <c r="A46" s="380" t="s">
        <v>436</v>
      </c>
      <c r="F46" s="4"/>
    </row>
    <row r="47" spans="1:8">
      <c r="A47" s="162" t="s">
        <v>463</v>
      </c>
    </row>
    <row r="48" spans="1:8">
      <c r="A48" s="162" t="s">
        <v>437</v>
      </c>
    </row>
    <row r="50" spans="1:8">
      <c r="A50" s="164" t="s">
        <v>163</v>
      </c>
      <c r="B50" s="164" t="s">
        <v>102</v>
      </c>
      <c r="C50" s="164" t="s">
        <v>41</v>
      </c>
      <c r="D50" s="164" t="s">
        <v>308</v>
      </c>
      <c r="E50" s="164" t="s">
        <v>309</v>
      </c>
      <c r="F50" s="164" t="s">
        <v>310</v>
      </c>
    </row>
    <row r="51" spans="1:8" s="381" customFormat="1" ht="105">
      <c r="A51" s="383" t="s">
        <v>439</v>
      </c>
      <c r="B51" s="382" t="s">
        <v>454</v>
      </c>
      <c r="C51" s="382" t="s">
        <v>443</v>
      </c>
      <c r="D51" s="382" t="s">
        <v>442</v>
      </c>
      <c r="E51" s="382" t="s">
        <v>446</v>
      </c>
      <c r="F51" s="382" t="s">
        <v>490</v>
      </c>
    </row>
    <row r="52" spans="1:8" s="381" customFormat="1" ht="90">
      <c r="A52" s="383" t="s">
        <v>444</v>
      </c>
      <c r="B52" s="382"/>
      <c r="C52" s="382"/>
      <c r="D52" s="382" t="s">
        <v>456</v>
      </c>
      <c r="E52" s="382" t="s">
        <v>460</v>
      </c>
      <c r="F52" s="382" t="s">
        <v>455</v>
      </c>
    </row>
    <row r="53" spans="1:8" s="381" customFormat="1" ht="120">
      <c r="A53" s="383" t="s">
        <v>495</v>
      </c>
      <c r="B53" s="382" t="s">
        <v>111</v>
      </c>
      <c r="C53" s="382" t="s">
        <v>457</v>
      </c>
      <c r="D53" s="382" t="s">
        <v>447</v>
      </c>
      <c r="E53" s="382" t="s">
        <v>491</v>
      </c>
      <c r="F53" s="382" t="s">
        <v>493</v>
      </c>
    </row>
    <row r="54" spans="1:8" s="381" customFormat="1" ht="150">
      <c r="A54" s="383" t="s">
        <v>448</v>
      </c>
      <c r="B54" s="382" t="s">
        <v>111</v>
      </c>
      <c r="C54" s="382" t="s">
        <v>111</v>
      </c>
      <c r="D54" s="382" t="s">
        <v>451</v>
      </c>
      <c r="E54" s="382" t="s">
        <v>461</v>
      </c>
      <c r="F54" s="382" t="s">
        <v>462</v>
      </c>
    </row>
    <row r="55" spans="1:8" s="381" customFormat="1" ht="90">
      <c r="A55" s="383" t="s">
        <v>450</v>
      </c>
      <c r="B55" s="382" t="s">
        <v>111</v>
      </c>
      <c r="C55" s="382" t="s">
        <v>111</v>
      </c>
      <c r="D55" s="382" t="s">
        <v>111</v>
      </c>
      <c r="E55" s="382" t="s">
        <v>453</v>
      </c>
      <c r="F55" s="382" t="s">
        <v>452</v>
      </c>
    </row>
    <row r="56" spans="1:8" s="381" customFormat="1" ht="60">
      <c r="A56" s="383" t="s">
        <v>449</v>
      </c>
      <c r="B56" s="382" t="s">
        <v>111</v>
      </c>
      <c r="C56" s="382" t="s">
        <v>445</v>
      </c>
      <c r="D56" s="382" t="s">
        <v>459</v>
      </c>
      <c r="E56" s="382" t="s">
        <v>458</v>
      </c>
      <c r="F56" s="382"/>
    </row>
    <row r="57" spans="1:8" s="381" customFormat="1" ht="90">
      <c r="A57" s="383" t="s">
        <v>440</v>
      </c>
      <c r="B57" s="382" t="s">
        <v>497</v>
      </c>
      <c r="C57" s="382" t="s">
        <v>441</v>
      </c>
      <c r="D57" s="382" t="s">
        <v>492</v>
      </c>
      <c r="E57" s="382" t="s">
        <v>492</v>
      </c>
      <c r="F57" s="382" t="s">
        <v>492</v>
      </c>
    </row>
    <row r="58" spans="1:8" ht="17.399999999999999">
      <c r="A58" s="4"/>
      <c r="B58" s="248"/>
      <c r="C58" s="782" t="str">
        <f>IF(Settings_Hidden!C218=TRUE,Settings_Hidden!C219,"")</f>
        <v/>
      </c>
      <c r="D58" s="782"/>
      <c r="E58" s="782"/>
      <c r="F58" s="782"/>
      <c r="G58" s="782"/>
      <c r="H58" s="782"/>
    </row>
    <row r="59" spans="1:8" ht="17.399999999999999">
      <c r="F59" s="4"/>
    </row>
    <row r="60" spans="1:8" ht="21">
      <c r="A60" s="277" t="s">
        <v>781</v>
      </c>
      <c r="F60" s="4"/>
    </row>
    <row r="61" spans="1:8" ht="17.399999999999999">
      <c r="A61" s="292" t="s">
        <v>438</v>
      </c>
      <c r="F61" s="4"/>
    </row>
    <row r="62" spans="1:8" ht="15.6">
      <c r="A62" s="240" t="s">
        <v>311</v>
      </c>
      <c r="B62" s="240" t="s">
        <v>245</v>
      </c>
      <c r="C62" s="164" t="s">
        <v>59</v>
      </c>
      <c r="D62" s="240" t="s">
        <v>312</v>
      </c>
      <c r="E62" s="240" t="s">
        <v>164</v>
      </c>
      <c r="F62" s="240" t="s">
        <v>315</v>
      </c>
    </row>
    <row r="63" spans="1:8">
      <c r="A63" s="164" t="s">
        <v>118</v>
      </c>
      <c r="B63" s="164" t="str">
        <f t="shared" ref="B63:B71" si="2">$B$13</f>
        <v>Project Manager</v>
      </c>
      <c r="C63" s="164" t="s">
        <v>208</v>
      </c>
      <c r="D63" s="164">
        <f>VLOOKUP(Table79[[#This Row],[PM artefacts/Processes]],PM_Levels[[Item]:[Effort (Hours)]],12,FALSE)</f>
        <v>0</v>
      </c>
      <c r="E63" s="291">
        <f>Table79[[#This Row],[Allocation]]*VLOOKUP(Table79[[#This Row],[Rate]],Settings_Hidden!$B$102:$C$111,2,FALSE)</f>
        <v>0</v>
      </c>
      <c r="F63" s="291">
        <f>Table79[[#This Row],[Allocation]]*VLOOKUP(Table79[[#This Row],[Rate]],Settings_Hidden!$B$88:$D$97,2,FALSE)</f>
        <v>0</v>
      </c>
    </row>
    <row r="64" spans="1:8">
      <c r="A64" s="164" t="s">
        <v>152</v>
      </c>
      <c r="B64" s="164" t="str">
        <f t="shared" si="2"/>
        <v>Project Manager</v>
      </c>
      <c r="C64" s="164" t="s">
        <v>314</v>
      </c>
      <c r="D64" s="164">
        <f>VLOOKUP(Table79[[#This Row],[PM artefacts/Processes]],PM_Levels[[Item]:[Effort (Hours)]],12,FALSE)</f>
        <v>0</v>
      </c>
      <c r="E64" s="291">
        <f>Table79[[#This Row],[Allocation]]*VLOOKUP(Table79[[#This Row],[Rate]],Settings_Hidden!$B$102:$C$111,2,FALSE)</f>
        <v>0</v>
      </c>
      <c r="F64" s="291">
        <f>Table79[[#This Row],[Allocation]]*VLOOKUP(Table79[[#This Row],[Rate]],Settings_Hidden!$B$88:$D$97,2,FALSE)</f>
        <v>0</v>
      </c>
    </row>
    <row r="65" spans="1:9">
      <c r="A65" s="164" t="s">
        <v>50</v>
      </c>
      <c r="B65" s="164" t="str">
        <f t="shared" si="2"/>
        <v>Project Manager</v>
      </c>
      <c r="C65" s="164" t="s">
        <v>208</v>
      </c>
      <c r="D65" s="164">
        <f>VLOOKUP(Table79[[#This Row],[PM artefacts/Processes]],PM_Levels[[Item]:[Effort (Hours)]],12,FALSE)</f>
        <v>0</v>
      </c>
      <c r="E65" s="291">
        <f>Table79[[#This Row],[Allocation]]*VLOOKUP(Table79[[#This Row],[Rate]],Settings_Hidden!$B$102:$C$111,2,FALSE)</f>
        <v>0</v>
      </c>
      <c r="F65" s="291">
        <f>Table79[[#This Row],[Allocation]]*VLOOKUP(Table79[[#This Row],[Rate]],Settings_Hidden!$B$88:$D$97,2,FALSE)</f>
        <v>0</v>
      </c>
    </row>
    <row r="66" spans="1:9">
      <c r="A66" s="164" t="s">
        <v>171</v>
      </c>
      <c r="B66" s="164" t="str">
        <f t="shared" si="2"/>
        <v>Project Manager</v>
      </c>
      <c r="C66" s="164" t="s">
        <v>314</v>
      </c>
      <c r="D66" s="164">
        <f>VLOOKUP(Table79[[#This Row],[PM artefacts/Processes]],PM_Levels[[Item]:[Effort (Hours)]],12,FALSE)</f>
        <v>0</v>
      </c>
      <c r="E66" s="291">
        <f>Table79[[#This Row],[Allocation]]*VLOOKUP(Table79[[#This Row],[Rate]],Settings_Hidden!$B$102:$C$111,2,FALSE)</f>
        <v>0</v>
      </c>
      <c r="F66" s="291">
        <f>Table79[[#This Row],[Allocation]]*VLOOKUP(Table79[[#This Row],[Rate]],Settings_Hidden!$B$88:$D$97,2,FALSE)</f>
        <v>0</v>
      </c>
    </row>
    <row r="67" spans="1:9">
      <c r="A67" s="164" t="s">
        <v>46</v>
      </c>
      <c r="B67" s="164" t="str">
        <f t="shared" si="2"/>
        <v>Project Manager</v>
      </c>
      <c r="C67" s="164" t="s">
        <v>208</v>
      </c>
      <c r="D67" s="164">
        <f>VLOOKUP(Table79[[#This Row],[PM artefacts/Processes]],PM_Levels[[Item]:[Effort (Hours)]],12,FALSE)</f>
        <v>0</v>
      </c>
      <c r="E67" s="291">
        <f>Table79[[#This Row],[Allocation]]*VLOOKUP(Table79[[#This Row],[Rate]],Settings_Hidden!$B$102:$C$111,2,FALSE)</f>
        <v>0</v>
      </c>
      <c r="F67" s="291">
        <f>Table79[[#This Row],[Allocation]]*VLOOKUP(Table79[[#This Row],[Rate]],Settings_Hidden!$B$88:$D$97,2,FALSE)</f>
        <v>0</v>
      </c>
    </row>
    <row r="68" spans="1:9">
      <c r="A68" s="164" t="s">
        <v>464</v>
      </c>
      <c r="B68" s="164" t="str">
        <f t="shared" si="2"/>
        <v>Project Manager</v>
      </c>
      <c r="C68" s="164" t="s">
        <v>208</v>
      </c>
      <c r="D68" s="164">
        <f>VLOOKUP(Table79[[#This Row],[PM artefacts/Processes]],PM_Levels[[Item]:[Effort (Hours)]],12,FALSE)</f>
        <v>0</v>
      </c>
      <c r="E68" s="291">
        <f>Table79[[#This Row],[Allocation]]*VLOOKUP(Table79[[#This Row],[Rate]],Settings_Hidden!$B$102:$C$111,2,FALSE)</f>
        <v>0</v>
      </c>
      <c r="F68" s="291">
        <f>Table79[[#This Row],[Allocation]]*VLOOKUP(Table79[[#This Row],[Rate]],Settings_Hidden!$B$88:$D$97,2,FALSE)</f>
        <v>0</v>
      </c>
    </row>
    <row r="69" spans="1:9">
      <c r="A69" s="164" t="s">
        <v>29</v>
      </c>
      <c r="B69" s="164" t="str">
        <f t="shared" si="2"/>
        <v>Project Manager</v>
      </c>
      <c r="C69" s="164" t="s">
        <v>208</v>
      </c>
      <c r="D69" s="164">
        <f>VLOOKUP(Table79[[#This Row],[PM artefacts/Processes]],PM_Levels[[Item]:[Effort (Hours)]],12,FALSE)</f>
        <v>0</v>
      </c>
      <c r="E69" s="291">
        <f>Table79[[#This Row],[Allocation]]*VLOOKUP(Table79[[#This Row],[Rate]],Settings_Hidden!$B$102:$C$111,2,FALSE)</f>
        <v>0</v>
      </c>
      <c r="F69" s="291">
        <f>Table79[[#This Row],[Allocation]]*VLOOKUP(Table79[[#This Row],[Rate]],Settings_Hidden!$B$88:$D$97,2,FALSE)</f>
        <v>0</v>
      </c>
    </row>
    <row r="70" spans="1:9">
      <c r="A70" s="164" t="s">
        <v>30</v>
      </c>
      <c r="B70" s="164" t="str">
        <f t="shared" si="2"/>
        <v>Project Manager</v>
      </c>
      <c r="C70" s="164" t="s">
        <v>208</v>
      </c>
      <c r="D70" s="164">
        <f>VLOOKUP(Table79[[#This Row],[PM artefacts/Processes]],PM_Levels[[Item]:[Effort (Hours)]],12,FALSE)</f>
        <v>0</v>
      </c>
      <c r="E70" s="291">
        <f>Table79[[#This Row],[Allocation]]*VLOOKUP(Table79[[#This Row],[Rate]],Settings_Hidden!$B$102:$C$111,2,FALSE)</f>
        <v>0</v>
      </c>
      <c r="F70" s="291">
        <f>Table79[[#This Row],[Allocation]]*VLOOKUP(Table79[[#This Row],[Rate]],Settings_Hidden!$B$88:$D$97,2,FALSE)</f>
        <v>0</v>
      </c>
    </row>
    <row r="71" spans="1:9">
      <c r="A71" s="164" t="s">
        <v>51</v>
      </c>
      <c r="B71" s="164" t="str">
        <f t="shared" si="2"/>
        <v>Project Manager</v>
      </c>
      <c r="C71" s="164" t="s">
        <v>208</v>
      </c>
      <c r="D71" s="164">
        <f>VLOOKUP(Table79[[#This Row],[PM artefacts/Processes]],PM_Levels[[Item]:[Effort (Hours)]],12,FALSE)</f>
        <v>0</v>
      </c>
      <c r="E71" s="291">
        <f>Table79[[#This Row],[Allocation]]*VLOOKUP(Table79[[#This Row],[Rate]],Settings_Hidden!$B$102:$C$111,2,FALSE)</f>
        <v>0</v>
      </c>
      <c r="F71" s="291">
        <f>Table79[[#This Row],[Allocation]]*VLOOKUP(Table79[[#This Row],[Rate]],Settings_Hidden!$B$88:$D$97,2,FALSE)</f>
        <v>0</v>
      </c>
    </row>
    <row r="72" spans="1:9">
      <c r="A72" s="164" t="s">
        <v>31</v>
      </c>
      <c r="B72" s="164"/>
      <c r="C72" s="164"/>
      <c r="D72" s="164">
        <f>SUBTOTAL(109,Table79[Allocation])</f>
        <v>0</v>
      </c>
      <c r="E72" s="291">
        <f>SUBTOTAL(109,Table79[Cost Price])</f>
        <v>0</v>
      </c>
      <c r="F72" s="291">
        <f>SUBTOTAL(109,Table79[Sell price])</f>
        <v>0</v>
      </c>
    </row>
    <row r="73" spans="1:9" ht="17.399999999999999">
      <c r="A73" s="151"/>
      <c r="F73" s="4"/>
    </row>
    <row r="74" spans="1:9" ht="21">
      <c r="A74" s="277" t="s">
        <v>782</v>
      </c>
      <c r="F74" s="4"/>
    </row>
    <row r="75" spans="1:9" ht="17.399999999999999">
      <c r="A75" s="292" t="s">
        <v>368</v>
      </c>
      <c r="F75" s="4"/>
    </row>
    <row r="76" spans="1:9" ht="15.6">
      <c r="A76" s="322" t="s">
        <v>311</v>
      </c>
      <c r="B76" s="322" t="s">
        <v>245</v>
      </c>
      <c r="C76" s="323" t="s">
        <v>59</v>
      </c>
      <c r="D76" s="322" t="s">
        <v>715</v>
      </c>
      <c r="E76" s="240" t="s">
        <v>716</v>
      </c>
      <c r="F76" s="322" t="s">
        <v>313</v>
      </c>
      <c r="G76" s="322" t="s">
        <v>312</v>
      </c>
      <c r="H76" s="322" t="s">
        <v>164</v>
      </c>
      <c r="I76" s="322" t="s">
        <v>315</v>
      </c>
    </row>
    <row r="77" spans="1:9" ht="17.399999999999999">
      <c r="A77" s="164" t="s">
        <v>153</v>
      </c>
      <c r="B77" s="164" t="str">
        <f t="shared" ref="B77:B87" si="3">$B$13</f>
        <v>Project Manager</v>
      </c>
      <c r="C77" s="245" t="s">
        <v>314</v>
      </c>
      <c r="D77" s="164">
        <f>VLOOKUP(Table7[[#This Row],[PM artefacts/Processes]],PM_Levels[[Item]:[Effort (Hours)]],12,FALSE)</f>
        <v>0</v>
      </c>
      <c r="E77" s="290" t="b">
        <f>IF(D77=0,FALSE,TRUE)</f>
        <v>0</v>
      </c>
      <c r="F77" s="164">
        <f>IF(Table7[[#This Row],[Included]]=TRUE,0,-Table7[[#This Row],[Hours Required]])</f>
        <v>0</v>
      </c>
      <c r="G77" s="93">
        <f>VALUE(Table7[[#This Row],[Hours Required]])+IF(ISNUMBER(Table7[[#This Row],[Adjustment]]),Table7[[#This Row],[Adjustment]],0)</f>
        <v>0</v>
      </c>
      <c r="H77" s="291">
        <f>Table7[[#This Row],[Allocation]]*VLOOKUP(Table7[[#This Row],[Rate]],Settings_Hidden!$B$102:$C$111,2,FALSE)</f>
        <v>0</v>
      </c>
      <c r="I77" s="291">
        <f>Table7[[#This Row],[Allocation]]*VLOOKUP(Table7[[#This Row],[Rate]],Settings_Hidden!$B$88:$D$97,2,FALSE)</f>
        <v>0</v>
      </c>
    </row>
    <row r="78" spans="1:9" ht="17.399999999999999">
      <c r="A78" s="164" t="s">
        <v>114</v>
      </c>
      <c r="B78" s="164" t="str">
        <f t="shared" si="3"/>
        <v>Project Manager</v>
      </c>
      <c r="C78" s="164" t="s">
        <v>208</v>
      </c>
      <c r="D78" s="164">
        <f>VLOOKUP(Table7[[#This Row],[PM artefacts/Processes]],PM_Levels[[Item]:[Effort (Hours)]],12,FALSE)</f>
        <v>0</v>
      </c>
      <c r="E78" s="290" t="b">
        <f t="shared" ref="E78:E87" si="4">IF(D78=0,FALSE,TRUE)</f>
        <v>0</v>
      </c>
      <c r="F78" s="164">
        <f>IF(Table7[[#This Row],[Included]]=TRUE,0,-Table7[[#This Row],[Hours Required]])</f>
        <v>0</v>
      </c>
      <c r="G78" s="93">
        <f>VALUE(Table7[[#This Row],[Hours Required]])+IF(ISNUMBER(Table7[[#This Row],[Adjustment]]),Table7[[#This Row],[Adjustment]],0)</f>
        <v>0</v>
      </c>
      <c r="H78" s="291">
        <f>Table7[[#This Row],[Allocation]]*VLOOKUP(Table7[[#This Row],[Rate]],Settings_Hidden!$B$102:$C$111,2,FALSE)</f>
        <v>0</v>
      </c>
      <c r="I78" s="291">
        <f>Table7[[#This Row],[Allocation]]*VLOOKUP(Table7[[#This Row],[Rate]],Settings_Hidden!$B$88:$D$97,2,FALSE)</f>
        <v>0</v>
      </c>
    </row>
    <row r="79" spans="1:9" ht="17.399999999999999">
      <c r="A79" s="164" t="s">
        <v>49</v>
      </c>
      <c r="B79" s="164" t="str">
        <f t="shared" si="3"/>
        <v>Project Manager</v>
      </c>
      <c r="C79" s="164" t="s">
        <v>208</v>
      </c>
      <c r="D79" s="164">
        <f>VLOOKUP(Table7[[#This Row],[PM artefacts/Processes]],PM_Levels[[Item]:[Effort (Hours)]],12,FALSE)</f>
        <v>0</v>
      </c>
      <c r="E79" s="290" t="b">
        <f t="shared" si="4"/>
        <v>0</v>
      </c>
      <c r="F79" s="164">
        <f>IF(Table7[[#This Row],[Included]]=TRUE,0,-Table7[[#This Row],[Hours Required]])</f>
        <v>0</v>
      </c>
      <c r="G79" s="93">
        <f>VALUE(Table7[[#This Row],[Hours Required]])+IF(ISNUMBER(Table7[[#This Row],[Adjustment]]),Table7[[#This Row],[Adjustment]],0)</f>
        <v>0</v>
      </c>
      <c r="H79" s="291">
        <f>Table7[[#This Row],[Allocation]]*VLOOKUP(Table7[[#This Row],[Rate]],Settings_Hidden!$B$102:$C$111,2,FALSE)</f>
        <v>0</v>
      </c>
      <c r="I79" s="291">
        <f>Table7[[#This Row],[Allocation]]*VLOOKUP(Table7[[#This Row],[Rate]],Settings_Hidden!$B$88:$D$97,2,FALSE)</f>
        <v>0</v>
      </c>
    </row>
    <row r="80" spans="1:9" ht="17.399999999999999">
      <c r="A80" s="164" t="s">
        <v>45</v>
      </c>
      <c r="B80" s="164" t="str">
        <f t="shared" si="3"/>
        <v>Project Manager</v>
      </c>
      <c r="C80" s="164" t="s">
        <v>208</v>
      </c>
      <c r="D80" s="164">
        <f>VLOOKUP(Table7[[#This Row],[PM artefacts/Processes]],PM_Levels[[Item]:[Effort (Hours)]],12,FALSE)</f>
        <v>0</v>
      </c>
      <c r="E80" s="290" t="b">
        <f t="shared" si="4"/>
        <v>0</v>
      </c>
      <c r="F80" s="164">
        <f>IF(Table7[[#This Row],[Included]]=TRUE,0,-Table7[[#This Row],[Hours Required]])</f>
        <v>0</v>
      </c>
      <c r="G80" s="93">
        <f>VALUE(Table7[[#This Row],[Hours Required]])+IF(ISNUMBER(Table7[[#This Row],[Adjustment]]),Table7[[#This Row],[Adjustment]],0)</f>
        <v>0</v>
      </c>
      <c r="H80" s="291">
        <f>Table7[[#This Row],[Allocation]]*VLOOKUP(Table7[[#This Row],[Rate]],Settings_Hidden!$B$102:$C$111,2,FALSE)</f>
        <v>0</v>
      </c>
      <c r="I80" s="291">
        <f>Table7[[#This Row],[Allocation]]*VLOOKUP(Table7[[#This Row],[Rate]],Settings_Hidden!$B$88:$D$97,2,FALSE)</f>
        <v>0</v>
      </c>
    </row>
    <row r="81" spans="1:13" ht="17.399999999999999">
      <c r="A81" s="164" t="s">
        <v>117</v>
      </c>
      <c r="B81" s="164" t="str">
        <f t="shared" si="3"/>
        <v>Project Manager</v>
      </c>
      <c r="C81" s="164" t="s">
        <v>314</v>
      </c>
      <c r="D81" s="164">
        <f>VLOOKUP(Table7[[#This Row],[PM artefacts/Processes]],PM_Levels[[Item]:[Effort (Hours)]],12,FALSE)</f>
        <v>0</v>
      </c>
      <c r="E81" s="290" t="b">
        <f t="shared" si="4"/>
        <v>0</v>
      </c>
      <c r="F81" s="164">
        <f>IF(Table7[[#This Row],[Included]]=TRUE,0,-Table7[[#This Row],[Hours Required]])</f>
        <v>0</v>
      </c>
      <c r="G81" s="93">
        <f>VALUE(Table7[[#This Row],[Hours Required]])+IF(ISNUMBER(Table7[[#This Row],[Adjustment]]),Table7[[#This Row],[Adjustment]],0)</f>
        <v>0</v>
      </c>
      <c r="H81" s="291">
        <f>Table7[[#This Row],[Allocation]]*VLOOKUP(Table7[[#This Row],[Rate]],Settings_Hidden!$B$102:$C$111,2,FALSE)</f>
        <v>0</v>
      </c>
      <c r="I81" s="291">
        <f>Table7[[#This Row],[Allocation]]*VLOOKUP(Table7[[#This Row],[Rate]],Settings_Hidden!$B$88:$D$97,2,FALSE)</f>
        <v>0</v>
      </c>
    </row>
    <row r="82" spans="1:13" ht="17.399999999999999">
      <c r="A82" s="164" t="s">
        <v>60</v>
      </c>
      <c r="B82" s="164" t="str">
        <f t="shared" si="3"/>
        <v>Project Manager</v>
      </c>
      <c r="C82" s="164" t="s">
        <v>314</v>
      </c>
      <c r="D82" s="164">
        <f>VLOOKUP(Table7[[#This Row],[PM artefacts/Processes]],PM_Levels[[Item]:[Effort (Hours)]],12,FALSE)</f>
        <v>0</v>
      </c>
      <c r="E82" s="290" t="b">
        <f t="shared" si="4"/>
        <v>0</v>
      </c>
      <c r="F82" s="164">
        <f>IF(Table7[[#This Row],[Included]]=TRUE,0,-Table7[[#This Row],[Hours Required]])</f>
        <v>0</v>
      </c>
      <c r="G82" s="93">
        <f>VALUE(Table7[[#This Row],[Hours Required]])+IF(ISNUMBER(Table7[[#This Row],[Adjustment]]),Table7[[#This Row],[Adjustment]],0)</f>
        <v>0</v>
      </c>
      <c r="H82" s="291">
        <f>Table7[[#This Row],[Allocation]]*VLOOKUP(Table7[[#This Row],[Rate]],Settings_Hidden!$B$102:$C$111,2,FALSE)</f>
        <v>0</v>
      </c>
      <c r="I82" s="291">
        <f>Table7[[#This Row],[Allocation]]*VLOOKUP(Table7[[#This Row],[Rate]],Settings_Hidden!$B$88:$D$97,2,FALSE)</f>
        <v>0</v>
      </c>
    </row>
    <row r="83" spans="1:13" ht="17.399999999999999">
      <c r="A83" s="164" t="s">
        <v>61</v>
      </c>
      <c r="B83" s="164" t="str">
        <f t="shared" si="3"/>
        <v>Project Manager</v>
      </c>
      <c r="C83" s="164" t="s">
        <v>314</v>
      </c>
      <c r="D83" s="164">
        <f>VLOOKUP(Table7[[#This Row],[PM artefacts/Processes]],PM_Levels[[Item]:[Effort (Hours)]],12,FALSE)</f>
        <v>0</v>
      </c>
      <c r="E83" s="290" t="b">
        <f t="shared" si="4"/>
        <v>0</v>
      </c>
      <c r="F83" s="164">
        <f>IF(Table7[[#This Row],[Included]]=TRUE,0,-Table7[[#This Row],[Hours Required]])</f>
        <v>0</v>
      </c>
      <c r="G83" s="93">
        <f>VALUE(Table7[[#This Row],[Hours Required]])+IF(ISNUMBER(Table7[[#This Row],[Adjustment]]),Table7[[#This Row],[Adjustment]],0)</f>
        <v>0</v>
      </c>
      <c r="H83" s="291">
        <f>Table7[[#This Row],[Allocation]]*VLOOKUP(Table7[[#This Row],[Rate]],Settings_Hidden!$B$102:$C$111,2,FALSE)</f>
        <v>0</v>
      </c>
      <c r="I83" s="291">
        <f>Table7[[#This Row],[Allocation]]*VLOOKUP(Table7[[#This Row],[Rate]],Settings_Hidden!$B$88:$D$97,2,FALSE)</f>
        <v>0</v>
      </c>
    </row>
    <row r="84" spans="1:13" ht="17.399999999999999">
      <c r="A84" s="164" t="s">
        <v>47</v>
      </c>
      <c r="B84" s="164" t="str">
        <f t="shared" si="3"/>
        <v>Project Manager</v>
      </c>
      <c r="C84" s="164" t="s">
        <v>314</v>
      </c>
      <c r="D84" s="164">
        <f>VLOOKUP(Table7[[#This Row],[PM artefacts/Processes]],PM_Levels[[Item]:[Effort (Hours)]],12,FALSE)</f>
        <v>0</v>
      </c>
      <c r="E84" s="290" t="b">
        <f t="shared" si="4"/>
        <v>0</v>
      </c>
      <c r="F84" s="164">
        <f>IF(Table7[[#This Row],[Included]]=TRUE,0,-Table7[[#This Row],[Hours Required]])</f>
        <v>0</v>
      </c>
      <c r="G84" s="93">
        <f>VALUE(Table7[[#This Row],[Hours Required]])+IF(ISNUMBER(Table7[[#This Row],[Adjustment]]),Table7[[#This Row],[Adjustment]],0)</f>
        <v>0</v>
      </c>
      <c r="H84" s="291">
        <f>Table7[[#This Row],[Allocation]]*VLOOKUP(Table7[[#This Row],[Rate]],Settings_Hidden!$B$102:$C$111,2,FALSE)</f>
        <v>0</v>
      </c>
      <c r="I84" s="291">
        <f>Table7[[#This Row],[Allocation]]*VLOOKUP(Table7[[#This Row],[Rate]],Settings_Hidden!$B$88:$D$97,2,FALSE)</f>
        <v>0</v>
      </c>
    </row>
    <row r="85" spans="1:13" ht="17.399999999999999">
      <c r="A85" s="164" t="s">
        <v>48</v>
      </c>
      <c r="B85" s="164" t="str">
        <f t="shared" si="3"/>
        <v>Project Manager</v>
      </c>
      <c r="C85" s="164" t="s">
        <v>314</v>
      </c>
      <c r="D85" s="164">
        <f>VLOOKUP(Table7[[#This Row],[PM artefacts/Processes]],PM_Levels[[Item]:[Effort (Hours)]],12,FALSE)</f>
        <v>0</v>
      </c>
      <c r="E85" s="290" t="b">
        <f t="shared" si="4"/>
        <v>0</v>
      </c>
      <c r="F85" s="164">
        <f>IF(Table7[[#This Row],[Included]]=TRUE,0,-Table7[[#This Row],[Hours Required]])</f>
        <v>0</v>
      </c>
      <c r="G85" s="93">
        <f>VALUE(Table7[[#This Row],[Hours Required]])+IF(ISNUMBER(Table7[[#This Row],[Adjustment]]),Table7[[#This Row],[Adjustment]],0)</f>
        <v>0</v>
      </c>
      <c r="H85" s="291">
        <f>Table7[[#This Row],[Allocation]]*VLOOKUP(Table7[[#This Row],[Rate]],Settings_Hidden!$B$102:$C$111,2,FALSE)</f>
        <v>0</v>
      </c>
      <c r="I85" s="291">
        <f>Table7[[#This Row],[Allocation]]*VLOOKUP(Table7[[#This Row],[Rate]],Settings_Hidden!$B$88:$D$97,2,FALSE)</f>
        <v>0</v>
      </c>
    </row>
    <row r="86" spans="1:13" ht="17.399999999999999">
      <c r="A86" s="164" t="s">
        <v>52</v>
      </c>
      <c r="B86" s="164" t="str">
        <f t="shared" si="3"/>
        <v>Project Manager</v>
      </c>
      <c r="C86" s="164" t="s">
        <v>208</v>
      </c>
      <c r="D86" s="164">
        <f>VLOOKUP(Table7[[#This Row],[PM artefacts/Processes]],PM_Levels[[Item]:[Effort (Hours)]],12,FALSE)</f>
        <v>0</v>
      </c>
      <c r="E86" s="290" t="b">
        <f t="shared" si="4"/>
        <v>0</v>
      </c>
      <c r="F86" s="164">
        <f>IF(Table7[[#This Row],[Included]]=TRUE,0,-Table7[[#This Row],[Hours Required]])</f>
        <v>0</v>
      </c>
      <c r="G86" s="93">
        <f>VALUE(Table7[[#This Row],[Hours Required]])+IF(ISNUMBER(Table7[[#This Row],[Adjustment]]),Table7[[#This Row],[Adjustment]],0)</f>
        <v>0</v>
      </c>
      <c r="H86" s="291">
        <f>Table7[[#This Row],[Allocation]]*VLOOKUP(Table7[[#This Row],[Rate]],Settings_Hidden!$B$102:$C$111,2,FALSE)</f>
        <v>0</v>
      </c>
      <c r="I86" s="291">
        <f>Table7[[#This Row],[Allocation]]*VLOOKUP(Table7[[#This Row],[Rate]],Settings_Hidden!$B$88:$D$97,2,FALSE)</f>
        <v>0</v>
      </c>
    </row>
    <row r="87" spans="1:13" ht="17.399999999999999">
      <c r="A87" s="164" t="s">
        <v>53</v>
      </c>
      <c r="B87" s="164" t="str">
        <f t="shared" si="3"/>
        <v>Project Manager</v>
      </c>
      <c r="C87" s="164" t="s">
        <v>314</v>
      </c>
      <c r="D87" s="164">
        <f>VLOOKUP(Table7[[#This Row],[PM artefacts/Processes]],PM_Levels[[Item]:[Effort (Hours)]],12,FALSE)</f>
        <v>0</v>
      </c>
      <c r="E87" s="290" t="b">
        <f t="shared" si="4"/>
        <v>0</v>
      </c>
      <c r="F87" s="164">
        <f>IF(Table7[[#This Row],[Included]]=TRUE,0,-Table7[[#This Row],[Hours Required]])</f>
        <v>0</v>
      </c>
      <c r="G87" s="93">
        <f>VALUE(Table7[[#This Row],[Hours Required]])+IF(ISNUMBER(Table7[[#This Row],[Adjustment]]),Table7[[#This Row],[Adjustment]],0)</f>
        <v>0</v>
      </c>
      <c r="H87" s="291">
        <f>Table7[[#This Row],[Allocation]]*VLOOKUP(Table7[[#This Row],[Rate]],Settings_Hidden!$B$102:$C$111,2,FALSE)</f>
        <v>0</v>
      </c>
      <c r="I87" s="291">
        <f>Table7[[#This Row],[Allocation]]*VLOOKUP(Table7[[#This Row],[Rate]],Settings_Hidden!$B$88:$D$97,2,FALSE)</f>
        <v>0</v>
      </c>
    </row>
    <row r="88" spans="1:13" ht="17.399999999999999">
      <c r="A88" s="323" t="s">
        <v>31</v>
      </c>
      <c r="B88" s="323"/>
      <c r="C88" s="323"/>
      <c r="D88" s="323">
        <f>SUBTOTAL(109,Table7[Hours Required])</f>
        <v>0</v>
      </c>
      <c r="E88" s="164"/>
      <c r="F88" s="323">
        <f>SUBTOTAL(109,Table7[Adjustment])</f>
        <v>0</v>
      </c>
      <c r="G88" s="324">
        <f>SUBTOTAL(109,Table7[Allocation])</f>
        <v>0</v>
      </c>
      <c r="H88" s="325">
        <f>SUBTOTAL(109,Table7[Cost Price])</f>
        <v>0</v>
      </c>
      <c r="I88" s="325">
        <f>SUBTOTAL(109,Table7[Sell price])</f>
        <v>0</v>
      </c>
    </row>
    <row r="89" spans="1:13" ht="17.399999999999999">
      <c r="F89" s="4"/>
    </row>
    <row r="90" spans="1:13" ht="21">
      <c r="A90" s="277" t="s">
        <v>783</v>
      </c>
      <c r="F90" s="4"/>
    </row>
    <row r="91" spans="1:13" ht="17.399999999999999">
      <c r="A91" s="292" t="s">
        <v>367</v>
      </c>
      <c r="F91" s="4"/>
    </row>
    <row r="92" spans="1:13" ht="15.6">
      <c r="A92" s="240" t="s">
        <v>16</v>
      </c>
      <c r="B92" s="240" t="s">
        <v>25</v>
      </c>
      <c r="C92" s="240" t="s">
        <v>164</v>
      </c>
      <c r="D92" s="240" t="s">
        <v>13</v>
      </c>
      <c r="E92" s="151"/>
      <c r="F92" s="151"/>
      <c r="I92" s="151"/>
      <c r="J92" s="151"/>
      <c r="K92" s="151"/>
      <c r="L92" s="151"/>
      <c r="M92" s="151"/>
    </row>
    <row r="93" spans="1:13">
      <c r="A93" s="164" t="str">
        <f>Settings_Management_Hidden!A42</f>
        <v>Subcontractor Engagement</v>
      </c>
      <c r="B93" s="164">
        <f>Settings_Management_Hidden!C42</f>
        <v>0</v>
      </c>
      <c r="C93" s="164">
        <f>Settings_Management_Hidden!G42</f>
        <v>0</v>
      </c>
      <c r="D93" s="164">
        <f>Settings_Management_Hidden!H42</f>
        <v>0</v>
      </c>
    </row>
    <row r="94" spans="1:13">
      <c r="A94" s="164" t="str">
        <f>Settings_Management_Hidden!A43</f>
        <v>Subcontractor Workshops</v>
      </c>
      <c r="B94" s="164">
        <f>Settings_Management_Hidden!C43</f>
        <v>0</v>
      </c>
      <c r="C94" s="164">
        <f>Settings_Management_Hidden!G43</f>
        <v>0</v>
      </c>
      <c r="D94" s="164">
        <f>Settings_Management_Hidden!H43</f>
        <v>0</v>
      </c>
    </row>
    <row r="95" spans="1:13">
      <c r="A95" s="164" t="str">
        <f>Settings_Management_Hidden!A44</f>
        <v>Document Reviews</v>
      </c>
      <c r="B95" s="164">
        <f>Settings_Management_Hidden!C44</f>
        <v>0</v>
      </c>
      <c r="C95" s="164">
        <f>Settings_Management_Hidden!G44</f>
        <v>0</v>
      </c>
      <c r="D95" s="164">
        <f>Settings_Management_Hidden!H44</f>
        <v>0</v>
      </c>
    </row>
    <row r="96" spans="1:13">
      <c r="A96" s="164" t="str">
        <f>Settings_Management_Hidden!A45</f>
        <v>QA Oversight</v>
      </c>
      <c r="B96" s="164">
        <f>Settings_Management_Hidden!C45</f>
        <v>0</v>
      </c>
      <c r="C96" s="164">
        <f>Settings_Management_Hidden!G45</f>
        <v>0</v>
      </c>
      <c r="D96" s="164">
        <f>Settings_Management_Hidden!H45</f>
        <v>0</v>
      </c>
    </row>
    <row r="97" spans="1:9" ht="17.399999999999999">
      <c r="A97" s="151"/>
      <c r="F97" s="4"/>
    </row>
    <row r="98" spans="1:9" ht="21">
      <c r="A98" s="277" t="s">
        <v>784</v>
      </c>
      <c r="F98" s="4"/>
    </row>
    <row r="99" spans="1:9" ht="18" thickBot="1">
      <c r="A99" s="292" t="s">
        <v>353</v>
      </c>
      <c r="F99" s="4"/>
    </row>
    <row r="100" spans="1:9" ht="15.6">
      <c r="A100" s="240" t="s">
        <v>40</v>
      </c>
      <c r="B100" s="322" t="s">
        <v>351</v>
      </c>
      <c r="C100" s="240" t="s">
        <v>350</v>
      </c>
      <c r="D100" s="322" t="s">
        <v>164</v>
      </c>
      <c r="E100" s="322" t="s">
        <v>315</v>
      </c>
      <c r="G100" s="770" t="s">
        <v>513</v>
      </c>
      <c r="H100" s="771"/>
      <c r="I100" s="772"/>
    </row>
    <row r="101" spans="1:9" ht="75">
      <c r="A101" s="410" t="s">
        <v>496</v>
      </c>
      <c r="B101" s="164" t="str">
        <f>$B$13</f>
        <v>Project Manager</v>
      </c>
      <c r="C101" s="290"/>
      <c r="D101" s="291">
        <f>Table710[[#This Row],[Hours Allocated]]*VLOOKUP(Table710[[#This Row],[Resource Type]],Settings_Hidden!$B$102:$C$111,2,FALSE)</f>
        <v>0</v>
      </c>
      <c r="E101" s="291">
        <f>Table710[[#This Row],[Hours Allocated]]*VLOOKUP(Table710[[#This Row],[Resource Type]],Settings_Hidden!$B$88:$D$97,2,FALSE)</f>
        <v>0</v>
      </c>
      <c r="G101" s="773"/>
      <c r="H101" s="774"/>
      <c r="I101" s="775"/>
    </row>
    <row r="102" spans="1:9">
      <c r="A102" s="410"/>
      <c r="B102" s="164" t="str">
        <f t="shared" ref="B102:B123" si="5">$B$13</f>
        <v>Project Manager</v>
      </c>
      <c r="C102" s="290"/>
      <c r="D102" s="291">
        <f>Table710[[#This Row],[Hours Allocated]]*VLOOKUP(Table710[[#This Row],[Resource Type]],Settings_Hidden!$B$102:$C$111,2,FALSE)</f>
        <v>0</v>
      </c>
      <c r="E102" s="291">
        <f>Table710[[#This Row],[Hours Allocated]]*VLOOKUP(Table710[[#This Row],[Resource Type]],Settings_Hidden!$B$88:$D$97,2,FALSE)</f>
        <v>0</v>
      </c>
      <c r="G102" s="773"/>
      <c r="H102" s="774"/>
      <c r="I102" s="775"/>
    </row>
    <row r="103" spans="1:9">
      <c r="A103" s="410"/>
      <c r="B103" s="164" t="str">
        <f t="shared" si="5"/>
        <v>Project Manager</v>
      </c>
      <c r="C103" s="290"/>
      <c r="D103" s="291">
        <f>Table710[[#This Row],[Hours Allocated]]*VLOOKUP(Table710[[#This Row],[Resource Type]],Settings_Hidden!$B$102:$C$111,2,FALSE)</f>
        <v>0</v>
      </c>
      <c r="E103" s="291">
        <f>Table710[[#This Row],[Hours Allocated]]*VLOOKUP(Table710[[#This Row],[Resource Type]],Settings_Hidden!$B$88:$D$97,2,FALSE)</f>
        <v>0</v>
      </c>
      <c r="G103" s="773"/>
      <c r="H103" s="774"/>
      <c r="I103" s="775"/>
    </row>
    <row r="104" spans="1:9">
      <c r="A104" s="410"/>
      <c r="B104" s="164" t="str">
        <f t="shared" si="5"/>
        <v>Project Manager</v>
      </c>
      <c r="C104" s="290"/>
      <c r="D104" s="291">
        <f>Table710[[#This Row],[Hours Allocated]]*VLOOKUP(Table710[[#This Row],[Resource Type]],Settings_Hidden!$B$102:$C$111,2,FALSE)</f>
        <v>0</v>
      </c>
      <c r="E104" s="291">
        <f>Table710[[#This Row],[Hours Allocated]]*VLOOKUP(Table710[[#This Row],[Resource Type]],Settings_Hidden!$B$88:$D$97,2,FALSE)</f>
        <v>0</v>
      </c>
      <c r="G104" s="773"/>
      <c r="H104" s="774"/>
      <c r="I104" s="775"/>
    </row>
    <row r="105" spans="1:9">
      <c r="A105" s="410"/>
      <c r="B105" s="164" t="str">
        <f t="shared" si="5"/>
        <v>Project Manager</v>
      </c>
      <c r="C105" s="290"/>
      <c r="D105" s="291">
        <f>Table710[[#This Row],[Hours Allocated]]*VLOOKUP(Table710[[#This Row],[Resource Type]],Settings_Hidden!$B$102:$C$111,2,FALSE)</f>
        <v>0</v>
      </c>
      <c r="E105" s="291">
        <f>Table710[[#This Row],[Hours Allocated]]*VLOOKUP(Table710[[#This Row],[Resource Type]],Settings_Hidden!$B$88:$D$97,2,FALSE)</f>
        <v>0</v>
      </c>
      <c r="G105" s="773"/>
      <c r="H105" s="774"/>
      <c r="I105" s="775"/>
    </row>
    <row r="106" spans="1:9">
      <c r="A106" s="410"/>
      <c r="B106" s="164" t="str">
        <f t="shared" si="5"/>
        <v>Project Manager</v>
      </c>
      <c r="C106" s="290"/>
      <c r="D106" s="291">
        <f>Table710[[#This Row],[Hours Allocated]]*VLOOKUP(Table710[[#This Row],[Resource Type]],Settings_Hidden!$B$102:$C$111,2,FALSE)</f>
        <v>0</v>
      </c>
      <c r="E106" s="291">
        <f>Table710[[#This Row],[Hours Allocated]]*VLOOKUP(Table710[[#This Row],[Resource Type]],Settings_Hidden!$B$88:$D$97,2,FALSE)</f>
        <v>0</v>
      </c>
      <c r="G106" s="773"/>
      <c r="H106" s="774"/>
      <c r="I106" s="775"/>
    </row>
    <row r="107" spans="1:9">
      <c r="A107" s="410"/>
      <c r="B107" s="164" t="str">
        <f t="shared" si="5"/>
        <v>Project Manager</v>
      </c>
      <c r="C107" s="290"/>
      <c r="D107" s="291">
        <f>Table710[[#This Row],[Hours Allocated]]*VLOOKUP(Table710[[#This Row],[Resource Type]],Settings_Hidden!$B$102:$C$111,2,FALSE)</f>
        <v>0</v>
      </c>
      <c r="E107" s="291">
        <f>Table710[[#This Row],[Hours Allocated]]*VLOOKUP(Table710[[#This Row],[Resource Type]],Settings_Hidden!$B$88:$D$97,2,FALSE)</f>
        <v>0</v>
      </c>
      <c r="G107" s="773"/>
      <c r="H107" s="774"/>
      <c r="I107" s="775"/>
    </row>
    <row r="108" spans="1:9">
      <c r="A108" s="410"/>
      <c r="B108" s="164" t="str">
        <f t="shared" si="5"/>
        <v>Project Manager</v>
      </c>
      <c r="C108" s="290"/>
      <c r="D108" s="291">
        <f>Table710[[#This Row],[Hours Allocated]]*VLOOKUP(Table710[[#This Row],[Resource Type]],Settings_Hidden!$B$102:$C$111,2,FALSE)</f>
        <v>0</v>
      </c>
      <c r="E108" s="291">
        <f>Table710[[#This Row],[Hours Allocated]]*VLOOKUP(Table710[[#This Row],[Resource Type]],Settings_Hidden!$B$88:$D$97,2,FALSE)</f>
        <v>0</v>
      </c>
      <c r="G108" s="773"/>
      <c r="H108" s="774"/>
      <c r="I108" s="775"/>
    </row>
    <row r="109" spans="1:9">
      <c r="A109" s="410"/>
      <c r="B109" s="164" t="str">
        <f t="shared" si="5"/>
        <v>Project Manager</v>
      </c>
      <c r="C109" s="290"/>
      <c r="D109" s="291">
        <f>Table710[[#This Row],[Hours Allocated]]*VLOOKUP(Table710[[#This Row],[Resource Type]],Settings_Hidden!$B$102:$C$111,2,FALSE)</f>
        <v>0</v>
      </c>
      <c r="E109" s="291">
        <f>Table710[[#This Row],[Hours Allocated]]*VLOOKUP(Table710[[#This Row],[Resource Type]],Settings_Hidden!$B$88:$D$97,2,FALSE)</f>
        <v>0</v>
      </c>
      <c r="G109" s="773"/>
      <c r="H109" s="774"/>
      <c r="I109" s="775"/>
    </row>
    <row r="110" spans="1:9">
      <c r="A110" s="410"/>
      <c r="B110" s="164" t="str">
        <f t="shared" si="5"/>
        <v>Project Manager</v>
      </c>
      <c r="C110" s="290"/>
      <c r="D110" s="291">
        <f>Table710[[#This Row],[Hours Allocated]]*VLOOKUP(Table710[[#This Row],[Resource Type]],Settings_Hidden!$B$102:$C$111,2,FALSE)</f>
        <v>0</v>
      </c>
      <c r="E110" s="291">
        <f>Table710[[#This Row],[Hours Allocated]]*VLOOKUP(Table710[[#This Row],[Resource Type]],Settings_Hidden!$B$88:$D$97,2,FALSE)</f>
        <v>0</v>
      </c>
      <c r="G110" s="773"/>
      <c r="H110" s="774"/>
      <c r="I110" s="775"/>
    </row>
    <row r="111" spans="1:9">
      <c r="A111" s="410"/>
      <c r="B111" s="164" t="str">
        <f t="shared" si="5"/>
        <v>Project Manager</v>
      </c>
      <c r="C111" s="290"/>
      <c r="D111" s="291">
        <f>Table710[[#This Row],[Hours Allocated]]*VLOOKUP(Table710[[#This Row],[Resource Type]],Settings_Hidden!$B$102:$C$111,2,FALSE)</f>
        <v>0</v>
      </c>
      <c r="E111" s="291">
        <f>Table710[[#This Row],[Hours Allocated]]*VLOOKUP(Table710[[#This Row],[Resource Type]],Settings_Hidden!$B$88:$D$97,2,FALSE)</f>
        <v>0</v>
      </c>
      <c r="G111" s="773"/>
      <c r="H111" s="774"/>
      <c r="I111" s="775"/>
    </row>
    <row r="112" spans="1:9">
      <c r="A112" s="410"/>
      <c r="B112" s="164" t="str">
        <f t="shared" si="5"/>
        <v>Project Manager</v>
      </c>
      <c r="C112" s="290"/>
      <c r="D112" s="291">
        <f>Table710[[#This Row],[Hours Allocated]]*VLOOKUP(Table710[[#This Row],[Resource Type]],Settings_Hidden!$B$102:$C$111,2,FALSE)</f>
        <v>0</v>
      </c>
      <c r="E112" s="291">
        <f>Table710[[#This Row],[Hours Allocated]]*VLOOKUP(Table710[[#This Row],[Resource Type]],Settings_Hidden!$B$88:$D$97,2,FALSE)</f>
        <v>0</v>
      </c>
      <c r="G112" s="773"/>
      <c r="H112" s="774"/>
      <c r="I112" s="775"/>
    </row>
    <row r="113" spans="1:9">
      <c r="A113" s="410"/>
      <c r="B113" s="164" t="str">
        <f t="shared" si="5"/>
        <v>Project Manager</v>
      </c>
      <c r="C113" s="290"/>
      <c r="D113" s="291">
        <f>Table710[[#This Row],[Hours Allocated]]*VLOOKUP(Table710[[#This Row],[Resource Type]],Settings_Hidden!$B$102:$C$111,2,FALSE)</f>
        <v>0</v>
      </c>
      <c r="E113" s="291">
        <f>Table710[[#This Row],[Hours Allocated]]*VLOOKUP(Table710[[#This Row],[Resource Type]],Settings_Hidden!$B$88:$D$97,2,FALSE)</f>
        <v>0</v>
      </c>
      <c r="G113" s="773"/>
      <c r="H113" s="774"/>
      <c r="I113" s="775"/>
    </row>
    <row r="114" spans="1:9">
      <c r="A114" s="410"/>
      <c r="B114" s="164" t="str">
        <f t="shared" si="5"/>
        <v>Project Manager</v>
      </c>
      <c r="C114" s="290"/>
      <c r="D114" s="291">
        <f>Table710[[#This Row],[Hours Allocated]]*VLOOKUP(Table710[[#This Row],[Resource Type]],Settings_Hidden!$B$102:$C$111,2,FALSE)</f>
        <v>0</v>
      </c>
      <c r="E114" s="291">
        <f>Table710[[#This Row],[Hours Allocated]]*VLOOKUP(Table710[[#This Row],[Resource Type]],Settings_Hidden!$B$88:$D$97,2,FALSE)</f>
        <v>0</v>
      </c>
      <c r="G114" s="773"/>
      <c r="H114" s="774"/>
      <c r="I114" s="775"/>
    </row>
    <row r="115" spans="1:9">
      <c r="A115" s="410"/>
      <c r="B115" s="164" t="str">
        <f t="shared" si="5"/>
        <v>Project Manager</v>
      </c>
      <c r="C115" s="290"/>
      <c r="D115" s="291">
        <f>Table710[[#This Row],[Hours Allocated]]*VLOOKUP(Table710[[#This Row],[Resource Type]],Settings_Hidden!$B$102:$C$111,2,FALSE)</f>
        <v>0</v>
      </c>
      <c r="E115" s="291">
        <f>Table710[[#This Row],[Hours Allocated]]*VLOOKUP(Table710[[#This Row],[Resource Type]],Settings_Hidden!$B$88:$D$97,2,FALSE)</f>
        <v>0</v>
      </c>
      <c r="G115" s="773"/>
      <c r="H115" s="774"/>
      <c r="I115" s="775"/>
    </row>
    <row r="116" spans="1:9">
      <c r="A116" s="410"/>
      <c r="B116" s="164" t="str">
        <f t="shared" si="5"/>
        <v>Project Manager</v>
      </c>
      <c r="C116" s="290"/>
      <c r="D116" s="291">
        <f>Table710[[#This Row],[Hours Allocated]]*VLOOKUP(Table710[[#This Row],[Resource Type]],Settings_Hidden!$B$102:$C$111,2,FALSE)</f>
        <v>0</v>
      </c>
      <c r="E116" s="291">
        <f>Table710[[#This Row],[Hours Allocated]]*VLOOKUP(Table710[[#This Row],[Resource Type]],Settings_Hidden!$B$88:$D$97,2,FALSE)</f>
        <v>0</v>
      </c>
      <c r="G116" s="773"/>
      <c r="H116" s="774"/>
      <c r="I116" s="775"/>
    </row>
    <row r="117" spans="1:9">
      <c r="A117" s="410"/>
      <c r="B117" s="164" t="str">
        <f t="shared" si="5"/>
        <v>Project Manager</v>
      </c>
      <c r="C117" s="290"/>
      <c r="D117" s="291">
        <f>Table710[[#This Row],[Hours Allocated]]*VLOOKUP(Table710[[#This Row],[Resource Type]],Settings_Hidden!$B$102:$C$111,2,FALSE)</f>
        <v>0</v>
      </c>
      <c r="E117" s="291">
        <f>Table710[[#This Row],[Hours Allocated]]*VLOOKUP(Table710[[#This Row],[Resource Type]],Settings_Hidden!$B$88:$D$97,2,FALSE)</f>
        <v>0</v>
      </c>
      <c r="G117" s="773"/>
      <c r="H117" s="774"/>
      <c r="I117" s="775"/>
    </row>
    <row r="118" spans="1:9">
      <c r="A118" s="410"/>
      <c r="B118" s="164" t="str">
        <f t="shared" si="5"/>
        <v>Project Manager</v>
      </c>
      <c r="C118" s="290"/>
      <c r="D118" s="291">
        <f>Table710[[#This Row],[Hours Allocated]]*VLOOKUP(Table710[[#This Row],[Resource Type]],Settings_Hidden!$B$102:$C$111,2,FALSE)</f>
        <v>0</v>
      </c>
      <c r="E118" s="291">
        <f>Table710[[#This Row],[Hours Allocated]]*VLOOKUP(Table710[[#This Row],[Resource Type]],Settings_Hidden!$B$88:$D$97,2,FALSE)</f>
        <v>0</v>
      </c>
      <c r="G118" s="773"/>
      <c r="H118" s="774"/>
      <c r="I118" s="775"/>
    </row>
    <row r="119" spans="1:9">
      <c r="A119" s="410"/>
      <c r="B119" s="164" t="str">
        <f t="shared" si="5"/>
        <v>Project Manager</v>
      </c>
      <c r="C119" s="290"/>
      <c r="D119" s="291">
        <f>Table710[[#This Row],[Hours Allocated]]*VLOOKUP(Table710[[#This Row],[Resource Type]],Settings_Hidden!$B$102:$C$111,2,FALSE)</f>
        <v>0</v>
      </c>
      <c r="E119" s="291">
        <f>Table710[[#This Row],[Hours Allocated]]*VLOOKUP(Table710[[#This Row],[Resource Type]],Settings_Hidden!$B$88:$D$97,2,FALSE)</f>
        <v>0</v>
      </c>
      <c r="G119" s="773"/>
      <c r="H119" s="774"/>
      <c r="I119" s="775"/>
    </row>
    <row r="120" spans="1:9">
      <c r="A120" s="410"/>
      <c r="B120" s="164" t="str">
        <f t="shared" si="5"/>
        <v>Project Manager</v>
      </c>
      <c r="C120" s="290"/>
      <c r="D120" s="291">
        <f>Table710[[#This Row],[Hours Allocated]]*VLOOKUP(Table710[[#This Row],[Resource Type]],Settings_Hidden!$B$102:$C$111,2,FALSE)</f>
        <v>0</v>
      </c>
      <c r="E120" s="291">
        <f>Table710[[#This Row],[Hours Allocated]]*VLOOKUP(Table710[[#This Row],[Resource Type]],Settings_Hidden!$B$88:$D$97,2,FALSE)</f>
        <v>0</v>
      </c>
      <c r="G120" s="773"/>
      <c r="H120" s="774"/>
      <c r="I120" s="775"/>
    </row>
    <row r="121" spans="1:9">
      <c r="A121" s="410"/>
      <c r="B121" s="164" t="str">
        <f t="shared" si="5"/>
        <v>Project Manager</v>
      </c>
      <c r="C121" s="290"/>
      <c r="D121" s="291">
        <f>Table710[[#This Row],[Hours Allocated]]*VLOOKUP(Table710[[#This Row],[Resource Type]],Settings_Hidden!$B$102:$C$111,2,FALSE)</f>
        <v>0</v>
      </c>
      <c r="E121" s="291">
        <f>Table710[[#This Row],[Hours Allocated]]*VLOOKUP(Table710[[#This Row],[Resource Type]],Settings_Hidden!$B$88:$D$97,2,FALSE)</f>
        <v>0</v>
      </c>
      <c r="G121" s="773"/>
      <c r="H121" s="774"/>
      <c r="I121" s="775"/>
    </row>
    <row r="122" spans="1:9">
      <c r="A122" s="410"/>
      <c r="B122" s="164" t="str">
        <f t="shared" si="5"/>
        <v>Project Manager</v>
      </c>
      <c r="C122" s="290"/>
      <c r="D122" s="291">
        <f>Table710[[#This Row],[Hours Allocated]]*VLOOKUP(Table710[[#This Row],[Resource Type]],Settings_Hidden!$B$102:$C$111,2,FALSE)</f>
        <v>0</v>
      </c>
      <c r="E122" s="291">
        <f>Table710[[#This Row],[Hours Allocated]]*VLOOKUP(Table710[[#This Row],[Resource Type]],Settings_Hidden!$B$88:$D$97,2,FALSE)</f>
        <v>0</v>
      </c>
      <c r="G122" s="773"/>
      <c r="H122" s="774"/>
      <c r="I122" s="775"/>
    </row>
    <row r="123" spans="1:9">
      <c r="A123" s="410"/>
      <c r="B123" s="164" t="str">
        <f t="shared" si="5"/>
        <v>Project Manager</v>
      </c>
      <c r="C123" s="290"/>
      <c r="D123" s="291">
        <f>Table710[[#This Row],[Hours Allocated]]*VLOOKUP(Table710[[#This Row],[Resource Type]],Settings_Hidden!$B$102:$C$111,2,FALSE)</f>
        <v>0</v>
      </c>
      <c r="E123" s="291">
        <f>Table710[[#This Row],[Hours Allocated]]*VLOOKUP(Table710[[#This Row],[Resource Type]],Settings_Hidden!$B$88:$D$97,2,FALSE)</f>
        <v>0</v>
      </c>
      <c r="G123" s="773"/>
      <c r="H123" s="774"/>
      <c r="I123" s="775"/>
    </row>
    <row r="124" spans="1:9" ht="15.6" thickBot="1">
      <c r="A124" s="164" t="s">
        <v>31</v>
      </c>
      <c r="B124" s="323"/>
      <c r="C124" s="164">
        <f>SUBTOTAL(109,Table710[Hours Allocated])</f>
        <v>0</v>
      </c>
      <c r="D124" s="325">
        <f>SUBTOTAL(109,Table710[Cost Price])</f>
        <v>0</v>
      </c>
      <c r="E124" s="325">
        <f>SUBTOTAL(109,Table710[Sell price])</f>
        <v>0</v>
      </c>
      <c r="G124" s="776"/>
      <c r="H124" s="777"/>
      <c r="I124" s="778"/>
    </row>
  </sheetData>
  <sheetProtection algorithmName="SHA-512" hashValue="hLjADgc/fhBefcYumPAzNE3emN2cNZ7JKWWqEJda0LF4zDp5w2Qq1HVdOleaDpLBhbWDrEA7TKDU8ff9XmTEqQ==" saltValue="AU12H09Hnio6LKj2c+AO4Q==" spinCount="100000" sheet="1"/>
  <mergeCells count="10">
    <mergeCell ref="G100:I124"/>
    <mergeCell ref="E38:G38"/>
    <mergeCell ref="E42:G42"/>
    <mergeCell ref="E40:G40"/>
    <mergeCell ref="E44:G44"/>
    <mergeCell ref="A25:C25"/>
    <mergeCell ref="A32:G34"/>
    <mergeCell ref="G4:I11"/>
    <mergeCell ref="E43:G43"/>
    <mergeCell ref="C58:H58"/>
  </mergeCells>
  <phoneticPr fontId="13" type="noConversion"/>
  <conditionalFormatting sqref="A32 A45">
    <cfRule type="expression" dxfId="93" priority="3">
      <formula>(A32="-Notification Box-")</formula>
    </cfRule>
    <cfRule type="expression" dxfId="92" priority="24">
      <formula>NOT(A32="")</formula>
    </cfRule>
  </conditionalFormatting>
  <conditionalFormatting sqref="A45 A32">
    <cfRule type="expression" dxfId="91" priority="2">
      <formula>A32="Action Required: Enter Estimated Start and End Dates Above"</formula>
    </cfRule>
  </conditionalFormatting>
  <conditionalFormatting sqref="A77:A88 A63:A71">
    <cfRule type="duplicateValues" dxfId="90" priority="123"/>
  </conditionalFormatting>
  <conditionalFormatting sqref="A101:A123">
    <cfRule type="expression" dxfId="89" priority="17">
      <formula>AND($C101&gt;0,$A101="")</formula>
    </cfRule>
  </conditionalFormatting>
  <conditionalFormatting sqref="A77:D87 G77:I87 A101:E123">
    <cfRule type="expression" dxfId="88" priority="21">
      <formula>AND(CELL("protect",A77),ISODD(ROW(A77)))</formula>
    </cfRule>
  </conditionalFormatting>
  <conditionalFormatting sqref="A101:E123 A77:D87 G77:I87">
    <cfRule type="expression" dxfId="87" priority="20">
      <formula>AND(CELL("protect",A77),ISEVEN(ROW(A77)))</formula>
    </cfRule>
  </conditionalFormatting>
  <conditionalFormatting sqref="A35:Z998">
    <cfRule type="expression" dxfId="86" priority="1">
      <formula>$A$32="Action Required: Enter Estimated Start and End Dates Above"</formula>
    </cfRule>
  </conditionalFormatting>
  <conditionalFormatting sqref="B11:B15">
    <cfRule type="expression" dxfId="85" priority="19">
      <formula>B11=""</formula>
    </cfRule>
  </conditionalFormatting>
  <conditionalFormatting sqref="B18:B19">
    <cfRule type="expression" dxfId="84" priority="6">
      <formula>B18=""</formula>
    </cfRule>
  </conditionalFormatting>
  <conditionalFormatting sqref="B21 B23">
    <cfRule type="expression" dxfId="83" priority="8">
      <formula>"NOT($B$29=(($B$30-$B$9)/7)"</formula>
    </cfRule>
  </conditionalFormatting>
  <conditionalFormatting sqref="B22">
    <cfRule type="expression" dxfId="82" priority="5">
      <formula>B22=""</formula>
    </cfRule>
  </conditionalFormatting>
  <conditionalFormatting sqref="F77:F87">
    <cfRule type="expression" dxfId="81" priority="9">
      <formula>AND(CELL("protect",F77),ISEVEN(ROW(F77)))</formula>
    </cfRule>
    <cfRule type="expression" dxfId="80" priority="10">
      <formula>AND(CELL("protect",F77),ISODD(ROW(F77)))</formula>
    </cfRule>
  </conditionalFormatting>
  <conditionalFormatting sqref="A50:F50">
    <cfRule type="expression" dxfId="2" priority="202">
      <formula>A$50&lt;&gt;$B$11</formula>
    </cfRule>
  </conditionalFormatting>
  <conditionalFormatting sqref="B51:F57">
    <cfRule type="expression" dxfId="1" priority="205">
      <formula>AND(($B$11)&lt;&gt;B$50,ISEVEN(ROW(B51)))</formula>
    </cfRule>
    <cfRule type="expression" dxfId="0" priority="206">
      <formula>AND(($B$11)&lt;&gt;B$50,ISODD(ROW(B51)))</formula>
    </cfRule>
  </conditionalFormatting>
  <dataValidations count="10">
    <dataValidation type="list" allowBlank="1" showInputMessage="1" showErrorMessage="1" sqref="C63:C71 C77:C87 B89 B98:B99" xr:uid="{0ED967AA-2396-4438-9E30-AC20BDE41365}">
      <formula1>"Activity,Deliverable"</formula1>
    </dataValidation>
    <dataValidation type="decimal" operator="greaterThanOrEqual" allowBlank="1" showInputMessage="1" showErrorMessage="1" errorTitle="Invalid entry" error="Values in this cell must be decimal numebrs greater than zero." sqref="C101:C123" xr:uid="{4D5AB961-4B08-407E-8A3C-C82C585E5DE0}">
      <formula1>0</formula1>
    </dataValidation>
    <dataValidation type="textLength" operator="greaterThan" allowBlank="1" showInputMessage="1" showErrorMessage="1" errorTitle="Invalid Entry" error="Please enter a descriptive summary of this task." sqref="A101:A123" xr:uid="{D9306AFE-FDD0-457A-9B27-61910DD081D7}">
      <formula1>10</formula1>
    </dataValidation>
    <dataValidation type="decimal" operator="greaterThanOrEqual" allowBlank="1" showInputMessage="1" showErrorMessage="1" errorTitle="Excess Adjustment" error="Tasks can only be adjusted down to 0 hours. Negative task allocations are not permitted." sqref="F77:F87" xr:uid="{9FCEF540-4CC8-4885-9F66-06B4D3213159}">
      <formula1>-1*D77</formula1>
    </dataValidation>
    <dataValidation type="whole" operator="greaterThanOrEqual" allowBlank="1" showInputMessage="1" showErrorMessage="1" sqref="B22 B14:B15" xr:uid="{73CF3D96-28F0-4275-B02B-EFD0D3A161D4}">
      <formula1>0</formula1>
    </dataValidation>
    <dataValidation type="list" allowBlank="1" showInputMessage="1" showErrorMessage="1" sqref="E77:E87" xr:uid="{0FCD9040-CAAB-4E2B-91BE-068609B85408}">
      <formula1>"TRUE,FALSE"</formula1>
    </dataValidation>
    <dataValidation type="date" errorStyle="warning" allowBlank="1" showErrorMessage="1" errorTitle="Invalid Date" error="This field is set to accept dates between Today +7 days and Today +650 days." sqref="B18:B19" xr:uid="{72AF945B-D28B-43C8-A97D-86ACC823DCC8}">
      <formula1>TODAY()+7</formula1>
      <formula2>TODAY()+730</formula2>
    </dataValidation>
    <dataValidation type="list" operator="greaterThanOrEqual" allowBlank="1" showInputMessage="1" showErrorMessage="1" sqref="B12" xr:uid="{45B0F72F-B9BD-40C3-B33E-87C994F2F8C0}">
      <formula1>INDIRECT("PM_Frequency_Label_List")</formula1>
    </dataValidation>
    <dataValidation type="list" operator="greaterThanOrEqual" allowBlank="1" showInputMessage="1" showErrorMessage="1" sqref="B11" xr:uid="{889824E4-E3FE-40B7-8730-AED44D132D89}">
      <formula1>INDIRECT("PROJECT_TIERS")</formula1>
    </dataValidation>
    <dataValidation type="list" operator="greaterThanOrEqual" allowBlank="1" showInputMessage="1" showErrorMessage="1" sqref="B13" xr:uid="{02B6C43C-6B70-4BD7-8F61-3266D3B4F7C6}">
      <formula1>INDIRECT("Settings.Table_PM.Roles[Role]")</formula1>
    </dataValidation>
  </dataValidations>
  <pageMargins left="0.70866141732283461" right="0.70866141732283461" top="0.74803149606299213" bottom="0.74803149606299213" header="0.31496062992125984" footer="0.31496062992125984"/>
  <pageSetup paperSize="9" orientation="portrait" r:id="rId1"/>
  <drawing r:id="rId2"/>
  <tableParts count="5">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5" tint="0.39997558519241921"/>
  </sheetPr>
  <dimension ref="A1:O58"/>
  <sheetViews>
    <sheetView showGridLines="0" zoomScale="66" zoomScaleNormal="50" workbookViewId="0"/>
  </sheetViews>
  <sheetFormatPr defaultColWidth="10.69921875" defaultRowHeight="15"/>
  <cols>
    <col min="1" max="1" width="68.59765625" style="162" customWidth="1"/>
    <col min="2" max="6" width="18.19921875" style="162" customWidth="1"/>
    <col min="7" max="9" width="11" style="162" customWidth="1"/>
    <col min="10" max="10" width="10.69921875" style="162" customWidth="1"/>
    <col min="11" max="11" width="10.69921875" style="165" customWidth="1"/>
    <col min="12" max="16384" width="10.69921875" style="162"/>
  </cols>
  <sheetData>
    <row r="1" spans="1:15">
      <c r="A1" s="164"/>
      <c r="D1" s="178"/>
      <c r="E1" s="178"/>
      <c r="F1" s="178"/>
      <c r="G1" s="178"/>
      <c r="H1" s="178"/>
      <c r="I1" s="178"/>
      <c r="J1" s="163"/>
      <c r="K1" s="163"/>
    </row>
    <row r="2" spans="1:15">
      <c r="D2" s="178"/>
      <c r="E2" s="178"/>
      <c r="F2" s="178"/>
      <c r="G2" s="178"/>
      <c r="H2" s="178"/>
      <c r="I2" s="178"/>
      <c r="J2" s="163"/>
      <c r="K2" s="163"/>
    </row>
    <row r="3" spans="1:15">
      <c r="D3" s="178"/>
      <c r="E3" s="178"/>
      <c r="F3" s="178"/>
      <c r="G3" s="178"/>
      <c r="H3" s="178"/>
      <c r="I3" s="178"/>
      <c r="J3" s="163"/>
      <c r="K3" s="163"/>
    </row>
    <row r="4" spans="1:15">
      <c r="D4" s="178"/>
      <c r="E4" s="178"/>
      <c r="F4" s="178"/>
      <c r="G4" s="178"/>
      <c r="H4" s="178"/>
      <c r="I4" s="178"/>
      <c r="J4" s="163"/>
      <c r="K4" s="163"/>
    </row>
    <row r="5" spans="1:15">
      <c r="D5" s="178"/>
      <c r="E5" s="178"/>
      <c r="F5" s="178"/>
      <c r="G5" s="178"/>
      <c r="H5" s="178"/>
      <c r="I5" s="178"/>
      <c r="J5" s="163"/>
      <c r="K5" s="163"/>
    </row>
    <row r="6" spans="1:15" ht="22.8">
      <c r="A6" s="20" t="s">
        <v>201</v>
      </c>
    </row>
    <row r="8" spans="1:15" ht="21">
      <c r="A8" s="277" t="s">
        <v>374</v>
      </c>
    </row>
    <row r="9" spans="1:15" ht="16.2" thickBot="1">
      <c r="A9" s="292" t="s">
        <v>375</v>
      </c>
    </row>
    <row r="10" spans="1:15" ht="15.6" customHeight="1">
      <c r="A10" s="237" t="s">
        <v>241</v>
      </c>
      <c r="B10" s="641" t="s">
        <v>7</v>
      </c>
      <c r="C10" s="641" t="s">
        <v>11</v>
      </c>
      <c r="D10" s="641" t="s">
        <v>844</v>
      </c>
      <c r="E10" s="641" t="s">
        <v>164</v>
      </c>
      <c r="F10" s="642" t="s">
        <v>13</v>
      </c>
      <c r="H10" s="770" t="s">
        <v>514</v>
      </c>
      <c r="I10" s="771"/>
      <c r="J10" s="771"/>
      <c r="K10" s="771"/>
      <c r="L10" s="771"/>
      <c r="M10" s="771"/>
      <c r="N10" s="771"/>
      <c r="O10" s="772"/>
    </row>
    <row r="11" spans="1:15" ht="15.6" customHeight="1">
      <c r="A11" s="632" t="s">
        <v>235</v>
      </c>
      <c r="B11" s="643">
        <f>SUM(Input_Tasks[Hours],Table6[Hours])</f>
        <v>0</v>
      </c>
      <c r="C11" s="643">
        <f>SUM(Input_Tasks[R1 After Hours],Input_Tasks[R2 After Hours],Input_Tasks[R3 After Hours],Input_Tasks[R4 After Hours],Input_Tasks[R5 After Hours])</f>
        <v>0</v>
      </c>
      <c r="D11" s="643">
        <f>SUM(B11:C11)</f>
        <v>0</v>
      </c>
      <c r="E11" s="644">
        <f>Summary!E16</f>
        <v>0</v>
      </c>
      <c r="F11" s="645">
        <f>Summary!F16</f>
        <v>0</v>
      </c>
      <c r="H11" s="773"/>
      <c r="I11" s="774"/>
      <c r="J11" s="774"/>
      <c r="K11" s="774"/>
      <c r="L11" s="774"/>
      <c r="M11" s="774"/>
      <c r="N11" s="774"/>
      <c r="O11" s="775"/>
    </row>
    <row r="12" spans="1:15" ht="15.6" customHeight="1">
      <c r="A12" s="632" t="s">
        <v>250</v>
      </c>
      <c r="B12" s="643" t="str">
        <f>Management!B44</f>
        <v>TBD</v>
      </c>
      <c r="C12" s="643"/>
      <c r="D12" s="643">
        <f t="shared" ref="D12:D14" si="0">SUM(B12:C12)</f>
        <v>0</v>
      </c>
      <c r="E12" s="644">
        <f>Summary!E46</f>
        <v>221.33704686655341</v>
      </c>
      <c r="F12" s="645">
        <f>Summary!F46</f>
        <v>337.5</v>
      </c>
      <c r="H12" s="773"/>
      <c r="I12" s="774"/>
      <c r="J12" s="774"/>
      <c r="K12" s="774"/>
      <c r="L12" s="774"/>
      <c r="M12" s="774"/>
      <c r="N12" s="774"/>
      <c r="O12" s="775"/>
    </row>
    <row r="13" spans="1:15" ht="15.6" customHeight="1">
      <c r="A13" s="632" t="s">
        <v>489</v>
      </c>
      <c r="B13" s="643">
        <f>Summary!H30</f>
        <v>0</v>
      </c>
      <c r="C13" s="643"/>
      <c r="D13" s="643">
        <f t="shared" si="0"/>
        <v>0</v>
      </c>
      <c r="E13" s="644">
        <f>Summary!E30</f>
        <v>0</v>
      </c>
      <c r="F13" s="645">
        <f>Summary!F30</f>
        <v>0</v>
      </c>
      <c r="H13" s="773"/>
      <c r="I13" s="774"/>
      <c r="J13" s="774"/>
      <c r="K13" s="774"/>
      <c r="L13" s="774"/>
      <c r="M13" s="774"/>
      <c r="N13" s="774"/>
      <c r="O13" s="775"/>
    </row>
    <row r="14" spans="1:15" ht="16.350000000000001" customHeight="1" thickBot="1">
      <c r="A14" s="635" t="s">
        <v>31</v>
      </c>
      <c r="B14" s="640">
        <f>SUM(B11:B13)</f>
        <v>0</v>
      </c>
      <c r="C14" s="640"/>
      <c r="D14" s="640">
        <f t="shared" si="0"/>
        <v>0</v>
      </c>
      <c r="E14" s="167">
        <f>SUM(E11:E13)</f>
        <v>221.33704686655341</v>
      </c>
      <c r="F14" s="646">
        <f>SUM(F11:F13)</f>
        <v>337.5</v>
      </c>
      <c r="H14" s="773"/>
      <c r="I14" s="774"/>
      <c r="J14" s="774"/>
      <c r="K14" s="774"/>
      <c r="L14" s="774"/>
      <c r="M14" s="774"/>
      <c r="N14" s="774"/>
      <c r="O14" s="775"/>
    </row>
    <row r="15" spans="1:15" ht="15.6" customHeight="1">
      <c r="H15" s="773"/>
      <c r="I15" s="774"/>
      <c r="J15" s="774"/>
      <c r="K15" s="774"/>
      <c r="L15" s="774"/>
      <c r="M15" s="774"/>
      <c r="N15" s="774"/>
      <c r="O15" s="775"/>
    </row>
    <row r="16" spans="1:15" ht="21">
      <c r="A16" s="277" t="s">
        <v>252</v>
      </c>
      <c r="H16" s="773"/>
      <c r="I16" s="774"/>
      <c r="J16" s="774"/>
      <c r="K16" s="774"/>
      <c r="L16" s="774"/>
      <c r="M16" s="774"/>
      <c r="N16" s="774"/>
      <c r="O16" s="775"/>
    </row>
    <row r="17" spans="1:15" ht="16.2" thickBot="1">
      <c r="A17" s="797" t="s">
        <v>376</v>
      </c>
      <c r="B17" s="797"/>
      <c r="C17" s="797"/>
      <c r="D17" s="797"/>
      <c r="E17" s="797"/>
      <c r="F17" s="797"/>
      <c r="H17" s="773"/>
      <c r="I17" s="774"/>
      <c r="J17" s="774"/>
      <c r="K17" s="774"/>
      <c r="L17" s="774"/>
      <c r="M17" s="774"/>
      <c r="N17" s="774"/>
      <c r="O17" s="775"/>
    </row>
    <row r="18" spans="1:15" ht="17.399999999999999">
      <c r="A18" s="792" t="s">
        <v>291</v>
      </c>
      <c r="B18" s="793"/>
      <c r="C18" s="793"/>
      <c r="D18" s="794"/>
      <c r="E18" s="795"/>
      <c r="F18" s="796"/>
      <c r="H18" s="773"/>
      <c r="I18" s="774"/>
      <c r="J18" s="774"/>
      <c r="K18" s="774"/>
      <c r="L18" s="774"/>
      <c r="M18" s="774"/>
      <c r="N18" s="774"/>
      <c r="O18" s="775"/>
    </row>
    <row r="19" spans="1:15" ht="17.399999999999999">
      <c r="A19" s="330"/>
      <c r="E19" s="3"/>
      <c r="F19" s="331"/>
      <c r="H19" s="773"/>
      <c r="I19" s="774"/>
      <c r="J19" s="774"/>
      <c r="K19" s="774"/>
      <c r="L19" s="774"/>
      <c r="M19" s="774"/>
      <c r="N19" s="774"/>
      <c r="O19" s="775"/>
    </row>
    <row r="20" spans="1:15" ht="17.399999999999999">
      <c r="A20" s="330" t="s">
        <v>373</v>
      </c>
      <c r="B20" s="372"/>
      <c r="C20" s="221" t="s">
        <v>302</v>
      </c>
      <c r="D20" s="372"/>
      <c r="E20" s="162" t="s">
        <v>303</v>
      </c>
      <c r="F20" s="331"/>
      <c r="H20" s="773"/>
      <c r="I20" s="774"/>
      <c r="J20" s="774"/>
      <c r="K20" s="774"/>
      <c r="L20" s="774"/>
      <c r="M20" s="774"/>
      <c r="N20" s="774"/>
      <c r="O20" s="775"/>
    </row>
    <row r="21" spans="1:15" ht="17.399999999999999">
      <c r="A21" s="332" t="s">
        <v>317</v>
      </c>
      <c r="B21" s="246"/>
      <c r="C21" s="221"/>
      <c r="D21" s="3"/>
      <c r="F21" s="331"/>
      <c r="H21" s="773"/>
      <c r="I21" s="774"/>
      <c r="J21" s="774"/>
      <c r="K21" s="774"/>
      <c r="L21" s="774"/>
      <c r="M21" s="774"/>
      <c r="N21" s="774"/>
      <c r="O21" s="775"/>
    </row>
    <row r="22" spans="1:15" ht="18" thickBot="1">
      <c r="A22" s="319" t="s">
        <v>433</v>
      </c>
      <c r="B22" s="373"/>
      <c r="C22" s="320"/>
      <c r="D22" s="320"/>
      <c r="E22" s="333"/>
      <c r="F22" s="321"/>
      <c r="H22" s="773"/>
      <c r="I22" s="774"/>
      <c r="J22" s="774"/>
      <c r="K22" s="774"/>
      <c r="L22" s="774"/>
      <c r="M22" s="774"/>
      <c r="N22" s="774"/>
      <c r="O22" s="775"/>
    </row>
    <row r="23" spans="1:15" ht="15.6" customHeight="1" thickBot="1">
      <c r="B23" s="168"/>
      <c r="D23" s="169"/>
      <c r="E23" s="169"/>
      <c r="H23" s="773"/>
      <c r="I23" s="774"/>
      <c r="J23" s="774"/>
      <c r="K23" s="774"/>
      <c r="L23" s="774"/>
      <c r="M23" s="774"/>
      <c r="N23" s="774"/>
      <c r="O23" s="775"/>
    </row>
    <row r="24" spans="1:15" ht="15.6">
      <c r="A24" s="237" t="s">
        <v>242</v>
      </c>
      <c r="B24" s="637" t="s">
        <v>7</v>
      </c>
      <c r="C24" s="637" t="s">
        <v>11</v>
      </c>
      <c r="D24" s="637" t="s">
        <v>844</v>
      </c>
      <c r="E24" s="641" t="s">
        <v>164</v>
      </c>
      <c r="F24" s="642" t="s">
        <v>13</v>
      </c>
      <c r="H24" s="773"/>
      <c r="I24" s="774"/>
      <c r="J24" s="774"/>
      <c r="K24" s="774"/>
      <c r="L24" s="774"/>
      <c r="M24" s="774"/>
      <c r="N24" s="774"/>
      <c r="O24" s="775"/>
    </row>
    <row r="25" spans="1:15" ht="15.6" customHeight="1">
      <c r="A25" s="632" t="str">
        <f>"Engineer Hours (at "&amp;Settings_Hidden!C257&amp;" rates):"</f>
        <v>Engineer Hours (at Senior Systems Engineer (Professional Services) rates):</v>
      </c>
      <c r="B25" s="638">
        <f>IF($E$18="I would like to add Risk",ROUND((B11*$B$22),1)+$B$20,0)</f>
        <v>0</v>
      </c>
      <c r="C25" s="638">
        <f>IF(E18="I would like to add Risk",ROUND((C11*$B$22),1),0)</f>
        <v>0</v>
      </c>
      <c r="D25" s="638">
        <f>SUM(B25:C25)</f>
        <v>0</v>
      </c>
      <c r="E25" s="633">
        <f>(B25*Settings_Hidden!D257)+(C25*Settings_Hidden!E257)</f>
        <v>0</v>
      </c>
      <c r="F25" s="634">
        <f>(B25*Settings_Hidden!F257)+(C25*Settings_Hidden!G257)</f>
        <v>0</v>
      </c>
      <c r="H25" s="773"/>
      <c r="I25" s="774"/>
      <c r="J25" s="774"/>
      <c r="K25" s="774"/>
      <c r="L25" s="774"/>
      <c r="M25" s="774"/>
      <c r="N25" s="774"/>
      <c r="O25" s="775"/>
    </row>
    <row r="26" spans="1:15" ht="15.6" customHeight="1">
      <c r="A26" s="632" t="str">
        <f>"PM Hours (at "&amp;Settings_Hidden!C258&amp;" rates):"</f>
        <v>PM Hours (at Project Manager rates):</v>
      </c>
      <c r="B26" s="638">
        <f>IF($E$18="I would like to add Risk",(IFERROR(VALUE(B12),0)*B22)+D20,0)</f>
        <v>0</v>
      </c>
      <c r="C26" s="638"/>
      <c r="D26" s="638">
        <f t="shared" ref="D26:D28" si="1">SUM(B26:C26)</f>
        <v>0</v>
      </c>
      <c r="E26" s="633">
        <f>(B26*Settings_Hidden!D258)+(C26*Settings_Hidden!E258)</f>
        <v>0</v>
      </c>
      <c r="F26" s="634">
        <f>(B26*Settings_Hidden!F258)+(C26*Settings_Hidden!G258)</f>
        <v>0</v>
      </c>
      <c r="H26" s="773"/>
      <c r="I26" s="774"/>
      <c r="J26" s="774"/>
      <c r="K26" s="774"/>
      <c r="L26" s="774"/>
      <c r="M26" s="774"/>
      <c r="N26" s="774"/>
      <c r="O26" s="775"/>
    </row>
    <row r="27" spans="1:15" ht="15.6" customHeight="1">
      <c r="A27" s="632" t="str">
        <f>"Travel &amp; Accommodation Budget (at "&amp;Settings_Hidden!C257&amp;" Cost Rates)"</f>
        <v>Travel &amp; Accommodation Budget (at Senior Systems Engineer (Professional Services) Cost Rates)</v>
      </c>
      <c r="B27" s="638">
        <f>IF(E18="I would like to add Risk",(B13*$B$22),0)</f>
        <v>0</v>
      </c>
      <c r="C27" s="638"/>
      <c r="D27" s="638">
        <f t="shared" si="1"/>
        <v>0</v>
      </c>
      <c r="E27" s="633">
        <f>IF(E18="I would like to add Risk",E13*B22,0)</f>
        <v>0</v>
      </c>
      <c r="F27" s="634">
        <f>IF(E18="I would like to add Risk",F13*B22,0)</f>
        <v>0</v>
      </c>
      <c r="H27" s="773"/>
      <c r="I27" s="774"/>
      <c r="J27" s="774"/>
      <c r="K27" s="774"/>
      <c r="L27" s="774"/>
      <c r="M27" s="774"/>
      <c r="N27" s="774"/>
      <c r="O27" s="775"/>
    </row>
    <row r="28" spans="1:15" ht="16.350000000000001" customHeight="1" thickBot="1">
      <c r="A28" s="635" t="s">
        <v>31</v>
      </c>
      <c r="B28" s="639">
        <f>SUM(B25:B27)</f>
        <v>0</v>
      </c>
      <c r="C28" s="639">
        <f>SUM(C25:C27)</f>
        <v>0</v>
      </c>
      <c r="D28" s="639">
        <f t="shared" si="1"/>
        <v>0</v>
      </c>
      <c r="E28" s="170">
        <f>SUM(E25:E27)</f>
        <v>0</v>
      </c>
      <c r="F28" s="636">
        <f>SUM(F25:F27)</f>
        <v>0</v>
      </c>
      <c r="H28" s="776"/>
      <c r="I28" s="777"/>
      <c r="J28" s="777"/>
      <c r="K28" s="777"/>
      <c r="L28" s="777"/>
      <c r="M28" s="777"/>
      <c r="N28" s="777"/>
      <c r="O28" s="778"/>
    </row>
    <row r="29" spans="1:15" ht="17.399999999999999">
      <c r="C29" s="151"/>
      <c r="F29" s="151"/>
      <c r="G29" s="151"/>
      <c r="K29" s="99"/>
    </row>
    <row r="30" spans="1:15" ht="15.6">
      <c r="C30" s="151"/>
      <c r="F30" s="151"/>
      <c r="G30" s="151"/>
    </row>
    <row r="31" spans="1:15" ht="17.399999999999999">
      <c r="F31" s="151"/>
      <c r="G31" s="151"/>
      <c r="K31" s="100"/>
    </row>
    <row r="32" spans="1:15" ht="17.399999999999999">
      <c r="C32" s="151"/>
      <c r="E32" s="3"/>
      <c r="F32" s="151"/>
      <c r="G32" s="151"/>
      <c r="K32" s="100"/>
    </row>
    <row r="33" spans="1:11" ht="17.399999999999999">
      <c r="C33" s="151"/>
      <c r="F33" s="151"/>
      <c r="G33" s="151"/>
      <c r="K33" s="100"/>
    </row>
    <row r="34" spans="1:11" ht="17.399999999999999">
      <c r="C34" s="151"/>
      <c r="E34" s="3"/>
      <c r="F34" s="151"/>
      <c r="G34" s="151"/>
      <c r="K34" s="100"/>
    </row>
    <row r="35" spans="1:11" ht="17.399999999999999">
      <c r="C35" s="151"/>
      <c r="E35" s="3"/>
      <c r="F35" s="151"/>
      <c r="G35" s="151"/>
      <c r="K35" s="100"/>
    </row>
    <row r="36" spans="1:11">
      <c r="E36" s="171"/>
    </row>
    <row r="37" spans="1:11">
      <c r="B37" s="172"/>
    </row>
    <row r="38" spans="1:11">
      <c r="B38" s="172"/>
    </row>
    <row r="39" spans="1:11">
      <c r="B39" s="171"/>
    </row>
    <row r="40" spans="1:11" ht="15.6">
      <c r="A40" s="151"/>
      <c r="B40" s="151"/>
      <c r="C40" s="151"/>
      <c r="D40" s="151"/>
      <c r="E40" s="151"/>
      <c r="F40" s="151"/>
    </row>
    <row r="41" spans="1:11">
      <c r="A41" s="791"/>
      <c r="B41" s="791"/>
      <c r="C41" s="791"/>
      <c r="D41" s="791"/>
      <c r="E41" s="791"/>
      <c r="F41" s="173"/>
    </row>
    <row r="42" spans="1:11">
      <c r="A42" s="791"/>
      <c r="B42" s="791"/>
      <c r="C42" s="791"/>
      <c r="D42" s="791"/>
      <c r="E42" s="791"/>
      <c r="F42" s="173"/>
    </row>
    <row r="43" spans="1:11">
      <c r="A43" s="791"/>
      <c r="B43" s="791"/>
      <c r="C43" s="791"/>
      <c r="D43" s="791"/>
      <c r="E43" s="791"/>
      <c r="F43" s="173"/>
    </row>
    <row r="44" spans="1:11">
      <c r="A44" s="791"/>
      <c r="B44" s="791"/>
      <c r="C44" s="791"/>
      <c r="D44" s="791"/>
      <c r="E44" s="791"/>
      <c r="F44" s="173"/>
    </row>
    <row r="47" spans="1:11" ht="15.6">
      <c r="A47" s="174"/>
      <c r="B47" s="175"/>
    </row>
    <row r="48" spans="1:11" ht="15.6">
      <c r="A48" s="174"/>
      <c r="B48" s="176"/>
    </row>
    <row r="58" spans="10:10">
      <c r="J58" s="177"/>
    </row>
  </sheetData>
  <sheetProtection algorithmName="SHA-512" hashValue="rLZumz5ilYLJBxRCwWFys+CcOgeORJaP34+IBnfc4IwEhOPmd1pwrakuQ+6zfjJWsu/FKrPTr89QYd3SvE5LuQ==" saltValue="p8Ve08HPZh7tKIrmuGM4Xg==" spinCount="100000" sheet="1"/>
  <mergeCells count="8">
    <mergeCell ref="H10:O28"/>
    <mergeCell ref="A44:E44"/>
    <mergeCell ref="A18:D18"/>
    <mergeCell ref="E18:F18"/>
    <mergeCell ref="A17:F17"/>
    <mergeCell ref="A41:E41"/>
    <mergeCell ref="A42:E42"/>
    <mergeCell ref="A43:E43"/>
  </mergeCells>
  <phoneticPr fontId="13" type="noConversion"/>
  <conditionalFormatting sqref="A20:E22">
    <cfRule type="expression" dxfId="79" priority="3">
      <formula>NOT($E$18="I would like to add Risk")</formula>
    </cfRule>
  </conditionalFormatting>
  <conditionalFormatting sqref="B20 D20 B22">
    <cfRule type="expression" dxfId="76" priority="1">
      <formula>AND($E$18="I would like to add Risk",$B$20&amp;$D$20&amp;$B$22="")</formula>
    </cfRule>
    <cfRule type="expression" dxfId="75" priority="4" stopIfTrue="1">
      <formula>NOT($E$18="I would like to add Risk")</formula>
    </cfRule>
  </conditionalFormatting>
  <conditionalFormatting sqref="E18:F18">
    <cfRule type="expression" dxfId="74" priority="2">
      <formula>$E$18=""</formula>
    </cfRule>
  </conditionalFormatting>
  <dataValidations count="6">
    <dataValidation type="list" allowBlank="1" showInputMessage="1" showErrorMessage="1" sqref="F36" xr:uid="{38515990-9D41-4084-94C0-FB6425BF181D}">
      <formula1>Product_Maturity</formula1>
    </dataValidation>
    <dataValidation type="list" allowBlank="1" showInputMessage="1" showErrorMessage="1" sqref="F41:F44 F24:F28 E22:E23" xr:uid="{A1D70634-0658-449B-88A5-50FD2C1C0DA8}">
      <formula1>declaration_options</formula1>
    </dataValidation>
    <dataValidation type="list" allowBlank="1" showInputMessage="1" showErrorMessage="1" sqref="K29 B22:B28 C28" xr:uid="{70B0B125-7EB0-489F-883E-3E40570D4EF2}">
      <formula1>Risk_Tiers</formula1>
    </dataValidation>
    <dataValidation type="decimal" operator="greaterThanOrEqual" allowBlank="1" showInputMessage="1" showErrorMessage="1" sqref="K31:K35 E32 E34:E35 D20:D21 B20:B21" xr:uid="{5ABD71A1-2E3B-4449-9664-CCF1B057A670}">
      <formula1>0</formula1>
    </dataValidation>
    <dataValidation type="list" allowBlank="1" showInputMessage="1" showErrorMessage="1" sqref="F37:F38" xr:uid="{C997257D-D943-448E-AAB8-EDD250128B14}">
      <formula1>ArchiTech_Maturity</formula1>
    </dataValidation>
    <dataValidation type="list" allowBlank="1" showInputMessage="1" showErrorMessage="1" sqref="E18" xr:uid="{B96D3699-B7D3-445B-BED2-A8E60E447197}">
      <formula1>"I Agree,I would like to add Risk"</formula1>
    </dataValidation>
  </dataValidations>
  <pageMargins left="0.7" right="0.7" top="0.75" bottom="0.75" header="0.3" footer="0.3"/>
  <pageSetup paperSize="9" orientation="portrait" horizontalDpi="360" verticalDpi="360" r:id="rId1"/>
  <drawing r:id="rId2"/>
  <extLst>
    <ext xmlns:x14="http://schemas.microsoft.com/office/spreadsheetml/2009/9/main" uri="{78C0D931-6437-407d-A8EE-F0AAD7539E65}">
      <x14:conditionalFormattings>
        <x14:conditionalFormatting xmlns:xm="http://schemas.microsoft.com/office/excel/2006/main">
          <x14:cfRule type="expression" priority="8" stopIfTrue="1" id="{A0217DAF-F289-4D04-A4D3-7194FD462F33}">
            <xm:f>NOT($E$18=Settings_Hidden!$C$147)</xm:f>
            <x14:dxf>
              <font>
                <color theme="0"/>
              </font>
              <fill>
                <patternFill>
                  <bgColor theme="0"/>
                </patternFill>
              </fill>
              <border>
                <left/>
                <right/>
                <top/>
                <bottom/>
                <vertical/>
                <horizontal/>
              </border>
            </x14:dxf>
          </x14:cfRule>
          <x14:cfRule type="expression" priority="22" id="{57DFB6B7-23AD-4DDB-978B-36226216837A}">
            <xm:f>NOT(#REF!=Settings_Hidden!$C$146)</xm:f>
            <x14:dxf>
              <font>
                <color theme="0"/>
              </font>
              <fill>
                <patternFill>
                  <bgColor theme="0"/>
                </patternFill>
              </fill>
              <border>
                <left/>
                <right/>
                <top/>
                <bottom/>
                <vertical/>
                <horizontal/>
              </border>
            </x14:dxf>
          </x14:cfRule>
          <xm:sqref>A35:E35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04A99-8C79-4E15-B397-B3350D458598}">
  <sheetPr>
    <tabColor theme="5" tint="0.39997558519241921"/>
  </sheetPr>
  <dimension ref="A6:L75"/>
  <sheetViews>
    <sheetView showGridLines="0" zoomScale="61" zoomScaleNormal="50" workbookViewId="0"/>
  </sheetViews>
  <sheetFormatPr defaultRowHeight="15.6"/>
  <cols>
    <col min="1" max="1" width="37.5" customWidth="1"/>
    <col min="2" max="2" width="14" bestFit="1" customWidth="1"/>
    <col min="3" max="3" width="16.69921875" bestFit="1" customWidth="1"/>
    <col min="4" max="4" width="12.3984375" bestFit="1" customWidth="1"/>
    <col min="5" max="5" width="94" customWidth="1"/>
    <col min="6" max="6" width="13.5" style="470" bestFit="1" customWidth="1"/>
    <col min="7" max="7" width="8.8984375" style="470"/>
    <col min="8" max="8" width="18.3984375" style="470" bestFit="1" customWidth="1"/>
    <col min="9" max="10" width="8.8984375" style="470"/>
  </cols>
  <sheetData>
    <row r="6" spans="1:5" ht="22.8">
      <c r="A6" s="20" t="s">
        <v>620</v>
      </c>
    </row>
    <row r="7" spans="1:5" ht="22.8">
      <c r="A7" s="20"/>
    </row>
    <row r="8" spans="1:5">
      <c r="A8" s="240" t="s">
        <v>621</v>
      </c>
      <c r="E8" s="268" t="s">
        <v>691</v>
      </c>
    </row>
    <row r="9" spans="1:5">
      <c r="A9" s="166" t="s">
        <v>235</v>
      </c>
      <c r="B9" s="463">
        <f>Summary!C16+Summary!D16</f>
        <v>0</v>
      </c>
      <c r="E9" t="s">
        <v>698</v>
      </c>
    </row>
    <row r="10" spans="1:5">
      <c r="A10" s="166" t="s">
        <v>250</v>
      </c>
      <c r="B10" s="464">
        <f>Summary!D46</f>
        <v>1.5</v>
      </c>
      <c r="E10" t="s">
        <v>699</v>
      </c>
    </row>
    <row r="11" spans="1:5">
      <c r="A11" s="166" t="s">
        <v>845</v>
      </c>
      <c r="B11" s="650" t="str">
        <f>IFERROR(Settings_Hidden!C191,"TBD")</f>
        <v>TBD</v>
      </c>
    </row>
    <row r="12" spans="1:5">
      <c r="A12" s="166" t="s">
        <v>846</v>
      </c>
      <c r="B12" s="650" t="str">
        <f>IFERROR(Settings_Hidden!C189,"TBD")</f>
        <v>TBD</v>
      </c>
      <c r="E12" t="s">
        <v>692</v>
      </c>
    </row>
    <row r="13" spans="1:5">
      <c r="A13" s="166" t="s">
        <v>613</v>
      </c>
      <c r="B13" s="463">
        <f>COUNTIF(Input_Tasks[Sell - Line Total],"&gt;"&amp;0)</f>
        <v>0</v>
      </c>
    </row>
    <row r="15" spans="1:5">
      <c r="A15" s="166" t="s">
        <v>612</v>
      </c>
      <c r="B15" s="466">
        <f ca="1">Summary!F68</f>
        <v>337.5</v>
      </c>
      <c r="E15" t="s">
        <v>697</v>
      </c>
    </row>
    <row r="16" spans="1:5">
      <c r="A16" s="166" t="s">
        <v>848</v>
      </c>
      <c r="B16" s="466">
        <f>(Summary!F16+Summary!F25+Summary!F46+Summary!F49+Summary!F50)*(1-Summary!C66)</f>
        <v>337.5</v>
      </c>
      <c r="E16" t="s">
        <v>693</v>
      </c>
    </row>
    <row r="17" spans="1:12">
      <c r="A17" s="166" t="s">
        <v>847</v>
      </c>
      <c r="B17" s="468">
        <f>SUM(Summary!F26:F29)+Summary!F52+Summary!F63+Summary!F64</f>
        <v>0</v>
      </c>
      <c r="E17" t="s">
        <v>694</v>
      </c>
      <c r="G17" s="473"/>
    </row>
    <row r="18" spans="1:12">
      <c r="A18" s="166" t="s">
        <v>849</v>
      </c>
      <c r="B18" s="468">
        <f>Table_Subcontractors[[#Totals],[Sell Price (Ex. GST)]]</f>
        <v>0</v>
      </c>
      <c r="E18" t="s">
        <v>695</v>
      </c>
      <c r="G18" s="473"/>
    </row>
    <row r="19" spans="1:12">
      <c r="G19" s="473"/>
    </row>
    <row r="20" spans="1:12">
      <c r="A20" s="166" t="s">
        <v>615</v>
      </c>
      <c r="B20" s="467" t="str">
        <f>Management!B11</f>
        <v>None</v>
      </c>
      <c r="G20" s="473"/>
    </row>
    <row r="21" spans="1:12">
      <c r="A21" s="166" t="s">
        <v>564</v>
      </c>
      <c r="B21" s="467" t="str">
        <f>IF('Project Technical Tasks'!B17&lt;&gt;"",'Project Technical Tasks'!B17,"Undefined")</f>
        <v>Undefined</v>
      </c>
      <c r="E21" t="s">
        <v>712</v>
      </c>
    </row>
    <row r="22" spans="1:12">
      <c r="E22" s="95" t="s">
        <v>713</v>
      </c>
    </row>
    <row r="23" spans="1:12">
      <c r="A23" s="240" t="s">
        <v>614</v>
      </c>
    </row>
    <row r="24" spans="1:12">
      <c r="A24" s="166" t="s">
        <v>702</v>
      </c>
      <c r="B24" s="467" t="str">
        <f>IF(Settings_Hidden!C21=TRUE,"Prepaid","Standard")</f>
        <v>Standard</v>
      </c>
      <c r="E24" t="s">
        <v>714</v>
      </c>
    </row>
    <row r="25" spans="1:12">
      <c r="A25" s="166" t="s">
        <v>622</v>
      </c>
      <c r="B25" s="467" t="b">
        <f ca="1">IF(OR(B15&lt;5000,B20="None",B21="Not To Exceed",B21="T&amp;M"),FALSE,TRUE)</f>
        <v>0</v>
      </c>
    </row>
    <row r="26" spans="1:12" ht="17.399999999999999" customHeight="1">
      <c r="A26" s="166" t="s">
        <v>696</v>
      </c>
      <c r="B26" s="467" t="str">
        <f ca="1">IFERROR(IF(Settings_Hidden!C21=TRUE,1,MIN(40,MIN(IF(B25=FALSE,1,ROUNDUP(B15/30000,0)),MAX(ROUNDDOWN(B12/2,0),1)))),"TBD")</f>
        <v>TBD</v>
      </c>
      <c r="E26" t="s">
        <v>700</v>
      </c>
    </row>
    <row r="27" spans="1:12" ht="17.399999999999999" customHeight="1">
      <c r="A27" s="166" t="s">
        <v>666</v>
      </c>
      <c r="B27" s="499">
        <f ca="1">COUNT(B32:B71)-COUNTIF(B32:B71,0)</f>
        <v>1</v>
      </c>
    </row>
    <row r="28" spans="1:12" ht="17.399999999999999" customHeight="1">
      <c r="A28" s="164"/>
      <c r="E28" s="510" t="s">
        <v>711</v>
      </c>
      <c r="K28" s="7"/>
      <c r="L28" s="7"/>
    </row>
    <row r="29" spans="1:12" ht="17.399999999999999" customHeight="1">
      <c r="A29" s="436" t="str">
        <f>IF('Project Technical Tasks'!B17="","Select a billing Model on the Project Technical Tasks Page!","T&amp;M Projects Do Not Require Milestones. Billing occurs on a fortnighty basis with 30 day payment terms.")</f>
        <v>Select a billing Model on the Project Technical Tasks Page!</v>
      </c>
      <c r="K29" s="7"/>
      <c r="L29" s="7"/>
    </row>
    <row r="30" spans="1:12" ht="17.399999999999999" customHeight="1">
      <c r="A30" s="164"/>
      <c r="K30" s="7"/>
      <c r="L30" s="7"/>
    </row>
    <row r="31" spans="1:12">
      <c r="A31" s="240"/>
      <c r="B31" s="240" t="s">
        <v>266</v>
      </c>
      <c r="C31" s="240" t="s">
        <v>618</v>
      </c>
      <c r="D31" s="240" t="s">
        <v>619</v>
      </c>
      <c r="E31" s="498" t="s">
        <v>710</v>
      </c>
      <c r="F31" s="470" t="s">
        <v>616</v>
      </c>
      <c r="G31" s="470" t="s">
        <v>688</v>
      </c>
      <c r="H31" s="470" t="s">
        <v>689</v>
      </c>
      <c r="I31" s="470" t="s">
        <v>690</v>
      </c>
      <c r="K31" s="7"/>
      <c r="L31" s="7"/>
    </row>
    <row r="32" spans="1:12">
      <c r="B32" s="471">
        <f ca="1">IF(F32=1,B15,C31)</f>
        <v>337.5</v>
      </c>
      <c r="C32" s="465">
        <f ca="1">ROUND($B$15-SUM($B$31:B32),2)</f>
        <v>0</v>
      </c>
      <c r="D32" s="469">
        <f ca="1">IFERROR(B32/$B$15,"")</f>
        <v>1</v>
      </c>
      <c r="E32" s="472"/>
      <c r="F32" s="470">
        <v>1</v>
      </c>
      <c r="G32" s="470" t="b">
        <f>IF(COUNTA($B$31:B31)-COUNT($B$31:B31)=1,TRUE,FALSE)</f>
        <v>1</v>
      </c>
      <c r="H32" s="470" t="b">
        <f>C31&lt;&gt;0</f>
        <v>1</v>
      </c>
      <c r="I32" s="470">
        <f>H32*G32</f>
        <v>1</v>
      </c>
      <c r="K32" s="7"/>
      <c r="L32" s="7"/>
    </row>
    <row r="33" spans="2:12">
      <c r="B33" s="471">
        <f ca="1">IF(F33=1,B16,C32)</f>
        <v>0</v>
      </c>
      <c r="C33" s="465">
        <f ca="1">ROUND($B$15-SUM($B$31:B33),2)</f>
        <v>0</v>
      </c>
      <c r="D33" s="469">
        <f t="shared" ref="D33:D71" ca="1" si="0">IFERROR(B33/$B$15,"")</f>
        <v>0</v>
      </c>
      <c r="E33" s="472"/>
      <c r="F33" s="470">
        <v>2</v>
      </c>
      <c r="G33" s="470" t="b">
        <f ca="1">IF(COUNTA($B$31:B32)-COUNT($B$31:B32)=1,TRUE,FALSE)</f>
        <v>1</v>
      </c>
      <c r="H33" s="470" t="b">
        <f t="shared" ref="H33:H71" ca="1" si="1">C32&lt;&gt;0</f>
        <v>0</v>
      </c>
      <c r="I33" s="470">
        <f t="shared" ref="I33:I71" ca="1" si="2">H33*G33</f>
        <v>0</v>
      </c>
      <c r="K33" s="7"/>
      <c r="L33" s="7"/>
    </row>
    <row r="34" spans="2:12">
      <c r="B34" s="471">
        <f ca="1">IF(F34=1,B17,C33)</f>
        <v>0</v>
      </c>
      <c r="C34" s="465">
        <f ca="1">ROUND($B$15-SUM($B$31:B34),2)</f>
        <v>0</v>
      </c>
      <c r="D34" s="469">
        <f t="shared" ca="1" si="0"/>
        <v>0</v>
      </c>
      <c r="E34" s="472"/>
      <c r="F34" s="470">
        <v>3</v>
      </c>
      <c r="G34" s="470" t="b">
        <f ca="1">IF(COUNTA($B$31:B33)-COUNT($B$31:B33)=1,TRUE,FALSE)</f>
        <v>1</v>
      </c>
      <c r="H34" s="470" t="b">
        <f t="shared" ca="1" si="1"/>
        <v>0</v>
      </c>
      <c r="I34" s="470">
        <f t="shared" ca="1" si="2"/>
        <v>0</v>
      </c>
      <c r="K34" s="7"/>
      <c r="L34" s="7"/>
    </row>
    <row r="35" spans="2:12">
      <c r="B35" s="471">
        <f ca="1">IF(F35=1,B18,C34)</f>
        <v>0</v>
      </c>
      <c r="C35" s="465">
        <f ca="1">ROUND($B$15-SUM($B$31:B35),2)</f>
        <v>0</v>
      </c>
      <c r="D35" s="469">
        <f t="shared" ca="1" si="0"/>
        <v>0</v>
      </c>
      <c r="E35" s="472"/>
      <c r="F35" s="470">
        <v>4</v>
      </c>
      <c r="G35" s="470" t="b">
        <f ca="1">IF(COUNTA($B$31:B34)-COUNT($B$31:B34)=1,TRUE,FALSE)</f>
        <v>1</v>
      </c>
      <c r="H35" s="470" t="b">
        <f t="shared" ca="1" si="1"/>
        <v>0</v>
      </c>
      <c r="I35" s="470">
        <f t="shared" ca="1" si="2"/>
        <v>0</v>
      </c>
      <c r="K35" s="7"/>
      <c r="L35" s="7"/>
    </row>
    <row r="36" spans="2:12">
      <c r="B36" s="471">
        <f t="shared" ref="B36:B71" ca="1" si="3">IF(F36=1,B20,C35)</f>
        <v>0</v>
      </c>
      <c r="C36" s="465">
        <f ca="1">ROUND($B$15-SUM($B$31:B36),2)</f>
        <v>0</v>
      </c>
      <c r="D36" s="469">
        <f t="shared" ca="1" si="0"/>
        <v>0</v>
      </c>
      <c r="E36" s="472"/>
      <c r="F36" s="470">
        <v>5</v>
      </c>
      <c r="G36" s="470" t="b">
        <f ca="1">IF(COUNTA($B$31:B35)-COUNT($B$31:B35)=1,TRUE,FALSE)</f>
        <v>1</v>
      </c>
      <c r="H36" s="470" t="b">
        <f t="shared" ca="1" si="1"/>
        <v>0</v>
      </c>
      <c r="I36" s="470">
        <f t="shared" ca="1" si="2"/>
        <v>0</v>
      </c>
      <c r="K36" s="7"/>
      <c r="L36" s="7"/>
    </row>
    <row r="37" spans="2:12">
      <c r="B37" s="471">
        <f t="shared" ca="1" si="3"/>
        <v>0</v>
      </c>
      <c r="C37" s="465">
        <f ca="1">ROUND($B$15-SUM($B$31:B37),2)</f>
        <v>0</v>
      </c>
      <c r="D37" s="469">
        <f t="shared" ca="1" si="0"/>
        <v>0</v>
      </c>
      <c r="E37" s="472"/>
      <c r="F37" s="470">
        <v>6</v>
      </c>
      <c r="G37" s="470" t="b">
        <f ca="1">IF(COUNTA($B$31:B36)-COUNT($B$31:B36)=1,TRUE,FALSE)</f>
        <v>1</v>
      </c>
      <c r="H37" s="470" t="b">
        <f t="shared" ca="1" si="1"/>
        <v>0</v>
      </c>
      <c r="I37" s="470">
        <f t="shared" ca="1" si="2"/>
        <v>0</v>
      </c>
      <c r="K37" s="7"/>
      <c r="L37" s="7"/>
    </row>
    <row r="38" spans="2:12">
      <c r="B38" s="471">
        <f t="shared" ca="1" si="3"/>
        <v>0</v>
      </c>
      <c r="C38" s="465">
        <f ca="1">ROUND($B$15-SUM($B$31:B38),2)</f>
        <v>0</v>
      </c>
      <c r="D38" s="469">
        <f t="shared" ca="1" si="0"/>
        <v>0</v>
      </c>
      <c r="E38" s="472"/>
      <c r="F38" s="470">
        <v>7</v>
      </c>
      <c r="G38" s="470" t="b">
        <f ca="1">IF(COUNTA($B$31:B37)-COUNT($B$31:B37)=1,TRUE,FALSE)</f>
        <v>1</v>
      </c>
      <c r="H38" s="470" t="b">
        <f t="shared" ca="1" si="1"/>
        <v>0</v>
      </c>
      <c r="I38" s="470">
        <f t="shared" ca="1" si="2"/>
        <v>0</v>
      </c>
      <c r="K38" s="7"/>
      <c r="L38" s="7"/>
    </row>
    <row r="39" spans="2:12">
      <c r="B39" s="471">
        <f t="shared" ca="1" si="3"/>
        <v>0</v>
      </c>
      <c r="C39" s="465">
        <f ca="1">ROUND($B$15-SUM($B$31:B39),2)</f>
        <v>0</v>
      </c>
      <c r="D39" s="469">
        <f t="shared" ca="1" si="0"/>
        <v>0</v>
      </c>
      <c r="E39" s="472"/>
      <c r="F39" s="470">
        <v>8</v>
      </c>
      <c r="G39" s="470" t="b">
        <f ca="1">IF(COUNTA($B$31:B38)-COUNT($B$31:B38)=1,TRUE,FALSE)</f>
        <v>1</v>
      </c>
      <c r="H39" s="470" t="b">
        <f t="shared" ca="1" si="1"/>
        <v>0</v>
      </c>
      <c r="I39" s="470">
        <f t="shared" ca="1" si="2"/>
        <v>0</v>
      </c>
      <c r="K39" s="7"/>
      <c r="L39" s="7"/>
    </row>
    <row r="40" spans="2:12">
      <c r="B40" s="471">
        <f t="shared" ca="1" si="3"/>
        <v>0</v>
      </c>
      <c r="C40" s="465">
        <f ca="1">ROUND($B$15-SUM($B$31:B40),2)</f>
        <v>0</v>
      </c>
      <c r="D40" s="469">
        <f t="shared" ca="1" si="0"/>
        <v>0</v>
      </c>
      <c r="E40" s="472"/>
      <c r="F40" s="470">
        <v>9</v>
      </c>
      <c r="G40" s="470" t="b">
        <f ca="1">IF(COUNTA($B$31:B39)-COUNT($B$31:B39)=1,TRUE,FALSE)</f>
        <v>1</v>
      </c>
      <c r="H40" s="470" t="b">
        <f t="shared" ca="1" si="1"/>
        <v>0</v>
      </c>
      <c r="I40" s="470">
        <f t="shared" ca="1" si="2"/>
        <v>0</v>
      </c>
      <c r="K40" s="7"/>
      <c r="L40" s="7"/>
    </row>
    <row r="41" spans="2:12">
      <c r="B41" s="471">
        <f t="shared" ca="1" si="3"/>
        <v>0</v>
      </c>
      <c r="C41" s="465">
        <f ca="1">ROUND($B$15-SUM($B$31:B41),2)</f>
        <v>0</v>
      </c>
      <c r="D41" s="469">
        <f t="shared" ca="1" si="0"/>
        <v>0</v>
      </c>
      <c r="E41" s="472"/>
      <c r="F41" s="470">
        <v>10</v>
      </c>
      <c r="G41" s="470" t="b">
        <f ca="1">IF(COUNTA($B$31:B40)-COUNT($B$31:B40)=1,TRUE,FALSE)</f>
        <v>1</v>
      </c>
      <c r="H41" s="470" t="b">
        <f t="shared" ca="1" si="1"/>
        <v>0</v>
      </c>
      <c r="I41" s="470">
        <f t="shared" ca="1" si="2"/>
        <v>0</v>
      </c>
      <c r="K41" s="7"/>
      <c r="L41" s="7"/>
    </row>
    <row r="42" spans="2:12">
      <c r="B42" s="471">
        <f t="shared" ca="1" si="3"/>
        <v>0</v>
      </c>
      <c r="C42" s="465">
        <f ca="1">ROUND($B$15-SUM($B$31:B42),2)</f>
        <v>0</v>
      </c>
      <c r="D42" s="469">
        <f t="shared" ca="1" si="0"/>
        <v>0</v>
      </c>
      <c r="E42" s="472"/>
      <c r="F42" s="470">
        <v>11</v>
      </c>
      <c r="G42" s="470" t="b">
        <f ca="1">IF(COUNTA($B$31:B41)-COUNT($B$31:B41)=1,TRUE,FALSE)</f>
        <v>1</v>
      </c>
      <c r="H42" s="470" t="b">
        <f t="shared" ca="1" si="1"/>
        <v>0</v>
      </c>
      <c r="I42" s="470">
        <f t="shared" ca="1" si="2"/>
        <v>0</v>
      </c>
      <c r="K42" s="7"/>
      <c r="L42" s="7"/>
    </row>
    <row r="43" spans="2:12">
      <c r="B43" s="471">
        <f t="shared" ca="1" si="3"/>
        <v>0</v>
      </c>
      <c r="C43" s="465">
        <f ca="1">ROUND($B$15-SUM($B$31:B43),2)</f>
        <v>0</v>
      </c>
      <c r="D43" s="469">
        <f t="shared" ca="1" si="0"/>
        <v>0</v>
      </c>
      <c r="E43" s="472"/>
      <c r="F43" s="470">
        <v>12</v>
      </c>
      <c r="G43" s="470" t="b">
        <f ca="1">IF(COUNTA($B$31:B42)-COUNT($B$31:B42)=1,TRUE,FALSE)</f>
        <v>1</v>
      </c>
      <c r="H43" s="470" t="b">
        <f t="shared" ca="1" si="1"/>
        <v>0</v>
      </c>
      <c r="I43" s="470">
        <f t="shared" ca="1" si="2"/>
        <v>0</v>
      </c>
      <c r="K43" s="7"/>
      <c r="L43" s="7"/>
    </row>
    <row r="44" spans="2:12">
      <c r="B44" s="471">
        <f t="shared" ca="1" si="3"/>
        <v>0</v>
      </c>
      <c r="C44" s="465">
        <f ca="1">ROUND($B$15-SUM($B$31:B44),2)</f>
        <v>0</v>
      </c>
      <c r="D44" s="469">
        <f t="shared" ca="1" si="0"/>
        <v>0</v>
      </c>
      <c r="E44" s="472"/>
      <c r="F44" s="470">
        <v>13</v>
      </c>
      <c r="G44" s="470" t="b">
        <f ca="1">IF(COUNTA($B$31:B43)-COUNT($B$31:B43)=1,TRUE,FALSE)</f>
        <v>1</v>
      </c>
      <c r="H44" s="470" t="b">
        <f t="shared" ca="1" si="1"/>
        <v>0</v>
      </c>
      <c r="I44" s="470">
        <f t="shared" ca="1" si="2"/>
        <v>0</v>
      </c>
      <c r="K44" s="7"/>
      <c r="L44" s="7"/>
    </row>
    <row r="45" spans="2:12">
      <c r="B45" s="471">
        <f t="shared" ca="1" si="3"/>
        <v>0</v>
      </c>
      <c r="C45" s="465">
        <f ca="1">ROUND($B$15-SUM($B$31:B45),2)</f>
        <v>0</v>
      </c>
      <c r="D45" s="469">
        <f t="shared" ca="1" si="0"/>
        <v>0</v>
      </c>
      <c r="E45" s="472"/>
      <c r="F45" s="470">
        <v>14</v>
      </c>
      <c r="G45" s="470" t="b">
        <f ca="1">IF(COUNTA($B$31:B44)-COUNT($B$31:B44)=1,TRUE,FALSE)</f>
        <v>1</v>
      </c>
      <c r="H45" s="470" t="b">
        <f t="shared" ca="1" si="1"/>
        <v>0</v>
      </c>
      <c r="I45" s="470">
        <f t="shared" ca="1" si="2"/>
        <v>0</v>
      </c>
      <c r="K45" s="7"/>
      <c r="L45" s="7"/>
    </row>
    <row r="46" spans="2:12">
      <c r="B46" s="471">
        <f t="shared" ca="1" si="3"/>
        <v>0</v>
      </c>
      <c r="C46" s="465">
        <f ca="1">ROUND($B$15-SUM($B$31:B46),2)</f>
        <v>0</v>
      </c>
      <c r="D46" s="469">
        <f t="shared" ca="1" si="0"/>
        <v>0</v>
      </c>
      <c r="E46" s="472"/>
      <c r="F46" s="470">
        <v>15</v>
      </c>
      <c r="G46" s="470" t="b">
        <f ca="1">IF(COUNTA($B$31:B45)-COUNT($B$31:B45)=1,TRUE,FALSE)</f>
        <v>1</v>
      </c>
      <c r="H46" s="470" t="b">
        <f t="shared" ca="1" si="1"/>
        <v>0</v>
      </c>
      <c r="I46" s="470">
        <f t="shared" ca="1" si="2"/>
        <v>0</v>
      </c>
      <c r="K46" s="7"/>
      <c r="L46" s="7"/>
    </row>
    <row r="47" spans="2:12">
      <c r="B47" s="471">
        <f t="shared" ca="1" si="3"/>
        <v>0</v>
      </c>
      <c r="C47" s="465">
        <f ca="1">ROUND($B$15-SUM($B$31:B47),2)</f>
        <v>0</v>
      </c>
      <c r="D47" s="469">
        <f t="shared" ca="1" si="0"/>
        <v>0</v>
      </c>
      <c r="E47" s="472"/>
      <c r="F47" s="470">
        <v>16</v>
      </c>
      <c r="G47" s="470" t="b">
        <f ca="1">IF(COUNTA($B$31:B46)-COUNT($B$31:B46)=1,TRUE,FALSE)</f>
        <v>1</v>
      </c>
      <c r="H47" s="470" t="b">
        <f t="shared" ca="1" si="1"/>
        <v>0</v>
      </c>
      <c r="I47" s="470">
        <f t="shared" ca="1" si="2"/>
        <v>0</v>
      </c>
      <c r="K47" s="7"/>
      <c r="L47" s="7"/>
    </row>
    <row r="48" spans="2:12">
      <c r="B48" s="471">
        <f t="shared" ca="1" si="3"/>
        <v>0</v>
      </c>
      <c r="C48" s="465">
        <f ca="1">ROUND($B$15-SUM($B$31:B48),2)</f>
        <v>0</v>
      </c>
      <c r="D48" s="469">
        <f t="shared" ca="1" si="0"/>
        <v>0</v>
      </c>
      <c r="E48" s="472"/>
      <c r="F48" s="470">
        <v>17</v>
      </c>
      <c r="G48" s="470" t="b">
        <f ca="1">IF(COUNTA($B$31:B47)-COUNT($B$31:B47)=1,TRUE,FALSE)</f>
        <v>1</v>
      </c>
      <c r="H48" s="470" t="b">
        <f t="shared" ca="1" si="1"/>
        <v>0</v>
      </c>
      <c r="I48" s="470">
        <f t="shared" ca="1" si="2"/>
        <v>0</v>
      </c>
      <c r="K48" s="7"/>
      <c r="L48" s="7"/>
    </row>
    <row r="49" spans="2:12">
      <c r="B49" s="471">
        <f t="shared" ca="1" si="3"/>
        <v>0</v>
      </c>
      <c r="C49" s="465">
        <f ca="1">ROUND($B$15-SUM($B$31:B49),2)</f>
        <v>0</v>
      </c>
      <c r="D49" s="469">
        <f t="shared" ca="1" si="0"/>
        <v>0</v>
      </c>
      <c r="E49" s="472"/>
      <c r="F49" s="470">
        <v>18</v>
      </c>
      <c r="G49" s="470" t="b">
        <f ca="1">IF(COUNTA($B$31:B48)-COUNT($B$31:B48)=1,TRUE,FALSE)</f>
        <v>1</v>
      </c>
      <c r="H49" s="470" t="b">
        <f t="shared" ca="1" si="1"/>
        <v>0</v>
      </c>
      <c r="I49" s="470">
        <f t="shared" ca="1" si="2"/>
        <v>0</v>
      </c>
      <c r="K49" s="7"/>
      <c r="L49" s="7"/>
    </row>
    <row r="50" spans="2:12">
      <c r="B50" s="471">
        <f t="shared" ca="1" si="3"/>
        <v>0</v>
      </c>
      <c r="C50" s="465">
        <f ca="1">ROUND($B$15-SUM($B$31:B50),2)</f>
        <v>0</v>
      </c>
      <c r="D50" s="469">
        <f t="shared" ca="1" si="0"/>
        <v>0</v>
      </c>
      <c r="E50" s="472"/>
      <c r="F50" s="470">
        <v>19</v>
      </c>
      <c r="G50" s="470" t="b">
        <f ca="1">IF(COUNTA($B$31:B49)-COUNT($B$31:B49)=1,TRUE,FALSE)</f>
        <v>1</v>
      </c>
      <c r="H50" s="470" t="b">
        <f t="shared" ca="1" si="1"/>
        <v>0</v>
      </c>
      <c r="I50" s="470">
        <f t="shared" ca="1" si="2"/>
        <v>0</v>
      </c>
      <c r="K50" s="7"/>
      <c r="L50" s="7"/>
    </row>
    <row r="51" spans="2:12">
      <c r="B51" s="471">
        <f t="shared" ca="1" si="3"/>
        <v>0</v>
      </c>
      <c r="C51" s="465">
        <f ca="1">ROUND($B$15-SUM($B$31:B51),2)</f>
        <v>0</v>
      </c>
      <c r="D51" s="469">
        <f t="shared" ca="1" si="0"/>
        <v>0</v>
      </c>
      <c r="E51" s="472"/>
      <c r="F51" s="470">
        <v>20</v>
      </c>
      <c r="G51" s="470" t="b">
        <f ca="1">IF(COUNTA($B$31:B50)-COUNT($B$31:B50)=1,TRUE,FALSE)</f>
        <v>1</v>
      </c>
      <c r="H51" s="470" t="b">
        <f t="shared" ca="1" si="1"/>
        <v>0</v>
      </c>
      <c r="I51" s="470">
        <f t="shared" ca="1" si="2"/>
        <v>0</v>
      </c>
      <c r="K51" s="7"/>
      <c r="L51" s="7"/>
    </row>
    <row r="52" spans="2:12">
      <c r="B52" s="471">
        <f t="shared" ca="1" si="3"/>
        <v>0</v>
      </c>
      <c r="C52" s="465">
        <f ca="1">ROUND($B$15-SUM($B$31:B52),2)</f>
        <v>0</v>
      </c>
      <c r="D52" s="469">
        <f t="shared" ca="1" si="0"/>
        <v>0</v>
      </c>
      <c r="E52" s="472"/>
      <c r="F52" s="470">
        <v>21</v>
      </c>
      <c r="G52" s="470" t="b">
        <f ca="1">IF(COUNTA($B$31:B51)-COUNT($B$31:B51)=1,TRUE,FALSE)</f>
        <v>1</v>
      </c>
      <c r="H52" s="470" t="b">
        <f t="shared" ca="1" si="1"/>
        <v>0</v>
      </c>
      <c r="I52" s="470">
        <f t="shared" ca="1" si="2"/>
        <v>0</v>
      </c>
      <c r="K52" s="7"/>
      <c r="L52" s="7"/>
    </row>
    <row r="53" spans="2:12">
      <c r="B53" s="471">
        <f t="shared" ca="1" si="3"/>
        <v>0</v>
      </c>
      <c r="C53" s="465">
        <f ca="1">ROUND($B$15-SUM($B$31:B53),2)</f>
        <v>0</v>
      </c>
      <c r="D53" s="469">
        <f t="shared" ca="1" si="0"/>
        <v>0</v>
      </c>
      <c r="E53" s="472"/>
      <c r="F53" s="470">
        <v>22</v>
      </c>
      <c r="G53" s="470" t="b">
        <f ca="1">IF(COUNTA($B$31:B52)-COUNT($B$31:B52)=1,TRUE,FALSE)</f>
        <v>1</v>
      </c>
      <c r="H53" s="470" t="b">
        <f t="shared" ca="1" si="1"/>
        <v>0</v>
      </c>
      <c r="I53" s="470">
        <f t="shared" ca="1" si="2"/>
        <v>0</v>
      </c>
      <c r="K53" s="7"/>
      <c r="L53" s="7"/>
    </row>
    <row r="54" spans="2:12">
      <c r="B54" s="471">
        <f t="shared" ca="1" si="3"/>
        <v>0</v>
      </c>
      <c r="C54" s="465">
        <f ca="1">ROUND($B$15-SUM($B$31:B54),2)</f>
        <v>0</v>
      </c>
      <c r="D54" s="469">
        <f t="shared" ca="1" si="0"/>
        <v>0</v>
      </c>
      <c r="E54" s="472"/>
      <c r="F54" s="470">
        <v>23</v>
      </c>
      <c r="G54" s="470" t="b">
        <f ca="1">IF(COUNTA($B$31:B53)-COUNT($B$31:B53)=1,TRUE,FALSE)</f>
        <v>1</v>
      </c>
      <c r="H54" s="470" t="b">
        <f t="shared" ca="1" si="1"/>
        <v>0</v>
      </c>
      <c r="I54" s="470">
        <f t="shared" ca="1" si="2"/>
        <v>0</v>
      </c>
      <c r="K54" s="7"/>
      <c r="L54" s="7"/>
    </row>
    <row r="55" spans="2:12">
      <c r="B55" s="471">
        <f t="shared" ca="1" si="3"/>
        <v>0</v>
      </c>
      <c r="C55" s="465">
        <f ca="1">ROUND($B$15-SUM($B$31:B55),2)</f>
        <v>0</v>
      </c>
      <c r="D55" s="469">
        <f t="shared" ca="1" si="0"/>
        <v>0</v>
      </c>
      <c r="E55" s="472"/>
      <c r="F55" s="470">
        <v>24</v>
      </c>
      <c r="G55" s="470" t="b">
        <f ca="1">IF(COUNTA($B$31:B54)-COUNT($B$31:B54)=1,TRUE,FALSE)</f>
        <v>1</v>
      </c>
      <c r="H55" s="470" t="b">
        <f t="shared" ca="1" si="1"/>
        <v>0</v>
      </c>
      <c r="I55" s="470">
        <f t="shared" ca="1" si="2"/>
        <v>0</v>
      </c>
      <c r="K55" s="7"/>
      <c r="L55" s="7"/>
    </row>
    <row r="56" spans="2:12">
      <c r="B56" s="471">
        <f t="shared" ca="1" si="3"/>
        <v>0</v>
      </c>
      <c r="C56" s="465">
        <f ca="1">ROUND($B$15-SUM($B$31:B56),2)</f>
        <v>0</v>
      </c>
      <c r="D56" s="469">
        <f t="shared" ca="1" si="0"/>
        <v>0</v>
      </c>
      <c r="E56" s="472"/>
      <c r="F56" s="470">
        <v>25</v>
      </c>
      <c r="G56" s="470" t="b">
        <f ca="1">IF(COUNTA($B$31:B55)-COUNT($B$31:B55)=1,TRUE,FALSE)</f>
        <v>1</v>
      </c>
      <c r="H56" s="470" t="b">
        <f t="shared" ca="1" si="1"/>
        <v>0</v>
      </c>
      <c r="I56" s="470">
        <f t="shared" ca="1" si="2"/>
        <v>0</v>
      </c>
      <c r="K56" s="7"/>
      <c r="L56" s="7"/>
    </row>
    <row r="57" spans="2:12">
      <c r="B57" s="471">
        <f t="shared" ca="1" si="3"/>
        <v>0</v>
      </c>
      <c r="C57" s="465">
        <f ca="1">ROUND($B$15-SUM($B$31:B57),2)</f>
        <v>0</v>
      </c>
      <c r="D57" s="469">
        <f t="shared" ca="1" si="0"/>
        <v>0</v>
      </c>
      <c r="E57" s="472"/>
      <c r="F57" s="470">
        <v>26</v>
      </c>
      <c r="G57" s="470" t="b">
        <f ca="1">IF(COUNTA($B$31:B56)-COUNT($B$31:B56)=1,TRUE,FALSE)</f>
        <v>1</v>
      </c>
      <c r="H57" s="470" t="b">
        <f t="shared" ca="1" si="1"/>
        <v>0</v>
      </c>
      <c r="I57" s="470">
        <f t="shared" ca="1" si="2"/>
        <v>0</v>
      </c>
      <c r="K57" s="7"/>
      <c r="L57" s="7"/>
    </row>
    <row r="58" spans="2:12">
      <c r="B58" s="471">
        <f t="shared" ca="1" si="3"/>
        <v>0</v>
      </c>
      <c r="C58" s="465">
        <f ca="1">ROUND($B$15-SUM($B$31:B58),2)</f>
        <v>0</v>
      </c>
      <c r="D58" s="469">
        <f t="shared" ca="1" si="0"/>
        <v>0</v>
      </c>
      <c r="E58" s="472"/>
      <c r="F58" s="470">
        <v>27</v>
      </c>
      <c r="G58" s="470" t="b">
        <f ca="1">IF(COUNTA($B$31:B57)-COUNT($B$31:B57)=1,TRUE,FALSE)</f>
        <v>1</v>
      </c>
      <c r="H58" s="470" t="b">
        <f t="shared" ca="1" si="1"/>
        <v>0</v>
      </c>
      <c r="I58" s="470">
        <f t="shared" ca="1" si="2"/>
        <v>0</v>
      </c>
      <c r="K58" s="7"/>
      <c r="L58" s="7"/>
    </row>
    <row r="59" spans="2:12">
      <c r="B59" s="471">
        <f t="shared" ca="1" si="3"/>
        <v>0</v>
      </c>
      <c r="C59" s="465">
        <f ca="1">ROUND($B$15-SUM($B$31:B59),2)</f>
        <v>0</v>
      </c>
      <c r="D59" s="469">
        <f t="shared" ca="1" si="0"/>
        <v>0</v>
      </c>
      <c r="E59" s="472"/>
      <c r="F59" s="470">
        <v>28</v>
      </c>
      <c r="G59" s="470" t="b">
        <f ca="1">IF(COUNTA($B$31:B58)-COUNT($B$31:B58)=1,TRUE,FALSE)</f>
        <v>1</v>
      </c>
      <c r="H59" s="470" t="b">
        <f t="shared" ca="1" si="1"/>
        <v>0</v>
      </c>
      <c r="I59" s="470">
        <f t="shared" ca="1" si="2"/>
        <v>0</v>
      </c>
      <c r="K59" s="7"/>
      <c r="L59" s="7"/>
    </row>
    <row r="60" spans="2:12">
      <c r="B60" s="471">
        <f t="shared" ca="1" si="3"/>
        <v>0</v>
      </c>
      <c r="C60" s="465">
        <f ca="1">ROUND($B$15-SUM($B$31:B60),2)</f>
        <v>0</v>
      </c>
      <c r="D60" s="469">
        <f t="shared" ca="1" si="0"/>
        <v>0</v>
      </c>
      <c r="E60" s="472"/>
      <c r="F60" s="470">
        <v>29</v>
      </c>
      <c r="G60" s="470" t="b">
        <f ca="1">IF(COUNTA($B$31:B59)-COUNT($B$31:B59)=1,TRUE,FALSE)</f>
        <v>1</v>
      </c>
      <c r="H60" s="470" t="b">
        <f t="shared" ca="1" si="1"/>
        <v>0</v>
      </c>
      <c r="I60" s="470">
        <f t="shared" ca="1" si="2"/>
        <v>0</v>
      </c>
      <c r="K60" s="7"/>
      <c r="L60" s="7"/>
    </row>
    <row r="61" spans="2:12">
      <c r="B61" s="471">
        <f t="shared" ca="1" si="3"/>
        <v>0</v>
      </c>
      <c r="C61" s="465">
        <f ca="1">ROUND($B$15-SUM($B$31:B61),2)</f>
        <v>0</v>
      </c>
      <c r="D61" s="469">
        <f t="shared" ca="1" si="0"/>
        <v>0</v>
      </c>
      <c r="E61" s="472"/>
      <c r="F61" s="470">
        <v>30</v>
      </c>
      <c r="G61" s="470" t="b">
        <f ca="1">IF(COUNTA($B$31:B60)-COUNT($B$31:B60)=1,TRUE,FALSE)</f>
        <v>1</v>
      </c>
      <c r="H61" s="470" t="b">
        <f t="shared" ca="1" si="1"/>
        <v>0</v>
      </c>
      <c r="I61" s="470">
        <f t="shared" ca="1" si="2"/>
        <v>0</v>
      </c>
      <c r="K61" s="7"/>
      <c r="L61" s="7"/>
    </row>
    <row r="62" spans="2:12">
      <c r="B62" s="471">
        <f t="shared" ca="1" si="3"/>
        <v>0</v>
      </c>
      <c r="C62" s="465">
        <f ca="1">ROUND($B$15-SUM($B$31:B62),2)</f>
        <v>0</v>
      </c>
      <c r="D62" s="469">
        <f t="shared" ca="1" si="0"/>
        <v>0</v>
      </c>
      <c r="E62" s="472"/>
      <c r="F62" s="470">
        <v>31</v>
      </c>
      <c r="G62" s="470" t="b">
        <f ca="1">IF(COUNTA($B$31:B61)-COUNT($B$31:B61)=1,TRUE,FALSE)</f>
        <v>1</v>
      </c>
      <c r="H62" s="470" t="b">
        <f t="shared" ca="1" si="1"/>
        <v>0</v>
      </c>
      <c r="I62" s="470">
        <f t="shared" ca="1" si="2"/>
        <v>0</v>
      </c>
      <c r="K62" s="7"/>
      <c r="L62" s="7"/>
    </row>
    <row r="63" spans="2:12">
      <c r="B63" s="471">
        <f t="shared" ca="1" si="3"/>
        <v>0</v>
      </c>
      <c r="C63" s="465">
        <f ca="1">ROUND($B$15-SUM($B$31:B63),2)</f>
        <v>0</v>
      </c>
      <c r="D63" s="469">
        <f t="shared" ca="1" si="0"/>
        <v>0</v>
      </c>
      <c r="E63" s="472"/>
      <c r="F63" s="470">
        <v>32</v>
      </c>
      <c r="G63" s="470" t="b">
        <f ca="1">IF(COUNTA($B$31:B62)-COUNT($B$31:B62)=1,TRUE,FALSE)</f>
        <v>1</v>
      </c>
      <c r="H63" s="470" t="b">
        <f t="shared" ca="1" si="1"/>
        <v>0</v>
      </c>
      <c r="I63" s="470">
        <f t="shared" ca="1" si="2"/>
        <v>0</v>
      </c>
      <c r="K63" s="7"/>
      <c r="L63" s="7"/>
    </row>
    <row r="64" spans="2:12">
      <c r="B64" s="471">
        <f t="shared" ca="1" si="3"/>
        <v>0</v>
      </c>
      <c r="C64" s="465">
        <f ca="1">ROUND($B$15-SUM($B$31:B64),2)</f>
        <v>0</v>
      </c>
      <c r="D64" s="469">
        <f t="shared" ca="1" si="0"/>
        <v>0</v>
      </c>
      <c r="E64" s="472"/>
      <c r="F64" s="470">
        <v>33</v>
      </c>
      <c r="G64" s="470" t="b">
        <f ca="1">IF(COUNTA($B$31:B63)-COUNT($B$31:B63)=1,TRUE,FALSE)</f>
        <v>1</v>
      </c>
      <c r="H64" s="470" t="b">
        <f t="shared" ca="1" si="1"/>
        <v>0</v>
      </c>
      <c r="I64" s="470">
        <f t="shared" ca="1" si="2"/>
        <v>0</v>
      </c>
      <c r="K64" s="7"/>
      <c r="L64" s="7"/>
    </row>
    <row r="65" spans="2:12">
      <c r="B65" s="471">
        <f t="shared" ca="1" si="3"/>
        <v>0</v>
      </c>
      <c r="C65" s="465">
        <f ca="1">ROUND($B$15-SUM($B$31:B65),2)</f>
        <v>0</v>
      </c>
      <c r="D65" s="469">
        <f t="shared" ca="1" si="0"/>
        <v>0</v>
      </c>
      <c r="E65" s="472"/>
      <c r="F65" s="470">
        <v>34</v>
      </c>
      <c r="G65" s="470" t="b">
        <f ca="1">IF(COUNTA($B$31:B64)-COUNT($B$31:B64)=1,TRUE,FALSE)</f>
        <v>1</v>
      </c>
      <c r="H65" s="470" t="b">
        <f t="shared" ca="1" si="1"/>
        <v>0</v>
      </c>
      <c r="I65" s="470">
        <f t="shared" ca="1" si="2"/>
        <v>0</v>
      </c>
      <c r="K65" s="7"/>
      <c r="L65" s="7"/>
    </row>
    <row r="66" spans="2:12">
      <c r="B66" s="471">
        <f t="shared" ca="1" si="3"/>
        <v>0</v>
      </c>
      <c r="C66" s="465">
        <f ca="1">ROUND($B$15-SUM($B$31:B66),2)</f>
        <v>0</v>
      </c>
      <c r="D66" s="469">
        <f t="shared" ca="1" si="0"/>
        <v>0</v>
      </c>
      <c r="E66" s="472"/>
      <c r="F66" s="470">
        <v>35</v>
      </c>
      <c r="G66" s="470" t="b">
        <f ca="1">IF(COUNTA($B$31:B65)-COUNT($B$31:B65)=1,TRUE,FALSE)</f>
        <v>1</v>
      </c>
      <c r="H66" s="470" t="b">
        <f t="shared" ca="1" si="1"/>
        <v>0</v>
      </c>
      <c r="I66" s="470">
        <f t="shared" ca="1" si="2"/>
        <v>0</v>
      </c>
      <c r="K66" s="7"/>
      <c r="L66" s="7"/>
    </row>
    <row r="67" spans="2:12">
      <c r="B67" s="471">
        <f t="shared" ca="1" si="3"/>
        <v>0</v>
      </c>
      <c r="C67" s="465">
        <f ca="1">ROUND($B$15-SUM($B$31:B67),2)</f>
        <v>0</v>
      </c>
      <c r="D67" s="469">
        <f t="shared" ca="1" si="0"/>
        <v>0</v>
      </c>
      <c r="E67" s="472"/>
      <c r="F67" s="470">
        <v>36</v>
      </c>
      <c r="G67" s="470" t="b">
        <f ca="1">IF(COUNTA($B$31:B66)-COUNT($B$31:B66)=1,TRUE,FALSE)</f>
        <v>1</v>
      </c>
      <c r="H67" s="470" t="b">
        <f t="shared" ca="1" si="1"/>
        <v>0</v>
      </c>
      <c r="I67" s="470">
        <f t="shared" ca="1" si="2"/>
        <v>0</v>
      </c>
      <c r="K67" s="7"/>
      <c r="L67" s="7"/>
    </row>
    <row r="68" spans="2:12">
      <c r="B68" s="471">
        <f t="shared" ca="1" si="3"/>
        <v>0</v>
      </c>
      <c r="C68" s="465">
        <f ca="1">ROUND($B$15-SUM($B$31:B68),2)</f>
        <v>0</v>
      </c>
      <c r="D68" s="469">
        <f t="shared" ca="1" si="0"/>
        <v>0</v>
      </c>
      <c r="E68" s="472"/>
      <c r="F68" s="470">
        <v>37</v>
      </c>
      <c r="G68" s="470" t="b">
        <f ca="1">IF(COUNTA($B$31:B67)-COUNT($B$31:B67)=1,TRUE,FALSE)</f>
        <v>1</v>
      </c>
      <c r="H68" s="470" t="b">
        <f t="shared" ca="1" si="1"/>
        <v>0</v>
      </c>
      <c r="I68" s="470">
        <f t="shared" ca="1" si="2"/>
        <v>0</v>
      </c>
      <c r="K68" s="7"/>
      <c r="L68" s="7"/>
    </row>
    <row r="69" spans="2:12">
      <c r="B69" s="471">
        <f t="shared" ca="1" si="3"/>
        <v>0</v>
      </c>
      <c r="C69" s="465">
        <f ca="1">ROUND($B$15-SUM($B$31:B69),2)</f>
        <v>0</v>
      </c>
      <c r="D69" s="469">
        <f t="shared" ca="1" si="0"/>
        <v>0</v>
      </c>
      <c r="E69" s="472"/>
      <c r="F69" s="470">
        <v>38</v>
      </c>
      <c r="G69" s="470" t="b">
        <f ca="1">IF(COUNTA($B$31:B68)-COUNT($B$31:B68)=1,TRUE,FALSE)</f>
        <v>1</v>
      </c>
      <c r="H69" s="470" t="b">
        <f t="shared" ca="1" si="1"/>
        <v>0</v>
      </c>
      <c r="I69" s="470">
        <f t="shared" ca="1" si="2"/>
        <v>0</v>
      </c>
      <c r="K69" s="7"/>
      <c r="L69" s="7"/>
    </row>
    <row r="70" spans="2:12">
      <c r="B70" s="471">
        <f t="shared" ca="1" si="3"/>
        <v>0</v>
      </c>
      <c r="C70" s="465">
        <f ca="1">ROUND($B$15-SUM($B$31:B70),2)</f>
        <v>0</v>
      </c>
      <c r="D70" s="469">
        <f t="shared" ca="1" si="0"/>
        <v>0</v>
      </c>
      <c r="E70" s="472"/>
      <c r="F70" s="470">
        <v>39</v>
      </c>
      <c r="G70" s="470" t="b">
        <f ca="1">IF(COUNTA($B$31:B69)-COUNT($B$31:B69)=1,TRUE,FALSE)</f>
        <v>1</v>
      </c>
      <c r="H70" s="470" t="b">
        <f t="shared" ca="1" si="1"/>
        <v>0</v>
      </c>
      <c r="I70" s="470">
        <f t="shared" ca="1" si="2"/>
        <v>0</v>
      </c>
      <c r="K70" s="7"/>
      <c r="L70" s="7"/>
    </row>
    <row r="71" spans="2:12">
      <c r="B71" s="471">
        <f t="shared" ca="1" si="3"/>
        <v>0</v>
      </c>
      <c r="C71" s="465">
        <f ca="1">ROUND($B$15-SUM($B$31:B71),2)</f>
        <v>0</v>
      </c>
      <c r="D71" s="469">
        <f t="shared" ca="1" si="0"/>
        <v>0</v>
      </c>
      <c r="E71" s="472"/>
      <c r="F71" s="470">
        <v>40</v>
      </c>
      <c r="G71" s="470" t="b">
        <f ca="1">IF(COUNTA($B$31:B70)-COUNT($B$31:B70)=1,TRUE,FALSE)</f>
        <v>1</v>
      </c>
      <c r="H71" s="470" t="b">
        <f t="shared" ca="1" si="1"/>
        <v>0</v>
      </c>
      <c r="I71" s="470">
        <f t="shared" ca="1" si="2"/>
        <v>0</v>
      </c>
      <c r="K71" s="7"/>
      <c r="L71" s="7"/>
    </row>
    <row r="72" spans="2:12">
      <c r="K72" s="7"/>
      <c r="L72" s="7"/>
    </row>
    <row r="73" spans="2:12">
      <c r="K73" s="7"/>
      <c r="L73" s="7"/>
    </row>
    <row r="74" spans="2:12">
      <c r="K74" s="7"/>
      <c r="L74" s="7"/>
    </row>
    <row r="75" spans="2:12">
      <c r="K75" s="7"/>
      <c r="L75" s="7"/>
    </row>
  </sheetData>
  <sheetProtection algorithmName="SHA-512" hashValue="CtTaA+/iLzT0il17MzUzLcB+NSv2Ql3S9hg1y2IYanxCs1lA6EhGYYjk/m48mVet+yVckF9YhidQz8ny2msaMA==" saltValue="5+fu+PkPLW2bV94xolRTpw==" spinCount="100000" sheet="1"/>
  <phoneticPr fontId="13" type="noConversion"/>
  <conditionalFormatting sqref="A29">
    <cfRule type="expression" dxfId="73" priority="1">
      <formula>$B$21="Fixed Fee"</formula>
    </cfRule>
  </conditionalFormatting>
  <conditionalFormatting sqref="A32:I71">
    <cfRule type="expression" dxfId="72" priority="5" stopIfTrue="1">
      <formula>$I32&lt;&gt;1</formula>
    </cfRule>
  </conditionalFormatting>
  <conditionalFormatting sqref="B32:B71">
    <cfRule type="expression" dxfId="71" priority="4">
      <formula>I32=1</formula>
    </cfRule>
  </conditionalFormatting>
  <conditionalFormatting sqref="E8:E24 E26 E28:E30 A31:I71">
    <cfRule type="expression" dxfId="70" priority="2" stopIfTrue="1">
      <formula>$B$21&lt;&gt;"Fixed Fee"</formula>
    </cfRule>
  </conditionalFormatting>
  <conditionalFormatting sqref="E32:E71">
    <cfRule type="expression" dxfId="69" priority="6">
      <formula>AND(H32=TRUE,E32="",I32=1)</formula>
    </cfRule>
  </conditionalFormatting>
  <dataValidations count="1">
    <dataValidation type="decimal" operator="lessThanOrEqual" allowBlank="1" showInputMessage="1" showErrorMessage="1" sqref="B32:B71" xr:uid="{621BA7FA-BDEB-42F7-AA29-2009AE58D1CF}">
      <formula1>C31</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C397C-E74D-443E-AD6B-DF4F7B8B96C9}">
  <sheetPr codeName="Sheet9">
    <tabColor theme="5" tint="-0.249977111117893"/>
  </sheetPr>
  <dimension ref="A1:K78"/>
  <sheetViews>
    <sheetView showGridLines="0" zoomScale="50" zoomScaleNormal="50" workbookViewId="0"/>
  </sheetViews>
  <sheetFormatPr defaultColWidth="8.69921875" defaultRowHeight="15"/>
  <cols>
    <col min="1" max="1" width="56.69921875" style="164" bestFit="1" customWidth="1"/>
    <col min="2" max="2" width="19.8984375" style="164" customWidth="1"/>
    <col min="3" max="3" width="8.69921875" style="164"/>
    <col min="4" max="4" width="63.19921875" style="164" customWidth="1"/>
    <col min="5" max="5" width="19.8984375" style="164" customWidth="1"/>
    <col min="6" max="16384" width="8.69921875" style="164"/>
  </cols>
  <sheetData>
    <row r="1" spans="1:11" s="162" customFormat="1">
      <c r="A1" s="164"/>
      <c r="D1" s="178"/>
      <c r="E1" s="178"/>
      <c r="F1" s="178"/>
      <c r="G1" s="178"/>
      <c r="H1" s="178"/>
      <c r="I1" s="178"/>
      <c r="J1" s="163"/>
      <c r="K1" s="163"/>
    </row>
    <row r="2" spans="1:11" s="162" customFormat="1">
      <c r="D2" s="178"/>
      <c r="E2" s="178"/>
      <c r="F2" s="178"/>
      <c r="G2" s="178"/>
      <c r="H2" s="178"/>
      <c r="I2" s="178"/>
      <c r="J2" s="163"/>
      <c r="K2" s="163"/>
    </row>
    <row r="3" spans="1:11" s="162" customFormat="1">
      <c r="D3" s="178"/>
      <c r="E3" s="178"/>
      <c r="F3" s="178"/>
      <c r="G3" s="178"/>
      <c r="H3" s="178"/>
      <c r="I3" s="178"/>
      <c r="J3" s="163"/>
      <c r="K3" s="163"/>
    </row>
    <row r="4" spans="1:11" s="162" customFormat="1">
      <c r="D4" s="178"/>
      <c r="E4" s="178"/>
      <c r="F4" s="178"/>
      <c r="G4" s="178"/>
      <c r="H4" s="178"/>
      <c r="I4" s="178"/>
      <c r="J4" s="163"/>
      <c r="K4" s="163"/>
    </row>
    <row r="5" spans="1:11" s="162" customFormat="1">
      <c r="D5" s="178"/>
      <c r="E5" s="178"/>
      <c r="F5" s="178"/>
      <c r="G5" s="178"/>
      <c r="H5" s="178"/>
      <c r="I5" s="178"/>
      <c r="J5" s="163"/>
      <c r="K5" s="163"/>
    </row>
    <row r="6" spans="1:11" s="162" customFormat="1" ht="22.8">
      <c r="A6" s="20" t="s">
        <v>431</v>
      </c>
      <c r="K6" s="165"/>
    </row>
    <row r="8" spans="1:11" ht="16.2" thickBot="1">
      <c r="A8" s="151" t="s">
        <v>391</v>
      </c>
    </row>
    <row r="9" spans="1:11" ht="15" customHeight="1">
      <c r="A9" s="338" t="s">
        <v>339</v>
      </c>
      <c r="B9" s="339"/>
      <c r="D9" s="770" t="s">
        <v>513</v>
      </c>
      <c r="E9" s="771"/>
      <c r="F9" s="772"/>
    </row>
    <row r="10" spans="1:11" ht="15.6" customHeight="1">
      <c r="A10" s="340" t="s">
        <v>218</v>
      </c>
      <c r="B10" s="341" t="b">
        <f>IF('Project Technical Tasks'!B9="",FALSE,TRUE)</f>
        <v>0</v>
      </c>
      <c r="D10" s="773"/>
      <c r="E10" s="774"/>
      <c r="F10" s="775"/>
    </row>
    <row r="11" spans="1:11" ht="15.6" customHeight="1">
      <c r="A11" s="340" t="s">
        <v>219</v>
      </c>
      <c r="B11" s="341" t="b">
        <f>IF('Project Technical Tasks'!B10="",FALSE,TRUE)</f>
        <v>0</v>
      </c>
      <c r="D11" s="773"/>
      <c r="E11" s="774"/>
      <c r="F11" s="775"/>
    </row>
    <row r="12" spans="1:11" ht="15.6" customHeight="1">
      <c r="A12" s="340" t="s">
        <v>326</v>
      </c>
      <c r="B12" s="341" t="b">
        <f>IF('Project Technical Tasks'!B11="",FALSE,TRUE)</f>
        <v>0</v>
      </c>
      <c r="D12" s="773"/>
      <c r="E12" s="774"/>
      <c r="F12" s="775"/>
    </row>
    <row r="13" spans="1:11" ht="15.6" customHeight="1">
      <c r="A13" s="340" t="s">
        <v>388</v>
      </c>
      <c r="B13" s="341" t="b">
        <f>NOT('Project Technical Tasks'!B12="")</f>
        <v>1</v>
      </c>
      <c r="D13" s="773"/>
      <c r="E13" s="774"/>
      <c r="F13" s="775"/>
    </row>
    <row r="14" spans="1:11" ht="15.6" customHeight="1">
      <c r="A14" s="340" t="s">
        <v>327</v>
      </c>
      <c r="B14" s="341" t="b">
        <f>IF('Project Technical Tasks'!B13="",FALSE,TRUE)</f>
        <v>0</v>
      </c>
      <c r="D14" s="773"/>
      <c r="E14" s="774"/>
      <c r="F14" s="775"/>
    </row>
    <row r="15" spans="1:11" ht="15.6" customHeight="1">
      <c r="A15" s="340" t="s">
        <v>517</v>
      </c>
      <c r="B15" s="341" t="b">
        <f>IF('Project Technical Tasks'!B14="",FALSE,TRUE)</f>
        <v>0</v>
      </c>
      <c r="D15" s="773"/>
      <c r="E15" s="774"/>
      <c r="F15" s="775"/>
    </row>
    <row r="16" spans="1:11" ht="15.6" customHeight="1">
      <c r="A16" s="340" t="s">
        <v>518</v>
      </c>
      <c r="B16" s="341" t="b">
        <f>IF('Project Technical Tasks'!B15="",FALSE,TRUE)</f>
        <v>0</v>
      </c>
      <c r="D16" s="773"/>
      <c r="E16" s="774"/>
      <c r="F16" s="775"/>
    </row>
    <row r="17" spans="1:6" ht="15.6" customHeight="1">
      <c r="A17" s="340" t="s">
        <v>520</v>
      </c>
      <c r="B17" s="432" t="b">
        <f>IF('Project Technical Tasks'!B16="",FALSE,TRUE)</f>
        <v>0</v>
      </c>
      <c r="D17" s="773"/>
      <c r="E17" s="774"/>
      <c r="F17" s="775"/>
    </row>
    <row r="18" spans="1:6" ht="15.6" customHeight="1">
      <c r="A18" s="164" t="s">
        <v>662</v>
      </c>
      <c r="B18" s="341" t="b">
        <f>'Project Technical Tasks'!B17&lt;&gt;""</f>
        <v>0</v>
      </c>
      <c r="D18" s="773"/>
      <c r="E18" s="774"/>
      <c r="F18" s="775"/>
    </row>
    <row r="19" spans="1:6" ht="15.6" customHeight="1">
      <c r="A19" s="164" t="s">
        <v>663</v>
      </c>
      <c r="B19" s="341" t="b">
        <f>Settings_Hidden!C21&lt;&gt;""</f>
        <v>1</v>
      </c>
      <c r="D19" s="773"/>
      <c r="E19" s="774"/>
      <c r="F19" s="775"/>
    </row>
    <row r="20" spans="1:6" ht="15.6" customHeight="1" thickBot="1">
      <c r="A20" s="164" t="s">
        <v>664</v>
      </c>
      <c r="B20" s="341" t="b">
        <f>'Project Technical Tasks'!B19&lt;&gt;""</f>
        <v>0</v>
      </c>
      <c r="D20" s="776"/>
      <c r="E20" s="777"/>
      <c r="F20" s="778"/>
    </row>
    <row r="21" spans="1:6" ht="15.6" customHeight="1">
      <c r="A21" s="340"/>
      <c r="B21" s="341"/>
    </row>
    <row r="22" spans="1:6" ht="15.6">
      <c r="A22" s="342" t="s">
        <v>529</v>
      </c>
      <c r="B22" s="341"/>
      <c r="D22" s="423"/>
    </row>
    <row r="23" spans="1:6" ht="15.6">
      <c r="A23" s="448" t="s">
        <v>536</v>
      </c>
      <c r="B23" s="341" t="b">
        <f>IF(AND('Project Technical Tasks'!B22="Yes",'Project Technical Tasks'!B23=""),FALSE,TRUE)</f>
        <v>1</v>
      </c>
      <c r="D23" s="423"/>
    </row>
    <row r="24" spans="1:6" ht="15.6">
      <c r="A24" s="344"/>
      <c r="B24" s="341"/>
      <c r="D24" s="423"/>
    </row>
    <row r="25" spans="1:6" ht="15.6">
      <c r="A25" s="342" t="s">
        <v>306</v>
      </c>
      <c r="B25" s="341"/>
      <c r="D25" s="423"/>
    </row>
    <row r="26" spans="1:6" ht="15.6">
      <c r="A26" s="340" t="s">
        <v>220</v>
      </c>
      <c r="B26" s="341" t="b">
        <f>IF(1*IF(AND('Project Technical Tasks'!J41="",Settings_Hidden!C182&gt;0),0,1)*IF(AND('Project Technical Tasks'!M41="",Settings_Hidden!C183&gt;0),0,1)*IF(AND('Project Technical Tasks'!P41="",Settings_Hidden!C184&gt;0),0,1)*IF(AND('Project Technical Tasks'!S41="",Settings_Hidden!C185&gt;0),0,1)*IF(AND('Project Technical Tasks'!V41="",Settings_Hidden!C186&gt;0),0,1)=1,TRUE,FALSE)</f>
        <v>1</v>
      </c>
      <c r="D26" s="423"/>
    </row>
    <row r="27" spans="1:6" ht="15.6">
      <c r="A27" s="340" t="s">
        <v>223</v>
      </c>
      <c r="B27" s="341" t="b">
        <f>IF(SUM(Input_Tasks[Data Missing - titles])&gt;0,FALSE,TRUE)</f>
        <v>1</v>
      </c>
      <c r="D27" s="423"/>
    </row>
    <row r="28" spans="1:6" ht="16.2" thickBot="1">
      <c r="A28" s="345" t="s">
        <v>224</v>
      </c>
      <c r="B28" s="346" t="b">
        <f>IF(SUM(Input_Tasks[Data Missing - location])&gt;0,FALSE,TRUE)</f>
        <v>1</v>
      </c>
      <c r="D28" s="423"/>
    </row>
    <row r="29" spans="1:6" ht="15.6">
      <c r="D29" s="423"/>
    </row>
    <row r="30" spans="1:6" ht="16.2" thickBot="1">
      <c r="A30" s="240" t="s">
        <v>392</v>
      </c>
      <c r="B30" s="151"/>
      <c r="D30" s="423"/>
    </row>
    <row r="31" spans="1:6" ht="15.6">
      <c r="A31" s="338" t="s">
        <v>363</v>
      </c>
      <c r="B31" s="339"/>
      <c r="D31" s="423"/>
    </row>
    <row r="32" spans="1:6" ht="15.6">
      <c r="A32" s="340" t="s">
        <v>393</v>
      </c>
      <c r="B32" s="341" t="b">
        <f>NOT(Subcontractors!D9="")</f>
        <v>0</v>
      </c>
      <c r="D32" s="423"/>
    </row>
    <row r="33" spans="1:4" ht="15.6">
      <c r="A33" s="340" t="s">
        <v>394</v>
      </c>
      <c r="B33" s="341" t="b">
        <f>Subcontractors!D9="Yes"</f>
        <v>0</v>
      </c>
      <c r="D33" s="423"/>
    </row>
    <row r="34" spans="1:4" ht="15.6">
      <c r="A34" s="340"/>
      <c r="B34" s="341"/>
      <c r="D34" s="423"/>
    </row>
    <row r="35" spans="1:4" ht="15.6">
      <c r="A35" s="342" t="s">
        <v>359</v>
      </c>
      <c r="B35" s="341"/>
      <c r="D35" s="423"/>
    </row>
    <row r="36" spans="1:4" ht="15.6">
      <c r="A36" s="340" t="s">
        <v>395</v>
      </c>
      <c r="B36" s="341" t="b">
        <f>NOT(Subcontractors!B14="")</f>
        <v>0</v>
      </c>
      <c r="D36" s="423"/>
    </row>
    <row r="37" spans="1:4" ht="15.6">
      <c r="A37" s="340" t="s">
        <v>396</v>
      </c>
      <c r="B37" s="341" t="b">
        <f>OR(COUNTIF(Subcontractors!B14:L14,"")&lt;1,COUNTIF(Subcontractors!B14:L14,"")&gt;9)</f>
        <v>1</v>
      </c>
      <c r="D37" s="423"/>
    </row>
    <row r="38" spans="1:4" ht="15.6">
      <c r="A38" s="340" t="s">
        <v>397</v>
      </c>
      <c r="B38" s="341" t="b">
        <f>OR(COUNTIF(Subcontractors!B15:L15,"")&lt;1,COUNTIF(Subcontractors!B15:L15,"")&gt;9)</f>
        <v>1</v>
      </c>
      <c r="D38" s="423"/>
    </row>
    <row r="39" spans="1:4" ht="15.6">
      <c r="A39" s="340" t="s">
        <v>398</v>
      </c>
      <c r="B39" s="341" t="b">
        <f>OR(COUNTIF(Subcontractors!B16:L16,"")&lt;1,COUNTIF(Subcontractors!B16:L16,"")&gt;9)</f>
        <v>1</v>
      </c>
      <c r="D39" s="423"/>
    </row>
    <row r="40" spans="1:4" ht="15.6">
      <c r="A40" s="340" t="s">
        <v>399</v>
      </c>
      <c r="B40" s="341" t="b">
        <f>OR(COUNTIF(Subcontractors!B17:L17,"")&lt;1,COUNTIF(Subcontractors!B17:L17,"")&gt;9)</f>
        <v>1</v>
      </c>
      <c r="D40" s="423"/>
    </row>
    <row r="41" spans="1:4" ht="15.6">
      <c r="A41" s="340" t="s">
        <v>400</v>
      </c>
      <c r="B41" s="341" t="b">
        <f>OR(COUNTIF(Subcontractors!B18:L18,"")&lt;1,COUNTIF(Subcontractors!B18:L18,"")&gt;9)</f>
        <v>1</v>
      </c>
      <c r="D41" s="423"/>
    </row>
    <row r="42" spans="1:4" ht="15.6">
      <c r="A42" s="340" t="s">
        <v>402</v>
      </c>
      <c r="B42" s="341" t="b">
        <f>NOT(COUNTIF(Table_Subcontractors[[#Data],[#Totals],[Quote Type]],Settings_Hidden!C134)&gt;0)</f>
        <v>1</v>
      </c>
      <c r="D42" s="423"/>
    </row>
    <row r="43" spans="1:4" ht="15.6">
      <c r="A43" s="340"/>
      <c r="B43" s="341"/>
      <c r="D43" s="423"/>
    </row>
    <row r="44" spans="1:4" ht="15.6">
      <c r="A44" s="342" t="s">
        <v>362</v>
      </c>
      <c r="B44" s="341"/>
      <c r="D44" s="423"/>
    </row>
    <row r="45" spans="1:4" ht="16.2" thickBot="1">
      <c r="A45" s="345" t="s">
        <v>401</v>
      </c>
      <c r="B45" s="346" t="b">
        <f>COUNTIF(Subcontractors!$E$23:$E$26,"Yes")=4</f>
        <v>0</v>
      </c>
      <c r="D45" s="423"/>
    </row>
    <row r="46" spans="1:4" ht="15.6">
      <c r="D46" s="423"/>
    </row>
    <row r="47" spans="1:4" ht="16.2" thickBot="1">
      <c r="A47" s="240" t="s">
        <v>403</v>
      </c>
      <c r="D47" s="423"/>
    </row>
    <row r="48" spans="1:4" ht="15.6">
      <c r="A48" s="338" t="s">
        <v>364</v>
      </c>
      <c r="B48" s="339"/>
      <c r="D48" s="423"/>
    </row>
    <row r="49" spans="1:4" ht="15.6">
      <c r="A49" s="340" t="s">
        <v>404</v>
      </c>
      <c r="B49" s="341" t="b">
        <f>NOT(Management!B11="")</f>
        <v>1</v>
      </c>
      <c r="D49" s="423"/>
    </row>
    <row r="50" spans="1:4" ht="15.6">
      <c r="A50" s="340" t="s">
        <v>405</v>
      </c>
      <c r="B50" s="341" t="b">
        <f>NOT(Management!B12="")</f>
        <v>1</v>
      </c>
      <c r="D50" s="423"/>
    </row>
    <row r="51" spans="1:4" ht="15.6">
      <c r="A51" s="343" t="s">
        <v>427</v>
      </c>
      <c r="B51" s="341" t="b">
        <f>IF(OR(AND(NOT(B52=""),NOT(B53="")),AND(Settings_Hidden!C209=FALSE,Settings_Hidden!C218=FALSE)),TRUE,FALSE)</f>
        <v>1</v>
      </c>
      <c r="C51" s="437" t="s">
        <v>527</v>
      </c>
      <c r="D51" s="436" t="s">
        <v>526</v>
      </c>
    </row>
    <row r="52" spans="1:4" ht="15.6">
      <c r="A52" s="344" t="str">
        <f>IF(OR(B51=FALSE,NOT(B52="")),"Approver:  ","")</f>
        <v/>
      </c>
      <c r="B52" s="412"/>
      <c r="D52" s="423"/>
    </row>
    <row r="53" spans="1:4" ht="15.6">
      <c r="A53" s="344" t="str">
        <f>IF(OR(B51=FALSE,NOT(B53="")),"Approved Date:  ","")</f>
        <v/>
      </c>
      <c r="B53" s="375"/>
      <c r="D53" s="423"/>
    </row>
    <row r="54" spans="1:4" ht="15.6">
      <c r="A54" s="340"/>
      <c r="B54" s="341"/>
      <c r="D54" s="423"/>
    </row>
    <row r="55" spans="1:4" ht="15.6" customHeight="1">
      <c r="A55" s="342" t="s">
        <v>850</v>
      </c>
      <c r="B55" s="341"/>
    </row>
    <row r="56" spans="1:4" ht="15.45" customHeight="1">
      <c r="A56" s="340" t="s">
        <v>389</v>
      </c>
      <c r="B56" s="341" t="b">
        <f>Management!B18&gt;0</f>
        <v>0</v>
      </c>
    </row>
    <row r="57" spans="1:4">
      <c r="A57" s="343" t="s">
        <v>390</v>
      </c>
      <c r="B57" s="341" t="b">
        <f>Management!B19&gt;0</f>
        <v>1</v>
      </c>
    </row>
    <row r="58" spans="1:4" ht="15.6">
      <c r="A58" s="343" t="s">
        <v>426</v>
      </c>
      <c r="B58" s="647" t="b">
        <f>IFERROR(IF(OR(AND(NOT(B59=""),NOT(B60="")),Settings_Hidden!C195&lt;2),TRUE,FALSE),"TBD")</f>
        <v>1</v>
      </c>
      <c r="C58" s="437" t="s">
        <v>527</v>
      </c>
      <c r="D58" s="436" t="s">
        <v>526</v>
      </c>
    </row>
    <row r="59" spans="1:4" ht="15.6">
      <c r="A59" s="344" t="str">
        <f>IF(OR(B58=FALSE,NOT(B59="")),"Approver:  ","")</f>
        <v/>
      </c>
      <c r="B59" s="411"/>
      <c r="D59" s="423"/>
    </row>
    <row r="60" spans="1:4" ht="15.6">
      <c r="A60" s="344" t="str">
        <f>IF(OR(B58=FALSE,NOT(B60="")),"Approved Date:  ","")</f>
        <v/>
      </c>
      <c r="B60" s="375"/>
      <c r="D60" s="423"/>
    </row>
    <row r="61" spans="1:4" ht="15.6">
      <c r="A61" s="344"/>
      <c r="B61" s="341"/>
      <c r="D61" s="423"/>
    </row>
    <row r="62" spans="1:4" ht="15.6">
      <c r="A62" s="344"/>
      <c r="B62" s="341"/>
      <c r="D62" s="423"/>
    </row>
    <row r="63" spans="1:4" ht="15.6">
      <c r="A63" s="342" t="s">
        <v>349</v>
      </c>
      <c r="B63" s="341"/>
      <c r="D63" s="423"/>
    </row>
    <row r="64" spans="1:4" ht="15.6">
      <c r="A64" s="340" t="s">
        <v>406</v>
      </c>
      <c r="B64" s="341" t="b" cm="1">
        <f t="array" ref="B64">(SUMPRODUCT(--(Table7[Adjustment]*-1&gt;Table7[Hours Required])))=0</f>
        <v>1</v>
      </c>
      <c r="D64" s="423"/>
    </row>
    <row r="65" spans="1:4" ht="15.6">
      <c r="A65" s="340"/>
      <c r="B65" s="341"/>
      <c r="D65" s="423"/>
    </row>
    <row r="66" spans="1:4">
      <c r="A66" s="342" t="s">
        <v>352</v>
      </c>
      <c r="B66" s="341"/>
    </row>
    <row r="67" spans="1:4" ht="15.6" thickBot="1">
      <c r="A67" s="345" t="s">
        <v>407</v>
      </c>
      <c r="B67" s="346" t="b" cm="1">
        <f t="array" ref="B67">(SUMPRODUCT(IF(Table710[Hours Allocated]&gt;0,1,0),IF(Table710[Description]="",1,0)))=0</f>
        <v>1</v>
      </c>
    </row>
    <row r="69" spans="1:4" ht="16.2" thickBot="1">
      <c r="A69" s="240" t="s">
        <v>408</v>
      </c>
    </row>
    <row r="70" spans="1:4">
      <c r="A70" s="338" t="s">
        <v>252</v>
      </c>
      <c r="B70" s="339"/>
    </row>
    <row r="71" spans="1:4">
      <c r="A71" s="340" t="s">
        <v>409</v>
      </c>
      <c r="B71" s="341" t="b">
        <f>NOT('Project Risk'!E18="")</f>
        <v>0</v>
      </c>
    </row>
    <row r="72" spans="1:4" ht="15.6" thickBot="1">
      <c r="A72" s="345" t="s">
        <v>410</v>
      </c>
      <c r="B72" s="346" t="b">
        <f>IF(AND('Project Risk'!E18="I would like to add Risk",NOT('Project Risk'!E18="")),OR(NOT('Project Risk'!B20=""),NOT('Project Risk'!D20=""),NOT('Project Risk'!B22="")),TRUE)</f>
        <v>1</v>
      </c>
    </row>
    <row r="77" spans="1:4" ht="15.6" thickBot="1"/>
    <row r="78" spans="1:4" ht="16.2" thickBot="1">
      <c r="A78" s="377" t="s">
        <v>428</v>
      </c>
      <c r="B78" s="376" t="b">
        <f>COUNTIF(B10:B32,FALSE)+IF(B33=TRUE,COUNTIF(B36:B45,FALSE),0)+COUNTIF(B48:B73,FALSE)=0</f>
        <v>0</v>
      </c>
    </row>
  </sheetData>
  <sheetProtection algorithmName="SHA-512" hashValue="vNLR1I6XQcB8w72wlv5MxXYDTSqoWVM+/C59ZF7o42q00ZIRDY0fxyXmbWImwz3rMYaFZAehH//yWaNn11HRUw==" saltValue="xp3bYCosSBBcLTXMSiPbVQ==" spinCount="100000" sheet="1"/>
  <mergeCells count="1">
    <mergeCell ref="D9:F20"/>
  </mergeCells>
  <conditionalFormatting sqref="A63">
    <cfRule type="expression" dxfId="68" priority="40">
      <formula>$B$33=FALSE</formula>
    </cfRule>
  </conditionalFormatting>
  <conditionalFormatting sqref="A66">
    <cfRule type="expression" dxfId="67" priority="36">
      <formula>$B$33=FALSE</formula>
    </cfRule>
  </conditionalFormatting>
  <conditionalFormatting sqref="A70">
    <cfRule type="expression" dxfId="66" priority="33">
      <formula>$B$33=FALSE</formula>
    </cfRule>
  </conditionalFormatting>
  <conditionalFormatting sqref="A44:B45">
    <cfRule type="expression" dxfId="65" priority="61">
      <formula>$B$33=FALSE</formula>
    </cfRule>
  </conditionalFormatting>
  <conditionalFormatting sqref="B10:B20">
    <cfRule type="expression" dxfId="64" priority="79">
      <formula>B10=FALSE</formula>
    </cfRule>
    <cfRule type="expression" dxfId="63" priority="80">
      <formula>B10=TRUE</formula>
    </cfRule>
  </conditionalFormatting>
  <conditionalFormatting sqref="B10:B51 B54:B58 B61:B76">
    <cfRule type="expression" dxfId="62" priority="41">
      <formula>A10=""</formula>
    </cfRule>
  </conditionalFormatting>
  <conditionalFormatting sqref="B23">
    <cfRule type="expression" dxfId="61" priority="5">
      <formula>B23=FALSE</formula>
    </cfRule>
    <cfRule type="expression" dxfId="60" priority="6">
      <formula>B23=TRUE</formula>
    </cfRule>
  </conditionalFormatting>
  <conditionalFormatting sqref="B26:B28">
    <cfRule type="expression" dxfId="59" priority="73">
      <formula>B26=FALSE</formula>
    </cfRule>
    <cfRule type="expression" dxfId="58" priority="74">
      <formula>B26=TRUE</formula>
    </cfRule>
  </conditionalFormatting>
  <conditionalFormatting sqref="B32">
    <cfRule type="expression" dxfId="57" priority="68">
      <formula>B32=FALSE</formula>
    </cfRule>
    <cfRule type="expression" dxfId="56" priority="69">
      <formula>B32=TRUE</formula>
    </cfRule>
  </conditionalFormatting>
  <conditionalFormatting sqref="B33">
    <cfRule type="expression" dxfId="55" priority="65">
      <formula>$B$32=TRUE</formula>
    </cfRule>
  </conditionalFormatting>
  <conditionalFormatting sqref="B36:B42">
    <cfRule type="expression" dxfId="54" priority="53">
      <formula>B36=TRUE</formula>
    </cfRule>
    <cfRule type="expression" dxfId="53" priority="54">
      <formula>B36=FALSE</formula>
    </cfRule>
  </conditionalFormatting>
  <conditionalFormatting sqref="B37:B42">
    <cfRule type="expression" dxfId="52" priority="52">
      <formula>$B$33=FALSE</formula>
    </cfRule>
  </conditionalFormatting>
  <conditionalFormatting sqref="B45">
    <cfRule type="expression" dxfId="51" priority="55">
      <formula>$B$33=FALSE</formula>
    </cfRule>
    <cfRule type="expression" dxfId="50" priority="56">
      <formula>B45=TRUE</formula>
    </cfRule>
    <cfRule type="expression" dxfId="49" priority="57">
      <formula>B45=FALSE</formula>
    </cfRule>
  </conditionalFormatting>
  <conditionalFormatting sqref="B49:B51">
    <cfRule type="expression" dxfId="48" priority="16">
      <formula>B49=FALSE</formula>
    </cfRule>
    <cfRule type="expression" dxfId="47" priority="17">
      <formula>B49=TRUE</formula>
    </cfRule>
  </conditionalFormatting>
  <conditionalFormatting sqref="B51">
    <cfRule type="expression" dxfId="46" priority="19">
      <formula>B51=TRUE</formula>
    </cfRule>
    <cfRule type="expression" dxfId="45" priority="20">
      <formula>B51=FALSE</formula>
    </cfRule>
  </conditionalFormatting>
  <conditionalFormatting sqref="B52:B53">
    <cfRule type="expression" dxfId="44" priority="13">
      <formula>$B$51=FALSE</formula>
    </cfRule>
  </conditionalFormatting>
  <conditionalFormatting sqref="B56:B58">
    <cfRule type="expression" dxfId="43" priority="26">
      <formula>B56=FALSE</formula>
    </cfRule>
    <cfRule type="expression" dxfId="42" priority="27">
      <formula>B56=TRUE</formula>
    </cfRule>
  </conditionalFormatting>
  <conditionalFormatting sqref="B58">
    <cfRule type="expression" dxfId="41" priority="70">
      <formula>B58=TRUE</formula>
    </cfRule>
    <cfRule type="expression" dxfId="40" priority="71">
      <formula>B58=FALSE</formula>
    </cfRule>
  </conditionalFormatting>
  <conditionalFormatting sqref="B59:B60">
    <cfRule type="expression" dxfId="39" priority="15">
      <formula>$B$58=FALSE</formula>
    </cfRule>
  </conditionalFormatting>
  <conditionalFormatting sqref="B64">
    <cfRule type="expression" dxfId="38" priority="38">
      <formula>B64=FALSE</formula>
    </cfRule>
    <cfRule type="expression" dxfId="37" priority="39">
      <formula>B64=TRUE</formula>
    </cfRule>
  </conditionalFormatting>
  <conditionalFormatting sqref="B67">
    <cfRule type="expression" dxfId="36" priority="34">
      <formula>B67=FALSE</formula>
    </cfRule>
    <cfRule type="expression" dxfId="35" priority="35">
      <formula>B67=TRUE</formula>
    </cfRule>
  </conditionalFormatting>
  <conditionalFormatting sqref="B71:B72">
    <cfRule type="expression" dxfId="34" priority="28">
      <formula>B71=FALSE</formula>
    </cfRule>
    <cfRule type="expression" dxfId="33" priority="29">
      <formula>B71=TRUE</formula>
    </cfRule>
  </conditionalFormatting>
  <conditionalFormatting sqref="B78">
    <cfRule type="expression" dxfId="32" priority="10">
      <formula>A78=""</formula>
    </cfRule>
    <cfRule type="expression" dxfId="31" priority="11">
      <formula>B78=FALSE</formula>
    </cfRule>
    <cfRule type="expression" dxfId="30" priority="12">
      <formula>B78=TRUE</formula>
    </cfRule>
  </conditionalFormatting>
  <conditionalFormatting sqref="C51:D51 C58:D58">
    <cfRule type="expression" dxfId="29" priority="7">
      <formula>$B51=TRUE</formula>
    </cfRule>
  </conditionalFormatting>
  <conditionalFormatting sqref="E26:E28 A35:B42 A48">
    <cfRule type="expression" dxfId="28" priority="49">
      <formula>$B$33=FALSE</formula>
    </cfRule>
  </conditionalFormatting>
  <dataValidations count="2">
    <dataValidation type="list" allowBlank="1" showInputMessage="1" showErrorMessage="1" sqref="B52 B59" xr:uid="{4D4E1568-DF2D-4B1E-8BD9-65940DD70E2F}">
      <formula1>GM_Approver_List</formula1>
    </dataValidation>
    <dataValidation type="date" errorStyle="information" operator="lessThanOrEqual" allowBlank="1" showInputMessage="1" showErrorMessage="1" errorTitle="Future Date" error="This field is set to accept dates either today, or in the past. Approval should only be entered in after it is granted._x000a__x000a_Proceed?" sqref="B53 B60" xr:uid="{D82D48F7-C1E5-43F2-A442-D34107D89556}">
      <formula1>TODAY()</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249977111117893"/>
  </sheetPr>
  <dimension ref="A1:Q162"/>
  <sheetViews>
    <sheetView showGridLines="0" zoomScale="67" zoomScaleNormal="100" workbookViewId="0"/>
  </sheetViews>
  <sheetFormatPr defaultColWidth="10.69921875" defaultRowHeight="15"/>
  <cols>
    <col min="1" max="1" width="42.5" style="162" customWidth="1"/>
    <col min="2" max="2" width="34.09765625" style="171" customWidth="1"/>
    <col min="3" max="4" width="18.19921875" style="162" customWidth="1"/>
    <col min="5" max="6" width="18.19921875" style="178" customWidth="1"/>
    <col min="7" max="7" width="2.5" style="178" customWidth="1"/>
    <col min="8" max="8" width="18.19921875" style="178" customWidth="1"/>
    <col min="9" max="9" width="18.19921875" style="487" customWidth="1"/>
    <col min="10" max="10" width="14.59765625" style="178" customWidth="1"/>
    <col min="11" max="11" width="36" style="178" customWidth="1"/>
    <col min="12" max="13" width="19.3984375" style="163" customWidth="1"/>
    <col min="14" max="15" width="19.3984375" style="162" customWidth="1"/>
    <col min="16" max="16" width="19.69921875" style="162" customWidth="1"/>
    <col min="17" max="16384" width="10.69921875" style="162"/>
  </cols>
  <sheetData>
    <row r="1" spans="1:16">
      <c r="A1" s="164"/>
      <c r="B1" s="529"/>
      <c r="H1" s="607"/>
      <c r="P1" s="500"/>
    </row>
    <row r="2" spans="1:16">
      <c r="H2" s="607"/>
      <c r="P2" s="500"/>
    </row>
    <row r="3" spans="1:16">
      <c r="H3" s="607"/>
      <c r="P3" s="500"/>
    </row>
    <row r="4" spans="1:16">
      <c r="H4" s="607"/>
      <c r="P4" s="500"/>
    </row>
    <row r="5" spans="1:16">
      <c r="H5" s="607"/>
      <c r="P5" s="500"/>
    </row>
    <row r="6" spans="1:16" ht="22.8">
      <c r="A6" s="20" t="s">
        <v>0</v>
      </c>
      <c r="B6" s="530"/>
      <c r="D6" s="449" t="str">
        <f>Settings_Hidden!B3</f>
        <v>ArchiTech PSE V2027.1</v>
      </c>
      <c r="H6" s="607"/>
      <c r="I6" s="178"/>
      <c r="P6" s="500"/>
    </row>
    <row r="7" spans="1:16" ht="21">
      <c r="A7" s="378" t="str">
        <f>IF(Checklist!B78=FALSE,"This PSE form is not yet complete. Please refer to the Checklist tab for further details.","")</f>
        <v>This PSE form is not yet complete. Please refer to the Checklist tab for further details.</v>
      </c>
      <c r="B7" s="531"/>
      <c r="H7" s="607" t="s">
        <v>429</v>
      </c>
      <c r="I7" s="379"/>
      <c r="P7" s="500"/>
    </row>
    <row r="8" spans="1:16" ht="22.8">
      <c r="A8" s="20" t="str">
        <f>"Quote "&amp;'Project Technical Tasks'!B9&amp;"-"&amp;'Project Technical Tasks'!B11&amp;"/"&amp;'Project Technical Tasks'!B10</f>
        <v>Quote -/</v>
      </c>
      <c r="B8" s="530"/>
      <c r="E8" s="418"/>
      <c r="H8" s="607"/>
      <c r="P8" s="500"/>
    </row>
    <row r="9" spans="1:16" ht="22.8">
      <c r="A9" s="20"/>
      <c r="B9" s="530"/>
      <c r="H9" s="607"/>
      <c r="L9" s="799"/>
      <c r="M9" s="799"/>
      <c r="P9" s="500"/>
    </row>
    <row r="10" spans="1:16" s="151" customFormat="1" ht="15.6">
      <c r="A10" s="179" t="s">
        <v>94</v>
      </c>
      <c r="B10" s="180" t="s">
        <v>59</v>
      </c>
      <c r="C10" s="180" t="s">
        <v>10</v>
      </c>
      <c r="D10" s="180" t="s">
        <v>11</v>
      </c>
      <c r="E10" s="151" t="s">
        <v>164</v>
      </c>
      <c r="F10" s="180" t="s">
        <v>13</v>
      </c>
      <c r="G10" s="180"/>
      <c r="H10" s="608" t="s">
        <v>175</v>
      </c>
      <c r="I10" s="481"/>
      <c r="K10" s="181" t="str">
        <f>Settings_Hidden!C17</f>
        <v>Client Site</v>
      </c>
      <c r="L10" s="181" t="str">
        <f>Settings_Hidden!C18</f>
        <v>Office</v>
      </c>
      <c r="M10" s="182"/>
      <c r="P10" s="501"/>
    </row>
    <row r="11" spans="1:16">
      <c r="A11" s="183" t="str">
        <f>"Resource 1"&amp;IF(ISBLANK('Project Technical Tasks'!$J41),""," - "&amp;'Project Technical Tasks'!$J41)</f>
        <v>Resource 1 - Senior Systems Engineer (Professional Services)</v>
      </c>
      <c r="B11" s="532" t="str">
        <f>IF('Project Technical Tasks'!$J41="","","Time - "&amp;'Project Technical Tasks'!$J41)</f>
        <v>Time - Senior Systems Engineer (Professional Services)</v>
      </c>
      <c r="C11" s="162">
        <f>SUM(Input_Tasks[R1 Business Hours])+'Project Technical Tasks'!D33</f>
        <v>0</v>
      </c>
      <c r="D11" s="162">
        <f>SUM(Input_Tasks[R1 After Hours])</f>
        <v>0</v>
      </c>
      <c r="E11" s="184">
        <f>SUM(Input_Tasks[R1 Cost])+'Project Technical Tasks'!E33</f>
        <v>0</v>
      </c>
      <c r="F11" s="185">
        <f>(SUM(Input_Tasks[R1 Sell])+'Project Technical Tasks'!F33)</f>
        <v>0</v>
      </c>
      <c r="G11" s="186"/>
      <c r="H11" s="609">
        <f>SUM(C11:D11)</f>
        <v>0</v>
      </c>
      <c r="I11" s="491"/>
      <c r="K11" s="188">
        <f>SUMIFS(Input_Tasks[R1 Business Hours],Input_Tasks[R1 Location],Settings_Hidden!$C$17)+SUMIFS(Input_Tasks[R1 After Hours],Input_Tasks[R1 Location],Settings_Hidden!$C$17)</f>
        <v>0</v>
      </c>
      <c r="L11" s="188">
        <f>SUMIFS(Input_Tasks[R1 Business Hours],Input_Tasks[R1 Location],Settings_Hidden!$C$18)+SUMIFS(Input_Tasks[R1 After Hours],Input_Tasks[R1 Location],Settings_Hidden!$C$18)</f>
        <v>0</v>
      </c>
      <c r="M11" s="189"/>
      <c r="P11" s="500" t="str">
        <f>RESOURCE_1_TYPE</f>
        <v>Senior Systems Engineer (Professional Services)</v>
      </c>
    </row>
    <row r="12" spans="1:16">
      <c r="A12" s="183" t="str">
        <f>"Resource 2"&amp;IF(ISBLANK('Project Technical Tasks'!$M41),""," - "&amp;'Project Technical Tasks'!$M41)</f>
        <v>Resource 2</v>
      </c>
      <c r="B12" s="532" t="str">
        <f>IF('Project Technical Tasks'!$M41="","","Time - "&amp;'Project Technical Tasks'!$M41)</f>
        <v/>
      </c>
      <c r="C12" s="162">
        <f>SUM(Input_Tasks[R2 Business Hours])+'Project Technical Tasks'!D34</f>
        <v>0</v>
      </c>
      <c r="D12" s="162">
        <f>SUM(Input_Tasks[R2 After Hours])</f>
        <v>0</v>
      </c>
      <c r="E12" s="184">
        <f>SUM(Input_Tasks[R2 Cost])+'Project Technical Tasks'!E34</f>
        <v>0</v>
      </c>
      <c r="F12" s="185">
        <f>(SUM(Input_Tasks[R2 Sell])+'Project Technical Tasks'!F34)</f>
        <v>0</v>
      </c>
      <c r="G12" s="186"/>
      <c r="H12" s="609">
        <f t="shared" ref="H12:H16" si="0">SUM(C12:D12)</f>
        <v>0</v>
      </c>
      <c r="I12" s="491"/>
      <c r="K12" s="188">
        <f>SUMIFS(Input_Tasks[R2 Business Hours],Input_Tasks[R2 Location],Settings_Hidden!$C$17)+SUMIFS(Input_Tasks[R2 After Hours],Input_Tasks[R2 Location],Settings_Hidden!$C$17)</f>
        <v>0</v>
      </c>
      <c r="L12" s="188">
        <f>SUMIFS(Input_Tasks[R2 Business Hours],Input_Tasks[R2 Location],Settings_Hidden!$C$18)+SUMIFS(Input_Tasks[R1 After Hours],Input_Tasks[R2 Location],Settings_Hidden!$C$18)</f>
        <v>0</v>
      </c>
      <c r="M12" s="189"/>
      <c r="P12" s="500">
        <f>RESOURCE_2_TYPE</f>
        <v>0</v>
      </c>
    </row>
    <row r="13" spans="1:16">
      <c r="A13" s="183" t="str">
        <f>"Resource 3"&amp;IF(ISBLANK('Project Technical Tasks'!$P41),""," - "&amp;'Project Technical Tasks'!$P41)</f>
        <v>Resource 3</v>
      </c>
      <c r="B13" s="532" t="str">
        <f>IF('Project Technical Tasks'!$P41="","","Time - "&amp;'Project Technical Tasks'!$P41)</f>
        <v/>
      </c>
      <c r="C13" s="162">
        <f>SUM(Input_Tasks[R3 Business Hours])+'Project Technical Tasks'!D35</f>
        <v>0</v>
      </c>
      <c r="D13" s="162">
        <f>SUM(Input_Tasks[R3 After Hours])</f>
        <v>0</v>
      </c>
      <c r="E13" s="184">
        <f>SUM(Input_Tasks[R3 Cost])+'Project Technical Tasks'!E35</f>
        <v>0</v>
      </c>
      <c r="F13" s="185">
        <f>(SUM(Input_Tasks[R3 Sell])+'Project Technical Tasks'!F35)</f>
        <v>0</v>
      </c>
      <c r="G13" s="186"/>
      <c r="H13" s="609">
        <f t="shared" si="0"/>
        <v>0</v>
      </c>
      <c r="I13" s="491"/>
      <c r="K13" s="188">
        <f>SUMIFS(Input_Tasks[R3 Business Hours],Input_Tasks[R3 Location],Settings_Hidden!$C$17)+SUMIFS(Input_Tasks[R3 After Hours],Input_Tasks[R3 Location],Settings_Hidden!$C$17)</f>
        <v>0</v>
      </c>
      <c r="L13" s="188">
        <f>SUMIFS(Input_Tasks[R3 Business Hours],Input_Tasks[R3 Location],Settings_Hidden!$C$18)+SUMIFS(Input_Tasks[R3 After Hours],Input_Tasks[R3 Location],Settings_Hidden!$C$18)</f>
        <v>0</v>
      </c>
      <c r="M13" s="189"/>
      <c r="P13" s="500">
        <f>RESOURCE_3_TYPE</f>
        <v>0</v>
      </c>
    </row>
    <row r="14" spans="1:16">
      <c r="A14" s="183" t="str">
        <f>"Resource 4"&amp;IF(ISBLANK('Project Technical Tasks'!$S41),""," - "&amp;'Project Technical Tasks'!$S41)</f>
        <v>Resource 4</v>
      </c>
      <c r="B14" s="532" t="str">
        <f>IF('Project Technical Tasks'!$S41="","","Time - "&amp;'Project Technical Tasks'!$S41)</f>
        <v/>
      </c>
      <c r="C14" s="162">
        <f>SUM(Input_Tasks[R4 Business Hours])+'Project Technical Tasks'!D36</f>
        <v>0</v>
      </c>
      <c r="D14" s="162">
        <f>SUM(Input_Tasks[R4 After Hours])</f>
        <v>0</v>
      </c>
      <c r="E14" s="184">
        <f>SUM(Input_Tasks[R4 Cost])+'Project Technical Tasks'!E36</f>
        <v>0</v>
      </c>
      <c r="F14" s="185">
        <f>(SUM(Input_Tasks[R4 Sell])+'Project Technical Tasks'!F36)</f>
        <v>0</v>
      </c>
      <c r="G14" s="186"/>
      <c r="H14" s="609">
        <f t="shared" si="0"/>
        <v>0</v>
      </c>
      <c r="I14" s="491"/>
      <c r="K14" s="188">
        <f>SUMIFS(Input_Tasks[R4 Business Hours],Input_Tasks[R4 Location],Settings_Hidden!$C$17)+SUMIFS(Input_Tasks[R4 After Hours],Input_Tasks[R4 Location],Settings_Hidden!$C$17)</f>
        <v>0</v>
      </c>
      <c r="L14" s="188">
        <f>SUMIFS(Input_Tasks[R4 Business Hours],Input_Tasks[R4 Location],Settings_Hidden!$C$18)+SUMIFS(Input_Tasks[R4 After Hours],Input_Tasks[R4 Location],Settings_Hidden!$C$18)</f>
        <v>0</v>
      </c>
      <c r="M14" s="189"/>
      <c r="P14" s="500">
        <f>RESOURCE_4_TYPE</f>
        <v>0</v>
      </c>
    </row>
    <row r="15" spans="1:16">
      <c r="A15" s="183" t="str">
        <f>"Resource 5"&amp;IF(ISBLANK('Project Technical Tasks'!$V41),""," - "&amp;'Project Technical Tasks'!$V41)</f>
        <v>Resource 5</v>
      </c>
      <c r="B15" s="532" t="str">
        <f>IF('Project Technical Tasks'!$V41="","","Time - "&amp;'Project Technical Tasks'!$V41)</f>
        <v/>
      </c>
      <c r="C15" s="162">
        <f>SUM(Input_Tasks[R5 Business Hours])+'Project Technical Tasks'!D37</f>
        <v>0</v>
      </c>
      <c r="D15" s="162">
        <f>SUM(Input_Tasks[R5 After Hours])</f>
        <v>0</v>
      </c>
      <c r="E15" s="184">
        <f>SUM(Input_Tasks[R5 Cost])+'Project Technical Tasks'!E37</f>
        <v>0</v>
      </c>
      <c r="F15" s="185">
        <f>(SUM(Input_Tasks[R5 Sell])+'Project Technical Tasks'!F37)</f>
        <v>0</v>
      </c>
      <c r="G15" s="186"/>
      <c r="H15" s="609">
        <f t="shared" si="0"/>
        <v>0</v>
      </c>
      <c r="I15" s="491"/>
      <c r="K15" s="188">
        <f>SUMIFS(Input_Tasks[R5 Business Hours],Input_Tasks[R5 Location],Settings_Hidden!$C$17)+SUMIFS(Input_Tasks[R5 After Hours],Input_Tasks[R5 Location],Settings_Hidden!$C$17)</f>
        <v>0</v>
      </c>
      <c r="L15" s="188">
        <f>SUMIFS(Input_Tasks[R5 Business Hours],Input_Tasks[R5 Location],Settings_Hidden!$C$18)+SUMIFS(Input_Tasks[R5 After Hours],Input_Tasks[R5 Location],Settings_Hidden!$C$18)</f>
        <v>0</v>
      </c>
      <c r="M15" s="189"/>
      <c r="P15" s="500">
        <f>RESOURCE_5_TYPE</f>
        <v>0</v>
      </c>
    </row>
    <row r="16" spans="1:16" ht="15.6" thickBot="1">
      <c r="A16" s="190" t="s">
        <v>141</v>
      </c>
      <c r="B16" s="533"/>
      <c r="C16" s="191">
        <f>SUM(C11:C15)</f>
        <v>0</v>
      </c>
      <c r="D16" s="191">
        <f>SUM(D11:D15)</f>
        <v>0</v>
      </c>
      <c r="E16" s="192">
        <f>SUM(E11:E15)</f>
        <v>0</v>
      </c>
      <c r="F16" s="192">
        <f>SUM(F11:F15)</f>
        <v>0</v>
      </c>
      <c r="G16" s="186"/>
      <c r="H16" s="610">
        <f t="shared" si="0"/>
        <v>0</v>
      </c>
      <c r="I16" s="479"/>
      <c r="J16" s="194"/>
      <c r="K16" s="195"/>
      <c r="M16" s="189"/>
      <c r="P16" s="500"/>
    </row>
    <row r="17" spans="1:16">
      <c r="A17" s="183"/>
      <c r="B17" s="532"/>
      <c r="E17" s="187"/>
      <c r="F17" s="185"/>
      <c r="G17" s="186"/>
      <c r="H17" s="609"/>
      <c r="I17" s="480"/>
      <c r="J17" s="194"/>
      <c r="K17" s="194"/>
      <c r="P17" s="500"/>
    </row>
    <row r="18" spans="1:16" ht="15.6">
      <c r="A18" s="179" t="s">
        <v>486</v>
      </c>
      <c r="H18" s="607"/>
      <c r="I18" s="481"/>
      <c r="J18" s="194"/>
      <c r="K18" s="194"/>
      <c r="L18" s="199"/>
      <c r="M18" s="199"/>
      <c r="P18" s="500"/>
    </row>
    <row r="19" spans="1:16" s="292" customFormat="1" ht="15.6">
      <c r="A19" s="292" t="str">
        <f>"Trips to Client Site: "&amp;Settings_Hidden!C127</f>
        <v>Trips to Client Site: 0</v>
      </c>
      <c r="B19" s="424"/>
      <c r="D19" s="538"/>
      <c r="E19" s="538"/>
      <c r="F19" s="539"/>
      <c r="G19" s="540"/>
      <c r="H19" s="611"/>
      <c r="I19" s="541"/>
      <c r="J19" s="542"/>
      <c r="K19" s="542"/>
      <c r="L19" s="543"/>
      <c r="M19" s="543"/>
      <c r="P19" s="544"/>
    </row>
    <row r="20" spans="1:16" s="292" customFormat="1" ht="15.6">
      <c r="A20" s="292" t="str">
        <f>"Client Distance from ArchiTech Primary Office: "&amp;VALUE('Project Technical Tasks'!B13)&amp;" KM"</f>
        <v>Client Distance from ArchiTech Primary Office: 0 KM</v>
      </c>
      <c r="B20" s="424"/>
      <c r="D20" s="538"/>
      <c r="E20" s="538"/>
      <c r="F20" s="539"/>
      <c r="G20" s="540"/>
      <c r="H20" s="611"/>
      <c r="I20" s="541"/>
      <c r="J20" s="542"/>
      <c r="K20" s="542"/>
      <c r="L20" s="543"/>
      <c r="M20" s="543"/>
      <c r="P20" s="544"/>
    </row>
    <row r="21" spans="1:16" s="292" customFormat="1" ht="15.6">
      <c r="A21" s="292" t="str">
        <f>"Round Trip Travel Time: "&amp;TEXT(Settings_Hidden!C115,"#0.0")&amp;" hours per trip"</f>
        <v>Round Trip Travel Time: 0.0 hours per trip</v>
      </c>
      <c r="B21" s="424"/>
      <c r="D21" s="538"/>
      <c r="E21" s="538"/>
      <c r="F21" s="539"/>
      <c r="G21" s="540"/>
      <c r="H21" s="611"/>
      <c r="I21" s="541"/>
      <c r="J21" s="542"/>
      <c r="K21" s="542"/>
      <c r="L21" s="543"/>
      <c r="M21" s="543"/>
      <c r="P21" s="544"/>
    </row>
    <row r="22" spans="1:16" s="292" customFormat="1" ht="15.6">
      <c r="A22" s="292" t="str">
        <f>"Nights Accomodation: "&amp;Settings_Hidden!C131</f>
        <v>Nights Accomodation: 0</v>
      </c>
      <c r="B22" s="424"/>
      <c r="D22" s="538"/>
      <c r="E22" s="538"/>
      <c r="F22" s="539"/>
      <c r="G22" s="540"/>
      <c r="H22" s="611"/>
      <c r="I22" s="541"/>
      <c r="J22" s="542"/>
      <c r="K22" s="542"/>
      <c r="L22" s="543"/>
      <c r="M22" s="543"/>
      <c r="P22" s="544"/>
    </row>
    <row r="23" spans="1:16" s="292" customFormat="1" ht="15.6">
      <c r="A23" s="292" t="str">
        <f>"Parking Hours: "&amp;SUM(K11:K15)</f>
        <v>Parking Hours: 0</v>
      </c>
      <c r="B23" s="424"/>
      <c r="D23" s="538"/>
      <c r="E23" s="538"/>
      <c r="F23" s="539"/>
      <c r="G23" s="540"/>
      <c r="H23" s="611"/>
      <c r="I23" s="541"/>
      <c r="J23" s="542"/>
      <c r="K23" s="542"/>
      <c r="L23" s="543"/>
      <c r="M23" s="543"/>
      <c r="P23" s="544"/>
    </row>
    <row r="24" spans="1:16" s="292" customFormat="1" ht="15.6">
      <c r="B24" s="180" t="s">
        <v>59</v>
      </c>
      <c r="C24" s="162"/>
      <c r="D24" s="151" t="s">
        <v>37</v>
      </c>
      <c r="E24" s="196" t="s">
        <v>164</v>
      </c>
      <c r="F24" s="197" t="s">
        <v>13</v>
      </c>
      <c r="G24" s="198"/>
      <c r="H24" s="612" t="s">
        <v>175</v>
      </c>
      <c r="I24" s="541"/>
      <c r="J24" s="542"/>
      <c r="K24" s="542"/>
      <c r="L24" s="543"/>
      <c r="M24" s="543"/>
      <c r="P24" s="544"/>
    </row>
    <row r="25" spans="1:16">
      <c r="A25" s="183" t="s">
        <v>746</v>
      </c>
      <c r="B25" s="805" t="str">
        <f>"Time - "&amp;Settings_Hidden!B111</f>
        <v>Time - Travel</v>
      </c>
      <c r="C25" s="805"/>
      <c r="D25" s="553">
        <f>Settings_Hidden!C127*Settings_Hidden!C115</f>
        <v>0</v>
      </c>
      <c r="E25" s="194">
        <f>D25*Settings_Hidden!C111</f>
        <v>0</v>
      </c>
      <c r="F25" s="185">
        <f>(D25*Settings_Hidden!C97)</f>
        <v>0</v>
      </c>
      <c r="G25" s="186"/>
      <c r="H25" s="609">
        <f>D25</f>
        <v>0</v>
      </c>
      <c r="I25" s="491"/>
      <c r="K25" s="163"/>
      <c r="M25" s="200"/>
      <c r="P25" s="500" t="s">
        <v>96</v>
      </c>
    </row>
    <row r="26" spans="1:16">
      <c r="A26" s="183" t="s">
        <v>747</v>
      </c>
      <c r="B26" s="804" t="str">
        <f>"Expense - cost of "&amp;TEXT(Settings_Hidden!C117,"$0.00")&amp;" per KM"</f>
        <v>Expense - cost of $1.00 per KM</v>
      </c>
      <c r="C26" s="804"/>
      <c r="D26" s="554">
        <f>Settings_Hidden!C127*'Project Technical Tasks'!B13*2</f>
        <v>0</v>
      </c>
      <c r="E26" s="194">
        <f>D26*Settings_Hidden!$C$117</f>
        <v>0</v>
      </c>
      <c r="F26" s="185">
        <f>D26*Settings_Hidden!$C$117</f>
        <v>0</v>
      </c>
      <c r="G26" s="186"/>
      <c r="H26" s="609" t="s">
        <v>111</v>
      </c>
      <c r="I26" s="482"/>
      <c r="K26" s="163"/>
      <c r="M26" s="200"/>
      <c r="P26" s="500"/>
    </row>
    <row r="27" spans="1:16">
      <c r="A27" s="183" t="s">
        <v>748</v>
      </c>
      <c r="B27" s="805" t="str">
        <f>"Expense - cost of "&amp;TEXT('Project Technical Tasks'!B15,"$#,##0.00")&amp;" per trip"</f>
        <v>Expense - cost of $0.00 per trip</v>
      </c>
      <c r="C27" s="805"/>
      <c r="D27" s="555">
        <f>Settings_Hidden!C127</f>
        <v>0</v>
      </c>
      <c r="E27" s="194">
        <f>D27*'Project Technical Tasks'!B15</f>
        <v>0</v>
      </c>
      <c r="F27" s="185">
        <f>E27*Settings_Hidden!C317</f>
        <v>0</v>
      </c>
      <c r="G27" s="186"/>
      <c r="H27" s="609" t="s">
        <v>111</v>
      </c>
      <c r="I27" s="482"/>
      <c r="K27" s="163"/>
      <c r="M27" s="200"/>
      <c r="P27" s="500"/>
    </row>
    <row r="28" spans="1:16">
      <c r="A28" s="183" t="s">
        <v>470</v>
      </c>
      <c r="B28" s="805" t="str">
        <f>"Expense - cost of "&amp;TEXT(Settings_Hidden!C119,"$#,##0.00")&amp;" per night"</f>
        <v>Expense - cost of $270.00 per night</v>
      </c>
      <c r="C28" s="805"/>
      <c r="D28" s="556">
        <f>Settings_Hidden!C131</f>
        <v>0</v>
      </c>
      <c r="E28" s="194">
        <f>D28*Settings_Hidden!$C$119+Settings_Hidden!C118</f>
        <v>0</v>
      </c>
      <c r="F28" s="185">
        <f>D28*Settings_Hidden!$C$119+Settings_Hidden!C118</f>
        <v>0</v>
      </c>
      <c r="G28" s="186"/>
      <c r="H28" s="609" t="s">
        <v>111</v>
      </c>
      <c r="I28" s="482"/>
      <c r="K28" s="163"/>
      <c r="M28" s="200"/>
      <c r="P28" s="500"/>
    </row>
    <row r="29" spans="1:16">
      <c r="A29" s="183" t="s">
        <v>498</v>
      </c>
      <c r="B29" s="806" t="str">
        <f>"Expense - cost of "&amp;TEXT('Project Technical Tasks'!B14,"$#,##0.00")&amp;" per hour"</f>
        <v>Expense - cost of $0.00 per hour</v>
      </c>
      <c r="C29" s="806"/>
      <c r="D29" s="553">
        <f>SUM(K11:K15)</f>
        <v>0</v>
      </c>
      <c r="E29" s="194">
        <f>D29*'Project Technical Tasks'!B14</f>
        <v>0</v>
      </c>
      <c r="F29" s="185">
        <f>E29*Settings_Hidden!C318</f>
        <v>0</v>
      </c>
      <c r="G29" s="186"/>
      <c r="H29" s="609" t="s">
        <v>111</v>
      </c>
      <c r="I29" s="482"/>
      <c r="K29" s="163"/>
      <c r="M29" s="200"/>
      <c r="P29" s="500"/>
    </row>
    <row r="30" spans="1:16" ht="15.6" thickBot="1">
      <c r="A30" s="190" t="s">
        <v>487</v>
      </c>
      <c r="B30" s="533"/>
      <c r="C30" s="191"/>
      <c r="D30" s="191"/>
      <c r="E30" s="192">
        <f>SUM(E25:E29)</f>
        <v>0</v>
      </c>
      <c r="F30" s="192">
        <f>SUM(F25:F29)</f>
        <v>0</v>
      </c>
      <c r="G30" s="186"/>
      <c r="H30" s="610">
        <f>H25</f>
        <v>0</v>
      </c>
      <c r="I30" s="479"/>
      <c r="J30" s="201"/>
      <c r="K30" s="163"/>
      <c r="M30" s="200"/>
      <c r="P30" s="500"/>
    </row>
    <row r="31" spans="1:16">
      <c r="E31" s="162"/>
      <c r="F31" s="185"/>
      <c r="G31" s="186"/>
      <c r="H31" s="609"/>
      <c r="I31" s="480"/>
      <c r="K31" s="163"/>
      <c r="P31" s="500"/>
    </row>
    <row r="32" spans="1:16" ht="15.6">
      <c r="A32" s="179" t="s">
        <v>140</v>
      </c>
      <c r="B32" s="534"/>
      <c r="C32" s="151"/>
      <c r="D32" s="151" t="s">
        <v>124</v>
      </c>
      <c r="E32" s="151" t="s">
        <v>164</v>
      </c>
      <c r="F32" s="202" t="s">
        <v>13</v>
      </c>
      <c r="G32" s="203"/>
      <c r="H32" s="612" t="s">
        <v>175</v>
      </c>
      <c r="I32" s="483"/>
      <c r="J32" s="196"/>
      <c r="K32" s="163"/>
      <c r="P32" s="500"/>
    </row>
    <row r="33" spans="1:16">
      <c r="A33" s="162" t="str">
        <f>IF(NOT(Subcontractors!B14=""),Subcontractors!B14,"-")</f>
        <v>-</v>
      </c>
      <c r="B33" s="171" t="str">
        <f>IF(A33="-","","3rd Party Service")</f>
        <v/>
      </c>
      <c r="D33" s="178" t="str">
        <f>IF(Subcontractors!E14="","-",Subcontractors!E14)</f>
        <v>-</v>
      </c>
      <c r="E33" s="184" t="str">
        <f>IF(Subcontractors!G14="","-",Subcontractors!G14)</f>
        <v>-</v>
      </c>
      <c r="F33" s="184" t="str">
        <f>IF(Subcontractors!I14="","-",Subcontractors!I14)</f>
        <v>-</v>
      </c>
      <c r="G33" s="204"/>
      <c r="H33" s="607" t="s">
        <v>111</v>
      </c>
      <c r="I33" s="484"/>
      <c r="K33" s="163"/>
      <c r="P33" s="500"/>
    </row>
    <row r="34" spans="1:16">
      <c r="A34" s="162" t="str">
        <f>IF(NOT(Subcontractors!B15=""),Subcontractors!B15,"-")</f>
        <v>-</v>
      </c>
      <c r="B34" s="171" t="str">
        <f t="shared" ref="B34:B37" si="1">IF(A34="-","","3rd Party Service")</f>
        <v/>
      </c>
      <c r="D34" s="178" t="str">
        <f>IF(Subcontractors!E15="","-",Subcontractors!E15)</f>
        <v>-</v>
      </c>
      <c r="E34" s="184" t="str">
        <f>IF(Subcontractors!G15="","-",Subcontractors!G15)</f>
        <v>-</v>
      </c>
      <c r="F34" s="184" t="str">
        <f>IF(Subcontractors!I15="","-",Subcontractors!I15)</f>
        <v>-</v>
      </c>
      <c r="G34" s="204"/>
      <c r="H34" s="607" t="s">
        <v>111</v>
      </c>
      <c r="I34" s="484"/>
      <c r="K34" s="163"/>
      <c r="P34" s="500"/>
    </row>
    <row r="35" spans="1:16">
      <c r="A35" s="162" t="str">
        <f>IF(NOT(Subcontractors!B16=""),Subcontractors!B16,"-")</f>
        <v>-</v>
      </c>
      <c r="B35" s="171" t="str">
        <f t="shared" si="1"/>
        <v/>
      </c>
      <c r="D35" s="178" t="str">
        <f>IF(Subcontractors!E16="","-",Subcontractors!E16)</f>
        <v>-</v>
      </c>
      <c r="E35" s="184" t="str">
        <f>IF(Subcontractors!G16="","-",Subcontractors!G16)</f>
        <v>-</v>
      </c>
      <c r="F35" s="184" t="str">
        <f>IF(Subcontractors!I16="","-",Subcontractors!I16)</f>
        <v>-</v>
      </c>
      <c r="G35" s="204"/>
      <c r="H35" s="607" t="s">
        <v>111</v>
      </c>
      <c r="I35" s="484"/>
      <c r="K35" s="163"/>
      <c r="P35" s="500"/>
    </row>
    <row r="36" spans="1:16">
      <c r="A36" s="162" t="str">
        <f>IF(NOT(Subcontractors!B17=""),Subcontractors!B17,"-")</f>
        <v>-</v>
      </c>
      <c r="B36" s="171" t="str">
        <f t="shared" si="1"/>
        <v/>
      </c>
      <c r="D36" s="178" t="str">
        <f>IF(Subcontractors!E17="","-",Subcontractors!E17)</f>
        <v>-</v>
      </c>
      <c r="E36" s="184" t="str">
        <f>IF(Subcontractors!G17="","-",Subcontractors!G17)</f>
        <v>-</v>
      </c>
      <c r="F36" s="184" t="str">
        <f>IF(Subcontractors!I17="","-",Subcontractors!I17)</f>
        <v>-</v>
      </c>
      <c r="G36" s="204"/>
      <c r="H36" s="607" t="s">
        <v>111</v>
      </c>
      <c r="I36" s="484"/>
      <c r="K36" s="163"/>
      <c r="P36" s="500"/>
    </row>
    <row r="37" spans="1:16">
      <c r="A37" s="162" t="str">
        <f>IF(NOT(Subcontractors!B18=""),Subcontractors!B18,"-")</f>
        <v>-</v>
      </c>
      <c r="B37" s="171" t="str">
        <f t="shared" si="1"/>
        <v/>
      </c>
      <c r="D37" s="178" t="str">
        <f>IF(Subcontractors!E18="","-",Subcontractors!E18)</f>
        <v>-</v>
      </c>
      <c r="E37" s="184" t="str">
        <f>IF(Subcontractors!G18="","-",Subcontractors!G18)</f>
        <v>-</v>
      </c>
      <c r="F37" s="184" t="str">
        <f>IF(Subcontractors!I18="","-",Subcontractors!I18)</f>
        <v>-</v>
      </c>
      <c r="G37" s="204"/>
      <c r="H37" s="607" t="s">
        <v>111</v>
      </c>
      <c r="I37" s="484"/>
      <c r="K37" s="163"/>
      <c r="P37" s="500"/>
    </row>
    <row r="38" spans="1:16" ht="16.2" thickBot="1">
      <c r="A38" s="191" t="s">
        <v>143</v>
      </c>
      <c r="B38" s="535"/>
      <c r="C38" s="191"/>
      <c r="D38" s="191"/>
      <c r="E38" s="205">
        <f>SUM(E33:E37)</f>
        <v>0</v>
      </c>
      <c r="F38" s="205">
        <f>SUM(F33:F37)</f>
        <v>0</v>
      </c>
      <c r="G38" s="204"/>
      <c r="H38" s="613" t="s">
        <v>111</v>
      </c>
      <c r="I38" s="484"/>
      <c r="J38" s="207"/>
      <c r="K38" s="179" t="s">
        <v>510</v>
      </c>
      <c r="P38" s="500"/>
    </row>
    <row r="39" spans="1:16" ht="15.6">
      <c r="E39" s="204"/>
      <c r="F39" s="208"/>
      <c r="G39" s="209"/>
      <c r="H39" s="609"/>
      <c r="I39" s="485"/>
      <c r="K39" s="162"/>
      <c r="L39" s="803" t="s">
        <v>504</v>
      </c>
      <c r="M39" s="803"/>
      <c r="P39" s="500"/>
    </row>
    <row r="40" spans="1:16" ht="15.6">
      <c r="A40" s="179" t="s">
        <v>95</v>
      </c>
      <c r="B40" s="180" t="s">
        <v>59</v>
      </c>
      <c r="C40" s="151"/>
      <c r="D40" s="151" t="s">
        <v>115</v>
      </c>
      <c r="E40" s="180" t="s">
        <v>164</v>
      </c>
      <c r="F40" s="197" t="s">
        <v>13</v>
      </c>
      <c r="G40" s="198"/>
      <c r="H40" s="612" t="s">
        <v>175</v>
      </c>
      <c r="I40" s="481"/>
      <c r="K40" s="418" t="s">
        <v>508</v>
      </c>
      <c r="L40" s="421" t="s">
        <v>509</v>
      </c>
      <c r="M40" s="421" t="s">
        <v>505</v>
      </c>
      <c r="N40" s="418" t="s">
        <v>511</v>
      </c>
      <c r="O40" s="418"/>
      <c r="P40" s="500"/>
    </row>
    <row r="41" spans="1:16">
      <c r="A41" s="162" t="str">
        <f>Settings_Management_Hidden!A101</f>
        <v>Project Planning &amp; Engineer Management</v>
      </c>
      <c r="B41" s="162" t="str">
        <f>Settings_Management_Hidden!B101</f>
        <v>Time - Project Manager</v>
      </c>
      <c r="D41" s="168">
        <f>Settings_Management_Hidden!C101</f>
        <v>1.5</v>
      </c>
      <c r="E41" s="194">
        <f>Settings_Management_Hidden!D101</f>
        <v>221.33704686655341</v>
      </c>
      <c r="F41" s="194">
        <f>Settings_Management_Hidden!E101</f>
        <v>337.5</v>
      </c>
      <c r="G41" s="186"/>
      <c r="H41" s="614">
        <f>D41</f>
        <v>1.5</v>
      </c>
      <c r="I41" s="479"/>
      <c r="K41" s="416" t="str" cm="1">
        <f t="array" ref="K41">IFERROR(INDEX('Project Technical Tasks'!$B$44:$B$224, MATCH(0, COUNTIF($K$40:K40,'Project Technical Tasks'!$B$44:$B$224&amp;"") + IF('Project Technical Tasks'!$B$44:$B$224="",1,0), 0)), "")</f>
        <v/>
      </c>
      <c r="L41" s="420">
        <f>COUNTIFS(Input_Tasks[Office Staging Tasks],TRUE,Input_Tasks[Skill Required],Summary!$K41)</f>
        <v>0</v>
      </c>
      <c r="M41" s="420">
        <f>COUNTIFS(Input_Tasks[Onsite Implementation Tasks],TRUE,Input_Tasks[Skill Required],Summary!$K41)</f>
        <v>0</v>
      </c>
      <c r="N41" s="439"/>
      <c r="O41" s="422" t="str">
        <f>IF(AND(L41&gt;0,M41&gt;0,N41=""),"Post-Staging Delivery may be required - please review","")</f>
        <v/>
      </c>
      <c r="P41" s="500"/>
    </row>
    <row r="42" spans="1:16">
      <c r="A42" s="162" t="str">
        <f>Settings_Management_Hidden!A102</f>
        <v>Subcontractor Management</v>
      </c>
      <c r="B42" s="162" t="str">
        <f>Settings_Management_Hidden!B102</f>
        <v>Time - Project Manager</v>
      </c>
      <c r="D42" s="168">
        <f>Settings_Management_Hidden!C102</f>
        <v>0</v>
      </c>
      <c r="E42" s="194">
        <f>Settings_Management_Hidden!D102</f>
        <v>0</v>
      </c>
      <c r="F42" s="194">
        <f>Settings_Management_Hidden!E102</f>
        <v>0</v>
      </c>
      <c r="G42" s="186"/>
      <c r="H42" s="614">
        <f t="shared" ref="H42:H45" si="2">D42</f>
        <v>0</v>
      </c>
      <c r="I42" s="479"/>
      <c r="K42" s="416" t="str" cm="1">
        <f t="array" ref="K42">IFERROR(INDEX('Project Technical Tasks'!$B$44:$B$224, MATCH(0, COUNTIF($K$40:K41,'Project Technical Tasks'!$B$44:$B$224&amp;"") + IF('Project Technical Tasks'!$B$44:$B$224="",1,0), 0)), "")</f>
        <v/>
      </c>
      <c r="L42" s="420">
        <f>COUNTIFS(Input_Tasks[Office Staging Tasks],TRUE,Input_Tasks[Skill Required],Summary!$K42)</f>
        <v>0</v>
      </c>
      <c r="M42" s="420">
        <f>COUNTIFS(Input_Tasks[Onsite Implementation Tasks],TRUE,Input_Tasks[Skill Required],Summary!$K42)</f>
        <v>0</v>
      </c>
      <c r="N42" s="439"/>
      <c r="O42" s="422" t="str">
        <f t="shared" ref="O42:O51" si="3">IF(AND(L42&gt;0,M42&gt;0,N42=""),"Post-Staging Delivery may be required - please review","")</f>
        <v/>
      </c>
      <c r="P42" s="500"/>
    </row>
    <row r="43" spans="1:16">
      <c r="A43" s="162" t="str">
        <f>Settings_Management_Hidden!A103</f>
        <v>Project Management</v>
      </c>
      <c r="B43" s="162" t="str">
        <f>Settings_Management_Hidden!B103</f>
        <v>Time - Project Manager</v>
      </c>
      <c r="D43" s="168">
        <f>Settings_Management_Hidden!C103</f>
        <v>0</v>
      </c>
      <c r="E43" s="194">
        <f>Settings_Management_Hidden!D103</f>
        <v>0</v>
      </c>
      <c r="F43" s="194">
        <f>Settings_Management_Hidden!E103</f>
        <v>0</v>
      </c>
      <c r="G43" s="186"/>
      <c r="H43" s="614">
        <f t="shared" si="2"/>
        <v>0</v>
      </c>
      <c r="I43" s="479"/>
      <c r="K43" s="416" t="str" cm="1">
        <f t="array" ref="K43">IFERROR(INDEX('Project Technical Tasks'!$B$44:$B$224, MATCH(0, COUNTIF($K$40:K42,'Project Technical Tasks'!$B$44:$B$224&amp;"") + IF('Project Technical Tasks'!$B$44:$B$224="",1,0), 0)), "")</f>
        <v/>
      </c>
      <c r="L43" s="420">
        <f>COUNTIFS(Input_Tasks[Office Staging Tasks],TRUE,Input_Tasks[Skill Required],Summary!$K43)</f>
        <v>0</v>
      </c>
      <c r="M43" s="420">
        <f>COUNTIFS(Input_Tasks[Onsite Implementation Tasks],TRUE,Input_Tasks[Skill Required],Summary!$K43)</f>
        <v>0</v>
      </c>
      <c r="N43" s="439"/>
      <c r="O43" s="422" t="str">
        <f t="shared" si="3"/>
        <v/>
      </c>
      <c r="P43" s="500"/>
    </row>
    <row r="44" spans="1:16">
      <c r="A44" s="162" t="str">
        <f>Settings_Management_Hidden!A104</f>
        <v>Project Management Adjustments</v>
      </c>
      <c r="B44" s="162" t="str">
        <f>Settings_Management_Hidden!B104</f>
        <v>Time - Project Manager</v>
      </c>
      <c r="D44" s="168">
        <f>Settings_Management_Hidden!C104</f>
        <v>0</v>
      </c>
      <c r="E44" s="194">
        <f>Settings_Management_Hidden!D104</f>
        <v>0</v>
      </c>
      <c r="F44" s="194">
        <f>Settings_Management_Hidden!E104</f>
        <v>0</v>
      </c>
      <c r="G44" s="186"/>
      <c r="H44" s="614">
        <f t="shared" si="2"/>
        <v>0</v>
      </c>
      <c r="I44" s="479"/>
      <c r="K44" s="416" t="str" cm="1">
        <f t="array" ref="K44">IFERROR(INDEX('Project Technical Tasks'!$B$44:$B$224, MATCH(0, COUNTIF($K$40:K43,'Project Technical Tasks'!$B$44:$B$224&amp;"") + IF('Project Technical Tasks'!$B$44:$B$224="",1,0), 0)), "")</f>
        <v/>
      </c>
      <c r="L44" s="420">
        <f>COUNTIFS(Input_Tasks[Office Staging Tasks],TRUE,Input_Tasks[Skill Required],Summary!$K44)</f>
        <v>0</v>
      </c>
      <c r="M44" s="420">
        <f>COUNTIFS(Input_Tasks[Onsite Implementation Tasks],TRUE,Input_Tasks[Skill Required],Summary!$K44)</f>
        <v>0</v>
      </c>
      <c r="N44" s="439"/>
      <c r="O44" s="422" t="str">
        <f t="shared" si="3"/>
        <v/>
      </c>
      <c r="P44" s="500"/>
    </row>
    <row r="45" spans="1:16">
      <c r="A45" s="162" t="str">
        <f>Settings_Management_Hidden!A105</f>
        <v>Project Management Optional</v>
      </c>
      <c r="B45" s="162" t="str">
        <f>Settings_Management_Hidden!B105</f>
        <v>Time - Project Manager</v>
      </c>
      <c r="D45" s="168">
        <f>Settings_Management_Hidden!C105</f>
        <v>0</v>
      </c>
      <c r="E45" s="194">
        <f>Settings_Management_Hidden!D105</f>
        <v>0</v>
      </c>
      <c r="F45" s="194">
        <f>Settings_Management_Hidden!E105</f>
        <v>0</v>
      </c>
      <c r="G45" s="186"/>
      <c r="H45" s="614">
        <f t="shared" si="2"/>
        <v>0</v>
      </c>
      <c r="I45" s="479"/>
      <c r="K45" s="416" t="str" cm="1">
        <f t="array" ref="K45">IFERROR(INDEX('Project Technical Tasks'!$B$44:$B$224, MATCH(0, COUNTIF($K$40:K44,'Project Technical Tasks'!$B$44:$B$224&amp;"") + IF('Project Technical Tasks'!$B$44:$B$224="",1,0), 0)), "")</f>
        <v/>
      </c>
      <c r="L45" s="420">
        <f>COUNTIFS(Input_Tasks[Office Staging Tasks],TRUE,Input_Tasks[Skill Required],Summary!$K45)</f>
        <v>0</v>
      </c>
      <c r="M45" s="420">
        <f>COUNTIFS(Input_Tasks[Onsite Implementation Tasks],TRUE,Input_Tasks[Skill Required],Summary!$K45)</f>
        <v>0</v>
      </c>
      <c r="N45" s="439"/>
      <c r="O45" s="422" t="str">
        <f t="shared" si="3"/>
        <v/>
      </c>
      <c r="P45" s="500"/>
    </row>
    <row r="46" spans="1:16" ht="15.6" thickBot="1">
      <c r="A46" s="191" t="s">
        <v>145</v>
      </c>
      <c r="B46" s="535"/>
      <c r="C46" s="191"/>
      <c r="D46" s="193">
        <f>SUM(D41:D45)</f>
        <v>1.5</v>
      </c>
      <c r="E46" s="192">
        <f>SUM(E41:E45)</f>
        <v>221.33704686655341</v>
      </c>
      <c r="F46" s="192">
        <f>SUM(F41:F45)</f>
        <v>337.5</v>
      </c>
      <c r="G46" s="186"/>
      <c r="H46" s="610">
        <f>SUM(H41:H45)</f>
        <v>1.5</v>
      </c>
      <c r="I46" s="491"/>
      <c r="J46" s="211"/>
      <c r="K46" s="416" t="str" cm="1">
        <f t="array" ref="K46">IFERROR(INDEX('Project Technical Tasks'!$B$44:$B$224, MATCH(0, COUNTIF($K$40:K45,'Project Technical Tasks'!$B$44:$B$224&amp;"") + IF('Project Technical Tasks'!$B$44:$B$224="",1,0), 0)), "")</f>
        <v/>
      </c>
      <c r="L46" s="420">
        <f>COUNTIFS(Input_Tasks[Office Staging Tasks],TRUE,Input_Tasks[Skill Required],Summary!$K46)</f>
        <v>0</v>
      </c>
      <c r="M46" s="420">
        <f>COUNTIFS(Input_Tasks[Onsite Implementation Tasks],TRUE,Input_Tasks[Skill Required],Summary!$K46)</f>
        <v>0</v>
      </c>
      <c r="N46" s="439"/>
      <c r="O46" s="422" t="str">
        <f t="shared" si="3"/>
        <v/>
      </c>
      <c r="P46" s="500"/>
    </row>
    <row r="47" spans="1:16">
      <c r="F47" s="185"/>
      <c r="G47" s="186"/>
      <c r="H47" s="609"/>
      <c r="I47" s="480"/>
      <c r="K47" s="416" t="str" cm="1">
        <f t="array" ref="K47">IFERROR(INDEX('Project Technical Tasks'!$B$44:$B$224, MATCH(0, COUNTIF($K$40:K46,'Project Technical Tasks'!$B$44:$B$224&amp;"") + IF('Project Technical Tasks'!$B$44:$B$224="",1,0), 0)), "")</f>
        <v/>
      </c>
      <c r="L47" s="420">
        <f>COUNTIFS(Input_Tasks[Office Staging Tasks],TRUE,Input_Tasks[Skill Required],Summary!$K47)</f>
        <v>0</v>
      </c>
      <c r="M47" s="420">
        <f>COUNTIFS(Input_Tasks[Onsite Implementation Tasks],TRUE,Input_Tasks[Skill Required],Summary!$K47)</f>
        <v>0</v>
      </c>
      <c r="N47" s="439"/>
      <c r="O47" s="422" t="str">
        <f t="shared" si="3"/>
        <v/>
      </c>
      <c r="P47" s="500" t="s">
        <v>9</v>
      </c>
    </row>
    <row r="48" spans="1:16" ht="15.6">
      <c r="A48" s="179" t="s">
        <v>144</v>
      </c>
      <c r="B48" s="534"/>
      <c r="C48" s="151"/>
      <c r="D48" s="152" t="s">
        <v>115</v>
      </c>
      <c r="E48" s="151" t="s">
        <v>164</v>
      </c>
      <c r="F48" s="202" t="s">
        <v>13</v>
      </c>
      <c r="G48" s="203"/>
      <c r="H48" s="612" t="s">
        <v>175</v>
      </c>
      <c r="I48" s="481"/>
      <c r="J48" s="151"/>
      <c r="K48" s="416" t="str" cm="1">
        <f t="array" ref="K48">IFERROR(INDEX('Project Technical Tasks'!$B$44:$B$224, MATCH(0, COUNTIF($K$40:K47,'Project Technical Tasks'!$B$44:$B$224&amp;"") + IF('Project Technical Tasks'!$B$44:$B$224="",1,0), 0)), "")</f>
        <v/>
      </c>
      <c r="L48" s="420">
        <f>COUNTIFS(Input_Tasks[Office Staging Tasks],TRUE,Input_Tasks[Skill Required],Summary!$K48)</f>
        <v>0</v>
      </c>
      <c r="M48" s="420">
        <f>COUNTIFS(Input_Tasks[Onsite Implementation Tasks],TRUE,Input_Tasks[Skill Required],Summary!$K48)</f>
        <v>0</v>
      </c>
      <c r="N48" s="439"/>
      <c r="O48" s="422" t="str">
        <f t="shared" si="3"/>
        <v/>
      </c>
    </row>
    <row r="49" spans="1:15" s="151" customFormat="1" ht="15.6">
      <c r="A49" s="162" t="str">
        <f>SUBSTITUTE(Settings_Hidden!B257,"Rate ","")</f>
        <v>Risk Loading - Engineers</v>
      </c>
      <c r="B49" s="171" t="str">
        <f>"Time - "&amp;Settings_Hidden!C257</f>
        <v>Time - Senior Systems Engineer (Professional Services)</v>
      </c>
      <c r="C49" s="212"/>
      <c r="D49" s="213">
        <f>SUM('Project Risk'!B25:C25)</f>
        <v>0</v>
      </c>
      <c r="E49" s="184">
        <f>'Project Risk'!E25</f>
        <v>0</v>
      </c>
      <c r="F49" s="184">
        <f>'Project Risk'!F25</f>
        <v>0</v>
      </c>
      <c r="G49" s="186"/>
      <c r="H49" s="614">
        <f>D49</f>
        <v>0</v>
      </c>
      <c r="I49" s="479"/>
      <c r="J49" s="214"/>
      <c r="K49" s="416" t="str" cm="1">
        <f t="array" ref="K49">IFERROR(INDEX('Project Technical Tasks'!$B$44:$B$224, MATCH(0, COUNTIF($K$40:K48,'Project Technical Tasks'!$B$44:$B$224&amp;"") + IF('Project Technical Tasks'!$B$44:$B$224="",1,0), 0)), "")</f>
        <v/>
      </c>
      <c r="L49" s="420">
        <f>COUNTIFS(Input_Tasks[Office Staging Tasks],TRUE,Input_Tasks[Skill Required],Summary!$K49)</f>
        <v>0</v>
      </c>
      <c r="M49" s="420">
        <f>COUNTIFS(Input_Tasks[Onsite Implementation Tasks],TRUE,Input_Tasks[Skill Required],Summary!$K49)</f>
        <v>0</v>
      </c>
      <c r="N49" s="439"/>
      <c r="O49" s="422" t="str">
        <f t="shared" si="3"/>
        <v/>
      </c>
    </row>
    <row r="50" spans="1:15">
      <c r="A50" s="162" t="str">
        <f>SUBSTITUTE(Settings_Hidden!B258,"Rate ","")</f>
        <v>Risk Loading - Project Management</v>
      </c>
      <c r="B50" s="171" t="str">
        <f>"Time - "&amp;Settings_Hidden!C258</f>
        <v>Time - Project Manager</v>
      </c>
      <c r="C50" s="212"/>
      <c r="D50" s="213">
        <f>SUM('Project Risk'!B26:C26)</f>
        <v>0</v>
      </c>
      <c r="E50" s="184">
        <f>'Project Risk'!E26</f>
        <v>0</v>
      </c>
      <c r="F50" s="184">
        <f>'Project Risk'!F26</f>
        <v>0</v>
      </c>
      <c r="G50" s="186"/>
      <c r="H50" s="614">
        <f t="shared" ref="H50" si="4">D50</f>
        <v>0</v>
      </c>
      <c r="I50" s="479"/>
      <c r="J50" s="216"/>
      <c r="K50" s="416" t="str" cm="1">
        <f t="array" ref="K50">IFERROR(INDEX('Project Technical Tasks'!$B$44:$B$224, MATCH(0, COUNTIF($K$40:K49,'Project Technical Tasks'!$B$44:$B$224&amp;"") + IF('Project Technical Tasks'!$B$44:$B$224="",1,0), 0)), "")</f>
        <v/>
      </c>
      <c r="L50" s="420">
        <f>COUNTIFS(Input_Tasks[Office Staging Tasks],TRUE,Input_Tasks[Skill Required],Summary!$K50)</f>
        <v>0</v>
      </c>
      <c r="M50" s="420">
        <f>COUNTIFS(Input_Tasks[Onsite Implementation Tasks],TRUE,Input_Tasks[Skill Required],Summary!$K50)</f>
        <v>0</v>
      </c>
      <c r="N50" s="439"/>
      <c r="O50" s="422" t="str">
        <f t="shared" si="3"/>
        <v/>
      </c>
    </row>
    <row r="51" spans="1:15">
      <c r="A51" s="162" t="s">
        <v>834</v>
      </c>
      <c r="B51" s="171" t="str">
        <f>"Time - "&amp;Settings_Hidden!B111</f>
        <v>Time - Travel</v>
      </c>
      <c r="C51" s="212"/>
      <c r="D51" s="213">
        <f>SUM('Project Risk'!B27:C27)</f>
        <v>0</v>
      </c>
      <c r="E51" s="184">
        <f>D51*Settings_Hidden!C111</f>
        <v>0</v>
      </c>
      <c r="F51" s="184">
        <f>(D51*Settings_Hidden!C97)</f>
        <v>0</v>
      </c>
      <c r="G51" s="186"/>
      <c r="H51" s="614">
        <f>D51</f>
        <v>0</v>
      </c>
      <c r="I51" s="479"/>
      <c r="J51" s="216"/>
      <c r="K51" s="416" t="str" cm="1">
        <f t="array" ref="K51">IFERROR(INDEX('Project Technical Tasks'!$B$44:$B$224, MATCH(0, COUNTIF($K$40:K50,'Project Technical Tasks'!$B$44:$B$224&amp;"") + IF('Project Technical Tasks'!$B$44:$B$224="",1,0), 0)), "")</f>
        <v/>
      </c>
      <c r="L51" s="420">
        <f>COUNTIFS(Input_Tasks[Office Staging Tasks],TRUE,Input_Tasks[Skill Required],Summary!$K51)</f>
        <v>0</v>
      </c>
      <c r="M51" s="420">
        <f>COUNTIFS(Input_Tasks[Onsite Implementation Tasks],TRUE,Input_Tasks[Skill Required],Summary!$K51)</f>
        <v>0</v>
      </c>
      <c r="N51" s="439"/>
      <c r="O51" s="422" t="str">
        <f t="shared" si="3"/>
        <v/>
      </c>
    </row>
    <row r="52" spans="1:15">
      <c r="A52" s="162" t="s">
        <v>835</v>
      </c>
      <c r="B52" s="171" t="s">
        <v>836</v>
      </c>
      <c r="C52" s="212"/>
      <c r="D52" s="213"/>
      <c r="E52" s="184">
        <f>'Project Risk'!E27-E51</f>
        <v>0</v>
      </c>
      <c r="F52" s="184">
        <f>'Project Risk'!F27-F51</f>
        <v>0</v>
      </c>
      <c r="G52" s="186"/>
      <c r="H52" s="607" t="s">
        <v>111</v>
      </c>
      <c r="I52" s="479"/>
      <c r="J52" s="214"/>
      <c r="K52" s="416"/>
      <c r="L52" s="420"/>
      <c r="M52" s="420"/>
      <c r="N52" s="439"/>
      <c r="O52" s="422"/>
    </row>
    <row r="53" spans="1:15" ht="16.2" thickBot="1">
      <c r="A53" s="191" t="s">
        <v>168</v>
      </c>
      <c r="B53" s="535"/>
      <c r="C53" s="217"/>
      <c r="D53" s="218">
        <f>SUM(D49:D52)</f>
        <v>0</v>
      </c>
      <c r="E53" s="192">
        <f>SUM(E49:E52)</f>
        <v>0</v>
      </c>
      <c r="F53" s="192">
        <f>SUM(F49:F52)</f>
        <v>0</v>
      </c>
      <c r="G53" s="186"/>
      <c r="H53" s="610">
        <f>SUM(H49:H52)</f>
        <v>0</v>
      </c>
      <c r="I53" s="479"/>
      <c r="J53" s="219"/>
    </row>
    <row r="54" spans="1:15" ht="15.6">
      <c r="C54" s="212"/>
      <c r="D54" s="220"/>
      <c r="E54" s="211"/>
      <c r="F54" s="186"/>
      <c r="G54" s="186"/>
      <c r="H54" s="614"/>
      <c r="I54" s="488"/>
      <c r="J54" s="214"/>
      <c r="K54" s="215"/>
      <c r="L54" s="419"/>
      <c r="M54" s="419"/>
      <c r="N54" s="422"/>
    </row>
    <row r="55" spans="1:15" ht="16.2" thickBot="1">
      <c r="A55" s="179" t="s">
        <v>146</v>
      </c>
      <c r="B55" s="534"/>
      <c r="C55" s="151"/>
      <c r="D55" s="151"/>
      <c r="E55" s="196" t="s">
        <v>164</v>
      </c>
      <c r="F55" s="202" t="s">
        <v>13</v>
      </c>
      <c r="G55" s="203"/>
      <c r="H55" s="612" t="s">
        <v>175</v>
      </c>
      <c r="I55" s="483"/>
      <c r="J55" s="151"/>
      <c r="K55" s="214"/>
    </row>
    <row r="56" spans="1:15" s="151" customFormat="1" ht="15.6">
      <c r="A56" s="162" t="s">
        <v>94</v>
      </c>
      <c r="B56" s="171"/>
      <c r="C56" s="222" t="str">
        <f>ROUND(SUM(C11:D15),1)&amp;" Hours"</f>
        <v>0 Hours</v>
      </c>
      <c r="D56" s="162"/>
      <c r="E56" s="194">
        <f>E16</f>
        <v>0</v>
      </c>
      <c r="F56" s="185">
        <f>F16</f>
        <v>0</v>
      </c>
      <c r="G56" s="186"/>
      <c r="H56" s="609">
        <f>H16</f>
        <v>0</v>
      </c>
      <c r="I56" s="482"/>
      <c r="J56" s="178"/>
      <c r="K56" s="363" t="s">
        <v>209</v>
      </c>
      <c r="L56" s="368" t="s">
        <v>297</v>
      </c>
      <c r="M56" s="725" t="s">
        <v>298</v>
      </c>
      <c r="N56" s="729" t="s">
        <v>292</v>
      </c>
      <c r="O56" s="729" t="s">
        <v>293</v>
      </c>
    </row>
    <row r="57" spans="1:15">
      <c r="A57" s="162" t="s">
        <v>672</v>
      </c>
      <c r="C57" s="222" t="str">
        <f>ROUND(D25,1)&amp;" Hours"</f>
        <v>0 Hours</v>
      </c>
      <c r="E57" s="194">
        <f>E25</f>
        <v>0</v>
      </c>
      <c r="F57" s="194">
        <f>F25</f>
        <v>0</v>
      </c>
      <c r="G57" s="186"/>
      <c r="H57" s="609">
        <f>H30</f>
        <v>0</v>
      </c>
      <c r="I57" s="482"/>
      <c r="K57" s="364" t="str">
        <f t="shared" ref="K57:K66" si="5">A56</f>
        <v>Professional Engineering Services</v>
      </c>
      <c r="L57" s="366">
        <f t="shared" ref="L57:L66" si="6">F56</f>
        <v>0</v>
      </c>
      <c r="M57" s="726" t="str">
        <f t="shared" ref="M57:M66" si="7">IFERROR((F56-E56)/F56,"-")</f>
        <v>-</v>
      </c>
      <c r="N57" s="730">
        <f ca="1">L57-((F56/($F$56+$F$60+$F$61+$F$64))*($L$67-$N$67))</f>
        <v>0</v>
      </c>
      <c r="O57" s="731" t="str">
        <f ca="1">IFERROR((N57-E56)/N57,"-")</f>
        <v>-</v>
      </c>
    </row>
    <row r="58" spans="1:15">
      <c r="A58" s="162" t="s">
        <v>673</v>
      </c>
      <c r="E58" s="194">
        <f>E30-E57</f>
        <v>0</v>
      </c>
      <c r="F58" s="185">
        <f>F30-F57</f>
        <v>0</v>
      </c>
      <c r="G58" s="186"/>
      <c r="H58" s="607" t="s">
        <v>111</v>
      </c>
      <c r="I58" s="482"/>
      <c r="K58" s="364" t="str">
        <f t="shared" si="5"/>
        <v>Travel &amp; Accommodation - Hours</v>
      </c>
      <c r="L58" s="366">
        <f t="shared" si="6"/>
        <v>0</v>
      </c>
      <c r="M58" s="726" t="str">
        <f t="shared" si="7"/>
        <v>-</v>
      </c>
      <c r="N58" s="730">
        <f ca="1">L58-((F57/($F$56+$F$60+$F$61+$F$64))*($L$67-$N$67))</f>
        <v>0</v>
      </c>
      <c r="O58" s="732" t="str">
        <f t="shared" ref="N58:O60" si="8">M58</f>
        <v>-</v>
      </c>
    </row>
    <row r="59" spans="1:15">
      <c r="A59" s="162" t="s">
        <v>140</v>
      </c>
      <c r="C59" s="222"/>
      <c r="E59" s="194">
        <f>E38</f>
        <v>0</v>
      </c>
      <c r="F59" s="185">
        <f>F38</f>
        <v>0</v>
      </c>
      <c r="G59" s="186"/>
      <c r="H59" s="609" t="s">
        <v>111</v>
      </c>
      <c r="I59" s="482"/>
      <c r="K59" s="364" t="str">
        <f t="shared" si="5"/>
        <v>Travel &amp; Accommodation - Expenses</v>
      </c>
      <c r="L59" s="366">
        <f t="shared" si="6"/>
        <v>0</v>
      </c>
      <c r="M59" s="726" t="str">
        <f t="shared" si="7"/>
        <v>-</v>
      </c>
      <c r="N59" s="733">
        <f t="shared" si="8"/>
        <v>0</v>
      </c>
      <c r="O59" s="732" t="str">
        <f t="shared" si="8"/>
        <v>-</v>
      </c>
    </row>
    <row r="60" spans="1:15">
      <c r="A60" s="162" t="s">
        <v>95</v>
      </c>
      <c r="C60" s="223" t="str">
        <f>ROUND(D46,1)&amp;" Hours"</f>
        <v>1.5 Hours</v>
      </c>
      <c r="E60" s="194">
        <f>E46</f>
        <v>221.33704686655341</v>
      </c>
      <c r="F60" s="185">
        <f>F46</f>
        <v>337.5</v>
      </c>
      <c r="G60" s="186"/>
      <c r="H60" s="609">
        <f>H46</f>
        <v>1.5</v>
      </c>
      <c r="I60" s="482"/>
      <c r="K60" s="364" t="str">
        <f t="shared" si="5"/>
        <v>Subcontractor Services</v>
      </c>
      <c r="L60" s="366">
        <f t="shared" si="6"/>
        <v>0</v>
      </c>
      <c r="M60" s="726" t="str">
        <f t="shared" si="7"/>
        <v>-</v>
      </c>
      <c r="N60" s="733">
        <f t="shared" si="8"/>
        <v>0</v>
      </c>
      <c r="O60" s="732" t="str">
        <f t="shared" si="8"/>
        <v>-</v>
      </c>
    </row>
    <row r="61" spans="1:15">
      <c r="A61" s="162" t="s">
        <v>671</v>
      </c>
      <c r="C61" s="224" t="str">
        <f>ROUND(D53,1)&amp;" Hours"</f>
        <v>0 Hours</v>
      </c>
      <c r="D61" s="222"/>
      <c r="E61" s="194">
        <f>SUM(E49:E51)</f>
        <v>0</v>
      </c>
      <c r="F61" s="194">
        <f>SUM(F49:F51)</f>
        <v>0</v>
      </c>
      <c r="G61" s="186"/>
      <c r="H61" s="609">
        <f>H53</f>
        <v>0</v>
      </c>
      <c r="I61" s="482"/>
      <c r="K61" s="364" t="str">
        <f t="shared" si="5"/>
        <v>Management Services</v>
      </c>
      <c r="L61" s="366">
        <f t="shared" si="6"/>
        <v>337.5</v>
      </c>
      <c r="M61" s="726">
        <f t="shared" si="7"/>
        <v>0.34418652780280473</v>
      </c>
      <c r="N61" s="730">
        <f ca="1">L61-((F60/($F$56+$F$60+$F$61+$F$64))*($L$67-$N$67))</f>
        <v>337.5</v>
      </c>
      <c r="O61" s="731">
        <f ca="1">IFERROR((N61-E60)/N61,"-")</f>
        <v>0.34418652780280473</v>
      </c>
    </row>
    <row r="62" spans="1:15">
      <c r="A62" s="162" t="s">
        <v>670</v>
      </c>
      <c r="C62" s="224"/>
      <c r="D62" s="222"/>
      <c r="E62" s="194">
        <f>E52</f>
        <v>0</v>
      </c>
      <c r="F62" s="185">
        <f>F52</f>
        <v>0</v>
      </c>
      <c r="G62" s="186"/>
      <c r="H62" s="609" t="s">
        <v>111</v>
      </c>
      <c r="I62" s="482"/>
      <c r="K62" s="364" t="str">
        <f t="shared" si="5"/>
        <v>Project Risk - Services</v>
      </c>
      <c r="L62" s="366">
        <f t="shared" si="6"/>
        <v>0</v>
      </c>
      <c r="M62" s="726" t="str">
        <f t="shared" si="7"/>
        <v>-</v>
      </c>
      <c r="N62" s="730">
        <f ca="1">L62-((F61/($F$56+$F$60+$F$61+$F$64))*($L$67-$N$67))</f>
        <v>0</v>
      </c>
      <c r="O62" s="731" t="str">
        <f ca="1">IFERROR((N62-E61)/N62,"-")</f>
        <v>-</v>
      </c>
    </row>
    <row r="63" spans="1:15">
      <c r="A63" s="162" t="s">
        <v>316</v>
      </c>
      <c r="C63" s="224"/>
      <c r="D63" s="222"/>
      <c r="E63" s="194">
        <f>'Project Technical Tasks'!B16</f>
        <v>0</v>
      </c>
      <c r="F63" s="185">
        <f>E63*Settings_Hidden!C316</f>
        <v>0</v>
      </c>
      <c r="G63" s="186"/>
      <c r="H63" s="609" t="s">
        <v>111</v>
      </c>
      <c r="I63" s="482"/>
      <c r="K63" s="364" t="str">
        <f t="shared" si="5"/>
        <v>Project Risk - Travel &amp; Accomodation</v>
      </c>
      <c r="L63" s="366">
        <f t="shared" si="6"/>
        <v>0</v>
      </c>
      <c r="M63" s="726" t="str">
        <f t="shared" si="7"/>
        <v>-</v>
      </c>
      <c r="N63" s="733">
        <f>L63</f>
        <v>0</v>
      </c>
      <c r="O63" s="732" t="str">
        <f>M63</f>
        <v>-</v>
      </c>
    </row>
    <row r="64" spans="1:15">
      <c r="A64" s="162" t="s">
        <v>503</v>
      </c>
      <c r="C64" s="438" t="str">
        <f>IF(COUNTIFS(L41:L51,"&gt;"&amp;0,M41:M51,"&gt;"&amp;0)&gt;0,COUNTIFS(L41:L51,"&gt;"&amp;0,M41:M51,"&gt;"&amp;0)&amp;" potential extra shipment flagged","")</f>
        <v/>
      </c>
      <c r="D64" s="222"/>
      <c r="E64" s="477">
        <v>0</v>
      </c>
      <c r="F64" s="369">
        <v>0</v>
      </c>
      <c r="G64" s="225"/>
      <c r="H64" s="615">
        <v>0</v>
      </c>
      <c r="I64" s="489"/>
      <c r="K64" s="364" t="str">
        <f t="shared" si="5"/>
        <v>Incidentals</v>
      </c>
      <c r="L64" s="366">
        <f t="shared" si="6"/>
        <v>0</v>
      </c>
      <c r="M64" s="726" t="str">
        <f t="shared" si="7"/>
        <v>-</v>
      </c>
      <c r="N64" s="733">
        <f t="shared" ref="N64:N66" si="9">L64</f>
        <v>0</v>
      </c>
      <c r="O64" s="732" t="str">
        <f t="shared" ref="O64:O66" si="10">M64</f>
        <v>-</v>
      </c>
    </row>
    <row r="65" spans="1:15">
      <c r="A65" s="162" t="s">
        <v>726</v>
      </c>
      <c r="C65" s="438"/>
      <c r="D65" s="222"/>
      <c r="E65" s="477">
        <v>0</v>
      </c>
      <c r="F65" s="369">
        <v>0</v>
      </c>
      <c r="G65" s="225"/>
      <c r="H65" s="615">
        <v>0</v>
      </c>
      <c r="I65" s="489"/>
      <c r="K65" s="364" t="str">
        <f t="shared" si="5"/>
        <v>Freight &amp; Shipping Internal</v>
      </c>
      <c r="L65" s="366">
        <f t="shared" si="6"/>
        <v>0</v>
      </c>
      <c r="M65" s="726" t="str">
        <f t="shared" si="7"/>
        <v>-</v>
      </c>
      <c r="N65" s="733">
        <f t="shared" si="9"/>
        <v>0</v>
      </c>
      <c r="O65" s="732" t="str">
        <f t="shared" si="10"/>
        <v>-</v>
      </c>
    </row>
    <row r="66" spans="1:15">
      <c r="A66" s="162" t="str">
        <f ca="1">"Services Discount"&amp;IF(OR(C66&lt;&gt;"",SUM(Settings_Hidden!M360:M366)&gt;0)," of "&amp;TEXT(-F66/(SUM(F56,F57,F60,F61)),"#0.0%"),"")</f>
        <v>Services Discount of 0.0%</v>
      </c>
      <c r="C66" s="370">
        <v>0</v>
      </c>
      <c r="D66" s="802" t="str">
        <f ca="1">IF(AND(VALUE(C66)&gt;0,SUM(Settings_Hidden!K360:K366)&gt;0),"You cannot select both a % discount and a rate discount.",IFERROR(VLOOKUP((-F66/SUM(F56,F57,F60,F61)),Discount_Alert_Triggers,2,TRUE),""))</f>
        <v xml:space="preserve"> </v>
      </c>
      <c r="E66" s="802"/>
      <c r="F66" s="476">
        <f ca="1">SUM(F56,F60,F61,F57)*-C66-SUM(Settings_Hidden!M360:M366)</f>
        <v>0</v>
      </c>
      <c r="G66" s="226"/>
      <c r="H66" s="616"/>
      <c r="I66" s="227"/>
      <c r="J66" s="228"/>
      <c r="K66" s="514" t="str">
        <f t="shared" si="5"/>
        <v>Custom Addition</v>
      </c>
      <c r="L66" s="366">
        <f t="shared" si="6"/>
        <v>0</v>
      </c>
      <c r="M66" s="726" t="str">
        <f t="shared" si="7"/>
        <v>-</v>
      </c>
      <c r="N66" s="733">
        <f t="shared" si="9"/>
        <v>0</v>
      </c>
      <c r="O66" s="732" t="str">
        <f t="shared" si="10"/>
        <v>-</v>
      </c>
    </row>
    <row r="67" spans="1:15" s="228" customFormat="1" ht="39.6" customHeight="1" thickBot="1">
      <c r="A67" s="162"/>
      <c r="B67" s="171"/>
      <c r="C67" s="162"/>
      <c r="D67" s="162"/>
      <c r="E67" s="178"/>
      <c r="F67" s="476"/>
      <c r="G67" s="178"/>
      <c r="H67" s="607"/>
      <c r="I67" s="487"/>
      <c r="J67" s="214"/>
      <c r="K67" s="365" t="s">
        <v>31</v>
      </c>
      <c r="L67" s="367">
        <f>SUM(L57:L66)</f>
        <v>337.5</v>
      </c>
      <c r="M67" s="727">
        <f>(SUM(F56:F65)-SUM(E56:E65))/SUM(F56:F64)</f>
        <v>0.34418652780280473</v>
      </c>
      <c r="N67" s="734">
        <f ca="1">F68</f>
        <v>337.5</v>
      </c>
      <c r="O67" s="731">
        <f ca="1">IFERROR((N67-E68)/N67,"-")</f>
        <v>0.34418652780280473</v>
      </c>
    </row>
    <row r="68" spans="1:15" ht="16.2" thickBot="1">
      <c r="A68" s="229" t="s">
        <v>147</v>
      </c>
      <c r="B68" s="536"/>
      <c r="C68" s="191"/>
      <c r="D68" s="230">
        <f ca="1">SUM(D56:D66)</f>
        <v>0</v>
      </c>
      <c r="E68" s="206">
        <f>SUM(E56:E66)</f>
        <v>221.33704686655341</v>
      </c>
      <c r="F68" s="231">
        <f ca="1">SUM(F56:F67)</f>
        <v>337.5</v>
      </c>
      <c r="G68" s="203"/>
      <c r="H68" s="617">
        <f>SUM(H56:H66)</f>
        <v>1.5</v>
      </c>
      <c r="I68" s="490"/>
      <c r="K68" s="407" t="s">
        <v>494</v>
      </c>
      <c r="L68" s="408"/>
      <c r="M68" s="728">
        <f>(($F$56+$F$59+$F$60+$F$61)-($E$56+$E$59+$E$60+$E$61))/($F$56+$F$59+$F$60+$F$61)</f>
        <v>0.34418652780280473</v>
      </c>
      <c r="N68" s="735"/>
      <c r="O68" s="736">
        <f ca="1">(($N$57+$N$60+$N$61+$N$62)-($E$56+$E$59+$E$60+$E$61))/($N$57+$N$60+$N$61+$N$62)</f>
        <v>0.34418652780280473</v>
      </c>
    </row>
    <row r="69" spans="1:15" ht="15.6">
      <c r="A69" s="162" t="s">
        <v>148</v>
      </c>
      <c r="F69" s="185">
        <f ca="1">F68*0.1</f>
        <v>33.75</v>
      </c>
      <c r="G69" s="186"/>
      <c r="H69" s="210"/>
      <c r="I69" s="479"/>
      <c r="K69" s="424" t="s">
        <v>521</v>
      </c>
      <c r="N69" s="737"/>
      <c r="O69" s="737"/>
    </row>
    <row r="70" spans="1:15" ht="15.6" customHeight="1" thickBot="1">
      <c r="A70" s="232" t="s">
        <v>151</v>
      </c>
      <c r="B70" s="537"/>
      <c r="C70" s="232"/>
      <c r="D70" s="232"/>
      <c r="E70" s="233"/>
      <c r="F70" s="234">
        <f ca="1">SUM(F68:F69)</f>
        <v>371.25</v>
      </c>
      <c r="G70" s="186"/>
      <c r="H70" s="210"/>
      <c r="I70" s="479"/>
      <c r="K70" s="292" t="s">
        <v>522</v>
      </c>
      <c r="L70" s="162"/>
      <c r="N70" s="737"/>
      <c r="O70" s="737"/>
    </row>
    <row r="71" spans="1:15" ht="16.2" thickTop="1">
      <c r="F71" s="185"/>
      <c r="G71" s="186"/>
      <c r="H71" s="186"/>
      <c r="I71" s="479"/>
      <c r="K71" s="162"/>
      <c r="L71" s="162"/>
      <c r="N71" s="737"/>
      <c r="O71" s="737"/>
    </row>
    <row r="72" spans="1:15" ht="15.6">
      <c r="C72" s="417"/>
      <c r="E72" s="162"/>
      <c r="F72" s="178" t="str">
        <f>IF(LEN((VLOOKUP(C66,Discount_Alert_Triggers,2,TRUE)))&gt;1,"Discount Approver:","")</f>
        <v/>
      </c>
      <c r="G72" s="186"/>
      <c r="H72" s="440"/>
      <c r="I72" s="479"/>
      <c r="J72" s="162"/>
      <c r="K72" s="800" t="s">
        <v>488</v>
      </c>
      <c r="L72" s="801"/>
      <c r="N72" s="409"/>
      <c r="O72" s="738"/>
    </row>
    <row r="73" spans="1:15" ht="15" customHeight="1">
      <c r="E73" s="162"/>
      <c r="F73" s="178" t="str">
        <f>IF(LEN((VLOOKUP(C66,Discount_Alert_Triggers,2,TRUE)))&gt;1,"Approval Date:","")</f>
        <v/>
      </c>
      <c r="G73" s="186"/>
      <c r="H73" s="441"/>
      <c r="I73" s="479"/>
      <c r="J73" s="162"/>
      <c r="K73" s="235" t="s">
        <v>300</v>
      </c>
      <c r="L73" s="371">
        <f ca="1">F68</f>
        <v>337.5</v>
      </c>
      <c r="M73" s="162"/>
      <c r="N73" s="409"/>
      <c r="O73" s="409"/>
    </row>
    <row r="74" spans="1:15" ht="15.6">
      <c r="A74" s="179" t="s">
        <v>708</v>
      </c>
      <c r="B74" s="601" t="s">
        <v>115</v>
      </c>
      <c r="C74" s="601" t="s">
        <v>13</v>
      </c>
      <c r="D74" s="601" t="s">
        <v>839</v>
      </c>
      <c r="E74" s="601" t="s">
        <v>840</v>
      </c>
      <c r="F74" s="162"/>
      <c r="G74" s="186"/>
      <c r="H74" s="185"/>
      <c r="I74" s="479"/>
      <c r="J74" s="162"/>
      <c r="K74" s="236" t="s">
        <v>301</v>
      </c>
      <c r="L74" s="486">
        <f ca="1">(F68-L73)/SUM(F56,F60,F57,F61)</f>
        <v>0</v>
      </c>
      <c r="M74" s="162"/>
      <c r="N74" s="409"/>
      <c r="O74" s="409"/>
    </row>
    <row r="75" spans="1:15" ht="15" customHeight="1">
      <c r="A75" s="162" t="s">
        <v>94</v>
      </c>
      <c r="B75" s="606">
        <f>SUM(H11:H15)</f>
        <v>0</v>
      </c>
      <c r="C75" s="603">
        <f>F16</f>
        <v>0</v>
      </c>
      <c r="D75" s="247">
        <f t="shared" ref="D75:D82" si="11">B75/$B$83</f>
        <v>0</v>
      </c>
      <c r="E75" s="247">
        <f t="shared" ref="E75:E82" si="12">C75/$C$83</f>
        <v>0</v>
      </c>
      <c r="F75" s="162"/>
      <c r="G75" s="186"/>
      <c r="H75" s="185"/>
      <c r="I75" s="479"/>
      <c r="J75" s="162"/>
      <c r="K75" s="162"/>
      <c r="L75" s="162"/>
      <c r="M75" s="162"/>
      <c r="N75" s="409"/>
      <c r="O75" s="409"/>
    </row>
    <row r="76" spans="1:15">
      <c r="A76" s="162" t="s">
        <v>703</v>
      </c>
      <c r="B76" s="606">
        <v>0</v>
      </c>
      <c r="C76" s="603">
        <f>F38</f>
        <v>0</v>
      </c>
      <c r="D76" s="247">
        <f t="shared" si="11"/>
        <v>0</v>
      </c>
      <c r="E76" s="247">
        <f t="shared" si="12"/>
        <v>0</v>
      </c>
      <c r="F76" s="162"/>
      <c r="G76" s="186"/>
      <c r="H76" s="185"/>
      <c r="I76" s="480"/>
      <c r="J76" s="162"/>
      <c r="K76" s="162"/>
      <c r="L76" s="162"/>
      <c r="M76" s="162"/>
    </row>
    <row r="77" spans="1:15">
      <c r="A77" s="162" t="s">
        <v>528</v>
      </c>
      <c r="B77" s="606">
        <f>H25</f>
        <v>0</v>
      </c>
      <c r="C77" s="603">
        <f>F25</f>
        <v>0</v>
      </c>
      <c r="D77" s="247">
        <f t="shared" si="11"/>
        <v>0</v>
      </c>
      <c r="E77" s="247">
        <f t="shared" si="12"/>
        <v>0</v>
      </c>
      <c r="F77" s="162"/>
      <c r="G77" s="186"/>
      <c r="H77" s="185"/>
      <c r="I77" s="480"/>
      <c r="J77" s="162"/>
    </row>
    <row r="78" spans="1:15">
      <c r="A78" s="162" t="s">
        <v>95</v>
      </c>
      <c r="B78" s="606">
        <f>H46</f>
        <v>1.5</v>
      </c>
      <c r="C78" s="603">
        <f>F46</f>
        <v>337.5</v>
      </c>
      <c r="D78" s="247">
        <f t="shared" si="11"/>
        <v>1</v>
      </c>
      <c r="E78" s="247">
        <f t="shared" si="12"/>
        <v>1</v>
      </c>
      <c r="F78" s="162"/>
      <c r="G78" s="186"/>
      <c r="H78" s="185"/>
      <c r="I78" s="480"/>
      <c r="J78" s="162"/>
    </row>
    <row r="79" spans="1:15">
      <c r="A79" s="162" t="s">
        <v>617</v>
      </c>
      <c r="B79" s="606">
        <v>0</v>
      </c>
      <c r="C79" s="603">
        <f>SUM(F26:F29)</f>
        <v>0</v>
      </c>
      <c r="D79" s="247">
        <f t="shared" si="11"/>
        <v>0</v>
      </c>
      <c r="E79" s="247">
        <f t="shared" si="12"/>
        <v>0</v>
      </c>
      <c r="F79" s="162"/>
      <c r="G79" s="186"/>
      <c r="H79" s="185"/>
      <c r="I79" s="480"/>
      <c r="J79" s="162"/>
    </row>
    <row r="80" spans="1:15">
      <c r="A80" s="162" t="s">
        <v>705</v>
      </c>
      <c r="B80" s="606">
        <f>SUM(H63:H64)</f>
        <v>0</v>
      </c>
      <c r="C80" s="603">
        <f>SUM(F63:F64)</f>
        <v>0</v>
      </c>
      <c r="D80" s="247">
        <f t="shared" si="11"/>
        <v>0</v>
      </c>
      <c r="E80" s="247">
        <f t="shared" si="12"/>
        <v>0</v>
      </c>
      <c r="F80" s="162"/>
      <c r="G80" s="186"/>
      <c r="H80" s="185"/>
      <c r="I80" s="480"/>
      <c r="J80" s="162"/>
    </row>
    <row r="81" spans="1:17">
      <c r="A81" s="162" t="s">
        <v>704</v>
      </c>
      <c r="B81" s="606">
        <f>H53</f>
        <v>0</v>
      </c>
      <c r="C81" s="603">
        <f>F53</f>
        <v>0</v>
      </c>
      <c r="D81" s="247">
        <f t="shared" si="11"/>
        <v>0</v>
      </c>
      <c r="E81" s="247">
        <f t="shared" si="12"/>
        <v>0</v>
      </c>
      <c r="F81" s="162"/>
      <c r="G81" s="186"/>
      <c r="H81" s="185"/>
      <c r="I81" s="480"/>
      <c r="J81" s="162"/>
    </row>
    <row r="82" spans="1:17">
      <c r="A82" s="162" t="s">
        <v>100</v>
      </c>
      <c r="B82" s="606">
        <v>0</v>
      </c>
      <c r="C82" s="603">
        <f ca="1">F66</f>
        <v>0</v>
      </c>
      <c r="D82" s="247">
        <f t="shared" si="11"/>
        <v>0</v>
      </c>
      <c r="E82" s="247">
        <f t="shared" ca="1" si="12"/>
        <v>0</v>
      </c>
      <c r="F82" s="162"/>
      <c r="G82" s="186"/>
      <c r="H82" s="185"/>
      <c r="I82" s="480"/>
      <c r="J82" s="162"/>
    </row>
    <row r="83" spans="1:17" ht="15.6">
      <c r="A83" s="151" t="s">
        <v>31</v>
      </c>
      <c r="B83" s="618">
        <f>SUM(B75:B82)</f>
        <v>1.5</v>
      </c>
      <c r="C83" s="604">
        <f>SUM(F56:F64)</f>
        <v>337.5</v>
      </c>
      <c r="D83" s="619">
        <f>SUM(D75:D81)</f>
        <v>1</v>
      </c>
      <c r="E83" s="619">
        <f>SUM(E75:E81)</f>
        <v>1</v>
      </c>
      <c r="F83" s="162"/>
      <c r="G83" s="186"/>
      <c r="H83" s="185"/>
      <c r="I83" s="480"/>
      <c r="J83" s="162"/>
    </row>
    <row r="84" spans="1:17">
      <c r="B84" s="605"/>
      <c r="E84" s="162"/>
      <c r="F84" s="185"/>
      <c r="G84" s="186"/>
      <c r="H84" s="185"/>
      <c r="I84" s="480"/>
      <c r="J84" s="162"/>
    </row>
    <row r="85" spans="1:17">
      <c r="E85" s="162"/>
      <c r="F85" s="185"/>
      <c r="G85" s="186"/>
      <c r="H85" s="185"/>
      <c r="I85" s="480"/>
      <c r="J85" s="162"/>
    </row>
    <row r="86" spans="1:17" ht="15" customHeight="1">
      <c r="A86" s="798"/>
      <c r="B86" s="798"/>
      <c r="C86" s="798"/>
      <c r="D86" s="798"/>
      <c r="E86" s="798"/>
      <c r="F86" s="185"/>
      <c r="G86" s="186"/>
      <c r="H86" s="185"/>
      <c r="I86" s="480"/>
      <c r="J86" s="162"/>
      <c r="K86" s="162"/>
      <c r="L86" s="162"/>
      <c r="M86" s="162"/>
      <c r="Q86" s="480"/>
    </row>
    <row r="87" spans="1:17" ht="15" customHeight="1">
      <c r="A87" s="798"/>
      <c r="B87" s="798"/>
      <c r="C87" s="798"/>
      <c r="D87" s="798"/>
      <c r="E87" s="798"/>
      <c r="F87" s="185"/>
      <c r="G87" s="186"/>
      <c r="H87" s="185"/>
      <c r="I87" s="480"/>
      <c r="J87" s="162"/>
      <c r="K87" s="162"/>
      <c r="L87" s="162"/>
      <c r="M87" s="162"/>
    </row>
    <row r="88" spans="1:17" ht="15" customHeight="1">
      <c r="A88" s="798"/>
      <c r="B88" s="798"/>
      <c r="C88" s="798"/>
      <c r="D88" s="798"/>
      <c r="E88" s="798"/>
      <c r="F88" s="185"/>
      <c r="G88" s="186"/>
      <c r="H88" s="185"/>
      <c r="I88" s="480"/>
      <c r="J88" s="162"/>
      <c r="K88" s="162"/>
      <c r="L88" s="162"/>
      <c r="M88" s="162"/>
    </row>
    <row r="89" spans="1:17" ht="15" customHeight="1">
      <c r="A89" s="798"/>
      <c r="B89" s="798"/>
      <c r="C89" s="798"/>
      <c r="D89" s="798"/>
      <c r="E89" s="798"/>
      <c r="F89" s="185"/>
      <c r="G89" s="186"/>
      <c r="H89" s="185"/>
      <c r="I89" s="480"/>
      <c r="J89" s="162"/>
      <c r="K89" s="162"/>
      <c r="L89" s="162"/>
      <c r="M89" s="162"/>
    </row>
    <row r="90" spans="1:17" ht="15" customHeight="1">
      <c r="A90" s="798"/>
      <c r="B90" s="798"/>
      <c r="C90" s="798"/>
      <c r="D90" s="798"/>
      <c r="E90" s="798"/>
      <c r="F90" s="185"/>
      <c r="G90" s="186"/>
      <c r="H90" s="185"/>
      <c r="I90" s="480"/>
      <c r="J90" s="162"/>
      <c r="K90" s="162"/>
      <c r="L90" s="162"/>
      <c r="M90" s="162"/>
    </row>
    <row r="91" spans="1:17" ht="15" customHeight="1">
      <c r="A91" s="798"/>
      <c r="B91" s="798"/>
      <c r="C91" s="798"/>
      <c r="D91" s="798"/>
      <c r="E91" s="798"/>
      <c r="F91" s="185"/>
      <c r="G91" s="186"/>
      <c r="H91" s="185"/>
      <c r="I91" s="480"/>
      <c r="J91" s="162"/>
      <c r="K91" s="162"/>
      <c r="L91" s="162"/>
      <c r="M91" s="162"/>
    </row>
    <row r="92" spans="1:17" ht="15" customHeight="1">
      <c r="A92" s="798"/>
      <c r="B92" s="798"/>
      <c r="C92" s="798"/>
      <c r="D92" s="798"/>
      <c r="E92" s="798"/>
      <c r="F92" s="185"/>
      <c r="G92" s="186"/>
      <c r="H92" s="185"/>
      <c r="I92" s="480"/>
      <c r="J92" s="162"/>
      <c r="K92" s="162"/>
      <c r="L92" s="162"/>
      <c r="M92" s="162"/>
    </row>
    <row r="93" spans="1:17" ht="15" customHeight="1">
      <c r="A93" s="798"/>
      <c r="B93" s="798"/>
      <c r="C93" s="798"/>
      <c r="D93" s="798"/>
      <c r="E93" s="798"/>
      <c r="F93" s="185"/>
      <c r="G93" s="186"/>
      <c r="H93" s="185"/>
      <c r="I93" s="480"/>
      <c r="J93" s="162"/>
      <c r="K93" s="162"/>
      <c r="L93" s="162"/>
      <c r="M93" s="162"/>
    </row>
    <row r="94" spans="1:17" ht="15" customHeight="1">
      <c r="A94" s="798"/>
      <c r="B94" s="798"/>
      <c r="C94" s="798"/>
      <c r="D94" s="798"/>
      <c r="E94" s="798"/>
      <c r="F94" s="185"/>
      <c r="G94" s="186"/>
      <c r="H94" s="185"/>
      <c r="I94" s="480"/>
      <c r="J94" s="162"/>
      <c r="K94" s="162"/>
      <c r="L94" s="162"/>
      <c r="M94" s="162"/>
    </row>
    <row r="95" spans="1:17" ht="15" customHeight="1">
      <c r="A95" s="798"/>
      <c r="B95" s="798"/>
      <c r="C95" s="798"/>
      <c r="D95" s="798"/>
      <c r="E95" s="798"/>
      <c r="F95" s="185"/>
      <c r="G95" s="186"/>
      <c r="H95" s="185"/>
      <c r="I95" s="480"/>
      <c r="J95" s="162"/>
      <c r="K95" s="162"/>
      <c r="L95" s="162"/>
      <c r="M95" s="162"/>
    </row>
    <row r="96" spans="1:17" ht="15" customHeight="1">
      <c r="A96" s="798"/>
      <c r="B96" s="798"/>
      <c r="C96" s="798"/>
      <c r="D96" s="798"/>
      <c r="E96" s="798"/>
      <c r="F96" s="185"/>
      <c r="G96" s="186"/>
      <c r="H96" s="185"/>
      <c r="I96" s="480"/>
      <c r="J96" s="162"/>
      <c r="K96" s="162"/>
      <c r="L96" s="162"/>
      <c r="M96" s="162"/>
    </row>
    <row r="97" spans="1:13" ht="15" customHeight="1">
      <c r="A97" s="798"/>
      <c r="B97" s="798"/>
      <c r="C97" s="798"/>
      <c r="D97" s="798"/>
      <c r="E97" s="798"/>
      <c r="F97" s="185"/>
      <c r="G97" s="186"/>
      <c r="H97" s="185"/>
      <c r="I97" s="480"/>
      <c r="J97" s="162"/>
      <c r="K97" s="162"/>
      <c r="L97" s="162"/>
      <c r="M97" s="162"/>
    </row>
    <row r="98" spans="1:13" ht="15" customHeight="1">
      <c r="A98" s="798"/>
      <c r="B98" s="798"/>
      <c r="C98" s="798"/>
      <c r="D98" s="798"/>
      <c r="E98" s="798"/>
      <c r="F98" s="185"/>
      <c r="G98" s="186"/>
      <c r="H98" s="185"/>
      <c r="I98" s="480"/>
      <c r="J98" s="162"/>
      <c r="K98" s="162"/>
      <c r="L98" s="162"/>
      <c r="M98" s="162"/>
    </row>
    <row r="99" spans="1:13" ht="15" customHeight="1">
      <c r="A99" s="798"/>
      <c r="B99" s="798"/>
      <c r="C99" s="798"/>
      <c r="D99" s="798"/>
      <c r="E99" s="798"/>
      <c r="F99" s="185"/>
      <c r="G99" s="186"/>
      <c r="H99" s="185"/>
      <c r="I99" s="480"/>
      <c r="J99" s="162"/>
      <c r="K99" s="162"/>
      <c r="L99" s="162"/>
      <c r="M99" s="162"/>
    </row>
    <row r="100" spans="1:13" ht="15" customHeight="1">
      <c r="A100" s="798"/>
      <c r="B100" s="798"/>
      <c r="C100" s="798"/>
      <c r="D100" s="798"/>
      <c r="E100" s="798"/>
      <c r="F100" s="185"/>
      <c r="G100" s="186"/>
      <c r="H100" s="185"/>
      <c r="I100" s="480"/>
      <c r="J100" s="162"/>
      <c r="K100" s="162"/>
      <c r="L100" s="162"/>
      <c r="M100" s="162"/>
    </row>
    <row r="101" spans="1:13" ht="15" customHeight="1">
      <c r="A101" s="798"/>
      <c r="B101" s="798"/>
      <c r="C101" s="798"/>
      <c r="D101" s="798"/>
      <c r="E101" s="798"/>
      <c r="F101" s="185"/>
      <c r="G101" s="186"/>
      <c r="H101" s="185"/>
      <c r="I101" s="480"/>
      <c r="J101" s="162"/>
      <c r="K101" s="162"/>
      <c r="L101" s="162"/>
      <c r="M101" s="162"/>
    </row>
    <row r="102" spans="1:13" ht="15" customHeight="1">
      <c r="A102" s="798"/>
      <c r="B102" s="798"/>
      <c r="C102" s="798"/>
      <c r="D102" s="798"/>
      <c r="E102" s="798"/>
      <c r="F102" s="185"/>
      <c r="G102" s="186"/>
      <c r="H102" s="185"/>
      <c r="I102" s="480"/>
      <c r="J102" s="162"/>
      <c r="K102" s="162"/>
      <c r="L102" s="162"/>
      <c r="M102" s="162"/>
    </row>
    <row r="103" spans="1:13" ht="15" customHeight="1">
      <c r="A103" s="798"/>
      <c r="B103" s="798"/>
      <c r="C103" s="798"/>
      <c r="D103" s="798"/>
      <c r="E103" s="798"/>
      <c r="F103" s="185"/>
      <c r="G103" s="186"/>
      <c r="H103" s="185"/>
      <c r="I103" s="480"/>
      <c r="J103" s="162"/>
      <c r="K103" s="162"/>
      <c r="L103" s="162"/>
      <c r="M103" s="162"/>
    </row>
    <row r="104" spans="1:13" ht="15" customHeight="1">
      <c r="A104" s="798"/>
      <c r="B104" s="798"/>
      <c r="C104" s="798"/>
      <c r="D104" s="798"/>
      <c r="E104" s="798"/>
      <c r="F104" s="185"/>
      <c r="G104" s="186"/>
      <c r="H104" s="185"/>
      <c r="I104" s="480"/>
      <c r="J104" s="162"/>
      <c r="K104" s="162"/>
      <c r="L104" s="162"/>
      <c r="M104" s="162"/>
    </row>
    <row r="105" spans="1:13" ht="15" customHeight="1">
      <c r="A105" s="798"/>
      <c r="B105" s="798"/>
      <c r="C105" s="798"/>
      <c r="D105" s="798"/>
      <c r="E105" s="798"/>
      <c r="F105" s="185"/>
      <c r="G105" s="186"/>
      <c r="H105" s="185"/>
      <c r="I105" s="480"/>
      <c r="J105" s="162"/>
      <c r="K105" s="162"/>
      <c r="L105" s="162"/>
      <c r="M105" s="162"/>
    </row>
    <row r="106" spans="1:13" ht="15" customHeight="1">
      <c r="A106" s="798"/>
      <c r="B106" s="798"/>
      <c r="C106" s="798"/>
      <c r="D106" s="798"/>
      <c r="E106" s="798"/>
      <c r="F106" s="185"/>
      <c r="G106" s="186"/>
      <c r="H106" s="185"/>
      <c r="I106" s="480"/>
      <c r="J106" s="162"/>
      <c r="K106" s="162"/>
      <c r="L106" s="162"/>
      <c r="M106" s="162"/>
    </row>
    <row r="107" spans="1:13" ht="15" customHeight="1">
      <c r="A107" s="798"/>
      <c r="B107" s="798"/>
      <c r="C107" s="798"/>
      <c r="D107" s="798"/>
      <c r="E107" s="798"/>
      <c r="F107" s="185"/>
      <c r="G107" s="186"/>
      <c r="H107" s="185"/>
      <c r="I107" s="480"/>
      <c r="J107" s="162"/>
      <c r="K107" s="162"/>
      <c r="L107" s="162"/>
      <c r="M107" s="162"/>
    </row>
    <row r="108" spans="1:13">
      <c r="A108" s="798"/>
      <c r="B108" s="798"/>
      <c r="C108" s="798"/>
      <c r="D108" s="798"/>
      <c r="E108" s="798"/>
      <c r="F108" s="185"/>
      <c r="G108" s="186"/>
      <c r="H108" s="185"/>
      <c r="I108" s="480"/>
      <c r="J108" s="162"/>
      <c r="K108" s="162"/>
      <c r="L108" s="162"/>
      <c r="M108" s="162"/>
    </row>
    <row r="109" spans="1:13">
      <c r="A109" s="798"/>
      <c r="B109" s="798"/>
      <c r="C109" s="798"/>
      <c r="D109" s="798"/>
      <c r="E109" s="798"/>
      <c r="F109" s="185"/>
      <c r="G109" s="186"/>
      <c r="H109" s="185"/>
      <c r="I109" s="480"/>
      <c r="J109" s="162"/>
      <c r="K109" s="162"/>
      <c r="L109" s="162"/>
      <c r="M109" s="162"/>
    </row>
    <row r="110" spans="1:13">
      <c r="A110" s="798"/>
      <c r="B110" s="798"/>
      <c r="C110" s="798"/>
      <c r="D110" s="798"/>
      <c r="E110" s="798"/>
      <c r="F110" s="185"/>
      <c r="G110" s="186"/>
      <c r="H110" s="185"/>
      <c r="I110" s="480"/>
      <c r="J110" s="162"/>
      <c r="K110" s="162"/>
      <c r="L110" s="162"/>
      <c r="M110" s="162"/>
    </row>
    <row r="111" spans="1:13">
      <c r="A111" s="798"/>
      <c r="B111" s="798"/>
      <c r="C111" s="798"/>
      <c r="D111" s="798"/>
      <c r="E111" s="798"/>
      <c r="F111" s="185"/>
      <c r="G111" s="186"/>
      <c r="H111" s="185"/>
      <c r="I111" s="480"/>
      <c r="J111" s="162"/>
      <c r="K111" s="162"/>
      <c r="L111" s="162"/>
      <c r="M111" s="162"/>
    </row>
    <row r="112" spans="1:13">
      <c r="A112" s="798"/>
      <c r="B112" s="798"/>
      <c r="C112" s="798"/>
      <c r="D112" s="798"/>
      <c r="E112" s="798"/>
      <c r="F112" s="185"/>
      <c r="G112" s="186"/>
      <c r="H112" s="185"/>
      <c r="I112" s="480"/>
      <c r="J112" s="162"/>
      <c r="K112" s="162"/>
      <c r="L112" s="162"/>
      <c r="M112" s="162"/>
    </row>
    <row r="113" spans="1:13">
      <c r="A113" s="798"/>
      <c r="B113" s="798"/>
      <c r="C113" s="798"/>
      <c r="D113" s="798"/>
      <c r="E113" s="798"/>
      <c r="F113" s="185"/>
      <c r="G113" s="186"/>
      <c r="H113" s="185"/>
      <c r="I113" s="480"/>
      <c r="J113" s="162"/>
      <c r="K113" s="162"/>
      <c r="L113" s="162"/>
      <c r="M113" s="162"/>
    </row>
    <row r="114" spans="1:13">
      <c r="A114" s="798"/>
      <c r="B114" s="798"/>
      <c r="C114" s="798"/>
      <c r="D114" s="798"/>
      <c r="E114" s="798"/>
      <c r="F114" s="185"/>
      <c r="G114" s="186"/>
      <c r="H114" s="185"/>
      <c r="I114" s="480"/>
      <c r="J114" s="162"/>
      <c r="K114" s="162"/>
      <c r="L114" s="162"/>
      <c r="M114" s="162"/>
    </row>
    <row r="115" spans="1:13">
      <c r="A115" s="798"/>
      <c r="B115" s="798"/>
      <c r="C115" s="798"/>
      <c r="D115" s="798"/>
      <c r="E115" s="798"/>
      <c r="F115" s="185"/>
      <c r="G115" s="186"/>
      <c r="H115" s="185"/>
      <c r="I115" s="480"/>
      <c r="J115" s="162"/>
      <c r="K115" s="162"/>
      <c r="L115" s="162"/>
      <c r="M115" s="162"/>
    </row>
    <row r="116" spans="1:13">
      <c r="A116" s="798"/>
      <c r="B116" s="798"/>
      <c r="C116" s="798"/>
      <c r="D116" s="798"/>
      <c r="E116" s="798"/>
      <c r="F116" s="185"/>
      <c r="G116" s="186"/>
      <c r="H116" s="185"/>
      <c r="I116" s="480"/>
      <c r="J116" s="162"/>
      <c r="K116" s="162"/>
      <c r="L116" s="162"/>
      <c r="M116" s="162"/>
    </row>
    <row r="117" spans="1:13">
      <c r="A117" s="798"/>
      <c r="B117" s="798"/>
      <c r="C117" s="798"/>
      <c r="D117" s="798"/>
      <c r="E117" s="798"/>
      <c r="F117" s="185"/>
      <c r="G117" s="186"/>
      <c r="H117" s="185"/>
      <c r="I117" s="480"/>
      <c r="J117" s="162"/>
      <c r="K117" s="162"/>
      <c r="L117" s="162"/>
      <c r="M117" s="162"/>
    </row>
    <row r="118" spans="1:13">
      <c r="E118" s="162"/>
      <c r="F118" s="185"/>
      <c r="G118" s="186"/>
      <c r="H118" s="185"/>
      <c r="I118" s="480"/>
      <c r="J118" s="162"/>
      <c r="K118" s="162"/>
      <c r="L118" s="162"/>
      <c r="M118" s="162"/>
    </row>
    <row r="119" spans="1:13">
      <c r="E119" s="162"/>
      <c r="F119" s="185"/>
      <c r="G119" s="186"/>
      <c r="H119" s="185"/>
      <c r="I119" s="480"/>
      <c r="J119" s="162"/>
      <c r="K119" s="162"/>
      <c r="L119" s="162"/>
      <c r="M119" s="162"/>
    </row>
    <row r="120" spans="1:13">
      <c r="E120" s="162"/>
      <c r="F120" s="185"/>
      <c r="G120" s="186"/>
      <c r="H120" s="185"/>
      <c r="I120" s="480"/>
      <c r="J120" s="162"/>
      <c r="K120" s="162"/>
      <c r="L120" s="162"/>
      <c r="M120" s="162"/>
    </row>
    <row r="121" spans="1:13">
      <c r="E121" s="162"/>
      <c r="F121" s="185"/>
      <c r="G121" s="186"/>
      <c r="H121" s="185"/>
      <c r="I121" s="480"/>
      <c r="J121" s="162"/>
      <c r="K121" s="162"/>
      <c r="L121" s="162"/>
      <c r="M121" s="162"/>
    </row>
    <row r="122" spans="1:13">
      <c r="E122" s="162"/>
      <c r="F122" s="185"/>
      <c r="G122" s="186"/>
      <c r="H122" s="185"/>
      <c r="I122" s="480"/>
      <c r="J122" s="162"/>
      <c r="K122" s="162"/>
      <c r="L122" s="162"/>
      <c r="M122" s="162"/>
    </row>
    <row r="123" spans="1:13">
      <c r="E123" s="162"/>
      <c r="F123" s="185"/>
      <c r="G123" s="186"/>
      <c r="H123" s="185"/>
      <c r="I123" s="480"/>
      <c r="J123" s="162"/>
      <c r="K123" s="162"/>
      <c r="L123" s="162"/>
      <c r="M123" s="162"/>
    </row>
    <row r="124" spans="1:13">
      <c r="E124" s="162"/>
      <c r="F124" s="185"/>
      <c r="G124" s="186"/>
      <c r="H124" s="185"/>
      <c r="I124" s="480"/>
      <c r="J124" s="162"/>
      <c r="K124" s="162"/>
      <c r="L124" s="162"/>
      <c r="M124" s="162"/>
    </row>
    <row r="125" spans="1:13">
      <c r="E125" s="162"/>
      <c r="F125" s="185"/>
      <c r="G125" s="186"/>
      <c r="H125" s="185"/>
      <c r="I125" s="480"/>
      <c r="J125" s="162"/>
      <c r="K125" s="162"/>
      <c r="L125" s="162"/>
      <c r="M125" s="162"/>
    </row>
    <row r="126" spans="1:13">
      <c r="E126" s="162"/>
      <c r="F126" s="185"/>
      <c r="G126" s="186"/>
      <c r="H126" s="185"/>
      <c r="I126" s="480"/>
      <c r="J126" s="162"/>
      <c r="K126" s="162"/>
      <c r="L126" s="162"/>
      <c r="M126" s="162"/>
    </row>
    <row r="127" spans="1:13">
      <c r="E127" s="162"/>
      <c r="F127" s="185"/>
      <c r="G127" s="186"/>
      <c r="H127" s="185"/>
      <c r="I127" s="480"/>
      <c r="J127" s="162"/>
      <c r="K127" s="162"/>
      <c r="L127" s="162"/>
      <c r="M127" s="162"/>
    </row>
    <row r="128" spans="1:13">
      <c r="E128" s="162"/>
      <c r="F128" s="185"/>
      <c r="G128" s="186"/>
      <c r="H128" s="185"/>
      <c r="I128" s="480"/>
      <c r="J128" s="162"/>
      <c r="K128" s="162"/>
      <c r="L128" s="162"/>
      <c r="M128" s="162"/>
    </row>
    <row r="129" spans="5:13">
      <c r="E129" s="162"/>
      <c r="F129" s="185"/>
      <c r="G129" s="186"/>
      <c r="H129" s="185"/>
      <c r="I129" s="480"/>
      <c r="J129" s="162"/>
      <c r="K129" s="162"/>
      <c r="L129" s="162"/>
      <c r="M129" s="162"/>
    </row>
    <row r="130" spans="5:13">
      <c r="E130" s="162"/>
      <c r="F130" s="185"/>
      <c r="G130" s="186"/>
      <c r="H130" s="185"/>
      <c r="I130" s="480"/>
      <c r="J130" s="162"/>
      <c r="K130" s="162"/>
      <c r="L130" s="162"/>
      <c r="M130" s="162"/>
    </row>
    <row r="131" spans="5:13">
      <c r="E131" s="162"/>
      <c r="F131" s="185"/>
      <c r="G131" s="186"/>
      <c r="H131" s="185"/>
      <c r="I131" s="480"/>
      <c r="J131" s="162"/>
      <c r="K131" s="162"/>
      <c r="L131" s="162"/>
      <c r="M131" s="162"/>
    </row>
    <row r="132" spans="5:13">
      <c r="E132" s="162"/>
      <c r="F132" s="185"/>
      <c r="G132" s="186"/>
      <c r="H132" s="185"/>
      <c r="I132" s="480"/>
      <c r="J132" s="162"/>
      <c r="K132" s="162"/>
      <c r="L132" s="162"/>
      <c r="M132" s="162"/>
    </row>
    <row r="133" spans="5:13">
      <c r="E133" s="162"/>
      <c r="F133" s="185"/>
      <c r="G133" s="186"/>
      <c r="H133" s="185"/>
      <c r="I133" s="480"/>
      <c r="J133" s="162"/>
      <c r="K133" s="162"/>
      <c r="L133" s="162"/>
      <c r="M133" s="162"/>
    </row>
    <row r="134" spans="5:13">
      <c r="E134" s="162"/>
      <c r="F134" s="185"/>
      <c r="G134" s="186"/>
      <c r="H134" s="185"/>
      <c r="I134" s="480"/>
      <c r="J134" s="162"/>
      <c r="K134" s="162"/>
      <c r="L134" s="162"/>
      <c r="M134" s="162"/>
    </row>
    <row r="135" spans="5:13">
      <c r="E135" s="162"/>
      <c r="F135" s="185"/>
      <c r="G135" s="186"/>
      <c r="H135" s="185"/>
      <c r="I135" s="480"/>
      <c r="J135" s="162"/>
      <c r="K135" s="162"/>
      <c r="L135" s="162"/>
      <c r="M135" s="162"/>
    </row>
    <row r="136" spans="5:13">
      <c r="E136" s="162"/>
      <c r="F136" s="185"/>
      <c r="G136" s="186"/>
      <c r="H136" s="185"/>
      <c r="I136" s="480"/>
      <c r="J136" s="162"/>
      <c r="K136" s="162"/>
      <c r="L136" s="162"/>
      <c r="M136" s="162"/>
    </row>
    <row r="137" spans="5:13">
      <c r="E137" s="162"/>
      <c r="F137" s="185"/>
      <c r="G137" s="186"/>
      <c r="H137" s="185"/>
      <c r="I137" s="480"/>
      <c r="J137" s="162"/>
      <c r="K137" s="162"/>
      <c r="L137" s="162"/>
      <c r="M137" s="162"/>
    </row>
    <row r="138" spans="5:13">
      <c r="E138" s="162"/>
      <c r="F138" s="185"/>
      <c r="G138" s="186"/>
      <c r="H138" s="185"/>
      <c r="I138" s="480"/>
      <c r="J138" s="162"/>
      <c r="K138" s="162"/>
      <c r="L138" s="162"/>
      <c r="M138" s="162"/>
    </row>
    <row r="139" spans="5:13">
      <c r="E139" s="162"/>
      <c r="F139" s="185"/>
      <c r="G139" s="186"/>
      <c r="H139" s="185"/>
      <c r="I139" s="480"/>
      <c r="J139" s="162"/>
      <c r="K139" s="162"/>
      <c r="L139" s="162"/>
      <c r="M139" s="162"/>
    </row>
    <row r="140" spans="5:13">
      <c r="E140" s="162"/>
      <c r="F140" s="185"/>
      <c r="G140" s="186"/>
      <c r="H140" s="185"/>
      <c r="I140" s="480"/>
      <c r="J140" s="162"/>
      <c r="K140" s="162"/>
      <c r="L140" s="162"/>
      <c r="M140" s="162"/>
    </row>
    <row r="141" spans="5:13">
      <c r="E141" s="162"/>
      <c r="F141" s="185"/>
      <c r="G141" s="186"/>
      <c r="H141" s="185"/>
      <c r="I141" s="480"/>
      <c r="J141" s="162"/>
      <c r="K141" s="162"/>
      <c r="L141" s="162"/>
      <c r="M141" s="162"/>
    </row>
    <row r="142" spans="5:13">
      <c r="E142" s="162"/>
      <c r="F142" s="185"/>
      <c r="G142" s="186"/>
      <c r="H142" s="185"/>
      <c r="I142" s="480"/>
      <c r="J142" s="162"/>
      <c r="K142" s="162"/>
      <c r="L142" s="162"/>
      <c r="M142" s="162"/>
    </row>
    <row r="143" spans="5:13">
      <c r="E143" s="162"/>
      <c r="F143" s="185"/>
      <c r="G143" s="186"/>
      <c r="H143" s="185"/>
      <c r="I143" s="480"/>
      <c r="J143" s="162"/>
      <c r="K143" s="162"/>
      <c r="L143" s="162"/>
      <c r="M143" s="162"/>
    </row>
    <row r="144" spans="5:13">
      <c r="E144" s="162"/>
      <c r="F144" s="185"/>
      <c r="G144" s="186"/>
      <c r="H144" s="185"/>
      <c r="I144" s="480"/>
      <c r="J144" s="162"/>
      <c r="K144" s="162"/>
      <c r="L144" s="162"/>
      <c r="M144" s="162"/>
    </row>
    <row r="145" spans="5:13">
      <c r="E145" s="162"/>
      <c r="F145" s="185"/>
      <c r="G145" s="186"/>
      <c r="H145" s="185"/>
      <c r="I145" s="480"/>
      <c r="J145" s="162"/>
      <c r="K145" s="162"/>
      <c r="L145" s="162"/>
      <c r="M145" s="162"/>
    </row>
    <row r="146" spans="5:13">
      <c r="E146" s="162"/>
      <c r="F146" s="185"/>
      <c r="G146" s="186"/>
      <c r="H146" s="185"/>
      <c r="I146" s="480"/>
      <c r="J146" s="162"/>
      <c r="K146" s="162"/>
      <c r="L146" s="162"/>
      <c r="M146" s="162"/>
    </row>
    <row r="147" spans="5:13">
      <c r="E147" s="162"/>
      <c r="F147" s="185"/>
      <c r="G147" s="186"/>
      <c r="H147" s="185"/>
      <c r="I147" s="480"/>
      <c r="J147" s="162"/>
      <c r="K147" s="162"/>
      <c r="L147" s="162"/>
      <c r="M147" s="162"/>
    </row>
    <row r="148" spans="5:13">
      <c r="E148" s="162"/>
      <c r="F148" s="185"/>
      <c r="G148" s="186"/>
      <c r="H148" s="185"/>
      <c r="I148" s="480"/>
      <c r="J148" s="162"/>
      <c r="K148" s="162"/>
      <c r="L148" s="162"/>
      <c r="M148" s="162"/>
    </row>
    <row r="149" spans="5:13">
      <c r="E149" s="162"/>
      <c r="F149" s="185"/>
      <c r="G149" s="186"/>
      <c r="H149" s="185"/>
      <c r="I149" s="480"/>
      <c r="J149" s="162"/>
      <c r="K149" s="162"/>
      <c r="L149" s="162"/>
      <c r="M149" s="162"/>
    </row>
    <row r="150" spans="5:13">
      <c r="E150" s="162"/>
      <c r="F150" s="185"/>
      <c r="G150" s="186"/>
      <c r="H150" s="185"/>
      <c r="I150" s="480"/>
      <c r="J150" s="162"/>
      <c r="K150" s="162"/>
      <c r="L150" s="162"/>
      <c r="M150" s="162"/>
    </row>
    <row r="151" spans="5:13">
      <c r="E151" s="162"/>
      <c r="F151" s="185"/>
      <c r="G151" s="186"/>
      <c r="H151" s="185"/>
      <c r="I151" s="480"/>
      <c r="J151" s="162"/>
      <c r="K151" s="162"/>
      <c r="L151" s="162"/>
      <c r="M151" s="162"/>
    </row>
    <row r="152" spans="5:13">
      <c r="E152" s="162"/>
      <c r="F152" s="185"/>
      <c r="G152" s="186"/>
      <c r="H152" s="185"/>
      <c r="I152" s="480"/>
      <c r="J152" s="162"/>
      <c r="K152" s="162"/>
      <c r="L152" s="162"/>
      <c r="M152" s="162"/>
    </row>
    <row r="153" spans="5:13">
      <c r="E153" s="162"/>
      <c r="F153" s="185"/>
      <c r="G153" s="186"/>
      <c r="H153" s="185"/>
      <c r="I153" s="480"/>
      <c r="J153" s="162"/>
      <c r="K153" s="162"/>
      <c r="L153" s="162"/>
      <c r="M153" s="162"/>
    </row>
    <row r="154" spans="5:13">
      <c r="E154" s="162"/>
      <c r="F154" s="185"/>
      <c r="G154" s="186"/>
      <c r="H154" s="185"/>
      <c r="I154" s="480"/>
      <c r="J154" s="162"/>
      <c r="K154" s="162"/>
      <c r="L154" s="162"/>
      <c r="M154" s="162"/>
    </row>
    <row r="155" spans="5:13">
      <c r="E155" s="162"/>
      <c r="F155" s="185"/>
      <c r="G155" s="186"/>
      <c r="H155" s="185"/>
      <c r="I155" s="480"/>
      <c r="J155" s="162"/>
      <c r="K155" s="162"/>
      <c r="L155" s="162"/>
      <c r="M155" s="162"/>
    </row>
    <row r="156" spans="5:13">
      <c r="E156" s="162"/>
      <c r="F156" s="185"/>
      <c r="G156" s="186"/>
      <c r="H156" s="185"/>
      <c r="I156" s="480"/>
      <c r="J156" s="162"/>
      <c r="K156" s="162"/>
      <c r="L156" s="162"/>
      <c r="M156" s="162"/>
    </row>
    <row r="157" spans="5:13">
      <c r="E157" s="162"/>
      <c r="F157" s="185"/>
      <c r="G157" s="186"/>
      <c r="H157" s="185"/>
      <c r="I157" s="480"/>
      <c r="J157" s="162"/>
      <c r="K157" s="162"/>
      <c r="L157" s="162"/>
      <c r="M157" s="162"/>
    </row>
    <row r="158" spans="5:13">
      <c r="E158" s="162"/>
      <c r="F158" s="185"/>
      <c r="G158" s="186"/>
      <c r="H158" s="185"/>
      <c r="I158" s="480"/>
      <c r="J158" s="162"/>
      <c r="K158" s="162"/>
      <c r="L158" s="162"/>
      <c r="M158" s="162"/>
    </row>
    <row r="159" spans="5:13">
      <c r="E159" s="162"/>
      <c r="F159" s="185"/>
      <c r="G159" s="186"/>
      <c r="H159" s="185"/>
      <c r="I159" s="480"/>
      <c r="J159" s="162"/>
      <c r="K159" s="162"/>
      <c r="L159" s="162"/>
      <c r="M159" s="162"/>
    </row>
    <row r="160" spans="5:13">
      <c r="K160" s="162"/>
      <c r="L160" s="162"/>
      <c r="M160" s="162"/>
    </row>
    <row r="161" spans="11:13">
      <c r="K161" s="162"/>
      <c r="L161" s="162"/>
      <c r="M161" s="162"/>
    </row>
    <row r="162" spans="11:13">
      <c r="K162" s="162"/>
      <c r="L162" s="162"/>
      <c r="M162" s="162"/>
    </row>
  </sheetData>
  <sheetProtection algorithmName="SHA-512" hashValue="eh8i7N22glrnu8zHRp2ScdAOuCaxztkbnQrXUxqvn2nzEa0zeUpBQzidfltr2baAWMDY6ximV3VRq1LINIuwdw==" saltValue="sv4SE6j/tybaCjzAb46Nrw==" spinCount="100000" sheet="1" objects="1" scenarios="1"/>
  <mergeCells count="10">
    <mergeCell ref="A86:E117"/>
    <mergeCell ref="L9:M9"/>
    <mergeCell ref="K72:L72"/>
    <mergeCell ref="D66:E66"/>
    <mergeCell ref="L39:M39"/>
    <mergeCell ref="B26:C26"/>
    <mergeCell ref="B25:C25"/>
    <mergeCell ref="B27:C27"/>
    <mergeCell ref="B28:C28"/>
    <mergeCell ref="B29:C29"/>
  </mergeCells>
  <conditionalFormatting sqref="F67">
    <cfRule type="cellIs" dxfId="26" priority="181" operator="lessThan">
      <formula>0</formula>
    </cfRule>
  </conditionalFormatting>
  <conditionalFormatting sqref="F66:I66">
    <cfRule type="cellIs" dxfId="25" priority="179" operator="lessThan">
      <formula>0</formula>
    </cfRule>
  </conditionalFormatting>
  <conditionalFormatting sqref="H72:H73">
    <cfRule type="expression" dxfId="24" priority="11">
      <formula>AND(LEN((VLOOKUP($C$66,Discount_Alert_Triggers,2,TRUE)))&gt;1,H72="")</formula>
    </cfRule>
  </conditionalFormatting>
  <conditionalFormatting sqref="H7:I7">
    <cfRule type="expression" dxfId="23" priority="12">
      <formula>$A$7=""</formula>
    </cfRule>
  </conditionalFormatting>
  <conditionalFormatting sqref="I7">
    <cfRule type="expression" dxfId="22" priority="13">
      <formula>$I$7="Yes"</formula>
    </cfRule>
  </conditionalFormatting>
  <conditionalFormatting sqref="K41:M52">
    <cfRule type="expression" dxfId="21" priority="10">
      <formula>$K41=""</formula>
    </cfRule>
  </conditionalFormatting>
  <conditionalFormatting sqref="K38:O40">
    <cfRule type="expression" dxfId="20" priority="7">
      <formula>$K$41=""</formula>
    </cfRule>
  </conditionalFormatting>
  <conditionalFormatting sqref="N41:N52">
    <cfRule type="expression" dxfId="19" priority="8">
      <formula>AND(L41&gt;0,M41&gt;0,N41&lt;&gt;"")</formula>
    </cfRule>
    <cfRule type="expression" dxfId="18" priority="9">
      <formula>AND(L41&gt;0,M41&gt;0,N41="")</formula>
    </cfRule>
  </conditionalFormatting>
  <conditionalFormatting sqref="N56:O68">
    <cfRule type="expression" dxfId="17" priority="5">
      <formula>$C$66=0</formula>
    </cfRule>
  </conditionalFormatting>
  <conditionalFormatting sqref="O56:O68">
    <cfRule type="expression" dxfId="16" priority="6">
      <formula>$C$66=0</formula>
    </cfRule>
  </conditionalFormatting>
  <dataValidations count="5">
    <dataValidation type="decimal" allowBlank="1" showInputMessage="1" showErrorMessage="1" sqref="C66 I46 I25 I11:I15" xr:uid="{EDCED542-820E-4722-9CFF-BF11108B4CCE}">
      <formula1>0</formula1>
      <formula2>1</formula2>
    </dataValidation>
    <dataValidation type="list" allowBlank="1" showInputMessage="1" showErrorMessage="1" sqref="I7" xr:uid="{BD4520B3-EBC4-4D74-B120-4BC9116C2A62}">
      <formula1>"Yes,No"</formula1>
    </dataValidation>
    <dataValidation type="date" errorStyle="information" operator="lessThanOrEqual" allowBlank="1" showInputMessage="1" showErrorMessage="1" errorTitle="Future Date" error="This field is set to accept dates either today, or in the past. Approval should only be entered in after it is granted._x000a__x000a_Proceed?" sqref="H73" xr:uid="{FE5416DE-3F4C-4CA7-AC8D-C1B3BF07C665}">
      <formula1>TODAY()</formula1>
    </dataValidation>
    <dataValidation type="list" allowBlank="1" showInputMessage="1" showErrorMessage="1" sqref="H72" xr:uid="{D88921E8-00F7-4A6E-A3B7-3477E5EDF07B}">
      <formula1>Discount_approvers</formula1>
    </dataValidation>
    <dataValidation type="list" allowBlank="1" showInputMessage="1" showErrorMessage="1" sqref="N41:N52" xr:uid="{D23A61AF-A25E-44F0-A7E9-3C46853A56A4}">
      <formula1>"No Courier Required,Courier Required"</formula1>
    </dataValidation>
  </dataValidations>
  <pageMargins left="0.7" right="0.7" top="0.75" bottom="0.75" header="0.3" footer="0.3"/>
  <pageSetup paperSize="9" orientation="portrait" horizontalDpi="360" verticalDpi="36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 stopIfTrue="1" id="{67539D50-B2F0-439D-84F6-59002C6C9F27}">
            <xm:f>AND(Checklist!$B$78=FALSE,NOT($I$7="Yes"))</xm:f>
            <x14:dxf>
              <font>
                <color theme="0"/>
              </font>
              <fill>
                <patternFill>
                  <bgColor theme="0"/>
                </patternFill>
              </fill>
              <border>
                <left/>
                <right/>
                <top/>
                <bottom/>
                <vertical/>
                <horizontal/>
              </border>
            </x14:dxf>
          </x14:cfRule>
          <xm:sqref>A8:Z40 K41:Z76 A41:J85 Q77:Z87 F86:J117 K88:Z994 A118:J993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D6C35-1AB9-452E-A3BF-29F43A78A7B7}">
  <sheetPr codeName="Sheet13">
    <tabColor theme="5" tint="0.79998168889431442"/>
  </sheetPr>
  <dimension ref="A1:A6"/>
  <sheetViews>
    <sheetView showGridLines="0" showRowColHeaders="0" zoomScaleNormal="100" workbookViewId="0">
      <selection activeCell="G30" sqref="G30"/>
    </sheetView>
  </sheetViews>
  <sheetFormatPr defaultColWidth="8.69921875" defaultRowHeight="15.6"/>
  <cols>
    <col min="1" max="1" width="2.59765625" style="347" customWidth="1"/>
    <col min="2" max="16384" width="8.69921875" style="347"/>
  </cols>
  <sheetData>
    <row r="1" spans="1:1" s="162" customFormat="1" ht="15">
      <c r="A1" s="164"/>
    </row>
    <row r="2" spans="1:1" s="162" customFormat="1" ht="15">
      <c r="A2" s="164"/>
    </row>
    <row r="3" spans="1:1" s="162" customFormat="1" ht="15">
      <c r="A3" s="164"/>
    </row>
    <row r="4" spans="1:1" s="162" customFormat="1" ht="15">
      <c r="A4" s="164"/>
    </row>
    <row r="5" spans="1:1" s="162" customFormat="1" ht="15"/>
    <row r="6" spans="1:1" s="162" customFormat="1" ht="22.8">
      <c r="A6" s="20" t="s">
        <v>512</v>
      </c>
    </row>
  </sheetData>
  <sheetProtection algorithmName="SHA-512" hashValue="c5h9KlSmHFWCLkL4a57bNUiBAiFJUBKieqrECaA6xE5kXD9HII8dPRwVPzz8lWU0rzC9HPQMzLyuzc64AqXkGA==" saltValue="czv3T8zE/SnNg/MXQd0Jgg==" spinCount="100000" sheet="1" selectLockedCells="1" selectUnlockedCells="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DF459-7E86-402D-A17D-F92EA95AFA58}">
  <sheetPr>
    <tabColor theme="4" tint="0.79998168889431442"/>
  </sheetPr>
  <dimension ref="B2:I178"/>
  <sheetViews>
    <sheetView showGridLines="0" zoomScale="76" zoomScaleNormal="100" workbookViewId="0"/>
  </sheetViews>
  <sheetFormatPr defaultRowHeight="15.6"/>
  <cols>
    <col min="1" max="1" width="4.69921875" customWidth="1"/>
    <col min="2" max="2" width="45.69921875" customWidth="1"/>
    <col min="3" max="9" width="11.8984375" customWidth="1"/>
  </cols>
  <sheetData>
    <row r="2" spans="2:9" ht="16.2" thickBot="1"/>
    <row r="3" spans="2:9" ht="16.2" thickBot="1">
      <c r="D3" s="807" t="s">
        <v>1233</v>
      </c>
      <c r="E3" s="808"/>
      <c r="F3" s="808"/>
      <c r="G3" s="808"/>
      <c r="H3" s="808"/>
      <c r="I3" s="809"/>
    </row>
    <row r="4" spans="2:9">
      <c r="D4" s="122"/>
      <c r="E4" s="688" t="s">
        <v>1234</v>
      </c>
      <c r="F4" s="688"/>
      <c r="G4" s="465">
        <f>Summary!E68-Summary!E38</f>
        <v>221.33704686655341</v>
      </c>
      <c r="H4" s="688" t="s">
        <v>1236</v>
      </c>
      <c r="I4" s="689">
        <f>SUMPRODUCT(C24:C178,D24:D178)</f>
        <v>221.33704686655341</v>
      </c>
    </row>
    <row r="5" spans="2:9" ht="16.2" thickBot="1">
      <c r="D5" s="124"/>
      <c r="E5" s="690" t="s">
        <v>1235</v>
      </c>
      <c r="F5" s="690"/>
      <c r="G5" s="691">
        <f ca="1">Summary!F68-Summary!F38</f>
        <v>337.5</v>
      </c>
      <c r="H5" s="690" t="s">
        <v>1237</v>
      </c>
      <c r="I5" s="692">
        <f>SUMPRODUCT(C24:C178,E24:E178)</f>
        <v>337.5</v>
      </c>
    </row>
    <row r="7" spans="2:9">
      <c r="B7" s="659" t="s">
        <v>1226</v>
      </c>
    </row>
    <row r="9" spans="2:9">
      <c r="B9" s="698" t="s">
        <v>1257</v>
      </c>
      <c r="C9" s="697"/>
      <c r="D9" s="697"/>
      <c r="E9" s="697"/>
      <c r="F9" s="697"/>
      <c r="G9" s="697"/>
      <c r="H9" s="697"/>
      <c r="I9" s="697"/>
    </row>
    <row r="10" spans="2:9">
      <c r="B10" s="659" t="s">
        <v>1255</v>
      </c>
    </row>
    <row r="11" spans="2:9">
      <c r="B11" s="659" t="s">
        <v>1256</v>
      </c>
    </row>
    <row r="12" spans="2:9">
      <c r="B12" s="659"/>
    </row>
    <row r="13" spans="2:9">
      <c r="B13" s="659" t="s">
        <v>1253</v>
      </c>
    </row>
    <row r="14" spans="2:9">
      <c r="B14" s="659" t="s">
        <v>1254</v>
      </c>
    </row>
    <row r="16" spans="2:9">
      <c r="B16" s="699" t="s">
        <v>1258</v>
      </c>
      <c r="C16" s="810" t="s">
        <v>1261</v>
      </c>
      <c r="D16" s="810"/>
      <c r="E16" s="810"/>
      <c r="F16" s="810"/>
    </row>
    <row r="17" spans="2:9">
      <c r="B17" s="699" t="s">
        <v>1259</v>
      </c>
      <c r="C17" s="810" t="s">
        <v>1260</v>
      </c>
      <c r="D17" s="810"/>
      <c r="E17" s="810"/>
      <c r="F17" s="810"/>
    </row>
    <row r="19" spans="2:9">
      <c r="B19" s="811" t="str">
        <f>IF(OR(Summary!E38&lt;&gt;0,Summary!F38&lt;&gt;0),"WARNING: The Total Price and Cost on the 'Summary' Tab includes Subcontractor services.
This bundle is for ArchiTech product only and does not include the Subcontractor services. Load 3rd party services onto the quote separately, per the 3rd Party's Quote","")</f>
        <v/>
      </c>
      <c r="C19" s="811"/>
      <c r="D19" s="811"/>
      <c r="E19" s="811"/>
      <c r="F19" s="811"/>
    </row>
    <row r="20" spans="2:9">
      <c r="B20" s="811"/>
      <c r="C20" s="811"/>
      <c r="D20" s="811"/>
      <c r="E20" s="811"/>
      <c r="F20" s="811"/>
    </row>
    <row r="21" spans="2:9">
      <c r="B21" s="811"/>
      <c r="C21" s="811"/>
      <c r="D21" s="811"/>
      <c r="E21" s="811"/>
      <c r="F21" s="811"/>
    </row>
    <row r="23" spans="2:9" s="694" customFormat="1" ht="31.2">
      <c r="B23" s="695" t="str">
        <f>PART_NUMBER_GENERATOR_TABLE[[#Headers],[Manufacturer Part Number]]</f>
        <v>Manufacturer Part Number</v>
      </c>
      <c r="C23" s="696" t="str">
        <f>PART_NUMBER_GENERATOR_TABLE[[#Headers],[Quantity]]</f>
        <v>Quantity</v>
      </c>
      <c r="D23" s="696" t="str">
        <f>PART_NUMBER_GENERATOR_TABLE[[#Headers],[Cost]]</f>
        <v>Cost</v>
      </c>
      <c r="E23" s="696" t="str">
        <f>PART_NUMBER_GENERATOR_TABLE[[#Headers],[Suggested Price]]</f>
        <v>Suggested Price</v>
      </c>
      <c r="F23" s="696" t="s">
        <v>1252</v>
      </c>
      <c r="G23" s="693"/>
      <c r="H23" s="693"/>
      <c r="I23" s="693"/>
    </row>
    <row r="24" spans="2:9">
      <c r="B24" t="s">
        <v>1232</v>
      </c>
      <c r="C24">
        <v>1</v>
      </c>
      <c r="D24" s="465">
        <f>SUM(Summary!E26:E29)</f>
        <v>0</v>
      </c>
      <c r="E24" s="465">
        <f>SUM(Summary!F26:F29)</f>
        <v>0</v>
      </c>
      <c r="F24" s="465" t="b">
        <f>IF(B24&lt;&gt;"",FALSE,"")</f>
        <v>0</v>
      </c>
      <c r="G24" s="465"/>
      <c r="H24" s="465"/>
      <c r="I24" s="465"/>
    </row>
    <row r="25" spans="2:9">
      <c r="B25" t="s">
        <v>1228</v>
      </c>
      <c r="C25">
        <v>1</v>
      </c>
      <c r="D25" s="465">
        <f>Summary!E63</f>
        <v>0</v>
      </c>
      <c r="E25" s="465">
        <f>Summary!F63</f>
        <v>0</v>
      </c>
      <c r="F25" s="465" t="b">
        <f t="shared" ref="F25:F88" si="0">IF(B25&lt;&gt;"",FALSE,"")</f>
        <v>0</v>
      </c>
      <c r="G25" s="465"/>
      <c r="H25" s="465"/>
      <c r="I25" s="465"/>
    </row>
    <row r="26" spans="2:9">
      <c r="B26" t="s">
        <v>1231</v>
      </c>
      <c r="C26">
        <v>1</v>
      </c>
      <c r="D26" s="465">
        <f>Summary!E52</f>
        <v>0</v>
      </c>
      <c r="E26" s="465">
        <f>Summary!F52</f>
        <v>0</v>
      </c>
      <c r="F26" s="465" t="b">
        <f t="shared" si="0"/>
        <v>0</v>
      </c>
      <c r="G26" s="465"/>
      <c r="H26" s="465"/>
      <c r="I26" s="465"/>
    </row>
    <row r="27" spans="2:9">
      <c r="B27" t="s">
        <v>1229</v>
      </c>
      <c r="C27">
        <v>1</v>
      </c>
      <c r="D27" s="465">
        <f>Summary!E64</f>
        <v>0</v>
      </c>
      <c r="E27" s="465">
        <f>Summary!F64</f>
        <v>0</v>
      </c>
      <c r="F27" s="465" t="b">
        <f t="shared" si="0"/>
        <v>0</v>
      </c>
      <c r="G27" s="465"/>
      <c r="H27" s="465"/>
      <c r="I27" s="465"/>
    </row>
    <row r="28" spans="2:9">
      <c r="B28" t="s">
        <v>1230</v>
      </c>
      <c r="C28">
        <v>1</v>
      </c>
      <c r="D28" s="465">
        <f>Summary!E65</f>
        <v>0</v>
      </c>
      <c r="E28" s="465">
        <f>Summary!F65</f>
        <v>0</v>
      </c>
      <c r="F28" s="465" t="b">
        <f t="shared" si="0"/>
        <v>0</v>
      </c>
      <c r="G28" s="465"/>
      <c r="H28" s="465"/>
      <c r="I28" s="465"/>
    </row>
    <row r="29" spans="2:9">
      <c r="B29" t="str">
        <f>IFERROR(INDEX(PART_NUMBER_GENERATOR_TABLE[Manufacturer Part Number],MATCH('HIDDEN_APS Part Numbers'!$A31,PART_NUMBER_GENERATOR_TABLE[[ROW]:[ROW]],0),1),"")</f>
        <v>A-PS-P-COLLAB-PM-BH</v>
      </c>
      <c r="C29">
        <f>IFERROR(INDEX(PART_NUMBER_GENERATOR_TABLE[Quantity],MATCH('HIDDEN_APS Part Numbers'!$A31,PART_NUMBER_GENERATOR_TABLE[[ROW]:[ROW]],0),1),"")</f>
        <v>1.5</v>
      </c>
      <c r="D29" s="465">
        <f>IFERROR(INDEX(PART_NUMBER_GENERATOR_TABLE[Cost],MATCH('HIDDEN_APS Part Numbers'!$A31,PART_NUMBER_GENERATOR_TABLE[[ROW]:[ROW]],0),1),"")</f>
        <v>147.55803124436895</v>
      </c>
      <c r="E29" s="465">
        <f>IFERROR(INDEX(PART_NUMBER_GENERATOR_TABLE[Suggested Price],MATCH('HIDDEN_APS Part Numbers'!$A31,PART_NUMBER_GENERATOR_TABLE[[ROW]:[ROW]],0),1),"")</f>
        <v>225</v>
      </c>
      <c r="F29" s="465" t="b">
        <f t="shared" si="0"/>
        <v>0</v>
      </c>
      <c r="G29" s="465"/>
      <c r="H29" s="465"/>
      <c r="I29" s="465"/>
    </row>
    <row r="30" spans="2:9">
      <c r="B30" t="str">
        <f>IFERROR(INDEX(PART_NUMBER_GENERATOR_TABLE[Manufacturer Part Number],MATCH('HIDDEN_APS Part Numbers'!$A32,PART_NUMBER_GENERATOR_TABLE[[ROW]:[ROW]],0),1),"")</f>
        <v/>
      </c>
      <c r="C30" t="str">
        <f>IFERROR(INDEX(PART_NUMBER_GENERATOR_TABLE[Quantity],MATCH('HIDDEN_APS Part Numbers'!$A32,PART_NUMBER_GENERATOR_TABLE[[ROW]:[ROW]],0),1),"")</f>
        <v/>
      </c>
      <c r="D30" s="465" t="str">
        <f>IFERROR(INDEX(PART_NUMBER_GENERATOR_TABLE[Cost],MATCH('HIDDEN_APS Part Numbers'!$A32,PART_NUMBER_GENERATOR_TABLE[[ROW]:[ROW]],0),1),"")</f>
        <v/>
      </c>
      <c r="E30" s="465" t="str">
        <f>IFERROR(INDEX(PART_NUMBER_GENERATOR_TABLE[Suggested Price],MATCH('HIDDEN_APS Part Numbers'!$A32,PART_NUMBER_GENERATOR_TABLE[[ROW]:[ROW]],0),1),"")</f>
        <v/>
      </c>
      <c r="F30" s="465" t="str">
        <f t="shared" si="0"/>
        <v/>
      </c>
      <c r="G30" s="465" t="str">
        <f>IFERROR(INDEX(#REF!,MATCH('HIDDEN_APS Part Numbers'!$A32,PART_NUMBER_GENERATOR_TABLE[[ROW]:[ROW]],0),1),"")</f>
        <v/>
      </c>
      <c r="H30" s="465" t="str">
        <f>IFERROR(INDEX(#REF!,MATCH('HIDDEN_APS Part Numbers'!$A32,PART_NUMBER_GENERATOR_TABLE[[ROW]:[ROW]],0),1),"")</f>
        <v/>
      </c>
      <c r="I30" s="465" t="str">
        <f>IFERROR(INDEX(#REF!,MATCH('HIDDEN_APS Part Numbers'!$A32,PART_NUMBER_GENERATOR_TABLE[[ROW]:[ROW]],0),1),"")</f>
        <v/>
      </c>
    </row>
    <row r="31" spans="2:9">
      <c r="B31" t="str">
        <f>IFERROR(INDEX(PART_NUMBER_GENERATOR_TABLE[Manufacturer Part Number],MATCH('HIDDEN_APS Part Numbers'!$A33,PART_NUMBER_GENERATOR_TABLE[[ROW]:[ROW]],0),1),"")</f>
        <v/>
      </c>
      <c r="C31" t="str">
        <f>IFERROR(INDEX(PART_NUMBER_GENERATOR_TABLE[Quantity],MATCH('HIDDEN_APS Part Numbers'!$A33,PART_NUMBER_GENERATOR_TABLE[[ROW]:[ROW]],0),1),"")</f>
        <v/>
      </c>
      <c r="D31" s="465" t="str">
        <f>IFERROR(INDEX(PART_NUMBER_GENERATOR_TABLE[Cost],MATCH('HIDDEN_APS Part Numbers'!$A33,PART_NUMBER_GENERATOR_TABLE[[ROW]:[ROW]],0),1),"")</f>
        <v/>
      </c>
      <c r="E31" s="465" t="str">
        <f>IFERROR(INDEX(PART_NUMBER_GENERATOR_TABLE[Suggested Price],MATCH('HIDDEN_APS Part Numbers'!$A33,PART_NUMBER_GENERATOR_TABLE[[ROW]:[ROW]],0),1),"")</f>
        <v/>
      </c>
      <c r="F31" s="465" t="str">
        <f t="shared" si="0"/>
        <v/>
      </c>
      <c r="G31" s="465" t="str">
        <f>IFERROR(INDEX(#REF!,MATCH('HIDDEN_APS Part Numbers'!$A33,PART_NUMBER_GENERATOR_TABLE[[ROW]:[ROW]],0),1),"")</f>
        <v/>
      </c>
      <c r="H31" s="465" t="str">
        <f>IFERROR(INDEX(#REF!,MATCH('HIDDEN_APS Part Numbers'!$A33,PART_NUMBER_GENERATOR_TABLE[[ROW]:[ROW]],0),1),"")</f>
        <v/>
      </c>
      <c r="I31" s="465" t="str">
        <f>IFERROR(INDEX(#REF!,MATCH('HIDDEN_APS Part Numbers'!$A33,PART_NUMBER_GENERATOR_TABLE[[ROW]:[ROW]],0),1),"")</f>
        <v/>
      </c>
    </row>
    <row r="32" spans="2:9">
      <c r="B32" t="str">
        <f>IFERROR(INDEX(PART_NUMBER_GENERATOR_TABLE[Manufacturer Part Number],MATCH('HIDDEN_APS Part Numbers'!$A34,PART_NUMBER_GENERATOR_TABLE[[ROW]:[ROW]],0),1),"")</f>
        <v/>
      </c>
      <c r="C32" t="str">
        <f>IFERROR(INDEX(PART_NUMBER_GENERATOR_TABLE[Quantity],MATCH('HIDDEN_APS Part Numbers'!$A34,PART_NUMBER_GENERATOR_TABLE[[ROW]:[ROW]],0),1),"")</f>
        <v/>
      </c>
      <c r="D32" s="465" t="str">
        <f>IFERROR(INDEX(PART_NUMBER_GENERATOR_TABLE[Cost],MATCH('HIDDEN_APS Part Numbers'!$A34,PART_NUMBER_GENERATOR_TABLE[[ROW]:[ROW]],0),1),"")</f>
        <v/>
      </c>
      <c r="E32" s="465" t="str">
        <f>IFERROR(INDEX(PART_NUMBER_GENERATOR_TABLE[Suggested Price],MATCH('HIDDEN_APS Part Numbers'!$A34,PART_NUMBER_GENERATOR_TABLE[[ROW]:[ROW]],0),1),"")</f>
        <v/>
      </c>
      <c r="F32" s="465" t="str">
        <f t="shared" si="0"/>
        <v/>
      </c>
      <c r="G32" s="465" t="str">
        <f>IFERROR(INDEX(#REF!,MATCH('HIDDEN_APS Part Numbers'!$A34,PART_NUMBER_GENERATOR_TABLE[[ROW]:[ROW]],0),1),"")</f>
        <v/>
      </c>
      <c r="H32" s="465" t="str">
        <f>IFERROR(INDEX(#REF!,MATCH('HIDDEN_APS Part Numbers'!$A34,PART_NUMBER_GENERATOR_TABLE[[ROW]:[ROW]],0),1),"")</f>
        <v/>
      </c>
      <c r="I32" s="465" t="str">
        <f>IFERROR(INDEX(#REF!,MATCH('HIDDEN_APS Part Numbers'!$A34,PART_NUMBER_GENERATOR_TABLE[[ROW]:[ROW]],0),1),"")</f>
        <v/>
      </c>
    </row>
    <row r="33" spans="2:9">
      <c r="B33" t="str">
        <f>IFERROR(INDEX(PART_NUMBER_GENERATOR_TABLE[Manufacturer Part Number],MATCH('HIDDEN_APS Part Numbers'!$A35,PART_NUMBER_GENERATOR_TABLE[[ROW]:[ROW]],0),1),"")</f>
        <v/>
      </c>
      <c r="C33" t="str">
        <f>IFERROR(INDEX(PART_NUMBER_GENERATOR_TABLE[Quantity],MATCH('HIDDEN_APS Part Numbers'!$A35,PART_NUMBER_GENERATOR_TABLE[[ROW]:[ROW]],0),1),"")</f>
        <v/>
      </c>
      <c r="D33" s="465" t="str">
        <f>IFERROR(INDEX(PART_NUMBER_GENERATOR_TABLE[Cost],MATCH('HIDDEN_APS Part Numbers'!$A35,PART_NUMBER_GENERATOR_TABLE[[ROW]:[ROW]],0),1),"")</f>
        <v/>
      </c>
      <c r="E33" s="465" t="str">
        <f>IFERROR(INDEX(PART_NUMBER_GENERATOR_TABLE[Suggested Price],MATCH('HIDDEN_APS Part Numbers'!$A35,PART_NUMBER_GENERATOR_TABLE[[ROW]:[ROW]],0),1),"")</f>
        <v/>
      </c>
      <c r="F33" s="465" t="str">
        <f t="shared" si="0"/>
        <v/>
      </c>
      <c r="G33" s="465" t="str">
        <f>IFERROR(INDEX(#REF!,MATCH('HIDDEN_APS Part Numbers'!$A35,PART_NUMBER_GENERATOR_TABLE[[ROW]:[ROW]],0),1),"")</f>
        <v/>
      </c>
      <c r="H33" s="465" t="str">
        <f>IFERROR(INDEX(#REF!,MATCH('HIDDEN_APS Part Numbers'!$A35,PART_NUMBER_GENERATOR_TABLE[[ROW]:[ROW]],0),1),"")</f>
        <v/>
      </c>
      <c r="I33" s="465" t="str">
        <f>IFERROR(INDEX(#REF!,MATCH('HIDDEN_APS Part Numbers'!$A35,PART_NUMBER_GENERATOR_TABLE[[ROW]:[ROW]],0),1),"")</f>
        <v/>
      </c>
    </row>
    <row r="34" spans="2:9">
      <c r="B34" t="str">
        <f>IFERROR(INDEX(PART_NUMBER_GENERATOR_TABLE[Manufacturer Part Number],MATCH('HIDDEN_APS Part Numbers'!$A36,PART_NUMBER_GENERATOR_TABLE[[ROW]:[ROW]],0),1),"")</f>
        <v/>
      </c>
      <c r="C34" t="str">
        <f>IFERROR(INDEX(PART_NUMBER_GENERATOR_TABLE[Quantity],MATCH('HIDDEN_APS Part Numbers'!$A36,PART_NUMBER_GENERATOR_TABLE[[ROW]:[ROW]],0),1),"")</f>
        <v/>
      </c>
      <c r="D34" s="465" t="str">
        <f>IFERROR(INDEX(PART_NUMBER_GENERATOR_TABLE[Cost],MATCH('HIDDEN_APS Part Numbers'!$A36,PART_NUMBER_GENERATOR_TABLE[[ROW]:[ROW]],0),1),"")</f>
        <v/>
      </c>
      <c r="E34" s="465" t="str">
        <f>IFERROR(INDEX(PART_NUMBER_GENERATOR_TABLE[Suggested Price],MATCH('HIDDEN_APS Part Numbers'!$A36,PART_NUMBER_GENERATOR_TABLE[[ROW]:[ROW]],0),1),"")</f>
        <v/>
      </c>
      <c r="F34" s="465" t="str">
        <f t="shared" si="0"/>
        <v/>
      </c>
      <c r="G34" s="465" t="str">
        <f>IFERROR(INDEX(#REF!,MATCH('HIDDEN_APS Part Numbers'!$A36,PART_NUMBER_GENERATOR_TABLE[[ROW]:[ROW]],0),1),"")</f>
        <v/>
      </c>
      <c r="H34" s="465" t="str">
        <f>IFERROR(INDEX(#REF!,MATCH('HIDDEN_APS Part Numbers'!$A36,PART_NUMBER_GENERATOR_TABLE[[ROW]:[ROW]],0),1),"")</f>
        <v/>
      </c>
      <c r="I34" s="465" t="str">
        <f>IFERROR(INDEX(#REF!,MATCH('HIDDEN_APS Part Numbers'!$A36,PART_NUMBER_GENERATOR_TABLE[[ROW]:[ROW]],0),1),"")</f>
        <v/>
      </c>
    </row>
    <row r="35" spans="2:9">
      <c r="B35" t="str">
        <f>IFERROR(INDEX(PART_NUMBER_GENERATOR_TABLE[Manufacturer Part Number],MATCH('HIDDEN_APS Part Numbers'!$A37,PART_NUMBER_GENERATOR_TABLE[[ROW]:[ROW]],0),1),"")</f>
        <v/>
      </c>
      <c r="C35" t="str">
        <f>IFERROR(INDEX(PART_NUMBER_GENERATOR_TABLE[Quantity],MATCH('HIDDEN_APS Part Numbers'!$A37,PART_NUMBER_GENERATOR_TABLE[[ROW]:[ROW]],0),1),"")</f>
        <v/>
      </c>
      <c r="D35" s="465" t="str">
        <f>IFERROR(INDEX(PART_NUMBER_GENERATOR_TABLE[Cost],MATCH('HIDDEN_APS Part Numbers'!$A37,PART_NUMBER_GENERATOR_TABLE[[ROW]:[ROW]],0),1),"")</f>
        <v/>
      </c>
      <c r="E35" s="465" t="str">
        <f>IFERROR(INDEX(PART_NUMBER_GENERATOR_TABLE[Suggested Price],MATCH('HIDDEN_APS Part Numbers'!$A37,PART_NUMBER_GENERATOR_TABLE[[ROW]:[ROW]],0),1),"")</f>
        <v/>
      </c>
      <c r="F35" s="465" t="str">
        <f t="shared" si="0"/>
        <v/>
      </c>
      <c r="G35" s="465" t="str">
        <f>IFERROR(INDEX(#REF!,MATCH('HIDDEN_APS Part Numbers'!$A37,PART_NUMBER_GENERATOR_TABLE[[ROW]:[ROW]],0),1),"")</f>
        <v/>
      </c>
      <c r="H35" s="465" t="str">
        <f>IFERROR(INDEX(#REF!,MATCH('HIDDEN_APS Part Numbers'!$A37,PART_NUMBER_GENERATOR_TABLE[[ROW]:[ROW]],0),1),"")</f>
        <v/>
      </c>
      <c r="I35" s="465" t="str">
        <f>IFERROR(INDEX(#REF!,MATCH('HIDDEN_APS Part Numbers'!$A37,PART_NUMBER_GENERATOR_TABLE[[ROW]:[ROW]],0),1),"")</f>
        <v/>
      </c>
    </row>
    <row r="36" spans="2:9">
      <c r="B36" t="str">
        <f>IFERROR(INDEX(PART_NUMBER_GENERATOR_TABLE[Manufacturer Part Number],MATCH('HIDDEN_APS Part Numbers'!$A38,PART_NUMBER_GENERATOR_TABLE[[ROW]:[ROW]],0),1),"")</f>
        <v/>
      </c>
      <c r="C36" t="str">
        <f>IFERROR(INDEX(PART_NUMBER_GENERATOR_TABLE[Quantity],MATCH('HIDDEN_APS Part Numbers'!$A38,PART_NUMBER_GENERATOR_TABLE[[ROW]:[ROW]],0),1),"")</f>
        <v/>
      </c>
      <c r="D36" s="465" t="str">
        <f>IFERROR(INDEX(PART_NUMBER_GENERATOR_TABLE[Cost],MATCH('HIDDEN_APS Part Numbers'!$A38,PART_NUMBER_GENERATOR_TABLE[[ROW]:[ROW]],0),1),"")</f>
        <v/>
      </c>
      <c r="E36" s="465" t="str">
        <f>IFERROR(INDEX(PART_NUMBER_GENERATOR_TABLE[Suggested Price],MATCH('HIDDEN_APS Part Numbers'!$A38,PART_NUMBER_GENERATOR_TABLE[[ROW]:[ROW]],0),1),"")</f>
        <v/>
      </c>
      <c r="F36" s="465" t="str">
        <f t="shared" si="0"/>
        <v/>
      </c>
      <c r="G36" s="465" t="str">
        <f>IFERROR(INDEX(#REF!,MATCH('HIDDEN_APS Part Numbers'!$A38,PART_NUMBER_GENERATOR_TABLE[[ROW]:[ROW]],0),1),"")</f>
        <v/>
      </c>
      <c r="H36" s="465" t="str">
        <f>IFERROR(INDEX(#REF!,MATCH('HIDDEN_APS Part Numbers'!$A38,PART_NUMBER_GENERATOR_TABLE[[ROW]:[ROW]],0),1),"")</f>
        <v/>
      </c>
      <c r="I36" s="465" t="str">
        <f>IFERROR(INDEX(#REF!,MATCH('HIDDEN_APS Part Numbers'!$A38,PART_NUMBER_GENERATOR_TABLE[[ROW]:[ROW]],0),1),"")</f>
        <v/>
      </c>
    </row>
    <row r="37" spans="2:9">
      <c r="B37" t="str">
        <f>IFERROR(INDEX(PART_NUMBER_GENERATOR_TABLE[Manufacturer Part Number],MATCH('HIDDEN_APS Part Numbers'!$A39,PART_NUMBER_GENERATOR_TABLE[[ROW]:[ROW]],0),1),"")</f>
        <v/>
      </c>
      <c r="C37" t="str">
        <f>IFERROR(INDEX(PART_NUMBER_GENERATOR_TABLE[Quantity],MATCH('HIDDEN_APS Part Numbers'!$A39,PART_NUMBER_GENERATOR_TABLE[[ROW]:[ROW]],0),1),"")</f>
        <v/>
      </c>
      <c r="D37" s="465" t="str">
        <f>IFERROR(INDEX(PART_NUMBER_GENERATOR_TABLE[Cost],MATCH('HIDDEN_APS Part Numbers'!$A39,PART_NUMBER_GENERATOR_TABLE[[ROW]:[ROW]],0),1),"")</f>
        <v/>
      </c>
      <c r="E37" s="465" t="str">
        <f>IFERROR(INDEX(PART_NUMBER_GENERATOR_TABLE[Suggested Price],MATCH('HIDDEN_APS Part Numbers'!$A39,PART_NUMBER_GENERATOR_TABLE[[ROW]:[ROW]],0),1),"")</f>
        <v/>
      </c>
      <c r="F37" s="465" t="str">
        <f t="shared" si="0"/>
        <v/>
      </c>
      <c r="G37" s="465" t="str">
        <f>IFERROR(INDEX(#REF!,MATCH('HIDDEN_APS Part Numbers'!$A39,PART_NUMBER_GENERATOR_TABLE[[ROW]:[ROW]],0),1),"")</f>
        <v/>
      </c>
      <c r="H37" s="465" t="str">
        <f>IFERROR(INDEX(#REF!,MATCH('HIDDEN_APS Part Numbers'!$A39,PART_NUMBER_GENERATOR_TABLE[[ROW]:[ROW]],0),1),"")</f>
        <v/>
      </c>
      <c r="I37" s="465" t="str">
        <f>IFERROR(INDEX(#REF!,MATCH('HIDDEN_APS Part Numbers'!$A39,PART_NUMBER_GENERATOR_TABLE[[ROW]:[ROW]],0),1),"")</f>
        <v/>
      </c>
    </row>
    <row r="38" spans="2:9">
      <c r="B38" t="str">
        <f>IFERROR(INDEX(PART_NUMBER_GENERATOR_TABLE[Manufacturer Part Number],MATCH('HIDDEN_APS Part Numbers'!$A40,PART_NUMBER_GENERATOR_TABLE[[ROW]:[ROW]],0),1),"")</f>
        <v/>
      </c>
      <c r="C38" t="str">
        <f>IFERROR(INDEX(PART_NUMBER_GENERATOR_TABLE[Quantity],MATCH('HIDDEN_APS Part Numbers'!$A40,PART_NUMBER_GENERATOR_TABLE[[ROW]:[ROW]],0),1),"")</f>
        <v/>
      </c>
      <c r="D38" s="465" t="str">
        <f>IFERROR(INDEX(PART_NUMBER_GENERATOR_TABLE[Cost],MATCH('HIDDEN_APS Part Numbers'!$A40,PART_NUMBER_GENERATOR_TABLE[[ROW]:[ROW]],0),1),"")</f>
        <v/>
      </c>
      <c r="E38" s="465" t="str">
        <f>IFERROR(INDEX(PART_NUMBER_GENERATOR_TABLE[Suggested Price],MATCH('HIDDEN_APS Part Numbers'!$A40,PART_NUMBER_GENERATOR_TABLE[[ROW]:[ROW]],0),1),"")</f>
        <v/>
      </c>
      <c r="F38" s="465" t="str">
        <f t="shared" si="0"/>
        <v/>
      </c>
      <c r="G38" s="465" t="str">
        <f>IFERROR(INDEX(#REF!,MATCH('HIDDEN_APS Part Numbers'!$A40,PART_NUMBER_GENERATOR_TABLE[[ROW]:[ROW]],0),1),"")</f>
        <v/>
      </c>
      <c r="H38" s="465" t="str">
        <f>IFERROR(INDEX(#REF!,MATCH('HIDDEN_APS Part Numbers'!$A40,PART_NUMBER_GENERATOR_TABLE[[ROW]:[ROW]],0),1),"")</f>
        <v/>
      </c>
      <c r="I38" s="465" t="str">
        <f>IFERROR(INDEX(#REF!,MATCH('HIDDEN_APS Part Numbers'!$A40,PART_NUMBER_GENERATOR_TABLE[[ROW]:[ROW]],0),1),"")</f>
        <v/>
      </c>
    </row>
    <row r="39" spans="2:9">
      <c r="B39" t="str">
        <f>IFERROR(INDEX(PART_NUMBER_GENERATOR_TABLE[Manufacturer Part Number],MATCH('HIDDEN_APS Part Numbers'!$A41,PART_NUMBER_GENERATOR_TABLE[[ROW]:[ROW]],0),1),"")</f>
        <v/>
      </c>
      <c r="C39" t="str">
        <f>IFERROR(INDEX(PART_NUMBER_GENERATOR_TABLE[Quantity],MATCH('HIDDEN_APS Part Numbers'!$A41,PART_NUMBER_GENERATOR_TABLE[[ROW]:[ROW]],0),1),"")</f>
        <v/>
      </c>
      <c r="D39" s="465" t="str">
        <f>IFERROR(INDEX(PART_NUMBER_GENERATOR_TABLE[Cost],MATCH('HIDDEN_APS Part Numbers'!$A41,PART_NUMBER_GENERATOR_TABLE[[ROW]:[ROW]],0),1),"")</f>
        <v/>
      </c>
      <c r="E39" s="465" t="str">
        <f>IFERROR(INDEX(PART_NUMBER_GENERATOR_TABLE[Suggested Price],MATCH('HIDDEN_APS Part Numbers'!$A41,PART_NUMBER_GENERATOR_TABLE[[ROW]:[ROW]],0),1),"")</f>
        <v/>
      </c>
      <c r="F39" s="465" t="str">
        <f t="shared" si="0"/>
        <v/>
      </c>
      <c r="G39" s="465" t="str">
        <f>IFERROR(INDEX(#REF!,MATCH('HIDDEN_APS Part Numbers'!$A41,PART_NUMBER_GENERATOR_TABLE[[ROW]:[ROW]],0),1),"")</f>
        <v/>
      </c>
      <c r="H39" s="465" t="str">
        <f>IFERROR(INDEX(#REF!,MATCH('HIDDEN_APS Part Numbers'!$A41,PART_NUMBER_GENERATOR_TABLE[[ROW]:[ROW]],0),1),"")</f>
        <v/>
      </c>
      <c r="I39" s="465" t="str">
        <f>IFERROR(INDEX(#REF!,MATCH('HIDDEN_APS Part Numbers'!$A41,PART_NUMBER_GENERATOR_TABLE[[ROW]:[ROW]],0),1),"")</f>
        <v/>
      </c>
    </row>
    <row r="40" spans="2:9">
      <c r="B40" t="str">
        <f>IFERROR(INDEX(PART_NUMBER_GENERATOR_TABLE[Manufacturer Part Number],MATCH('HIDDEN_APS Part Numbers'!$A42,PART_NUMBER_GENERATOR_TABLE[[ROW]:[ROW]],0),1),"")</f>
        <v/>
      </c>
      <c r="C40" t="str">
        <f>IFERROR(INDEX(PART_NUMBER_GENERATOR_TABLE[Quantity],MATCH('HIDDEN_APS Part Numbers'!$A42,PART_NUMBER_GENERATOR_TABLE[[ROW]:[ROW]],0),1),"")</f>
        <v/>
      </c>
      <c r="D40" s="465" t="str">
        <f>IFERROR(INDEX(PART_NUMBER_GENERATOR_TABLE[Cost],MATCH('HIDDEN_APS Part Numbers'!$A42,PART_NUMBER_GENERATOR_TABLE[[ROW]:[ROW]],0),1),"")</f>
        <v/>
      </c>
      <c r="E40" s="465" t="str">
        <f>IFERROR(INDEX(PART_NUMBER_GENERATOR_TABLE[Suggested Price],MATCH('HIDDEN_APS Part Numbers'!$A42,PART_NUMBER_GENERATOR_TABLE[[ROW]:[ROW]],0),1),"")</f>
        <v/>
      </c>
      <c r="F40" s="465" t="str">
        <f t="shared" si="0"/>
        <v/>
      </c>
      <c r="G40" s="465" t="str">
        <f>IFERROR(INDEX(#REF!,MATCH('HIDDEN_APS Part Numbers'!$A42,PART_NUMBER_GENERATOR_TABLE[[ROW]:[ROW]],0),1),"")</f>
        <v/>
      </c>
      <c r="H40" s="465" t="str">
        <f>IFERROR(INDEX(#REF!,MATCH('HIDDEN_APS Part Numbers'!$A42,PART_NUMBER_GENERATOR_TABLE[[ROW]:[ROW]],0),1),"")</f>
        <v/>
      </c>
      <c r="I40" s="465" t="str">
        <f>IFERROR(INDEX(#REF!,MATCH('HIDDEN_APS Part Numbers'!$A42,PART_NUMBER_GENERATOR_TABLE[[ROW]:[ROW]],0),1),"")</f>
        <v/>
      </c>
    </row>
    <row r="41" spans="2:9">
      <c r="B41" t="str">
        <f>IFERROR(INDEX(PART_NUMBER_GENERATOR_TABLE[Manufacturer Part Number],MATCH('HIDDEN_APS Part Numbers'!$A43,PART_NUMBER_GENERATOR_TABLE[[ROW]:[ROW]],0),1),"")</f>
        <v/>
      </c>
      <c r="C41" t="str">
        <f>IFERROR(INDEX(PART_NUMBER_GENERATOR_TABLE[Quantity],MATCH('HIDDEN_APS Part Numbers'!$A43,PART_NUMBER_GENERATOR_TABLE[[ROW]:[ROW]],0),1),"")</f>
        <v/>
      </c>
      <c r="D41" s="465" t="str">
        <f>IFERROR(INDEX(PART_NUMBER_GENERATOR_TABLE[Cost],MATCH('HIDDEN_APS Part Numbers'!$A43,PART_NUMBER_GENERATOR_TABLE[[ROW]:[ROW]],0),1),"")</f>
        <v/>
      </c>
      <c r="E41" s="465" t="str">
        <f>IFERROR(INDEX(PART_NUMBER_GENERATOR_TABLE[Suggested Price],MATCH('HIDDEN_APS Part Numbers'!$A43,PART_NUMBER_GENERATOR_TABLE[[ROW]:[ROW]],0),1),"")</f>
        <v/>
      </c>
      <c r="F41" s="465" t="str">
        <f t="shared" si="0"/>
        <v/>
      </c>
      <c r="G41" s="465" t="str">
        <f>IFERROR(INDEX(#REF!,MATCH('HIDDEN_APS Part Numbers'!$A43,PART_NUMBER_GENERATOR_TABLE[[ROW]:[ROW]],0),1),"")</f>
        <v/>
      </c>
      <c r="H41" s="465" t="str">
        <f>IFERROR(INDEX(#REF!,MATCH('HIDDEN_APS Part Numbers'!$A43,PART_NUMBER_GENERATOR_TABLE[[ROW]:[ROW]],0),1),"")</f>
        <v/>
      </c>
      <c r="I41" s="465" t="str">
        <f>IFERROR(INDEX(#REF!,MATCH('HIDDEN_APS Part Numbers'!$A43,PART_NUMBER_GENERATOR_TABLE[[ROW]:[ROW]],0),1),"")</f>
        <v/>
      </c>
    </row>
    <row r="42" spans="2:9">
      <c r="B42" t="str">
        <f>IFERROR(INDEX(PART_NUMBER_GENERATOR_TABLE[Manufacturer Part Number],MATCH('HIDDEN_APS Part Numbers'!$A44,PART_NUMBER_GENERATOR_TABLE[[ROW]:[ROW]],0),1),"")</f>
        <v/>
      </c>
      <c r="C42" t="str">
        <f>IFERROR(INDEX(PART_NUMBER_GENERATOR_TABLE[Quantity],MATCH('HIDDEN_APS Part Numbers'!$A44,PART_NUMBER_GENERATOR_TABLE[[ROW]:[ROW]],0),1),"")</f>
        <v/>
      </c>
      <c r="D42" s="465" t="str">
        <f>IFERROR(INDEX(PART_NUMBER_GENERATOR_TABLE[Cost],MATCH('HIDDEN_APS Part Numbers'!$A44,PART_NUMBER_GENERATOR_TABLE[[ROW]:[ROW]],0),1),"")</f>
        <v/>
      </c>
      <c r="E42" s="465" t="str">
        <f>IFERROR(INDEX(PART_NUMBER_GENERATOR_TABLE[Suggested Price],MATCH('HIDDEN_APS Part Numbers'!$A44,PART_NUMBER_GENERATOR_TABLE[[ROW]:[ROW]],0),1),"")</f>
        <v/>
      </c>
      <c r="F42" s="465" t="str">
        <f t="shared" si="0"/>
        <v/>
      </c>
      <c r="G42" s="465" t="str">
        <f>IFERROR(INDEX(#REF!,MATCH('HIDDEN_APS Part Numbers'!$A44,PART_NUMBER_GENERATOR_TABLE[[ROW]:[ROW]],0),1),"")</f>
        <v/>
      </c>
      <c r="H42" s="465" t="str">
        <f>IFERROR(INDEX(#REF!,MATCH('HIDDEN_APS Part Numbers'!$A44,PART_NUMBER_GENERATOR_TABLE[[ROW]:[ROW]],0),1),"")</f>
        <v/>
      </c>
      <c r="I42" s="465" t="str">
        <f>IFERROR(INDEX(#REF!,MATCH('HIDDEN_APS Part Numbers'!$A44,PART_NUMBER_GENERATOR_TABLE[[ROW]:[ROW]],0),1),"")</f>
        <v/>
      </c>
    </row>
    <row r="43" spans="2:9">
      <c r="B43" t="str">
        <f>IFERROR(INDEX(PART_NUMBER_GENERATOR_TABLE[Manufacturer Part Number],MATCH('HIDDEN_APS Part Numbers'!$A45,PART_NUMBER_GENERATOR_TABLE[[ROW]:[ROW]],0),1),"")</f>
        <v/>
      </c>
      <c r="C43" t="str">
        <f>IFERROR(INDEX(PART_NUMBER_GENERATOR_TABLE[Quantity],MATCH('HIDDEN_APS Part Numbers'!$A45,PART_NUMBER_GENERATOR_TABLE[[ROW]:[ROW]],0),1),"")</f>
        <v/>
      </c>
      <c r="D43" s="465" t="str">
        <f>IFERROR(INDEX(PART_NUMBER_GENERATOR_TABLE[Cost],MATCH('HIDDEN_APS Part Numbers'!$A45,PART_NUMBER_GENERATOR_TABLE[[ROW]:[ROW]],0),1),"")</f>
        <v/>
      </c>
      <c r="E43" s="465" t="str">
        <f>IFERROR(INDEX(PART_NUMBER_GENERATOR_TABLE[Suggested Price],MATCH('HIDDEN_APS Part Numbers'!$A45,PART_NUMBER_GENERATOR_TABLE[[ROW]:[ROW]],0),1),"")</f>
        <v/>
      </c>
      <c r="F43" s="465" t="str">
        <f t="shared" si="0"/>
        <v/>
      </c>
      <c r="G43" s="465" t="str">
        <f>IFERROR(INDEX(#REF!,MATCH('HIDDEN_APS Part Numbers'!$A45,PART_NUMBER_GENERATOR_TABLE[[ROW]:[ROW]],0),1),"")</f>
        <v/>
      </c>
      <c r="H43" s="465" t="str">
        <f>IFERROR(INDEX(#REF!,MATCH('HIDDEN_APS Part Numbers'!$A45,PART_NUMBER_GENERATOR_TABLE[[ROW]:[ROW]],0),1),"")</f>
        <v/>
      </c>
      <c r="I43" s="465" t="str">
        <f>IFERROR(INDEX(#REF!,MATCH('HIDDEN_APS Part Numbers'!$A45,PART_NUMBER_GENERATOR_TABLE[[ROW]:[ROW]],0),1),"")</f>
        <v/>
      </c>
    </row>
    <row r="44" spans="2:9">
      <c r="B44" t="str">
        <f>IFERROR(INDEX(PART_NUMBER_GENERATOR_TABLE[Manufacturer Part Number],MATCH('HIDDEN_APS Part Numbers'!$A46,PART_NUMBER_GENERATOR_TABLE[[ROW]:[ROW]],0),1),"")</f>
        <v/>
      </c>
      <c r="C44" t="str">
        <f>IFERROR(INDEX(PART_NUMBER_GENERATOR_TABLE[Quantity],MATCH('HIDDEN_APS Part Numbers'!$A46,PART_NUMBER_GENERATOR_TABLE[[ROW]:[ROW]],0),1),"")</f>
        <v/>
      </c>
      <c r="D44" s="465" t="str">
        <f>IFERROR(INDEX(PART_NUMBER_GENERATOR_TABLE[Cost],MATCH('HIDDEN_APS Part Numbers'!$A46,PART_NUMBER_GENERATOR_TABLE[[ROW]:[ROW]],0),1),"")</f>
        <v/>
      </c>
      <c r="E44" s="465" t="str">
        <f>IFERROR(INDEX(PART_NUMBER_GENERATOR_TABLE[Suggested Price],MATCH('HIDDEN_APS Part Numbers'!$A46,PART_NUMBER_GENERATOR_TABLE[[ROW]:[ROW]],0),1),"")</f>
        <v/>
      </c>
      <c r="F44" s="465" t="str">
        <f t="shared" si="0"/>
        <v/>
      </c>
      <c r="G44" s="465" t="str">
        <f>IFERROR(INDEX(#REF!,MATCH('HIDDEN_APS Part Numbers'!$A46,PART_NUMBER_GENERATOR_TABLE[[ROW]:[ROW]],0),1),"")</f>
        <v/>
      </c>
      <c r="H44" s="465" t="str">
        <f>IFERROR(INDEX(#REF!,MATCH('HIDDEN_APS Part Numbers'!$A46,PART_NUMBER_GENERATOR_TABLE[[ROW]:[ROW]],0),1),"")</f>
        <v/>
      </c>
      <c r="I44" s="465" t="str">
        <f>IFERROR(INDEX(#REF!,MATCH('HIDDEN_APS Part Numbers'!$A46,PART_NUMBER_GENERATOR_TABLE[[ROW]:[ROW]],0),1),"")</f>
        <v/>
      </c>
    </row>
    <row r="45" spans="2:9">
      <c r="B45" t="str">
        <f>IFERROR(INDEX(PART_NUMBER_GENERATOR_TABLE[Manufacturer Part Number],MATCH('HIDDEN_APS Part Numbers'!$A47,PART_NUMBER_GENERATOR_TABLE[[ROW]:[ROW]],0),1),"")</f>
        <v/>
      </c>
      <c r="C45" t="str">
        <f>IFERROR(INDEX(PART_NUMBER_GENERATOR_TABLE[Quantity],MATCH('HIDDEN_APS Part Numbers'!$A47,PART_NUMBER_GENERATOR_TABLE[[ROW]:[ROW]],0),1),"")</f>
        <v/>
      </c>
      <c r="D45" s="465" t="str">
        <f>IFERROR(INDEX(PART_NUMBER_GENERATOR_TABLE[Cost],MATCH('HIDDEN_APS Part Numbers'!$A47,PART_NUMBER_GENERATOR_TABLE[[ROW]:[ROW]],0),1),"")</f>
        <v/>
      </c>
      <c r="E45" s="465" t="str">
        <f>IFERROR(INDEX(PART_NUMBER_GENERATOR_TABLE[Suggested Price],MATCH('HIDDEN_APS Part Numbers'!$A47,PART_NUMBER_GENERATOR_TABLE[[ROW]:[ROW]],0),1),"")</f>
        <v/>
      </c>
      <c r="F45" s="465" t="str">
        <f t="shared" si="0"/>
        <v/>
      </c>
      <c r="G45" s="465" t="str">
        <f>IFERROR(INDEX(#REF!,MATCH('HIDDEN_APS Part Numbers'!$A47,PART_NUMBER_GENERATOR_TABLE[[ROW]:[ROW]],0),1),"")</f>
        <v/>
      </c>
      <c r="H45" s="465" t="str">
        <f>IFERROR(INDEX(#REF!,MATCH('HIDDEN_APS Part Numbers'!$A47,PART_NUMBER_GENERATOR_TABLE[[ROW]:[ROW]],0),1),"")</f>
        <v/>
      </c>
      <c r="I45" s="465" t="str">
        <f>IFERROR(INDEX(#REF!,MATCH('HIDDEN_APS Part Numbers'!$A47,PART_NUMBER_GENERATOR_TABLE[[ROW]:[ROW]],0),1),"")</f>
        <v/>
      </c>
    </row>
    <row r="46" spans="2:9">
      <c r="B46" t="str">
        <f>IFERROR(INDEX(PART_NUMBER_GENERATOR_TABLE[Manufacturer Part Number],MATCH('HIDDEN_APS Part Numbers'!$A48,PART_NUMBER_GENERATOR_TABLE[[ROW]:[ROW]],0),1),"")</f>
        <v/>
      </c>
      <c r="C46" t="str">
        <f>IFERROR(INDEX(PART_NUMBER_GENERATOR_TABLE[Quantity],MATCH('HIDDEN_APS Part Numbers'!$A48,PART_NUMBER_GENERATOR_TABLE[[ROW]:[ROW]],0),1),"")</f>
        <v/>
      </c>
      <c r="D46" s="465" t="str">
        <f>IFERROR(INDEX(PART_NUMBER_GENERATOR_TABLE[Cost],MATCH('HIDDEN_APS Part Numbers'!$A48,PART_NUMBER_GENERATOR_TABLE[[ROW]:[ROW]],0),1),"")</f>
        <v/>
      </c>
      <c r="E46" s="465" t="str">
        <f>IFERROR(INDEX(PART_NUMBER_GENERATOR_TABLE[Suggested Price],MATCH('HIDDEN_APS Part Numbers'!$A48,PART_NUMBER_GENERATOR_TABLE[[ROW]:[ROW]],0),1),"")</f>
        <v/>
      </c>
      <c r="F46" s="465" t="str">
        <f t="shared" si="0"/>
        <v/>
      </c>
      <c r="G46" s="465" t="str">
        <f>IFERROR(INDEX(#REF!,MATCH('HIDDEN_APS Part Numbers'!$A48,PART_NUMBER_GENERATOR_TABLE[[ROW]:[ROW]],0),1),"")</f>
        <v/>
      </c>
      <c r="H46" s="465" t="str">
        <f>IFERROR(INDEX(#REF!,MATCH('HIDDEN_APS Part Numbers'!$A48,PART_NUMBER_GENERATOR_TABLE[[ROW]:[ROW]],0),1),"")</f>
        <v/>
      </c>
      <c r="I46" s="465" t="str">
        <f>IFERROR(INDEX(#REF!,MATCH('HIDDEN_APS Part Numbers'!$A48,PART_NUMBER_GENERATOR_TABLE[[ROW]:[ROW]],0),1),"")</f>
        <v/>
      </c>
    </row>
    <row r="47" spans="2:9">
      <c r="B47" t="str">
        <f>IFERROR(INDEX(PART_NUMBER_GENERATOR_TABLE[Manufacturer Part Number],MATCH('HIDDEN_APS Part Numbers'!$A49,PART_NUMBER_GENERATOR_TABLE[[ROW]:[ROW]],0),1),"")</f>
        <v/>
      </c>
      <c r="C47" t="str">
        <f>IFERROR(INDEX(PART_NUMBER_GENERATOR_TABLE[Quantity],MATCH('HIDDEN_APS Part Numbers'!$A49,PART_NUMBER_GENERATOR_TABLE[[ROW]:[ROW]],0),1),"")</f>
        <v/>
      </c>
      <c r="D47" s="465" t="str">
        <f>IFERROR(INDEX(PART_NUMBER_GENERATOR_TABLE[Cost],MATCH('HIDDEN_APS Part Numbers'!$A49,PART_NUMBER_GENERATOR_TABLE[[ROW]:[ROW]],0),1),"")</f>
        <v/>
      </c>
      <c r="E47" s="465" t="str">
        <f>IFERROR(INDEX(PART_NUMBER_GENERATOR_TABLE[Suggested Price],MATCH('HIDDEN_APS Part Numbers'!$A49,PART_NUMBER_GENERATOR_TABLE[[ROW]:[ROW]],0),1),"")</f>
        <v/>
      </c>
      <c r="F47" s="465" t="str">
        <f t="shared" si="0"/>
        <v/>
      </c>
      <c r="G47" s="465" t="str">
        <f>IFERROR(INDEX(#REF!,MATCH('HIDDEN_APS Part Numbers'!$A49,PART_NUMBER_GENERATOR_TABLE[[ROW]:[ROW]],0),1),"")</f>
        <v/>
      </c>
      <c r="H47" s="465" t="str">
        <f>IFERROR(INDEX(#REF!,MATCH('HIDDEN_APS Part Numbers'!$A49,PART_NUMBER_GENERATOR_TABLE[[ROW]:[ROW]],0),1),"")</f>
        <v/>
      </c>
      <c r="I47" s="465" t="str">
        <f>IFERROR(INDEX(#REF!,MATCH('HIDDEN_APS Part Numbers'!$A49,PART_NUMBER_GENERATOR_TABLE[[ROW]:[ROW]],0),1),"")</f>
        <v/>
      </c>
    </row>
    <row r="48" spans="2:9">
      <c r="B48" t="str">
        <f>IFERROR(INDEX(PART_NUMBER_GENERATOR_TABLE[Manufacturer Part Number],MATCH('HIDDEN_APS Part Numbers'!$A50,PART_NUMBER_GENERATOR_TABLE[[ROW]:[ROW]],0),1),"")</f>
        <v/>
      </c>
      <c r="C48" t="str">
        <f>IFERROR(INDEX(PART_NUMBER_GENERATOR_TABLE[Quantity],MATCH('HIDDEN_APS Part Numbers'!$A50,PART_NUMBER_GENERATOR_TABLE[[ROW]:[ROW]],0),1),"")</f>
        <v/>
      </c>
      <c r="D48" s="465" t="str">
        <f>IFERROR(INDEX(PART_NUMBER_GENERATOR_TABLE[Cost],MATCH('HIDDEN_APS Part Numbers'!$A50,PART_NUMBER_GENERATOR_TABLE[[ROW]:[ROW]],0),1),"")</f>
        <v/>
      </c>
      <c r="E48" s="465" t="str">
        <f>IFERROR(INDEX(PART_NUMBER_GENERATOR_TABLE[Suggested Price],MATCH('HIDDEN_APS Part Numbers'!$A50,PART_NUMBER_GENERATOR_TABLE[[ROW]:[ROW]],0),1),"")</f>
        <v/>
      </c>
      <c r="F48" s="465" t="str">
        <f t="shared" si="0"/>
        <v/>
      </c>
      <c r="G48" s="465" t="str">
        <f>IFERROR(INDEX(#REF!,MATCH('HIDDEN_APS Part Numbers'!$A50,PART_NUMBER_GENERATOR_TABLE[[ROW]:[ROW]],0),1),"")</f>
        <v/>
      </c>
      <c r="H48" s="465" t="str">
        <f>IFERROR(INDEX(#REF!,MATCH('HIDDEN_APS Part Numbers'!$A50,PART_NUMBER_GENERATOR_TABLE[[ROW]:[ROW]],0),1),"")</f>
        <v/>
      </c>
      <c r="I48" s="465" t="str">
        <f>IFERROR(INDEX(#REF!,MATCH('HIDDEN_APS Part Numbers'!$A50,PART_NUMBER_GENERATOR_TABLE[[ROW]:[ROW]],0),1),"")</f>
        <v/>
      </c>
    </row>
    <row r="49" spans="2:9">
      <c r="B49" t="str">
        <f>IFERROR(INDEX(PART_NUMBER_GENERATOR_TABLE[Manufacturer Part Number],MATCH('HIDDEN_APS Part Numbers'!$A51,PART_NUMBER_GENERATOR_TABLE[[ROW]:[ROW]],0),1),"")</f>
        <v/>
      </c>
      <c r="C49" t="str">
        <f>IFERROR(INDEX(PART_NUMBER_GENERATOR_TABLE[Quantity],MATCH('HIDDEN_APS Part Numbers'!$A51,PART_NUMBER_GENERATOR_TABLE[[ROW]:[ROW]],0),1),"")</f>
        <v/>
      </c>
      <c r="D49" s="465" t="str">
        <f>IFERROR(INDEX(PART_NUMBER_GENERATOR_TABLE[Cost],MATCH('HIDDEN_APS Part Numbers'!$A51,PART_NUMBER_GENERATOR_TABLE[[ROW]:[ROW]],0),1),"")</f>
        <v/>
      </c>
      <c r="E49" s="465" t="str">
        <f>IFERROR(INDEX(PART_NUMBER_GENERATOR_TABLE[Suggested Price],MATCH('HIDDEN_APS Part Numbers'!$A51,PART_NUMBER_GENERATOR_TABLE[[ROW]:[ROW]],0),1),"")</f>
        <v/>
      </c>
      <c r="F49" s="465" t="str">
        <f t="shared" si="0"/>
        <v/>
      </c>
      <c r="G49" s="465" t="str">
        <f>IFERROR(INDEX(#REF!,MATCH('HIDDEN_APS Part Numbers'!$A51,PART_NUMBER_GENERATOR_TABLE[[ROW]:[ROW]],0),1),"")</f>
        <v/>
      </c>
      <c r="H49" s="465" t="str">
        <f>IFERROR(INDEX(#REF!,MATCH('HIDDEN_APS Part Numbers'!$A51,PART_NUMBER_GENERATOR_TABLE[[ROW]:[ROW]],0),1),"")</f>
        <v/>
      </c>
      <c r="I49" s="465" t="str">
        <f>IFERROR(INDEX(#REF!,MATCH('HIDDEN_APS Part Numbers'!$A51,PART_NUMBER_GENERATOR_TABLE[[ROW]:[ROW]],0),1),"")</f>
        <v/>
      </c>
    </row>
    <row r="50" spans="2:9">
      <c r="B50" t="str">
        <f>IFERROR(INDEX(PART_NUMBER_GENERATOR_TABLE[Manufacturer Part Number],MATCH('HIDDEN_APS Part Numbers'!$A52,PART_NUMBER_GENERATOR_TABLE[[ROW]:[ROW]],0),1),"")</f>
        <v/>
      </c>
      <c r="C50" t="str">
        <f>IFERROR(INDEX(PART_NUMBER_GENERATOR_TABLE[Quantity],MATCH('HIDDEN_APS Part Numbers'!$A52,PART_NUMBER_GENERATOR_TABLE[[ROW]:[ROW]],0),1),"")</f>
        <v/>
      </c>
      <c r="D50" s="465" t="str">
        <f>IFERROR(INDEX(PART_NUMBER_GENERATOR_TABLE[Cost],MATCH('HIDDEN_APS Part Numbers'!$A52,PART_NUMBER_GENERATOR_TABLE[[ROW]:[ROW]],0),1),"")</f>
        <v/>
      </c>
      <c r="E50" s="465" t="str">
        <f>IFERROR(INDEX(PART_NUMBER_GENERATOR_TABLE[Suggested Price],MATCH('HIDDEN_APS Part Numbers'!$A52,PART_NUMBER_GENERATOR_TABLE[[ROW]:[ROW]],0),1),"")</f>
        <v/>
      </c>
      <c r="F50" s="465" t="str">
        <f t="shared" si="0"/>
        <v/>
      </c>
      <c r="G50" s="465" t="str">
        <f>IFERROR(INDEX(#REF!,MATCH('HIDDEN_APS Part Numbers'!$A52,PART_NUMBER_GENERATOR_TABLE[[ROW]:[ROW]],0),1),"")</f>
        <v/>
      </c>
      <c r="H50" s="465" t="str">
        <f>IFERROR(INDEX(#REF!,MATCH('HIDDEN_APS Part Numbers'!$A52,PART_NUMBER_GENERATOR_TABLE[[ROW]:[ROW]],0),1),"")</f>
        <v/>
      </c>
      <c r="I50" s="465" t="str">
        <f>IFERROR(INDEX(#REF!,MATCH('HIDDEN_APS Part Numbers'!$A52,PART_NUMBER_GENERATOR_TABLE[[ROW]:[ROW]],0),1),"")</f>
        <v/>
      </c>
    </row>
    <row r="51" spans="2:9">
      <c r="B51" t="str">
        <f>IFERROR(INDEX(PART_NUMBER_GENERATOR_TABLE[Manufacturer Part Number],MATCH('HIDDEN_APS Part Numbers'!$A53,PART_NUMBER_GENERATOR_TABLE[[ROW]:[ROW]],0),1),"")</f>
        <v/>
      </c>
      <c r="C51" t="str">
        <f>IFERROR(INDEX(PART_NUMBER_GENERATOR_TABLE[Quantity],MATCH('HIDDEN_APS Part Numbers'!$A53,PART_NUMBER_GENERATOR_TABLE[[ROW]:[ROW]],0),1),"")</f>
        <v/>
      </c>
      <c r="D51" s="465" t="str">
        <f>IFERROR(INDEX(PART_NUMBER_GENERATOR_TABLE[Cost],MATCH('HIDDEN_APS Part Numbers'!$A53,PART_NUMBER_GENERATOR_TABLE[[ROW]:[ROW]],0),1),"")</f>
        <v/>
      </c>
      <c r="E51" s="465" t="str">
        <f>IFERROR(INDEX(PART_NUMBER_GENERATOR_TABLE[Suggested Price],MATCH('HIDDEN_APS Part Numbers'!$A53,PART_NUMBER_GENERATOR_TABLE[[ROW]:[ROW]],0),1),"")</f>
        <v/>
      </c>
      <c r="F51" s="465" t="str">
        <f t="shared" si="0"/>
        <v/>
      </c>
      <c r="G51" s="465" t="str">
        <f>IFERROR(INDEX(#REF!,MATCH('HIDDEN_APS Part Numbers'!$A53,PART_NUMBER_GENERATOR_TABLE[[ROW]:[ROW]],0),1),"")</f>
        <v/>
      </c>
      <c r="H51" s="465" t="str">
        <f>IFERROR(INDEX(#REF!,MATCH('HIDDEN_APS Part Numbers'!$A53,PART_NUMBER_GENERATOR_TABLE[[ROW]:[ROW]],0),1),"")</f>
        <v/>
      </c>
      <c r="I51" s="465" t="str">
        <f>IFERROR(INDEX(#REF!,MATCH('HIDDEN_APS Part Numbers'!$A53,PART_NUMBER_GENERATOR_TABLE[[ROW]:[ROW]],0),1),"")</f>
        <v/>
      </c>
    </row>
    <row r="52" spans="2:9">
      <c r="B52" t="str">
        <f>IFERROR(INDEX(PART_NUMBER_GENERATOR_TABLE[Manufacturer Part Number],MATCH('HIDDEN_APS Part Numbers'!$A54,PART_NUMBER_GENERATOR_TABLE[[ROW]:[ROW]],0),1),"")</f>
        <v/>
      </c>
      <c r="C52" t="str">
        <f>IFERROR(INDEX(PART_NUMBER_GENERATOR_TABLE[Quantity],MATCH('HIDDEN_APS Part Numbers'!$A54,PART_NUMBER_GENERATOR_TABLE[[ROW]:[ROW]],0),1),"")</f>
        <v/>
      </c>
      <c r="D52" s="465" t="str">
        <f>IFERROR(INDEX(PART_NUMBER_GENERATOR_TABLE[Cost],MATCH('HIDDEN_APS Part Numbers'!$A54,PART_NUMBER_GENERATOR_TABLE[[ROW]:[ROW]],0),1),"")</f>
        <v/>
      </c>
      <c r="E52" s="465" t="str">
        <f>IFERROR(INDEX(PART_NUMBER_GENERATOR_TABLE[Suggested Price],MATCH('HIDDEN_APS Part Numbers'!$A54,PART_NUMBER_GENERATOR_TABLE[[ROW]:[ROW]],0),1),"")</f>
        <v/>
      </c>
      <c r="F52" s="465" t="str">
        <f t="shared" si="0"/>
        <v/>
      </c>
      <c r="G52" s="465" t="str">
        <f>IFERROR(INDEX(#REF!,MATCH('HIDDEN_APS Part Numbers'!$A54,PART_NUMBER_GENERATOR_TABLE[[ROW]:[ROW]],0),1),"")</f>
        <v/>
      </c>
      <c r="H52" s="465" t="str">
        <f>IFERROR(INDEX(#REF!,MATCH('HIDDEN_APS Part Numbers'!$A54,PART_NUMBER_GENERATOR_TABLE[[ROW]:[ROW]],0),1),"")</f>
        <v/>
      </c>
      <c r="I52" s="465" t="str">
        <f>IFERROR(INDEX(#REF!,MATCH('HIDDEN_APS Part Numbers'!$A54,PART_NUMBER_GENERATOR_TABLE[[ROW]:[ROW]],0),1),"")</f>
        <v/>
      </c>
    </row>
    <row r="53" spans="2:9">
      <c r="B53" t="str">
        <f>IFERROR(INDEX(PART_NUMBER_GENERATOR_TABLE[Manufacturer Part Number],MATCH('HIDDEN_APS Part Numbers'!$A55,PART_NUMBER_GENERATOR_TABLE[[ROW]:[ROW]],0),1),"")</f>
        <v/>
      </c>
      <c r="C53" t="str">
        <f>IFERROR(INDEX(PART_NUMBER_GENERATOR_TABLE[Quantity],MATCH('HIDDEN_APS Part Numbers'!$A55,PART_NUMBER_GENERATOR_TABLE[[ROW]:[ROW]],0),1),"")</f>
        <v/>
      </c>
      <c r="D53" s="465" t="str">
        <f>IFERROR(INDEX(PART_NUMBER_GENERATOR_TABLE[Cost],MATCH('HIDDEN_APS Part Numbers'!$A55,PART_NUMBER_GENERATOR_TABLE[[ROW]:[ROW]],0),1),"")</f>
        <v/>
      </c>
      <c r="E53" s="465" t="str">
        <f>IFERROR(INDEX(PART_NUMBER_GENERATOR_TABLE[Suggested Price],MATCH('HIDDEN_APS Part Numbers'!$A55,PART_NUMBER_GENERATOR_TABLE[[ROW]:[ROW]],0),1),"")</f>
        <v/>
      </c>
      <c r="F53" s="465" t="str">
        <f t="shared" si="0"/>
        <v/>
      </c>
      <c r="G53" s="465" t="str">
        <f>IFERROR(INDEX(#REF!,MATCH('HIDDEN_APS Part Numbers'!$A55,PART_NUMBER_GENERATOR_TABLE[[ROW]:[ROW]],0),1),"")</f>
        <v/>
      </c>
      <c r="H53" s="465" t="str">
        <f>IFERROR(INDEX(#REF!,MATCH('HIDDEN_APS Part Numbers'!$A55,PART_NUMBER_GENERATOR_TABLE[[ROW]:[ROW]],0),1),"")</f>
        <v/>
      </c>
      <c r="I53" s="465" t="str">
        <f>IFERROR(INDEX(#REF!,MATCH('HIDDEN_APS Part Numbers'!$A55,PART_NUMBER_GENERATOR_TABLE[[ROW]:[ROW]],0),1),"")</f>
        <v/>
      </c>
    </row>
    <row r="54" spans="2:9">
      <c r="B54" t="str">
        <f>IFERROR(INDEX(PART_NUMBER_GENERATOR_TABLE[Manufacturer Part Number],MATCH('HIDDEN_APS Part Numbers'!$A56,PART_NUMBER_GENERATOR_TABLE[[ROW]:[ROW]],0),1),"")</f>
        <v/>
      </c>
      <c r="C54" t="str">
        <f>IFERROR(INDEX(PART_NUMBER_GENERATOR_TABLE[Quantity],MATCH('HIDDEN_APS Part Numbers'!$A56,PART_NUMBER_GENERATOR_TABLE[[ROW]:[ROW]],0),1),"")</f>
        <v/>
      </c>
      <c r="D54" s="465" t="str">
        <f>IFERROR(INDEX(PART_NUMBER_GENERATOR_TABLE[Cost],MATCH('HIDDEN_APS Part Numbers'!$A56,PART_NUMBER_GENERATOR_TABLE[[ROW]:[ROW]],0),1),"")</f>
        <v/>
      </c>
      <c r="E54" s="465" t="str">
        <f>IFERROR(INDEX(PART_NUMBER_GENERATOR_TABLE[Suggested Price],MATCH('HIDDEN_APS Part Numbers'!$A56,PART_NUMBER_GENERATOR_TABLE[[ROW]:[ROW]],0),1),"")</f>
        <v/>
      </c>
      <c r="F54" s="465" t="str">
        <f t="shared" si="0"/>
        <v/>
      </c>
      <c r="G54" s="465" t="str">
        <f>IFERROR(INDEX(#REF!,MATCH('HIDDEN_APS Part Numbers'!$A56,PART_NUMBER_GENERATOR_TABLE[[ROW]:[ROW]],0),1),"")</f>
        <v/>
      </c>
      <c r="H54" s="465" t="str">
        <f>IFERROR(INDEX(#REF!,MATCH('HIDDEN_APS Part Numbers'!$A56,PART_NUMBER_GENERATOR_TABLE[[ROW]:[ROW]],0),1),"")</f>
        <v/>
      </c>
      <c r="I54" s="465" t="str">
        <f>IFERROR(INDEX(#REF!,MATCH('HIDDEN_APS Part Numbers'!$A56,PART_NUMBER_GENERATOR_TABLE[[ROW]:[ROW]],0),1),"")</f>
        <v/>
      </c>
    </row>
    <row r="55" spans="2:9">
      <c r="B55" t="str">
        <f>IFERROR(INDEX(PART_NUMBER_GENERATOR_TABLE[Manufacturer Part Number],MATCH('HIDDEN_APS Part Numbers'!$A57,PART_NUMBER_GENERATOR_TABLE[[ROW]:[ROW]],0),1),"")</f>
        <v/>
      </c>
      <c r="C55" t="str">
        <f>IFERROR(INDEX(PART_NUMBER_GENERATOR_TABLE[Quantity],MATCH('HIDDEN_APS Part Numbers'!$A57,PART_NUMBER_GENERATOR_TABLE[[ROW]:[ROW]],0),1),"")</f>
        <v/>
      </c>
      <c r="D55" s="465" t="str">
        <f>IFERROR(INDEX(PART_NUMBER_GENERATOR_TABLE[Cost],MATCH('HIDDEN_APS Part Numbers'!$A57,PART_NUMBER_GENERATOR_TABLE[[ROW]:[ROW]],0),1),"")</f>
        <v/>
      </c>
      <c r="E55" s="465" t="str">
        <f>IFERROR(INDEX(PART_NUMBER_GENERATOR_TABLE[Suggested Price],MATCH('HIDDEN_APS Part Numbers'!$A57,PART_NUMBER_GENERATOR_TABLE[[ROW]:[ROW]],0),1),"")</f>
        <v/>
      </c>
      <c r="F55" s="465" t="str">
        <f t="shared" si="0"/>
        <v/>
      </c>
      <c r="G55" s="465" t="str">
        <f>IFERROR(INDEX(#REF!,MATCH('HIDDEN_APS Part Numbers'!$A57,PART_NUMBER_GENERATOR_TABLE[[ROW]:[ROW]],0),1),"")</f>
        <v/>
      </c>
      <c r="H55" s="465" t="str">
        <f>IFERROR(INDEX(#REF!,MATCH('HIDDEN_APS Part Numbers'!$A57,PART_NUMBER_GENERATOR_TABLE[[ROW]:[ROW]],0),1),"")</f>
        <v/>
      </c>
      <c r="I55" s="465" t="str">
        <f>IFERROR(INDEX(#REF!,MATCH('HIDDEN_APS Part Numbers'!$A57,PART_NUMBER_GENERATOR_TABLE[[ROW]:[ROW]],0),1),"")</f>
        <v/>
      </c>
    </row>
    <row r="56" spans="2:9">
      <c r="B56" t="str">
        <f>IFERROR(INDEX(PART_NUMBER_GENERATOR_TABLE[Manufacturer Part Number],MATCH('HIDDEN_APS Part Numbers'!$A58,PART_NUMBER_GENERATOR_TABLE[[ROW]:[ROW]],0),1),"")</f>
        <v/>
      </c>
      <c r="C56" t="str">
        <f>IFERROR(INDEX(PART_NUMBER_GENERATOR_TABLE[Quantity],MATCH('HIDDEN_APS Part Numbers'!$A58,PART_NUMBER_GENERATOR_TABLE[[ROW]:[ROW]],0),1),"")</f>
        <v/>
      </c>
      <c r="D56" s="465" t="str">
        <f>IFERROR(INDEX(PART_NUMBER_GENERATOR_TABLE[Cost],MATCH('HIDDEN_APS Part Numbers'!$A58,PART_NUMBER_GENERATOR_TABLE[[ROW]:[ROW]],0),1),"")</f>
        <v/>
      </c>
      <c r="E56" s="465" t="str">
        <f>IFERROR(INDEX(PART_NUMBER_GENERATOR_TABLE[Suggested Price],MATCH('HIDDEN_APS Part Numbers'!$A58,PART_NUMBER_GENERATOR_TABLE[[ROW]:[ROW]],0),1),"")</f>
        <v/>
      </c>
      <c r="F56" s="465" t="str">
        <f t="shared" si="0"/>
        <v/>
      </c>
      <c r="G56" s="465" t="str">
        <f>IFERROR(INDEX(#REF!,MATCH('HIDDEN_APS Part Numbers'!$A58,PART_NUMBER_GENERATOR_TABLE[[ROW]:[ROW]],0),1),"")</f>
        <v/>
      </c>
      <c r="H56" s="465" t="str">
        <f>IFERROR(INDEX(#REF!,MATCH('HIDDEN_APS Part Numbers'!$A58,PART_NUMBER_GENERATOR_TABLE[[ROW]:[ROW]],0),1),"")</f>
        <v/>
      </c>
      <c r="I56" s="465" t="str">
        <f>IFERROR(INDEX(#REF!,MATCH('HIDDEN_APS Part Numbers'!$A58,PART_NUMBER_GENERATOR_TABLE[[ROW]:[ROW]],0),1),"")</f>
        <v/>
      </c>
    </row>
    <row r="57" spans="2:9">
      <c r="B57" t="str">
        <f>IFERROR(INDEX(PART_NUMBER_GENERATOR_TABLE[Manufacturer Part Number],MATCH('HIDDEN_APS Part Numbers'!$A59,PART_NUMBER_GENERATOR_TABLE[[ROW]:[ROW]],0),1),"")</f>
        <v/>
      </c>
      <c r="C57" t="str">
        <f>IFERROR(INDEX(PART_NUMBER_GENERATOR_TABLE[Quantity],MATCH('HIDDEN_APS Part Numbers'!$A59,PART_NUMBER_GENERATOR_TABLE[[ROW]:[ROW]],0),1),"")</f>
        <v/>
      </c>
      <c r="D57" s="465" t="str">
        <f>IFERROR(INDEX(PART_NUMBER_GENERATOR_TABLE[Cost],MATCH('HIDDEN_APS Part Numbers'!$A59,PART_NUMBER_GENERATOR_TABLE[[ROW]:[ROW]],0),1),"")</f>
        <v/>
      </c>
      <c r="E57" s="465" t="str">
        <f>IFERROR(INDEX(PART_NUMBER_GENERATOR_TABLE[Suggested Price],MATCH('HIDDEN_APS Part Numbers'!$A59,PART_NUMBER_GENERATOR_TABLE[[ROW]:[ROW]],0),1),"")</f>
        <v/>
      </c>
      <c r="F57" s="465" t="str">
        <f t="shared" si="0"/>
        <v/>
      </c>
      <c r="G57" s="465" t="str">
        <f>IFERROR(INDEX(#REF!,MATCH('HIDDEN_APS Part Numbers'!$A59,PART_NUMBER_GENERATOR_TABLE[[ROW]:[ROW]],0),1),"")</f>
        <v/>
      </c>
      <c r="H57" s="465" t="str">
        <f>IFERROR(INDEX(#REF!,MATCH('HIDDEN_APS Part Numbers'!$A59,PART_NUMBER_GENERATOR_TABLE[[ROW]:[ROW]],0),1),"")</f>
        <v/>
      </c>
      <c r="I57" s="465" t="str">
        <f>IFERROR(INDEX(#REF!,MATCH('HIDDEN_APS Part Numbers'!$A59,PART_NUMBER_GENERATOR_TABLE[[ROW]:[ROW]],0),1),"")</f>
        <v/>
      </c>
    </row>
    <row r="58" spans="2:9">
      <c r="B58" t="str">
        <f>IFERROR(INDEX(PART_NUMBER_GENERATOR_TABLE[Manufacturer Part Number],MATCH('HIDDEN_APS Part Numbers'!$A60,PART_NUMBER_GENERATOR_TABLE[[ROW]:[ROW]],0),1),"")</f>
        <v/>
      </c>
      <c r="C58" t="str">
        <f>IFERROR(INDEX(PART_NUMBER_GENERATOR_TABLE[Quantity],MATCH('HIDDEN_APS Part Numbers'!$A60,PART_NUMBER_GENERATOR_TABLE[[ROW]:[ROW]],0),1),"")</f>
        <v/>
      </c>
      <c r="D58" s="465" t="str">
        <f>IFERROR(INDEX(PART_NUMBER_GENERATOR_TABLE[Cost],MATCH('HIDDEN_APS Part Numbers'!$A60,PART_NUMBER_GENERATOR_TABLE[[ROW]:[ROW]],0),1),"")</f>
        <v/>
      </c>
      <c r="E58" s="465" t="str">
        <f>IFERROR(INDEX(PART_NUMBER_GENERATOR_TABLE[Suggested Price],MATCH('HIDDEN_APS Part Numbers'!$A60,PART_NUMBER_GENERATOR_TABLE[[ROW]:[ROW]],0),1),"")</f>
        <v/>
      </c>
      <c r="F58" s="465" t="str">
        <f t="shared" si="0"/>
        <v/>
      </c>
      <c r="G58" s="465" t="str">
        <f>IFERROR(INDEX(#REF!,MATCH('HIDDEN_APS Part Numbers'!$A60,PART_NUMBER_GENERATOR_TABLE[[ROW]:[ROW]],0),1),"")</f>
        <v/>
      </c>
      <c r="H58" s="465" t="str">
        <f>IFERROR(INDEX(#REF!,MATCH('HIDDEN_APS Part Numbers'!$A60,PART_NUMBER_GENERATOR_TABLE[[ROW]:[ROW]],0),1),"")</f>
        <v/>
      </c>
      <c r="I58" s="465" t="str">
        <f>IFERROR(INDEX(#REF!,MATCH('HIDDEN_APS Part Numbers'!$A60,PART_NUMBER_GENERATOR_TABLE[[ROW]:[ROW]],0),1),"")</f>
        <v/>
      </c>
    </row>
    <row r="59" spans="2:9">
      <c r="B59" t="str">
        <f>IFERROR(INDEX(PART_NUMBER_GENERATOR_TABLE[Manufacturer Part Number],MATCH('HIDDEN_APS Part Numbers'!$A61,PART_NUMBER_GENERATOR_TABLE[[ROW]:[ROW]],0),1),"")</f>
        <v/>
      </c>
      <c r="C59" t="str">
        <f>IFERROR(INDEX(PART_NUMBER_GENERATOR_TABLE[Quantity],MATCH('HIDDEN_APS Part Numbers'!$A61,PART_NUMBER_GENERATOR_TABLE[[ROW]:[ROW]],0),1),"")</f>
        <v/>
      </c>
      <c r="D59" s="465" t="str">
        <f>IFERROR(INDEX(PART_NUMBER_GENERATOR_TABLE[Cost],MATCH('HIDDEN_APS Part Numbers'!$A61,PART_NUMBER_GENERATOR_TABLE[[ROW]:[ROW]],0),1),"")</f>
        <v/>
      </c>
      <c r="E59" s="465" t="str">
        <f>IFERROR(INDEX(PART_NUMBER_GENERATOR_TABLE[Suggested Price],MATCH('HIDDEN_APS Part Numbers'!$A61,PART_NUMBER_GENERATOR_TABLE[[ROW]:[ROW]],0),1),"")</f>
        <v/>
      </c>
      <c r="F59" s="465" t="str">
        <f t="shared" si="0"/>
        <v/>
      </c>
      <c r="G59" s="465" t="str">
        <f>IFERROR(INDEX(#REF!,MATCH('HIDDEN_APS Part Numbers'!$A61,PART_NUMBER_GENERATOR_TABLE[[ROW]:[ROW]],0),1),"")</f>
        <v/>
      </c>
      <c r="H59" s="465" t="str">
        <f>IFERROR(INDEX(#REF!,MATCH('HIDDEN_APS Part Numbers'!$A61,PART_NUMBER_GENERATOR_TABLE[[ROW]:[ROW]],0),1),"")</f>
        <v/>
      </c>
      <c r="I59" s="465" t="str">
        <f>IFERROR(INDEX(#REF!,MATCH('HIDDEN_APS Part Numbers'!$A61,PART_NUMBER_GENERATOR_TABLE[[ROW]:[ROW]],0),1),"")</f>
        <v/>
      </c>
    </row>
    <row r="60" spans="2:9">
      <c r="B60" t="str">
        <f>IFERROR(INDEX(PART_NUMBER_GENERATOR_TABLE[Manufacturer Part Number],MATCH('HIDDEN_APS Part Numbers'!$A62,PART_NUMBER_GENERATOR_TABLE[[ROW]:[ROW]],0),1),"")</f>
        <v/>
      </c>
      <c r="C60" t="str">
        <f>IFERROR(INDEX(PART_NUMBER_GENERATOR_TABLE[Quantity],MATCH('HIDDEN_APS Part Numbers'!$A62,PART_NUMBER_GENERATOR_TABLE[[ROW]:[ROW]],0),1),"")</f>
        <v/>
      </c>
      <c r="D60" s="465" t="str">
        <f>IFERROR(INDEX(PART_NUMBER_GENERATOR_TABLE[Cost],MATCH('HIDDEN_APS Part Numbers'!$A62,PART_NUMBER_GENERATOR_TABLE[[ROW]:[ROW]],0),1),"")</f>
        <v/>
      </c>
      <c r="E60" s="465" t="str">
        <f>IFERROR(INDEX(PART_NUMBER_GENERATOR_TABLE[Suggested Price],MATCH('HIDDEN_APS Part Numbers'!$A62,PART_NUMBER_GENERATOR_TABLE[[ROW]:[ROW]],0),1),"")</f>
        <v/>
      </c>
      <c r="F60" s="465" t="str">
        <f t="shared" si="0"/>
        <v/>
      </c>
      <c r="G60" s="465" t="str">
        <f>IFERROR(INDEX(#REF!,MATCH('HIDDEN_APS Part Numbers'!$A62,PART_NUMBER_GENERATOR_TABLE[[ROW]:[ROW]],0),1),"")</f>
        <v/>
      </c>
      <c r="H60" s="465" t="str">
        <f>IFERROR(INDEX(#REF!,MATCH('HIDDEN_APS Part Numbers'!$A62,PART_NUMBER_GENERATOR_TABLE[[ROW]:[ROW]],0),1),"")</f>
        <v/>
      </c>
      <c r="I60" s="465" t="str">
        <f>IFERROR(INDEX(#REF!,MATCH('HIDDEN_APS Part Numbers'!$A62,PART_NUMBER_GENERATOR_TABLE[[ROW]:[ROW]],0),1),"")</f>
        <v/>
      </c>
    </row>
    <row r="61" spans="2:9">
      <c r="B61" t="str">
        <f>IFERROR(INDEX(PART_NUMBER_GENERATOR_TABLE[Manufacturer Part Number],MATCH('HIDDEN_APS Part Numbers'!$A63,PART_NUMBER_GENERATOR_TABLE[[ROW]:[ROW]],0),1),"")</f>
        <v/>
      </c>
      <c r="C61" t="str">
        <f>IFERROR(INDEX(PART_NUMBER_GENERATOR_TABLE[Quantity],MATCH('HIDDEN_APS Part Numbers'!$A63,PART_NUMBER_GENERATOR_TABLE[[ROW]:[ROW]],0),1),"")</f>
        <v/>
      </c>
      <c r="D61" s="465" t="str">
        <f>IFERROR(INDEX(PART_NUMBER_GENERATOR_TABLE[Cost],MATCH('HIDDEN_APS Part Numbers'!$A63,PART_NUMBER_GENERATOR_TABLE[[ROW]:[ROW]],0),1),"")</f>
        <v/>
      </c>
      <c r="E61" s="465" t="str">
        <f>IFERROR(INDEX(PART_NUMBER_GENERATOR_TABLE[Suggested Price],MATCH('HIDDEN_APS Part Numbers'!$A63,PART_NUMBER_GENERATOR_TABLE[[ROW]:[ROW]],0),1),"")</f>
        <v/>
      </c>
      <c r="F61" s="465" t="str">
        <f t="shared" si="0"/>
        <v/>
      </c>
      <c r="G61" s="465" t="str">
        <f>IFERROR(INDEX(#REF!,MATCH('HIDDEN_APS Part Numbers'!$A63,PART_NUMBER_GENERATOR_TABLE[[ROW]:[ROW]],0),1),"")</f>
        <v/>
      </c>
      <c r="H61" s="465" t="str">
        <f>IFERROR(INDEX(#REF!,MATCH('HIDDEN_APS Part Numbers'!$A63,PART_NUMBER_GENERATOR_TABLE[[ROW]:[ROW]],0),1),"")</f>
        <v/>
      </c>
      <c r="I61" s="465" t="str">
        <f>IFERROR(INDEX(#REF!,MATCH('HIDDEN_APS Part Numbers'!$A63,PART_NUMBER_GENERATOR_TABLE[[ROW]:[ROW]],0),1),"")</f>
        <v/>
      </c>
    </row>
    <row r="62" spans="2:9">
      <c r="B62" t="str">
        <f>IFERROR(INDEX(PART_NUMBER_GENERATOR_TABLE[Manufacturer Part Number],MATCH('HIDDEN_APS Part Numbers'!$A64,PART_NUMBER_GENERATOR_TABLE[[ROW]:[ROW]],0),1),"")</f>
        <v/>
      </c>
      <c r="C62" t="str">
        <f>IFERROR(INDEX(PART_NUMBER_GENERATOR_TABLE[Quantity],MATCH('HIDDEN_APS Part Numbers'!$A64,PART_NUMBER_GENERATOR_TABLE[[ROW]:[ROW]],0),1),"")</f>
        <v/>
      </c>
      <c r="D62" s="465" t="str">
        <f>IFERROR(INDEX(PART_NUMBER_GENERATOR_TABLE[Cost],MATCH('HIDDEN_APS Part Numbers'!$A64,PART_NUMBER_GENERATOR_TABLE[[ROW]:[ROW]],0),1),"")</f>
        <v/>
      </c>
      <c r="E62" s="465" t="str">
        <f>IFERROR(INDEX(PART_NUMBER_GENERATOR_TABLE[Suggested Price],MATCH('HIDDEN_APS Part Numbers'!$A64,PART_NUMBER_GENERATOR_TABLE[[ROW]:[ROW]],0),1),"")</f>
        <v/>
      </c>
      <c r="F62" s="465" t="str">
        <f t="shared" si="0"/>
        <v/>
      </c>
      <c r="G62" s="465" t="str">
        <f>IFERROR(INDEX(#REF!,MATCH('HIDDEN_APS Part Numbers'!$A64,PART_NUMBER_GENERATOR_TABLE[[ROW]:[ROW]],0),1),"")</f>
        <v/>
      </c>
      <c r="H62" s="465" t="str">
        <f>IFERROR(INDEX(#REF!,MATCH('HIDDEN_APS Part Numbers'!$A64,PART_NUMBER_GENERATOR_TABLE[[ROW]:[ROW]],0),1),"")</f>
        <v/>
      </c>
      <c r="I62" s="465" t="str">
        <f>IFERROR(INDEX(#REF!,MATCH('HIDDEN_APS Part Numbers'!$A64,PART_NUMBER_GENERATOR_TABLE[[ROW]:[ROW]],0),1),"")</f>
        <v/>
      </c>
    </row>
    <row r="63" spans="2:9">
      <c r="B63" t="str">
        <f>IFERROR(INDEX(PART_NUMBER_GENERATOR_TABLE[Manufacturer Part Number],MATCH('HIDDEN_APS Part Numbers'!$A65,PART_NUMBER_GENERATOR_TABLE[[ROW]:[ROW]],0),1),"")</f>
        <v/>
      </c>
      <c r="C63" t="str">
        <f>IFERROR(INDEX(PART_NUMBER_GENERATOR_TABLE[Quantity],MATCH('HIDDEN_APS Part Numbers'!$A65,PART_NUMBER_GENERATOR_TABLE[[ROW]:[ROW]],0),1),"")</f>
        <v/>
      </c>
      <c r="D63" s="465" t="str">
        <f>IFERROR(INDEX(PART_NUMBER_GENERATOR_TABLE[Cost],MATCH('HIDDEN_APS Part Numbers'!$A65,PART_NUMBER_GENERATOR_TABLE[[ROW]:[ROW]],0),1),"")</f>
        <v/>
      </c>
      <c r="E63" s="465" t="str">
        <f>IFERROR(INDEX(PART_NUMBER_GENERATOR_TABLE[Suggested Price],MATCH('HIDDEN_APS Part Numbers'!$A65,PART_NUMBER_GENERATOR_TABLE[[ROW]:[ROW]],0),1),"")</f>
        <v/>
      </c>
      <c r="F63" s="465" t="str">
        <f t="shared" si="0"/>
        <v/>
      </c>
      <c r="G63" s="465" t="str">
        <f>IFERROR(INDEX(#REF!,MATCH('HIDDEN_APS Part Numbers'!$A65,PART_NUMBER_GENERATOR_TABLE[[ROW]:[ROW]],0),1),"")</f>
        <v/>
      </c>
      <c r="H63" s="465" t="str">
        <f>IFERROR(INDEX(#REF!,MATCH('HIDDEN_APS Part Numbers'!$A65,PART_NUMBER_GENERATOR_TABLE[[ROW]:[ROW]],0),1),"")</f>
        <v/>
      </c>
      <c r="I63" s="465" t="str">
        <f>IFERROR(INDEX(#REF!,MATCH('HIDDEN_APS Part Numbers'!$A65,PART_NUMBER_GENERATOR_TABLE[[ROW]:[ROW]],0),1),"")</f>
        <v/>
      </c>
    </row>
    <row r="64" spans="2:9">
      <c r="B64" t="str">
        <f>IFERROR(INDEX(PART_NUMBER_GENERATOR_TABLE[Manufacturer Part Number],MATCH('HIDDEN_APS Part Numbers'!$A66,PART_NUMBER_GENERATOR_TABLE[[ROW]:[ROW]],0),1),"")</f>
        <v/>
      </c>
      <c r="C64" t="str">
        <f>IFERROR(INDEX(PART_NUMBER_GENERATOR_TABLE[Quantity],MATCH('HIDDEN_APS Part Numbers'!$A66,PART_NUMBER_GENERATOR_TABLE[[ROW]:[ROW]],0),1),"")</f>
        <v/>
      </c>
      <c r="D64" s="465" t="str">
        <f>IFERROR(INDEX(PART_NUMBER_GENERATOR_TABLE[Cost],MATCH('HIDDEN_APS Part Numbers'!$A66,PART_NUMBER_GENERATOR_TABLE[[ROW]:[ROW]],0),1),"")</f>
        <v/>
      </c>
      <c r="E64" s="465" t="str">
        <f>IFERROR(INDEX(PART_NUMBER_GENERATOR_TABLE[Suggested Price],MATCH('HIDDEN_APS Part Numbers'!$A66,PART_NUMBER_GENERATOR_TABLE[[ROW]:[ROW]],0),1),"")</f>
        <v/>
      </c>
      <c r="F64" s="465" t="str">
        <f t="shared" si="0"/>
        <v/>
      </c>
      <c r="G64" s="465" t="str">
        <f>IFERROR(INDEX(#REF!,MATCH('HIDDEN_APS Part Numbers'!$A66,PART_NUMBER_GENERATOR_TABLE[[ROW]:[ROW]],0),1),"")</f>
        <v/>
      </c>
      <c r="H64" s="465" t="str">
        <f>IFERROR(INDEX(#REF!,MATCH('HIDDEN_APS Part Numbers'!$A66,PART_NUMBER_GENERATOR_TABLE[[ROW]:[ROW]],0),1),"")</f>
        <v/>
      </c>
      <c r="I64" s="465" t="str">
        <f>IFERROR(INDEX(#REF!,MATCH('HIDDEN_APS Part Numbers'!$A66,PART_NUMBER_GENERATOR_TABLE[[ROW]:[ROW]],0),1),"")</f>
        <v/>
      </c>
    </row>
    <row r="65" spans="2:9">
      <c r="B65" t="str">
        <f>IFERROR(INDEX(PART_NUMBER_GENERATOR_TABLE[Manufacturer Part Number],MATCH('HIDDEN_APS Part Numbers'!$A67,PART_NUMBER_GENERATOR_TABLE[[ROW]:[ROW]],0),1),"")</f>
        <v/>
      </c>
      <c r="C65" t="str">
        <f>IFERROR(INDEX(PART_NUMBER_GENERATOR_TABLE[Quantity],MATCH('HIDDEN_APS Part Numbers'!$A67,PART_NUMBER_GENERATOR_TABLE[[ROW]:[ROW]],0),1),"")</f>
        <v/>
      </c>
      <c r="D65" s="465" t="str">
        <f>IFERROR(INDEX(PART_NUMBER_GENERATOR_TABLE[Cost],MATCH('HIDDEN_APS Part Numbers'!$A67,PART_NUMBER_GENERATOR_TABLE[[ROW]:[ROW]],0),1),"")</f>
        <v/>
      </c>
      <c r="E65" s="465" t="str">
        <f>IFERROR(INDEX(PART_NUMBER_GENERATOR_TABLE[Suggested Price],MATCH('HIDDEN_APS Part Numbers'!$A67,PART_NUMBER_GENERATOR_TABLE[[ROW]:[ROW]],0),1),"")</f>
        <v/>
      </c>
      <c r="F65" s="465" t="str">
        <f t="shared" si="0"/>
        <v/>
      </c>
      <c r="G65" s="465" t="str">
        <f>IFERROR(INDEX(#REF!,MATCH('HIDDEN_APS Part Numbers'!$A67,PART_NUMBER_GENERATOR_TABLE[[ROW]:[ROW]],0),1),"")</f>
        <v/>
      </c>
      <c r="H65" s="465" t="str">
        <f>IFERROR(INDEX(#REF!,MATCH('HIDDEN_APS Part Numbers'!$A67,PART_NUMBER_GENERATOR_TABLE[[ROW]:[ROW]],0),1),"")</f>
        <v/>
      </c>
      <c r="I65" s="465" t="str">
        <f>IFERROR(INDEX(#REF!,MATCH('HIDDEN_APS Part Numbers'!$A67,PART_NUMBER_GENERATOR_TABLE[[ROW]:[ROW]],0),1),"")</f>
        <v/>
      </c>
    </row>
    <row r="66" spans="2:9">
      <c r="B66" t="str">
        <f>IFERROR(INDEX(PART_NUMBER_GENERATOR_TABLE[Manufacturer Part Number],MATCH('HIDDEN_APS Part Numbers'!$A68,PART_NUMBER_GENERATOR_TABLE[[ROW]:[ROW]],0),1),"")</f>
        <v/>
      </c>
      <c r="C66" t="str">
        <f>IFERROR(INDEX(PART_NUMBER_GENERATOR_TABLE[Quantity],MATCH('HIDDEN_APS Part Numbers'!$A68,PART_NUMBER_GENERATOR_TABLE[[ROW]:[ROW]],0),1),"")</f>
        <v/>
      </c>
      <c r="D66" s="465" t="str">
        <f>IFERROR(INDEX(PART_NUMBER_GENERATOR_TABLE[Cost],MATCH('HIDDEN_APS Part Numbers'!$A68,PART_NUMBER_GENERATOR_TABLE[[ROW]:[ROW]],0),1),"")</f>
        <v/>
      </c>
      <c r="E66" s="465" t="str">
        <f>IFERROR(INDEX(PART_NUMBER_GENERATOR_TABLE[Suggested Price],MATCH('HIDDEN_APS Part Numbers'!$A68,PART_NUMBER_GENERATOR_TABLE[[ROW]:[ROW]],0),1),"")</f>
        <v/>
      </c>
      <c r="F66" s="465" t="str">
        <f t="shared" si="0"/>
        <v/>
      </c>
      <c r="G66" s="465" t="str">
        <f>IFERROR(INDEX(#REF!,MATCH('HIDDEN_APS Part Numbers'!$A68,PART_NUMBER_GENERATOR_TABLE[[ROW]:[ROW]],0),1),"")</f>
        <v/>
      </c>
      <c r="H66" s="465" t="str">
        <f>IFERROR(INDEX(#REF!,MATCH('HIDDEN_APS Part Numbers'!$A68,PART_NUMBER_GENERATOR_TABLE[[ROW]:[ROW]],0),1),"")</f>
        <v/>
      </c>
      <c r="I66" s="465" t="str">
        <f>IFERROR(INDEX(#REF!,MATCH('HIDDEN_APS Part Numbers'!$A68,PART_NUMBER_GENERATOR_TABLE[[ROW]:[ROW]],0),1),"")</f>
        <v/>
      </c>
    </row>
    <row r="67" spans="2:9">
      <c r="B67" t="str">
        <f>IFERROR(INDEX(PART_NUMBER_GENERATOR_TABLE[Manufacturer Part Number],MATCH('HIDDEN_APS Part Numbers'!$A69,PART_NUMBER_GENERATOR_TABLE[[ROW]:[ROW]],0),1),"")</f>
        <v/>
      </c>
      <c r="C67" t="str">
        <f>IFERROR(INDEX(PART_NUMBER_GENERATOR_TABLE[Quantity],MATCH('HIDDEN_APS Part Numbers'!$A69,PART_NUMBER_GENERATOR_TABLE[[ROW]:[ROW]],0),1),"")</f>
        <v/>
      </c>
      <c r="D67" s="465" t="str">
        <f>IFERROR(INDEX(PART_NUMBER_GENERATOR_TABLE[Cost],MATCH('HIDDEN_APS Part Numbers'!$A69,PART_NUMBER_GENERATOR_TABLE[[ROW]:[ROW]],0),1),"")</f>
        <v/>
      </c>
      <c r="E67" s="465" t="str">
        <f>IFERROR(INDEX(PART_NUMBER_GENERATOR_TABLE[Suggested Price],MATCH('HIDDEN_APS Part Numbers'!$A69,PART_NUMBER_GENERATOR_TABLE[[ROW]:[ROW]],0),1),"")</f>
        <v/>
      </c>
      <c r="F67" s="465" t="str">
        <f t="shared" si="0"/>
        <v/>
      </c>
      <c r="G67" s="465" t="str">
        <f>IFERROR(INDEX(#REF!,MATCH('HIDDEN_APS Part Numbers'!$A69,PART_NUMBER_GENERATOR_TABLE[[ROW]:[ROW]],0),1),"")</f>
        <v/>
      </c>
      <c r="H67" s="465" t="str">
        <f>IFERROR(INDEX(#REF!,MATCH('HIDDEN_APS Part Numbers'!$A69,PART_NUMBER_GENERATOR_TABLE[[ROW]:[ROW]],0),1),"")</f>
        <v/>
      </c>
      <c r="I67" s="465" t="str">
        <f>IFERROR(INDEX(#REF!,MATCH('HIDDEN_APS Part Numbers'!$A69,PART_NUMBER_GENERATOR_TABLE[[ROW]:[ROW]],0),1),"")</f>
        <v/>
      </c>
    </row>
    <row r="68" spans="2:9">
      <c r="B68" t="str">
        <f>IFERROR(INDEX(PART_NUMBER_GENERATOR_TABLE[Manufacturer Part Number],MATCH('HIDDEN_APS Part Numbers'!$A70,PART_NUMBER_GENERATOR_TABLE[[ROW]:[ROW]],0),1),"")</f>
        <v/>
      </c>
      <c r="C68" t="str">
        <f>IFERROR(INDEX(PART_NUMBER_GENERATOR_TABLE[Quantity],MATCH('HIDDEN_APS Part Numbers'!$A70,PART_NUMBER_GENERATOR_TABLE[[ROW]:[ROW]],0),1),"")</f>
        <v/>
      </c>
      <c r="D68" s="465" t="str">
        <f>IFERROR(INDEX(PART_NUMBER_GENERATOR_TABLE[Cost],MATCH('HIDDEN_APS Part Numbers'!$A70,PART_NUMBER_GENERATOR_TABLE[[ROW]:[ROW]],0),1),"")</f>
        <v/>
      </c>
      <c r="E68" s="465" t="str">
        <f>IFERROR(INDEX(PART_NUMBER_GENERATOR_TABLE[Suggested Price],MATCH('HIDDEN_APS Part Numbers'!$A70,PART_NUMBER_GENERATOR_TABLE[[ROW]:[ROW]],0),1),"")</f>
        <v/>
      </c>
      <c r="F68" s="465" t="str">
        <f t="shared" si="0"/>
        <v/>
      </c>
      <c r="G68" s="465" t="str">
        <f>IFERROR(INDEX(#REF!,MATCH('HIDDEN_APS Part Numbers'!$A70,PART_NUMBER_GENERATOR_TABLE[[ROW]:[ROW]],0),1),"")</f>
        <v/>
      </c>
      <c r="H68" s="465" t="str">
        <f>IFERROR(INDEX(#REF!,MATCH('HIDDEN_APS Part Numbers'!$A70,PART_NUMBER_GENERATOR_TABLE[[ROW]:[ROW]],0),1),"")</f>
        <v/>
      </c>
      <c r="I68" s="465" t="str">
        <f>IFERROR(INDEX(#REF!,MATCH('HIDDEN_APS Part Numbers'!$A70,PART_NUMBER_GENERATOR_TABLE[[ROW]:[ROW]],0),1),"")</f>
        <v/>
      </c>
    </row>
    <row r="69" spans="2:9">
      <c r="B69" t="str">
        <f>IFERROR(INDEX(PART_NUMBER_GENERATOR_TABLE[Manufacturer Part Number],MATCH('HIDDEN_APS Part Numbers'!$A71,PART_NUMBER_GENERATOR_TABLE[[ROW]:[ROW]],0),1),"")</f>
        <v/>
      </c>
      <c r="C69" t="str">
        <f>IFERROR(INDEX(PART_NUMBER_GENERATOR_TABLE[Quantity],MATCH('HIDDEN_APS Part Numbers'!$A71,PART_NUMBER_GENERATOR_TABLE[[ROW]:[ROW]],0),1),"")</f>
        <v/>
      </c>
      <c r="D69" s="465" t="str">
        <f>IFERROR(INDEX(PART_NUMBER_GENERATOR_TABLE[Cost],MATCH('HIDDEN_APS Part Numbers'!$A71,PART_NUMBER_GENERATOR_TABLE[[ROW]:[ROW]],0),1),"")</f>
        <v/>
      </c>
      <c r="E69" s="465" t="str">
        <f>IFERROR(INDEX(PART_NUMBER_GENERATOR_TABLE[Suggested Price],MATCH('HIDDEN_APS Part Numbers'!$A71,PART_NUMBER_GENERATOR_TABLE[[ROW]:[ROW]],0),1),"")</f>
        <v/>
      </c>
      <c r="F69" s="465" t="str">
        <f t="shared" si="0"/>
        <v/>
      </c>
      <c r="G69" s="465" t="str">
        <f>IFERROR(INDEX(#REF!,MATCH('HIDDEN_APS Part Numbers'!$A71,PART_NUMBER_GENERATOR_TABLE[[ROW]:[ROW]],0),1),"")</f>
        <v/>
      </c>
      <c r="H69" s="465" t="str">
        <f>IFERROR(INDEX(#REF!,MATCH('HIDDEN_APS Part Numbers'!$A71,PART_NUMBER_GENERATOR_TABLE[[ROW]:[ROW]],0),1),"")</f>
        <v/>
      </c>
      <c r="I69" s="465" t="str">
        <f>IFERROR(INDEX(#REF!,MATCH('HIDDEN_APS Part Numbers'!$A71,PART_NUMBER_GENERATOR_TABLE[[ROW]:[ROW]],0),1),"")</f>
        <v/>
      </c>
    </row>
    <row r="70" spans="2:9">
      <c r="B70" t="str">
        <f>IFERROR(INDEX(PART_NUMBER_GENERATOR_TABLE[Manufacturer Part Number],MATCH('HIDDEN_APS Part Numbers'!$A72,PART_NUMBER_GENERATOR_TABLE[[ROW]:[ROW]],0),1),"")</f>
        <v/>
      </c>
      <c r="C70" t="str">
        <f>IFERROR(INDEX(PART_NUMBER_GENERATOR_TABLE[Quantity],MATCH('HIDDEN_APS Part Numbers'!$A72,PART_NUMBER_GENERATOR_TABLE[[ROW]:[ROW]],0),1),"")</f>
        <v/>
      </c>
      <c r="D70" s="465" t="str">
        <f>IFERROR(INDEX(PART_NUMBER_GENERATOR_TABLE[Cost],MATCH('HIDDEN_APS Part Numbers'!$A72,PART_NUMBER_GENERATOR_TABLE[[ROW]:[ROW]],0),1),"")</f>
        <v/>
      </c>
      <c r="E70" s="465" t="str">
        <f>IFERROR(INDEX(PART_NUMBER_GENERATOR_TABLE[Suggested Price],MATCH('HIDDEN_APS Part Numbers'!$A72,PART_NUMBER_GENERATOR_TABLE[[ROW]:[ROW]],0),1),"")</f>
        <v/>
      </c>
      <c r="F70" s="465" t="str">
        <f t="shared" si="0"/>
        <v/>
      </c>
      <c r="G70" s="465" t="str">
        <f>IFERROR(INDEX(#REF!,MATCH('HIDDEN_APS Part Numbers'!$A72,PART_NUMBER_GENERATOR_TABLE[[ROW]:[ROW]],0),1),"")</f>
        <v/>
      </c>
      <c r="H70" s="465" t="str">
        <f>IFERROR(INDEX(#REF!,MATCH('HIDDEN_APS Part Numbers'!$A72,PART_NUMBER_GENERATOR_TABLE[[ROW]:[ROW]],0),1),"")</f>
        <v/>
      </c>
      <c r="I70" s="465" t="str">
        <f>IFERROR(INDEX(#REF!,MATCH('HIDDEN_APS Part Numbers'!$A72,PART_NUMBER_GENERATOR_TABLE[[ROW]:[ROW]],0),1),"")</f>
        <v/>
      </c>
    </row>
    <row r="71" spans="2:9">
      <c r="B71" t="str">
        <f>IFERROR(INDEX(PART_NUMBER_GENERATOR_TABLE[Manufacturer Part Number],MATCH('HIDDEN_APS Part Numbers'!$A73,PART_NUMBER_GENERATOR_TABLE[[ROW]:[ROW]],0),1),"")</f>
        <v/>
      </c>
      <c r="C71" t="str">
        <f>IFERROR(INDEX(PART_NUMBER_GENERATOR_TABLE[Quantity],MATCH('HIDDEN_APS Part Numbers'!$A73,PART_NUMBER_GENERATOR_TABLE[[ROW]:[ROW]],0),1),"")</f>
        <v/>
      </c>
      <c r="D71" s="465" t="str">
        <f>IFERROR(INDEX(PART_NUMBER_GENERATOR_TABLE[Cost],MATCH('HIDDEN_APS Part Numbers'!$A73,PART_NUMBER_GENERATOR_TABLE[[ROW]:[ROW]],0),1),"")</f>
        <v/>
      </c>
      <c r="E71" s="465" t="str">
        <f>IFERROR(INDEX(PART_NUMBER_GENERATOR_TABLE[Suggested Price],MATCH('HIDDEN_APS Part Numbers'!$A73,PART_NUMBER_GENERATOR_TABLE[[ROW]:[ROW]],0),1),"")</f>
        <v/>
      </c>
      <c r="F71" s="465" t="str">
        <f t="shared" si="0"/>
        <v/>
      </c>
      <c r="G71" s="465" t="str">
        <f>IFERROR(INDEX(#REF!,MATCH('HIDDEN_APS Part Numbers'!$A73,PART_NUMBER_GENERATOR_TABLE[[ROW]:[ROW]],0),1),"")</f>
        <v/>
      </c>
      <c r="H71" s="465" t="str">
        <f>IFERROR(INDEX(#REF!,MATCH('HIDDEN_APS Part Numbers'!$A73,PART_NUMBER_GENERATOR_TABLE[[ROW]:[ROW]],0),1),"")</f>
        <v/>
      </c>
      <c r="I71" s="465" t="str">
        <f>IFERROR(INDEX(#REF!,MATCH('HIDDEN_APS Part Numbers'!$A73,PART_NUMBER_GENERATOR_TABLE[[ROW]:[ROW]],0),1),"")</f>
        <v/>
      </c>
    </row>
    <row r="72" spans="2:9">
      <c r="B72" t="str">
        <f>IFERROR(INDEX(PART_NUMBER_GENERATOR_TABLE[Manufacturer Part Number],MATCH('HIDDEN_APS Part Numbers'!$A74,PART_NUMBER_GENERATOR_TABLE[[ROW]:[ROW]],0),1),"")</f>
        <v/>
      </c>
      <c r="C72" t="str">
        <f>IFERROR(INDEX(PART_NUMBER_GENERATOR_TABLE[Quantity],MATCH('HIDDEN_APS Part Numbers'!$A74,PART_NUMBER_GENERATOR_TABLE[[ROW]:[ROW]],0),1),"")</f>
        <v/>
      </c>
      <c r="D72" s="465" t="str">
        <f>IFERROR(INDEX(PART_NUMBER_GENERATOR_TABLE[Cost],MATCH('HIDDEN_APS Part Numbers'!$A74,PART_NUMBER_GENERATOR_TABLE[[ROW]:[ROW]],0),1),"")</f>
        <v/>
      </c>
      <c r="E72" s="465" t="str">
        <f>IFERROR(INDEX(PART_NUMBER_GENERATOR_TABLE[Suggested Price],MATCH('HIDDEN_APS Part Numbers'!$A74,PART_NUMBER_GENERATOR_TABLE[[ROW]:[ROW]],0),1),"")</f>
        <v/>
      </c>
      <c r="F72" s="465" t="str">
        <f t="shared" si="0"/>
        <v/>
      </c>
      <c r="G72" s="465" t="str">
        <f>IFERROR(INDEX(#REF!,MATCH('HIDDEN_APS Part Numbers'!$A74,PART_NUMBER_GENERATOR_TABLE[[ROW]:[ROW]],0),1),"")</f>
        <v/>
      </c>
      <c r="H72" s="465" t="str">
        <f>IFERROR(INDEX(#REF!,MATCH('HIDDEN_APS Part Numbers'!$A74,PART_NUMBER_GENERATOR_TABLE[[ROW]:[ROW]],0),1),"")</f>
        <v/>
      </c>
      <c r="I72" s="465" t="str">
        <f>IFERROR(INDEX(#REF!,MATCH('HIDDEN_APS Part Numbers'!$A74,PART_NUMBER_GENERATOR_TABLE[[ROW]:[ROW]],0),1),"")</f>
        <v/>
      </c>
    </row>
    <row r="73" spans="2:9">
      <c r="B73" t="str">
        <f>IFERROR(INDEX(PART_NUMBER_GENERATOR_TABLE[Manufacturer Part Number],MATCH('HIDDEN_APS Part Numbers'!$A75,PART_NUMBER_GENERATOR_TABLE[[ROW]:[ROW]],0),1),"")</f>
        <v/>
      </c>
      <c r="C73" t="str">
        <f>IFERROR(INDEX(PART_NUMBER_GENERATOR_TABLE[Quantity],MATCH('HIDDEN_APS Part Numbers'!$A75,PART_NUMBER_GENERATOR_TABLE[[ROW]:[ROW]],0),1),"")</f>
        <v/>
      </c>
      <c r="D73" s="465" t="str">
        <f>IFERROR(INDEX(PART_NUMBER_GENERATOR_TABLE[Cost],MATCH('HIDDEN_APS Part Numbers'!$A75,PART_NUMBER_GENERATOR_TABLE[[ROW]:[ROW]],0),1),"")</f>
        <v/>
      </c>
      <c r="E73" s="465" t="str">
        <f>IFERROR(INDEX(PART_NUMBER_GENERATOR_TABLE[Suggested Price],MATCH('HIDDEN_APS Part Numbers'!$A75,PART_NUMBER_GENERATOR_TABLE[[ROW]:[ROW]],0),1),"")</f>
        <v/>
      </c>
      <c r="F73" s="465" t="str">
        <f t="shared" si="0"/>
        <v/>
      </c>
      <c r="G73" s="465" t="str">
        <f>IFERROR(INDEX(#REF!,MATCH('HIDDEN_APS Part Numbers'!$A75,PART_NUMBER_GENERATOR_TABLE[[ROW]:[ROW]],0),1),"")</f>
        <v/>
      </c>
      <c r="H73" s="465" t="str">
        <f>IFERROR(INDEX(#REF!,MATCH('HIDDEN_APS Part Numbers'!$A75,PART_NUMBER_GENERATOR_TABLE[[ROW]:[ROW]],0),1),"")</f>
        <v/>
      </c>
      <c r="I73" s="465" t="str">
        <f>IFERROR(INDEX(#REF!,MATCH('HIDDEN_APS Part Numbers'!$A75,PART_NUMBER_GENERATOR_TABLE[[ROW]:[ROW]],0),1),"")</f>
        <v/>
      </c>
    </row>
    <row r="74" spans="2:9">
      <c r="B74" t="str">
        <f>IFERROR(INDEX(PART_NUMBER_GENERATOR_TABLE[Manufacturer Part Number],MATCH('HIDDEN_APS Part Numbers'!$A76,PART_NUMBER_GENERATOR_TABLE[[ROW]:[ROW]],0),1),"")</f>
        <v/>
      </c>
      <c r="C74" t="str">
        <f>IFERROR(INDEX(PART_NUMBER_GENERATOR_TABLE[Quantity],MATCH('HIDDEN_APS Part Numbers'!$A76,PART_NUMBER_GENERATOR_TABLE[[ROW]:[ROW]],0),1),"")</f>
        <v/>
      </c>
      <c r="D74" s="465" t="str">
        <f>IFERROR(INDEX(PART_NUMBER_GENERATOR_TABLE[Cost],MATCH('HIDDEN_APS Part Numbers'!$A76,PART_NUMBER_GENERATOR_TABLE[[ROW]:[ROW]],0),1),"")</f>
        <v/>
      </c>
      <c r="E74" s="465" t="str">
        <f>IFERROR(INDEX(PART_NUMBER_GENERATOR_TABLE[Suggested Price],MATCH('HIDDEN_APS Part Numbers'!$A76,PART_NUMBER_GENERATOR_TABLE[[ROW]:[ROW]],0),1),"")</f>
        <v/>
      </c>
      <c r="F74" s="465" t="str">
        <f t="shared" si="0"/>
        <v/>
      </c>
      <c r="G74" s="465" t="str">
        <f>IFERROR(INDEX(#REF!,MATCH('HIDDEN_APS Part Numbers'!$A76,PART_NUMBER_GENERATOR_TABLE[[ROW]:[ROW]],0),1),"")</f>
        <v/>
      </c>
      <c r="H74" s="465" t="str">
        <f>IFERROR(INDEX(#REF!,MATCH('HIDDEN_APS Part Numbers'!$A76,PART_NUMBER_GENERATOR_TABLE[[ROW]:[ROW]],0),1),"")</f>
        <v/>
      </c>
      <c r="I74" s="465" t="str">
        <f>IFERROR(INDEX(#REF!,MATCH('HIDDEN_APS Part Numbers'!$A76,PART_NUMBER_GENERATOR_TABLE[[ROW]:[ROW]],0),1),"")</f>
        <v/>
      </c>
    </row>
    <row r="75" spans="2:9">
      <c r="B75" t="str">
        <f>IFERROR(INDEX(PART_NUMBER_GENERATOR_TABLE[Manufacturer Part Number],MATCH('HIDDEN_APS Part Numbers'!$A77,PART_NUMBER_GENERATOR_TABLE[[ROW]:[ROW]],0),1),"")</f>
        <v/>
      </c>
      <c r="C75" t="str">
        <f>IFERROR(INDEX(PART_NUMBER_GENERATOR_TABLE[Quantity],MATCH('HIDDEN_APS Part Numbers'!$A77,PART_NUMBER_GENERATOR_TABLE[[ROW]:[ROW]],0),1),"")</f>
        <v/>
      </c>
      <c r="D75" s="465" t="str">
        <f>IFERROR(INDEX(PART_NUMBER_GENERATOR_TABLE[Cost],MATCH('HIDDEN_APS Part Numbers'!$A77,PART_NUMBER_GENERATOR_TABLE[[ROW]:[ROW]],0),1),"")</f>
        <v/>
      </c>
      <c r="E75" s="465" t="str">
        <f>IFERROR(INDEX(PART_NUMBER_GENERATOR_TABLE[Suggested Price],MATCH('HIDDEN_APS Part Numbers'!$A77,PART_NUMBER_GENERATOR_TABLE[[ROW]:[ROW]],0),1),"")</f>
        <v/>
      </c>
      <c r="F75" s="465" t="str">
        <f t="shared" si="0"/>
        <v/>
      </c>
      <c r="G75" s="465" t="str">
        <f>IFERROR(INDEX(#REF!,MATCH('HIDDEN_APS Part Numbers'!$A77,PART_NUMBER_GENERATOR_TABLE[[ROW]:[ROW]],0),1),"")</f>
        <v/>
      </c>
      <c r="H75" s="465" t="str">
        <f>IFERROR(INDEX(#REF!,MATCH('HIDDEN_APS Part Numbers'!$A77,PART_NUMBER_GENERATOR_TABLE[[ROW]:[ROW]],0),1),"")</f>
        <v/>
      </c>
      <c r="I75" s="465" t="str">
        <f>IFERROR(INDEX(#REF!,MATCH('HIDDEN_APS Part Numbers'!$A77,PART_NUMBER_GENERATOR_TABLE[[ROW]:[ROW]],0),1),"")</f>
        <v/>
      </c>
    </row>
    <row r="76" spans="2:9">
      <c r="B76" t="str">
        <f>IFERROR(INDEX(PART_NUMBER_GENERATOR_TABLE[Manufacturer Part Number],MATCH('HIDDEN_APS Part Numbers'!$A78,PART_NUMBER_GENERATOR_TABLE[[ROW]:[ROW]],0),1),"")</f>
        <v/>
      </c>
      <c r="C76" t="str">
        <f>IFERROR(INDEX(PART_NUMBER_GENERATOR_TABLE[Quantity],MATCH('HIDDEN_APS Part Numbers'!$A78,PART_NUMBER_GENERATOR_TABLE[[ROW]:[ROW]],0),1),"")</f>
        <v/>
      </c>
      <c r="D76" s="465" t="str">
        <f>IFERROR(INDEX(PART_NUMBER_GENERATOR_TABLE[Cost],MATCH('HIDDEN_APS Part Numbers'!$A78,PART_NUMBER_GENERATOR_TABLE[[ROW]:[ROW]],0),1),"")</f>
        <v/>
      </c>
      <c r="E76" s="465" t="str">
        <f>IFERROR(INDEX(PART_NUMBER_GENERATOR_TABLE[Suggested Price],MATCH('HIDDEN_APS Part Numbers'!$A78,PART_NUMBER_GENERATOR_TABLE[[ROW]:[ROW]],0),1),"")</f>
        <v/>
      </c>
      <c r="F76" s="465" t="str">
        <f t="shared" si="0"/>
        <v/>
      </c>
      <c r="G76" s="465" t="str">
        <f>IFERROR(INDEX(#REF!,MATCH('HIDDEN_APS Part Numbers'!$A78,PART_NUMBER_GENERATOR_TABLE[[ROW]:[ROW]],0),1),"")</f>
        <v/>
      </c>
      <c r="H76" s="465" t="str">
        <f>IFERROR(INDEX(#REF!,MATCH('HIDDEN_APS Part Numbers'!$A78,PART_NUMBER_GENERATOR_TABLE[[ROW]:[ROW]],0),1),"")</f>
        <v/>
      </c>
      <c r="I76" s="465" t="str">
        <f>IFERROR(INDEX(#REF!,MATCH('HIDDEN_APS Part Numbers'!$A78,PART_NUMBER_GENERATOR_TABLE[[ROW]:[ROW]],0),1),"")</f>
        <v/>
      </c>
    </row>
    <row r="77" spans="2:9">
      <c r="B77" t="str">
        <f>IFERROR(INDEX(PART_NUMBER_GENERATOR_TABLE[Manufacturer Part Number],MATCH('HIDDEN_APS Part Numbers'!$A79,PART_NUMBER_GENERATOR_TABLE[[ROW]:[ROW]],0),1),"")</f>
        <v/>
      </c>
      <c r="C77" t="str">
        <f>IFERROR(INDEX(PART_NUMBER_GENERATOR_TABLE[Quantity],MATCH('HIDDEN_APS Part Numbers'!$A79,PART_NUMBER_GENERATOR_TABLE[[ROW]:[ROW]],0),1),"")</f>
        <v/>
      </c>
      <c r="D77" s="465" t="str">
        <f>IFERROR(INDEX(PART_NUMBER_GENERATOR_TABLE[Cost],MATCH('HIDDEN_APS Part Numbers'!$A79,PART_NUMBER_GENERATOR_TABLE[[ROW]:[ROW]],0),1),"")</f>
        <v/>
      </c>
      <c r="E77" s="465" t="str">
        <f>IFERROR(INDEX(PART_NUMBER_GENERATOR_TABLE[Suggested Price],MATCH('HIDDEN_APS Part Numbers'!$A79,PART_NUMBER_GENERATOR_TABLE[[ROW]:[ROW]],0),1),"")</f>
        <v/>
      </c>
      <c r="F77" s="465" t="str">
        <f t="shared" si="0"/>
        <v/>
      </c>
      <c r="G77" s="465" t="str">
        <f>IFERROR(INDEX(#REF!,MATCH('HIDDEN_APS Part Numbers'!$A79,PART_NUMBER_GENERATOR_TABLE[[ROW]:[ROW]],0),1),"")</f>
        <v/>
      </c>
      <c r="H77" s="465" t="str">
        <f>IFERROR(INDEX(#REF!,MATCH('HIDDEN_APS Part Numbers'!$A79,PART_NUMBER_GENERATOR_TABLE[[ROW]:[ROW]],0),1),"")</f>
        <v/>
      </c>
      <c r="I77" s="465" t="str">
        <f>IFERROR(INDEX(#REF!,MATCH('HIDDEN_APS Part Numbers'!$A79,PART_NUMBER_GENERATOR_TABLE[[ROW]:[ROW]],0),1),"")</f>
        <v/>
      </c>
    </row>
    <row r="78" spans="2:9">
      <c r="B78" t="str">
        <f>IFERROR(INDEX(PART_NUMBER_GENERATOR_TABLE[Manufacturer Part Number],MATCH('HIDDEN_APS Part Numbers'!$A80,PART_NUMBER_GENERATOR_TABLE[[ROW]:[ROW]],0),1),"")</f>
        <v/>
      </c>
      <c r="C78" t="str">
        <f>IFERROR(INDEX(PART_NUMBER_GENERATOR_TABLE[Quantity],MATCH('HIDDEN_APS Part Numbers'!$A80,PART_NUMBER_GENERATOR_TABLE[[ROW]:[ROW]],0),1),"")</f>
        <v/>
      </c>
      <c r="D78" s="465" t="str">
        <f>IFERROR(INDEX(PART_NUMBER_GENERATOR_TABLE[Cost],MATCH('HIDDEN_APS Part Numbers'!$A80,PART_NUMBER_GENERATOR_TABLE[[ROW]:[ROW]],0),1),"")</f>
        <v/>
      </c>
      <c r="E78" s="465" t="str">
        <f>IFERROR(INDEX(PART_NUMBER_GENERATOR_TABLE[Suggested Price],MATCH('HIDDEN_APS Part Numbers'!$A80,PART_NUMBER_GENERATOR_TABLE[[ROW]:[ROW]],0),1),"")</f>
        <v/>
      </c>
      <c r="F78" s="465" t="str">
        <f t="shared" si="0"/>
        <v/>
      </c>
      <c r="G78" s="465" t="str">
        <f>IFERROR(INDEX(#REF!,MATCH('HIDDEN_APS Part Numbers'!$A80,PART_NUMBER_GENERATOR_TABLE[[ROW]:[ROW]],0),1),"")</f>
        <v/>
      </c>
      <c r="H78" s="465" t="str">
        <f>IFERROR(INDEX(#REF!,MATCH('HIDDEN_APS Part Numbers'!$A80,PART_NUMBER_GENERATOR_TABLE[[ROW]:[ROW]],0),1),"")</f>
        <v/>
      </c>
      <c r="I78" s="465" t="str">
        <f>IFERROR(INDEX(#REF!,MATCH('HIDDEN_APS Part Numbers'!$A80,PART_NUMBER_GENERATOR_TABLE[[ROW]:[ROW]],0),1),"")</f>
        <v/>
      </c>
    </row>
    <row r="79" spans="2:9">
      <c r="B79" t="str">
        <f>IFERROR(INDEX(PART_NUMBER_GENERATOR_TABLE[Manufacturer Part Number],MATCH('HIDDEN_APS Part Numbers'!$A81,PART_NUMBER_GENERATOR_TABLE[[ROW]:[ROW]],0),1),"")</f>
        <v/>
      </c>
      <c r="C79" t="str">
        <f>IFERROR(INDEX(PART_NUMBER_GENERATOR_TABLE[Quantity],MATCH('HIDDEN_APS Part Numbers'!$A81,PART_NUMBER_GENERATOR_TABLE[[ROW]:[ROW]],0),1),"")</f>
        <v/>
      </c>
      <c r="D79" s="465" t="str">
        <f>IFERROR(INDEX(PART_NUMBER_GENERATOR_TABLE[Cost],MATCH('HIDDEN_APS Part Numbers'!$A81,PART_NUMBER_GENERATOR_TABLE[[ROW]:[ROW]],0),1),"")</f>
        <v/>
      </c>
      <c r="E79" s="465" t="str">
        <f>IFERROR(INDEX(PART_NUMBER_GENERATOR_TABLE[Suggested Price],MATCH('HIDDEN_APS Part Numbers'!$A81,PART_NUMBER_GENERATOR_TABLE[[ROW]:[ROW]],0),1),"")</f>
        <v/>
      </c>
      <c r="F79" s="465" t="str">
        <f t="shared" si="0"/>
        <v/>
      </c>
      <c r="G79" s="465" t="str">
        <f>IFERROR(INDEX(#REF!,MATCH('HIDDEN_APS Part Numbers'!$A81,PART_NUMBER_GENERATOR_TABLE[[ROW]:[ROW]],0),1),"")</f>
        <v/>
      </c>
      <c r="H79" s="465" t="str">
        <f>IFERROR(INDEX(#REF!,MATCH('HIDDEN_APS Part Numbers'!$A81,PART_NUMBER_GENERATOR_TABLE[[ROW]:[ROW]],0),1),"")</f>
        <v/>
      </c>
      <c r="I79" s="465" t="str">
        <f>IFERROR(INDEX(#REF!,MATCH('HIDDEN_APS Part Numbers'!$A81,PART_NUMBER_GENERATOR_TABLE[[ROW]:[ROW]],0),1),"")</f>
        <v/>
      </c>
    </row>
    <row r="80" spans="2:9">
      <c r="B80" t="str">
        <f>IFERROR(INDEX(PART_NUMBER_GENERATOR_TABLE[Manufacturer Part Number],MATCH('HIDDEN_APS Part Numbers'!$A82,PART_NUMBER_GENERATOR_TABLE[[ROW]:[ROW]],0),1),"")</f>
        <v/>
      </c>
      <c r="C80" t="str">
        <f>IFERROR(INDEX(PART_NUMBER_GENERATOR_TABLE[Quantity],MATCH('HIDDEN_APS Part Numbers'!$A82,PART_NUMBER_GENERATOR_TABLE[[ROW]:[ROW]],0),1),"")</f>
        <v/>
      </c>
      <c r="D80" s="465" t="str">
        <f>IFERROR(INDEX(PART_NUMBER_GENERATOR_TABLE[Cost],MATCH('HIDDEN_APS Part Numbers'!$A82,PART_NUMBER_GENERATOR_TABLE[[ROW]:[ROW]],0),1),"")</f>
        <v/>
      </c>
      <c r="E80" s="465" t="str">
        <f>IFERROR(INDEX(PART_NUMBER_GENERATOR_TABLE[Suggested Price],MATCH('HIDDEN_APS Part Numbers'!$A82,PART_NUMBER_GENERATOR_TABLE[[ROW]:[ROW]],0),1),"")</f>
        <v/>
      </c>
      <c r="F80" s="465" t="str">
        <f t="shared" si="0"/>
        <v/>
      </c>
      <c r="G80" s="465" t="str">
        <f>IFERROR(INDEX(#REF!,MATCH('HIDDEN_APS Part Numbers'!$A82,PART_NUMBER_GENERATOR_TABLE[[ROW]:[ROW]],0),1),"")</f>
        <v/>
      </c>
      <c r="H80" s="465" t="str">
        <f>IFERROR(INDEX(#REF!,MATCH('HIDDEN_APS Part Numbers'!$A82,PART_NUMBER_GENERATOR_TABLE[[ROW]:[ROW]],0),1),"")</f>
        <v/>
      </c>
      <c r="I80" s="465" t="str">
        <f>IFERROR(INDEX(#REF!,MATCH('HIDDEN_APS Part Numbers'!$A82,PART_NUMBER_GENERATOR_TABLE[[ROW]:[ROW]],0),1),"")</f>
        <v/>
      </c>
    </row>
    <row r="81" spans="2:9">
      <c r="B81" t="str">
        <f>IFERROR(INDEX(PART_NUMBER_GENERATOR_TABLE[Manufacturer Part Number],MATCH('HIDDEN_APS Part Numbers'!$A83,PART_NUMBER_GENERATOR_TABLE[[ROW]:[ROW]],0),1),"")</f>
        <v/>
      </c>
      <c r="C81" t="str">
        <f>IFERROR(INDEX(PART_NUMBER_GENERATOR_TABLE[Quantity],MATCH('HIDDEN_APS Part Numbers'!$A83,PART_NUMBER_GENERATOR_TABLE[[ROW]:[ROW]],0),1),"")</f>
        <v/>
      </c>
      <c r="D81" s="465" t="str">
        <f>IFERROR(INDEX(PART_NUMBER_GENERATOR_TABLE[Cost],MATCH('HIDDEN_APS Part Numbers'!$A83,PART_NUMBER_GENERATOR_TABLE[[ROW]:[ROW]],0),1),"")</f>
        <v/>
      </c>
      <c r="E81" s="465" t="str">
        <f>IFERROR(INDEX(PART_NUMBER_GENERATOR_TABLE[Suggested Price],MATCH('HIDDEN_APS Part Numbers'!$A83,PART_NUMBER_GENERATOR_TABLE[[ROW]:[ROW]],0),1),"")</f>
        <v/>
      </c>
      <c r="F81" s="465" t="str">
        <f t="shared" si="0"/>
        <v/>
      </c>
      <c r="G81" s="465" t="str">
        <f>IFERROR(INDEX(#REF!,MATCH('HIDDEN_APS Part Numbers'!$A83,PART_NUMBER_GENERATOR_TABLE[[ROW]:[ROW]],0),1),"")</f>
        <v/>
      </c>
      <c r="H81" s="465" t="str">
        <f>IFERROR(INDEX(#REF!,MATCH('HIDDEN_APS Part Numbers'!$A83,PART_NUMBER_GENERATOR_TABLE[[ROW]:[ROW]],0),1),"")</f>
        <v/>
      </c>
      <c r="I81" s="465" t="str">
        <f>IFERROR(INDEX(#REF!,MATCH('HIDDEN_APS Part Numbers'!$A83,PART_NUMBER_GENERATOR_TABLE[[ROW]:[ROW]],0),1),"")</f>
        <v/>
      </c>
    </row>
    <row r="82" spans="2:9">
      <c r="B82" t="str">
        <f>IFERROR(INDEX(PART_NUMBER_GENERATOR_TABLE[Manufacturer Part Number],MATCH('HIDDEN_APS Part Numbers'!$A84,PART_NUMBER_GENERATOR_TABLE[[ROW]:[ROW]],0),1),"")</f>
        <v/>
      </c>
      <c r="C82" t="str">
        <f>IFERROR(INDEX(PART_NUMBER_GENERATOR_TABLE[Quantity],MATCH('HIDDEN_APS Part Numbers'!$A84,PART_NUMBER_GENERATOR_TABLE[[ROW]:[ROW]],0),1),"")</f>
        <v/>
      </c>
      <c r="D82" s="465" t="str">
        <f>IFERROR(INDEX(PART_NUMBER_GENERATOR_TABLE[Cost],MATCH('HIDDEN_APS Part Numbers'!$A84,PART_NUMBER_GENERATOR_TABLE[[ROW]:[ROW]],0),1),"")</f>
        <v/>
      </c>
      <c r="E82" s="465" t="str">
        <f>IFERROR(INDEX(PART_NUMBER_GENERATOR_TABLE[Suggested Price],MATCH('HIDDEN_APS Part Numbers'!$A84,PART_NUMBER_GENERATOR_TABLE[[ROW]:[ROW]],0),1),"")</f>
        <v/>
      </c>
      <c r="F82" s="465" t="str">
        <f t="shared" si="0"/>
        <v/>
      </c>
      <c r="G82" s="465" t="str">
        <f>IFERROR(INDEX(#REF!,MATCH('HIDDEN_APS Part Numbers'!$A84,PART_NUMBER_GENERATOR_TABLE[[ROW]:[ROW]],0),1),"")</f>
        <v/>
      </c>
      <c r="H82" s="465" t="str">
        <f>IFERROR(INDEX(#REF!,MATCH('HIDDEN_APS Part Numbers'!$A84,PART_NUMBER_GENERATOR_TABLE[[ROW]:[ROW]],0),1),"")</f>
        <v/>
      </c>
      <c r="I82" s="465" t="str">
        <f>IFERROR(INDEX(#REF!,MATCH('HIDDEN_APS Part Numbers'!$A84,PART_NUMBER_GENERATOR_TABLE[[ROW]:[ROW]],0),1),"")</f>
        <v/>
      </c>
    </row>
    <row r="83" spans="2:9">
      <c r="B83" t="str">
        <f>IFERROR(INDEX(PART_NUMBER_GENERATOR_TABLE[Manufacturer Part Number],MATCH('HIDDEN_APS Part Numbers'!$A85,PART_NUMBER_GENERATOR_TABLE[[ROW]:[ROW]],0),1),"")</f>
        <v/>
      </c>
      <c r="C83" t="str">
        <f>IFERROR(INDEX(PART_NUMBER_GENERATOR_TABLE[Quantity],MATCH('HIDDEN_APS Part Numbers'!$A85,PART_NUMBER_GENERATOR_TABLE[[ROW]:[ROW]],0),1),"")</f>
        <v/>
      </c>
      <c r="D83" s="465" t="str">
        <f>IFERROR(INDEX(PART_NUMBER_GENERATOR_TABLE[Cost],MATCH('HIDDEN_APS Part Numbers'!$A85,PART_NUMBER_GENERATOR_TABLE[[ROW]:[ROW]],0),1),"")</f>
        <v/>
      </c>
      <c r="E83" s="465" t="str">
        <f>IFERROR(INDEX(PART_NUMBER_GENERATOR_TABLE[Suggested Price],MATCH('HIDDEN_APS Part Numbers'!$A85,PART_NUMBER_GENERATOR_TABLE[[ROW]:[ROW]],0),1),"")</f>
        <v/>
      </c>
      <c r="F83" s="465" t="str">
        <f t="shared" si="0"/>
        <v/>
      </c>
      <c r="G83" s="465" t="str">
        <f>IFERROR(INDEX(#REF!,MATCH('HIDDEN_APS Part Numbers'!$A85,PART_NUMBER_GENERATOR_TABLE[[ROW]:[ROW]],0),1),"")</f>
        <v/>
      </c>
      <c r="H83" s="465" t="str">
        <f>IFERROR(INDEX(#REF!,MATCH('HIDDEN_APS Part Numbers'!$A85,PART_NUMBER_GENERATOR_TABLE[[ROW]:[ROW]],0),1),"")</f>
        <v/>
      </c>
      <c r="I83" s="465" t="str">
        <f>IFERROR(INDEX(#REF!,MATCH('HIDDEN_APS Part Numbers'!$A85,PART_NUMBER_GENERATOR_TABLE[[ROW]:[ROW]],0),1),"")</f>
        <v/>
      </c>
    </row>
    <row r="84" spans="2:9">
      <c r="B84" t="str">
        <f>IFERROR(INDEX(PART_NUMBER_GENERATOR_TABLE[Manufacturer Part Number],MATCH('HIDDEN_APS Part Numbers'!$A86,PART_NUMBER_GENERATOR_TABLE[[ROW]:[ROW]],0),1),"")</f>
        <v/>
      </c>
      <c r="C84" t="str">
        <f>IFERROR(INDEX(PART_NUMBER_GENERATOR_TABLE[Quantity],MATCH('HIDDEN_APS Part Numbers'!$A86,PART_NUMBER_GENERATOR_TABLE[[ROW]:[ROW]],0),1),"")</f>
        <v/>
      </c>
      <c r="D84" s="465" t="str">
        <f>IFERROR(INDEX(PART_NUMBER_GENERATOR_TABLE[Cost],MATCH('HIDDEN_APS Part Numbers'!$A86,PART_NUMBER_GENERATOR_TABLE[[ROW]:[ROW]],0),1),"")</f>
        <v/>
      </c>
      <c r="E84" s="465" t="str">
        <f>IFERROR(INDEX(PART_NUMBER_GENERATOR_TABLE[Suggested Price],MATCH('HIDDEN_APS Part Numbers'!$A86,PART_NUMBER_GENERATOR_TABLE[[ROW]:[ROW]],0),1),"")</f>
        <v/>
      </c>
      <c r="F84" s="465" t="str">
        <f t="shared" si="0"/>
        <v/>
      </c>
      <c r="G84" s="465" t="str">
        <f>IFERROR(INDEX(#REF!,MATCH('HIDDEN_APS Part Numbers'!$A86,PART_NUMBER_GENERATOR_TABLE[[ROW]:[ROW]],0),1),"")</f>
        <v/>
      </c>
      <c r="H84" s="465" t="str">
        <f>IFERROR(INDEX(#REF!,MATCH('HIDDEN_APS Part Numbers'!$A86,PART_NUMBER_GENERATOR_TABLE[[ROW]:[ROW]],0),1),"")</f>
        <v/>
      </c>
      <c r="I84" s="465" t="str">
        <f>IFERROR(INDEX(#REF!,MATCH('HIDDEN_APS Part Numbers'!$A86,PART_NUMBER_GENERATOR_TABLE[[ROW]:[ROW]],0),1),"")</f>
        <v/>
      </c>
    </row>
    <row r="85" spans="2:9">
      <c r="B85" t="str">
        <f>IFERROR(INDEX(PART_NUMBER_GENERATOR_TABLE[Manufacturer Part Number],MATCH('HIDDEN_APS Part Numbers'!$A87,PART_NUMBER_GENERATOR_TABLE[[ROW]:[ROW]],0),1),"")</f>
        <v/>
      </c>
      <c r="C85" t="str">
        <f>IFERROR(INDEX(PART_NUMBER_GENERATOR_TABLE[Quantity],MATCH('HIDDEN_APS Part Numbers'!$A87,PART_NUMBER_GENERATOR_TABLE[[ROW]:[ROW]],0),1),"")</f>
        <v/>
      </c>
      <c r="D85" s="465" t="str">
        <f>IFERROR(INDEX(PART_NUMBER_GENERATOR_TABLE[Cost],MATCH('HIDDEN_APS Part Numbers'!$A87,PART_NUMBER_GENERATOR_TABLE[[ROW]:[ROW]],0),1),"")</f>
        <v/>
      </c>
      <c r="E85" s="465" t="str">
        <f>IFERROR(INDEX(PART_NUMBER_GENERATOR_TABLE[Suggested Price],MATCH('HIDDEN_APS Part Numbers'!$A87,PART_NUMBER_GENERATOR_TABLE[[ROW]:[ROW]],0),1),"")</f>
        <v/>
      </c>
      <c r="F85" s="465" t="str">
        <f t="shared" si="0"/>
        <v/>
      </c>
      <c r="G85" s="465" t="str">
        <f>IFERROR(INDEX(#REF!,MATCH('HIDDEN_APS Part Numbers'!$A87,PART_NUMBER_GENERATOR_TABLE[[ROW]:[ROW]],0),1),"")</f>
        <v/>
      </c>
      <c r="H85" s="465" t="str">
        <f>IFERROR(INDEX(#REF!,MATCH('HIDDEN_APS Part Numbers'!$A87,PART_NUMBER_GENERATOR_TABLE[[ROW]:[ROW]],0),1),"")</f>
        <v/>
      </c>
      <c r="I85" s="465" t="str">
        <f>IFERROR(INDEX(#REF!,MATCH('HIDDEN_APS Part Numbers'!$A87,PART_NUMBER_GENERATOR_TABLE[[ROW]:[ROW]],0),1),"")</f>
        <v/>
      </c>
    </row>
    <row r="86" spans="2:9">
      <c r="B86" t="str">
        <f>IFERROR(INDEX(PART_NUMBER_GENERATOR_TABLE[Manufacturer Part Number],MATCH('HIDDEN_APS Part Numbers'!$A88,PART_NUMBER_GENERATOR_TABLE[[ROW]:[ROW]],0),1),"")</f>
        <v/>
      </c>
      <c r="C86" t="str">
        <f>IFERROR(INDEX(PART_NUMBER_GENERATOR_TABLE[Quantity],MATCH('HIDDEN_APS Part Numbers'!$A88,PART_NUMBER_GENERATOR_TABLE[[ROW]:[ROW]],0),1),"")</f>
        <v/>
      </c>
      <c r="D86" s="465" t="str">
        <f>IFERROR(INDEX(PART_NUMBER_GENERATOR_TABLE[Cost],MATCH('HIDDEN_APS Part Numbers'!$A88,PART_NUMBER_GENERATOR_TABLE[[ROW]:[ROW]],0),1),"")</f>
        <v/>
      </c>
      <c r="E86" s="465" t="str">
        <f>IFERROR(INDEX(PART_NUMBER_GENERATOR_TABLE[Suggested Price],MATCH('HIDDEN_APS Part Numbers'!$A88,PART_NUMBER_GENERATOR_TABLE[[ROW]:[ROW]],0),1),"")</f>
        <v/>
      </c>
      <c r="F86" s="465" t="str">
        <f t="shared" si="0"/>
        <v/>
      </c>
      <c r="G86" s="465" t="str">
        <f>IFERROR(INDEX(#REF!,MATCH('HIDDEN_APS Part Numbers'!$A88,PART_NUMBER_GENERATOR_TABLE[[ROW]:[ROW]],0),1),"")</f>
        <v/>
      </c>
      <c r="H86" s="465" t="str">
        <f>IFERROR(INDEX(#REF!,MATCH('HIDDEN_APS Part Numbers'!$A88,PART_NUMBER_GENERATOR_TABLE[[ROW]:[ROW]],0),1),"")</f>
        <v/>
      </c>
      <c r="I86" s="465" t="str">
        <f>IFERROR(INDEX(#REF!,MATCH('HIDDEN_APS Part Numbers'!$A88,PART_NUMBER_GENERATOR_TABLE[[ROW]:[ROW]],0),1),"")</f>
        <v/>
      </c>
    </row>
    <row r="87" spans="2:9">
      <c r="B87" t="str">
        <f>IFERROR(INDEX(PART_NUMBER_GENERATOR_TABLE[Manufacturer Part Number],MATCH('HIDDEN_APS Part Numbers'!$A89,PART_NUMBER_GENERATOR_TABLE[[ROW]:[ROW]],0),1),"")</f>
        <v/>
      </c>
      <c r="C87" t="str">
        <f>IFERROR(INDEX(PART_NUMBER_GENERATOR_TABLE[Quantity],MATCH('HIDDEN_APS Part Numbers'!$A89,PART_NUMBER_GENERATOR_TABLE[[ROW]:[ROW]],0),1),"")</f>
        <v/>
      </c>
      <c r="D87" s="465" t="str">
        <f>IFERROR(INDEX(PART_NUMBER_GENERATOR_TABLE[Cost],MATCH('HIDDEN_APS Part Numbers'!$A89,PART_NUMBER_GENERATOR_TABLE[[ROW]:[ROW]],0),1),"")</f>
        <v/>
      </c>
      <c r="E87" s="465" t="str">
        <f>IFERROR(INDEX(PART_NUMBER_GENERATOR_TABLE[Suggested Price],MATCH('HIDDEN_APS Part Numbers'!$A89,PART_NUMBER_GENERATOR_TABLE[[ROW]:[ROW]],0),1),"")</f>
        <v/>
      </c>
      <c r="F87" s="465" t="str">
        <f t="shared" si="0"/>
        <v/>
      </c>
      <c r="G87" s="465" t="str">
        <f>IFERROR(INDEX(#REF!,MATCH('HIDDEN_APS Part Numbers'!$A89,PART_NUMBER_GENERATOR_TABLE[[ROW]:[ROW]],0),1),"")</f>
        <v/>
      </c>
      <c r="H87" s="465" t="str">
        <f>IFERROR(INDEX(#REF!,MATCH('HIDDEN_APS Part Numbers'!$A89,PART_NUMBER_GENERATOR_TABLE[[ROW]:[ROW]],0),1),"")</f>
        <v/>
      </c>
      <c r="I87" s="465" t="str">
        <f>IFERROR(INDEX(#REF!,MATCH('HIDDEN_APS Part Numbers'!$A89,PART_NUMBER_GENERATOR_TABLE[[ROW]:[ROW]],0),1),"")</f>
        <v/>
      </c>
    </row>
    <row r="88" spans="2:9">
      <c r="B88" t="str">
        <f>IFERROR(INDEX(PART_NUMBER_GENERATOR_TABLE[Manufacturer Part Number],MATCH('HIDDEN_APS Part Numbers'!$A90,PART_NUMBER_GENERATOR_TABLE[[ROW]:[ROW]],0),1),"")</f>
        <v/>
      </c>
      <c r="C88" t="str">
        <f>IFERROR(INDEX(PART_NUMBER_GENERATOR_TABLE[Quantity],MATCH('HIDDEN_APS Part Numbers'!$A90,PART_NUMBER_GENERATOR_TABLE[[ROW]:[ROW]],0),1),"")</f>
        <v/>
      </c>
      <c r="D88" s="465" t="str">
        <f>IFERROR(INDEX(PART_NUMBER_GENERATOR_TABLE[Cost],MATCH('HIDDEN_APS Part Numbers'!$A90,PART_NUMBER_GENERATOR_TABLE[[ROW]:[ROW]],0),1),"")</f>
        <v/>
      </c>
      <c r="E88" s="465" t="str">
        <f>IFERROR(INDEX(PART_NUMBER_GENERATOR_TABLE[Suggested Price],MATCH('HIDDEN_APS Part Numbers'!$A90,PART_NUMBER_GENERATOR_TABLE[[ROW]:[ROW]],0),1),"")</f>
        <v/>
      </c>
      <c r="F88" s="465" t="str">
        <f t="shared" si="0"/>
        <v/>
      </c>
      <c r="G88" s="465" t="str">
        <f>IFERROR(INDEX(#REF!,MATCH('HIDDEN_APS Part Numbers'!$A90,PART_NUMBER_GENERATOR_TABLE[[ROW]:[ROW]],0),1),"")</f>
        <v/>
      </c>
      <c r="H88" s="465" t="str">
        <f>IFERROR(INDEX(#REF!,MATCH('HIDDEN_APS Part Numbers'!$A90,PART_NUMBER_GENERATOR_TABLE[[ROW]:[ROW]],0),1),"")</f>
        <v/>
      </c>
      <c r="I88" s="465" t="str">
        <f>IFERROR(INDEX(#REF!,MATCH('HIDDEN_APS Part Numbers'!$A90,PART_NUMBER_GENERATOR_TABLE[[ROW]:[ROW]],0),1),"")</f>
        <v/>
      </c>
    </row>
    <row r="89" spans="2:9">
      <c r="B89" t="str">
        <f>IFERROR(INDEX(PART_NUMBER_GENERATOR_TABLE[Manufacturer Part Number],MATCH('HIDDEN_APS Part Numbers'!$A91,PART_NUMBER_GENERATOR_TABLE[[ROW]:[ROW]],0),1),"")</f>
        <v/>
      </c>
      <c r="C89" t="str">
        <f>IFERROR(INDEX(PART_NUMBER_GENERATOR_TABLE[Quantity],MATCH('HIDDEN_APS Part Numbers'!$A91,PART_NUMBER_GENERATOR_TABLE[[ROW]:[ROW]],0),1),"")</f>
        <v/>
      </c>
      <c r="D89" s="465" t="str">
        <f>IFERROR(INDEX(PART_NUMBER_GENERATOR_TABLE[Cost],MATCH('HIDDEN_APS Part Numbers'!$A91,PART_NUMBER_GENERATOR_TABLE[[ROW]:[ROW]],0),1),"")</f>
        <v/>
      </c>
      <c r="E89" s="465" t="str">
        <f>IFERROR(INDEX(PART_NUMBER_GENERATOR_TABLE[Suggested Price],MATCH('HIDDEN_APS Part Numbers'!$A91,PART_NUMBER_GENERATOR_TABLE[[ROW]:[ROW]],0),1),"")</f>
        <v/>
      </c>
      <c r="F89" s="465" t="str">
        <f t="shared" ref="F89:F152" si="1">IF(B89&lt;&gt;"",FALSE,"")</f>
        <v/>
      </c>
      <c r="G89" s="465" t="str">
        <f>IFERROR(INDEX(#REF!,MATCH('HIDDEN_APS Part Numbers'!$A91,PART_NUMBER_GENERATOR_TABLE[[ROW]:[ROW]],0),1),"")</f>
        <v/>
      </c>
      <c r="H89" s="465" t="str">
        <f>IFERROR(INDEX(#REF!,MATCH('HIDDEN_APS Part Numbers'!$A91,PART_NUMBER_GENERATOR_TABLE[[ROW]:[ROW]],0),1),"")</f>
        <v/>
      </c>
      <c r="I89" s="465" t="str">
        <f>IFERROR(INDEX(#REF!,MATCH('HIDDEN_APS Part Numbers'!$A91,PART_NUMBER_GENERATOR_TABLE[[ROW]:[ROW]],0),1),"")</f>
        <v/>
      </c>
    </row>
    <row r="90" spans="2:9">
      <c r="B90" t="str">
        <f>IFERROR(INDEX(PART_NUMBER_GENERATOR_TABLE[Manufacturer Part Number],MATCH('HIDDEN_APS Part Numbers'!$A92,PART_NUMBER_GENERATOR_TABLE[[ROW]:[ROW]],0),1),"")</f>
        <v/>
      </c>
      <c r="C90" t="str">
        <f>IFERROR(INDEX(PART_NUMBER_GENERATOR_TABLE[Quantity],MATCH('HIDDEN_APS Part Numbers'!$A92,PART_NUMBER_GENERATOR_TABLE[[ROW]:[ROW]],0),1),"")</f>
        <v/>
      </c>
      <c r="D90" s="465" t="str">
        <f>IFERROR(INDEX(PART_NUMBER_GENERATOR_TABLE[Cost],MATCH('HIDDEN_APS Part Numbers'!$A92,PART_NUMBER_GENERATOR_TABLE[[ROW]:[ROW]],0),1),"")</f>
        <v/>
      </c>
      <c r="E90" s="465" t="str">
        <f>IFERROR(INDEX(PART_NUMBER_GENERATOR_TABLE[Suggested Price],MATCH('HIDDEN_APS Part Numbers'!$A92,PART_NUMBER_GENERATOR_TABLE[[ROW]:[ROW]],0),1),"")</f>
        <v/>
      </c>
      <c r="F90" s="465" t="str">
        <f t="shared" si="1"/>
        <v/>
      </c>
      <c r="G90" s="465" t="str">
        <f>IFERROR(INDEX(#REF!,MATCH('HIDDEN_APS Part Numbers'!$A92,PART_NUMBER_GENERATOR_TABLE[[ROW]:[ROW]],0),1),"")</f>
        <v/>
      </c>
      <c r="H90" s="465" t="str">
        <f>IFERROR(INDEX(#REF!,MATCH('HIDDEN_APS Part Numbers'!$A92,PART_NUMBER_GENERATOR_TABLE[[ROW]:[ROW]],0),1),"")</f>
        <v/>
      </c>
      <c r="I90" s="465" t="str">
        <f>IFERROR(INDEX(#REF!,MATCH('HIDDEN_APS Part Numbers'!$A92,PART_NUMBER_GENERATOR_TABLE[[ROW]:[ROW]],0),1),"")</f>
        <v/>
      </c>
    </row>
    <row r="91" spans="2:9">
      <c r="B91" t="str">
        <f>IFERROR(INDEX(PART_NUMBER_GENERATOR_TABLE[Manufacturer Part Number],MATCH('HIDDEN_APS Part Numbers'!$A93,PART_NUMBER_GENERATOR_TABLE[[ROW]:[ROW]],0),1),"")</f>
        <v/>
      </c>
      <c r="C91" t="str">
        <f>IFERROR(INDEX(PART_NUMBER_GENERATOR_TABLE[Quantity],MATCH('HIDDEN_APS Part Numbers'!$A93,PART_NUMBER_GENERATOR_TABLE[[ROW]:[ROW]],0),1),"")</f>
        <v/>
      </c>
      <c r="D91" s="465" t="str">
        <f>IFERROR(INDEX(PART_NUMBER_GENERATOR_TABLE[Cost],MATCH('HIDDEN_APS Part Numbers'!$A93,PART_NUMBER_GENERATOR_TABLE[[ROW]:[ROW]],0),1),"")</f>
        <v/>
      </c>
      <c r="E91" s="465" t="str">
        <f>IFERROR(INDEX(PART_NUMBER_GENERATOR_TABLE[Suggested Price],MATCH('HIDDEN_APS Part Numbers'!$A93,PART_NUMBER_GENERATOR_TABLE[[ROW]:[ROW]],0),1),"")</f>
        <v/>
      </c>
      <c r="F91" s="465" t="str">
        <f t="shared" si="1"/>
        <v/>
      </c>
      <c r="G91" s="465" t="str">
        <f>IFERROR(INDEX(#REF!,MATCH('HIDDEN_APS Part Numbers'!$A93,PART_NUMBER_GENERATOR_TABLE[[ROW]:[ROW]],0),1),"")</f>
        <v/>
      </c>
      <c r="H91" s="465" t="str">
        <f>IFERROR(INDEX(#REF!,MATCH('HIDDEN_APS Part Numbers'!$A93,PART_NUMBER_GENERATOR_TABLE[[ROW]:[ROW]],0),1),"")</f>
        <v/>
      </c>
      <c r="I91" s="465" t="str">
        <f>IFERROR(INDEX(#REF!,MATCH('HIDDEN_APS Part Numbers'!$A93,PART_NUMBER_GENERATOR_TABLE[[ROW]:[ROW]],0),1),"")</f>
        <v/>
      </c>
    </row>
    <row r="92" spans="2:9">
      <c r="B92" t="str">
        <f>IFERROR(INDEX(PART_NUMBER_GENERATOR_TABLE[Manufacturer Part Number],MATCH('HIDDEN_APS Part Numbers'!$A94,PART_NUMBER_GENERATOR_TABLE[[ROW]:[ROW]],0),1),"")</f>
        <v/>
      </c>
      <c r="C92" t="str">
        <f>IFERROR(INDEX(PART_NUMBER_GENERATOR_TABLE[Quantity],MATCH('HIDDEN_APS Part Numbers'!$A94,PART_NUMBER_GENERATOR_TABLE[[ROW]:[ROW]],0),1),"")</f>
        <v/>
      </c>
      <c r="D92" s="465" t="str">
        <f>IFERROR(INDEX(PART_NUMBER_GENERATOR_TABLE[Cost],MATCH('HIDDEN_APS Part Numbers'!$A94,PART_NUMBER_GENERATOR_TABLE[[ROW]:[ROW]],0),1),"")</f>
        <v/>
      </c>
      <c r="E92" s="465" t="str">
        <f>IFERROR(INDEX(PART_NUMBER_GENERATOR_TABLE[Suggested Price],MATCH('HIDDEN_APS Part Numbers'!$A94,PART_NUMBER_GENERATOR_TABLE[[ROW]:[ROW]],0),1),"")</f>
        <v/>
      </c>
      <c r="F92" s="465" t="str">
        <f t="shared" si="1"/>
        <v/>
      </c>
      <c r="G92" s="465" t="str">
        <f>IFERROR(INDEX(#REF!,MATCH('HIDDEN_APS Part Numbers'!$A94,PART_NUMBER_GENERATOR_TABLE[[ROW]:[ROW]],0),1),"")</f>
        <v/>
      </c>
      <c r="H92" s="465" t="str">
        <f>IFERROR(INDEX(#REF!,MATCH('HIDDEN_APS Part Numbers'!$A94,PART_NUMBER_GENERATOR_TABLE[[ROW]:[ROW]],0),1),"")</f>
        <v/>
      </c>
      <c r="I92" s="465" t="str">
        <f>IFERROR(INDEX(#REF!,MATCH('HIDDEN_APS Part Numbers'!$A94,PART_NUMBER_GENERATOR_TABLE[[ROW]:[ROW]],0),1),"")</f>
        <v/>
      </c>
    </row>
    <row r="93" spans="2:9">
      <c r="B93" t="str">
        <f>IFERROR(INDEX(PART_NUMBER_GENERATOR_TABLE[Manufacturer Part Number],MATCH('HIDDEN_APS Part Numbers'!$A95,PART_NUMBER_GENERATOR_TABLE[[ROW]:[ROW]],0),1),"")</f>
        <v/>
      </c>
      <c r="C93" t="str">
        <f>IFERROR(INDEX(PART_NUMBER_GENERATOR_TABLE[Quantity],MATCH('HIDDEN_APS Part Numbers'!$A95,PART_NUMBER_GENERATOR_TABLE[[ROW]:[ROW]],0),1),"")</f>
        <v/>
      </c>
      <c r="D93" s="465" t="str">
        <f>IFERROR(INDEX(PART_NUMBER_GENERATOR_TABLE[Cost],MATCH('HIDDEN_APS Part Numbers'!$A95,PART_NUMBER_GENERATOR_TABLE[[ROW]:[ROW]],0),1),"")</f>
        <v/>
      </c>
      <c r="E93" s="465" t="str">
        <f>IFERROR(INDEX(PART_NUMBER_GENERATOR_TABLE[Suggested Price],MATCH('HIDDEN_APS Part Numbers'!$A95,PART_NUMBER_GENERATOR_TABLE[[ROW]:[ROW]],0),1),"")</f>
        <v/>
      </c>
      <c r="F93" s="465" t="str">
        <f t="shared" si="1"/>
        <v/>
      </c>
      <c r="G93" s="465" t="str">
        <f>IFERROR(INDEX(#REF!,MATCH('HIDDEN_APS Part Numbers'!$A95,PART_NUMBER_GENERATOR_TABLE[[ROW]:[ROW]],0),1),"")</f>
        <v/>
      </c>
      <c r="H93" s="465" t="str">
        <f>IFERROR(INDEX(#REF!,MATCH('HIDDEN_APS Part Numbers'!$A95,PART_NUMBER_GENERATOR_TABLE[[ROW]:[ROW]],0),1),"")</f>
        <v/>
      </c>
      <c r="I93" s="465" t="str">
        <f>IFERROR(INDEX(#REF!,MATCH('HIDDEN_APS Part Numbers'!$A95,PART_NUMBER_GENERATOR_TABLE[[ROW]:[ROW]],0),1),"")</f>
        <v/>
      </c>
    </row>
    <row r="94" spans="2:9">
      <c r="B94" t="str">
        <f>IFERROR(INDEX(PART_NUMBER_GENERATOR_TABLE[Manufacturer Part Number],MATCH('HIDDEN_APS Part Numbers'!$A96,PART_NUMBER_GENERATOR_TABLE[[ROW]:[ROW]],0),1),"")</f>
        <v/>
      </c>
      <c r="C94" t="str">
        <f>IFERROR(INDEX(PART_NUMBER_GENERATOR_TABLE[Quantity],MATCH('HIDDEN_APS Part Numbers'!$A96,PART_NUMBER_GENERATOR_TABLE[[ROW]:[ROW]],0),1),"")</f>
        <v/>
      </c>
      <c r="D94" s="465" t="str">
        <f>IFERROR(INDEX(PART_NUMBER_GENERATOR_TABLE[Cost],MATCH('HIDDEN_APS Part Numbers'!$A96,PART_NUMBER_GENERATOR_TABLE[[ROW]:[ROW]],0),1),"")</f>
        <v/>
      </c>
      <c r="E94" s="465" t="str">
        <f>IFERROR(INDEX(PART_NUMBER_GENERATOR_TABLE[Suggested Price],MATCH('HIDDEN_APS Part Numbers'!$A96,PART_NUMBER_GENERATOR_TABLE[[ROW]:[ROW]],0),1),"")</f>
        <v/>
      </c>
      <c r="F94" s="465" t="str">
        <f t="shared" si="1"/>
        <v/>
      </c>
      <c r="G94" s="465" t="str">
        <f>IFERROR(INDEX(#REF!,MATCH('HIDDEN_APS Part Numbers'!$A96,PART_NUMBER_GENERATOR_TABLE[[ROW]:[ROW]],0),1),"")</f>
        <v/>
      </c>
      <c r="H94" s="465" t="str">
        <f>IFERROR(INDEX(#REF!,MATCH('HIDDEN_APS Part Numbers'!$A96,PART_NUMBER_GENERATOR_TABLE[[ROW]:[ROW]],0),1),"")</f>
        <v/>
      </c>
      <c r="I94" s="465" t="str">
        <f>IFERROR(INDEX(#REF!,MATCH('HIDDEN_APS Part Numbers'!$A96,PART_NUMBER_GENERATOR_TABLE[[ROW]:[ROW]],0),1),"")</f>
        <v/>
      </c>
    </row>
    <row r="95" spans="2:9">
      <c r="B95" t="str">
        <f>IFERROR(INDEX(PART_NUMBER_GENERATOR_TABLE[Manufacturer Part Number],MATCH('HIDDEN_APS Part Numbers'!$A97,PART_NUMBER_GENERATOR_TABLE[[ROW]:[ROW]],0),1),"")</f>
        <v/>
      </c>
      <c r="C95" t="str">
        <f>IFERROR(INDEX(PART_NUMBER_GENERATOR_TABLE[Quantity],MATCH('HIDDEN_APS Part Numbers'!$A97,PART_NUMBER_GENERATOR_TABLE[[ROW]:[ROW]],0),1),"")</f>
        <v/>
      </c>
      <c r="D95" s="465" t="str">
        <f>IFERROR(INDEX(PART_NUMBER_GENERATOR_TABLE[Cost],MATCH('HIDDEN_APS Part Numbers'!$A97,PART_NUMBER_GENERATOR_TABLE[[ROW]:[ROW]],0),1),"")</f>
        <v/>
      </c>
      <c r="E95" s="465" t="str">
        <f>IFERROR(INDEX(PART_NUMBER_GENERATOR_TABLE[Suggested Price],MATCH('HIDDEN_APS Part Numbers'!$A97,PART_NUMBER_GENERATOR_TABLE[[ROW]:[ROW]],0),1),"")</f>
        <v/>
      </c>
      <c r="F95" s="465" t="str">
        <f t="shared" si="1"/>
        <v/>
      </c>
      <c r="G95" s="465" t="str">
        <f>IFERROR(INDEX(#REF!,MATCH('HIDDEN_APS Part Numbers'!$A97,PART_NUMBER_GENERATOR_TABLE[[ROW]:[ROW]],0),1),"")</f>
        <v/>
      </c>
      <c r="H95" s="465" t="str">
        <f>IFERROR(INDEX(#REF!,MATCH('HIDDEN_APS Part Numbers'!$A97,PART_NUMBER_GENERATOR_TABLE[[ROW]:[ROW]],0),1),"")</f>
        <v/>
      </c>
      <c r="I95" s="465" t="str">
        <f>IFERROR(INDEX(#REF!,MATCH('HIDDEN_APS Part Numbers'!$A97,PART_NUMBER_GENERATOR_TABLE[[ROW]:[ROW]],0),1),"")</f>
        <v/>
      </c>
    </row>
    <row r="96" spans="2:9">
      <c r="B96" t="str">
        <f>IFERROR(INDEX(PART_NUMBER_GENERATOR_TABLE[Manufacturer Part Number],MATCH('HIDDEN_APS Part Numbers'!$A98,PART_NUMBER_GENERATOR_TABLE[[ROW]:[ROW]],0),1),"")</f>
        <v/>
      </c>
      <c r="C96" t="str">
        <f>IFERROR(INDEX(PART_NUMBER_GENERATOR_TABLE[Quantity],MATCH('HIDDEN_APS Part Numbers'!$A98,PART_NUMBER_GENERATOR_TABLE[[ROW]:[ROW]],0),1),"")</f>
        <v/>
      </c>
      <c r="D96" s="465" t="str">
        <f>IFERROR(INDEX(PART_NUMBER_GENERATOR_TABLE[Cost],MATCH('HIDDEN_APS Part Numbers'!$A98,PART_NUMBER_GENERATOR_TABLE[[ROW]:[ROW]],0),1),"")</f>
        <v/>
      </c>
      <c r="E96" s="465" t="str">
        <f>IFERROR(INDEX(PART_NUMBER_GENERATOR_TABLE[Suggested Price],MATCH('HIDDEN_APS Part Numbers'!$A98,PART_NUMBER_GENERATOR_TABLE[[ROW]:[ROW]],0),1),"")</f>
        <v/>
      </c>
      <c r="F96" s="465" t="str">
        <f t="shared" si="1"/>
        <v/>
      </c>
      <c r="G96" s="465" t="str">
        <f>IFERROR(INDEX(#REF!,MATCH('HIDDEN_APS Part Numbers'!$A98,PART_NUMBER_GENERATOR_TABLE[[ROW]:[ROW]],0),1),"")</f>
        <v/>
      </c>
      <c r="H96" s="465" t="str">
        <f>IFERROR(INDEX(#REF!,MATCH('HIDDEN_APS Part Numbers'!$A98,PART_NUMBER_GENERATOR_TABLE[[ROW]:[ROW]],0),1),"")</f>
        <v/>
      </c>
      <c r="I96" s="465" t="str">
        <f>IFERROR(INDEX(#REF!,MATCH('HIDDEN_APS Part Numbers'!$A98,PART_NUMBER_GENERATOR_TABLE[[ROW]:[ROW]],0),1),"")</f>
        <v/>
      </c>
    </row>
    <row r="97" spans="2:9">
      <c r="B97" t="str">
        <f>IFERROR(INDEX(PART_NUMBER_GENERATOR_TABLE[Manufacturer Part Number],MATCH('HIDDEN_APS Part Numbers'!$A99,PART_NUMBER_GENERATOR_TABLE[[ROW]:[ROW]],0),1),"")</f>
        <v/>
      </c>
      <c r="C97" t="str">
        <f>IFERROR(INDEX(PART_NUMBER_GENERATOR_TABLE[Quantity],MATCH('HIDDEN_APS Part Numbers'!$A99,PART_NUMBER_GENERATOR_TABLE[[ROW]:[ROW]],0),1),"")</f>
        <v/>
      </c>
      <c r="D97" s="465" t="str">
        <f>IFERROR(INDEX(PART_NUMBER_GENERATOR_TABLE[Cost],MATCH('HIDDEN_APS Part Numbers'!$A99,PART_NUMBER_GENERATOR_TABLE[[ROW]:[ROW]],0),1),"")</f>
        <v/>
      </c>
      <c r="E97" s="465" t="str">
        <f>IFERROR(INDEX(PART_NUMBER_GENERATOR_TABLE[Suggested Price],MATCH('HIDDEN_APS Part Numbers'!$A99,PART_NUMBER_GENERATOR_TABLE[[ROW]:[ROW]],0),1),"")</f>
        <v/>
      </c>
      <c r="F97" s="465" t="str">
        <f t="shared" si="1"/>
        <v/>
      </c>
      <c r="G97" s="465" t="str">
        <f>IFERROR(INDEX(#REF!,MATCH('HIDDEN_APS Part Numbers'!$A99,PART_NUMBER_GENERATOR_TABLE[[ROW]:[ROW]],0),1),"")</f>
        <v/>
      </c>
      <c r="H97" s="465" t="str">
        <f>IFERROR(INDEX(#REF!,MATCH('HIDDEN_APS Part Numbers'!$A99,PART_NUMBER_GENERATOR_TABLE[[ROW]:[ROW]],0),1),"")</f>
        <v/>
      </c>
      <c r="I97" s="465" t="str">
        <f>IFERROR(INDEX(#REF!,MATCH('HIDDEN_APS Part Numbers'!$A99,PART_NUMBER_GENERATOR_TABLE[[ROW]:[ROW]],0),1),"")</f>
        <v/>
      </c>
    </row>
    <row r="98" spans="2:9">
      <c r="B98" t="str">
        <f>IFERROR(INDEX(PART_NUMBER_GENERATOR_TABLE[Manufacturer Part Number],MATCH('HIDDEN_APS Part Numbers'!$A100,PART_NUMBER_GENERATOR_TABLE[[ROW]:[ROW]],0),1),"")</f>
        <v/>
      </c>
      <c r="C98" t="str">
        <f>IFERROR(INDEX(PART_NUMBER_GENERATOR_TABLE[Quantity],MATCH('HIDDEN_APS Part Numbers'!$A100,PART_NUMBER_GENERATOR_TABLE[[ROW]:[ROW]],0),1),"")</f>
        <v/>
      </c>
      <c r="D98" s="465" t="str">
        <f>IFERROR(INDEX(PART_NUMBER_GENERATOR_TABLE[Cost],MATCH('HIDDEN_APS Part Numbers'!$A100,PART_NUMBER_GENERATOR_TABLE[[ROW]:[ROW]],0),1),"")</f>
        <v/>
      </c>
      <c r="E98" s="465" t="str">
        <f>IFERROR(INDEX(PART_NUMBER_GENERATOR_TABLE[Suggested Price],MATCH('HIDDEN_APS Part Numbers'!$A100,PART_NUMBER_GENERATOR_TABLE[[ROW]:[ROW]],0),1),"")</f>
        <v/>
      </c>
      <c r="F98" s="465" t="str">
        <f t="shared" si="1"/>
        <v/>
      </c>
      <c r="G98" s="465" t="str">
        <f>IFERROR(INDEX(#REF!,MATCH('HIDDEN_APS Part Numbers'!$A100,PART_NUMBER_GENERATOR_TABLE[[ROW]:[ROW]],0),1),"")</f>
        <v/>
      </c>
      <c r="H98" s="465" t="str">
        <f>IFERROR(INDEX(#REF!,MATCH('HIDDEN_APS Part Numbers'!$A100,PART_NUMBER_GENERATOR_TABLE[[ROW]:[ROW]],0),1),"")</f>
        <v/>
      </c>
      <c r="I98" s="465" t="str">
        <f>IFERROR(INDEX(#REF!,MATCH('HIDDEN_APS Part Numbers'!$A100,PART_NUMBER_GENERATOR_TABLE[[ROW]:[ROW]],0),1),"")</f>
        <v/>
      </c>
    </row>
    <row r="99" spans="2:9">
      <c r="B99" t="str">
        <f>IFERROR(INDEX(PART_NUMBER_GENERATOR_TABLE[Manufacturer Part Number],MATCH('HIDDEN_APS Part Numbers'!$A101,PART_NUMBER_GENERATOR_TABLE[[ROW]:[ROW]],0),1),"")</f>
        <v/>
      </c>
      <c r="C99" t="str">
        <f>IFERROR(INDEX(PART_NUMBER_GENERATOR_TABLE[Quantity],MATCH('HIDDEN_APS Part Numbers'!$A101,PART_NUMBER_GENERATOR_TABLE[[ROW]:[ROW]],0),1),"")</f>
        <v/>
      </c>
      <c r="D99" s="465" t="str">
        <f>IFERROR(INDEX(PART_NUMBER_GENERATOR_TABLE[Cost],MATCH('HIDDEN_APS Part Numbers'!$A101,PART_NUMBER_GENERATOR_TABLE[[ROW]:[ROW]],0),1),"")</f>
        <v/>
      </c>
      <c r="E99" s="465" t="str">
        <f>IFERROR(INDEX(PART_NUMBER_GENERATOR_TABLE[Suggested Price],MATCH('HIDDEN_APS Part Numbers'!$A101,PART_NUMBER_GENERATOR_TABLE[[ROW]:[ROW]],0),1),"")</f>
        <v/>
      </c>
      <c r="F99" s="465" t="str">
        <f t="shared" si="1"/>
        <v/>
      </c>
      <c r="G99" s="465" t="str">
        <f>IFERROR(INDEX(#REF!,MATCH('HIDDEN_APS Part Numbers'!$A101,PART_NUMBER_GENERATOR_TABLE[[ROW]:[ROW]],0),1),"")</f>
        <v/>
      </c>
      <c r="H99" s="465" t="str">
        <f>IFERROR(INDEX(#REF!,MATCH('HIDDEN_APS Part Numbers'!$A101,PART_NUMBER_GENERATOR_TABLE[[ROW]:[ROW]],0),1),"")</f>
        <v/>
      </c>
      <c r="I99" s="465" t="str">
        <f>IFERROR(INDEX(#REF!,MATCH('HIDDEN_APS Part Numbers'!$A101,PART_NUMBER_GENERATOR_TABLE[[ROW]:[ROW]],0),1),"")</f>
        <v/>
      </c>
    </row>
    <row r="100" spans="2:9">
      <c r="B100" t="str">
        <f>IFERROR(INDEX(PART_NUMBER_GENERATOR_TABLE[Manufacturer Part Number],MATCH('HIDDEN_APS Part Numbers'!$A102,PART_NUMBER_GENERATOR_TABLE[[ROW]:[ROW]],0),1),"")</f>
        <v/>
      </c>
      <c r="C100" t="str">
        <f>IFERROR(INDEX(PART_NUMBER_GENERATOR_TABLE[Quantity],MATCH('HIDDEN_APS Part Numbers'!$A102,PART_NUMBER_GENERATOR_TABLE[[ROW]:[ROW]],0),1),"")</f>
        <v/>
      </c>
      <c r="D100" s="465" t="str">
        <f>IFERROR(INDEX(PART_NUMBER_GENERATOR_TABLE[Cost],MATCH('HIDDEN_APS Part Numbers'!$A102,PART_NUMBER_GENERATOR_TABLE[[ROW]:[ROW]],0),1),"")</f>
        <v/>
      </c>
      <c r="E100" s="465" t="str">
        <f>IFERROR(INDEX(PART_NUMBER_GENERATOR_TABLE[Suggested Price],MATCH('HIDDEN_APS Part Numbers'!$A102,PART_NUMBER_GENERATOR_TABLE[[ROW]:[ROW]],0),1),"")</f>
        <v/>
      </c>
      <c r="F100" s="465" t="str">
        <f t="shared" si="1"/>
        <v/>
      </c>
      <c r="G100" s="465" t="str">
        <f>IFERROR(INDEX(#REF!,MATCH('HIDDEN_APS Part Numbers'!$A102,PART_NUMBER_GENERATOR_TABLE[[ROW]:[ROW]],0),1),"")</f>
        <v/>
      </c>
      <c r="H100" s="465" t="str">
        <f>IFERROR(INDEX(#REF!,MATCH('HIDDEN_APS Part Numbers'!$A102,PART_NUMBER_GENERATOR_TABLE[[ROW]:[ROW]],0),1),"")</f>
        <v/>
      </c>
      <c r="I100" s="465" t="str">
        <f>IFERROR(INDEX(#REF!,MATCH('HIDDEN_APS Part Numbers'!$A102,PART_NUMBER_GENERATOR_TABLE[[ROW]:[ROW]],0),1),"")</f>
        <v/>
      </c>
    </row>
    <row r="101" spans="2:9">
      <c r="B101" t="str">
        <f>IFERROR(INDEX(PART_NUMBER_GENERATOR_TABLE[Manufacturer Part Number],MATCH('HIDDEN_APS Part Numbers'!$A103,PART_NUMBER_GENERATOR_TABLE[[ROW]:[ROW]],0),1),"")</f>
        <v/>
      </c>
      <c r="C101" t="str">
        <f>IFERROR(INDEX(PART_NUMBER_GENERATOR_TABLE[Quantity],MATCH('HIDDEN_APS Part Numbers'!$A103,PART_NUMBER_GENERATOR_TABLE[[ROW]:[ROW]],0),1),"")</f>
        <v/>
      </c>
      <c r="D101" s="465" t="str">
        <f>IFERROR(INDEX(PART_NUMBER_GENERATOR_TABLE[Cost],MATCH('HIDDEN_APS Part Numbers'!$A103,PART_NUMBER_GENERATOR_TABLE[[ROW]:[ROW]],0),1),"")</f>
        <v/>
      </c>
      <c r="E101" s="465" t="str">
        <f>IFERROR(INDEX(PART_NUMBER_GENERATOR_TABLE[Suggested Price],MATCH('HIDDEN_APS Part Numbers'!$A103,PART_NUMBER_GENERATOR_TABLE[[ROW]:[ROW]],0),1),"")</f>
        <v/>
      </c>
      <c r="F101" s="465" t="str">
        <f t="shared" si="1"/>
        <v/>
      </c>
      <c r="G101" s="465" t="str">
        <f>IFERROR(INDEX(#REF!,MATCH('HIDDEN_APS Part Numbers'!$A103,PART_NUMBER_GENERATOR_TABLE[[ROW]:[ROW]],0),1),"")</f>
        <v/>
      </c>
      <c r="H101" s="465" t="str">
        <f>IFERROR(INDEX(#REF!,MATCH('HIDDEN_APS Part Numbers'!$A103,PART_NUMBER_GENERATOR_TABLE[[ROW]:[ROW]],0),1),"")</f>
        <v/>
      </c>
      <c r="I101" s="465" t="str">
        <f>IFERROR(INDEX(#REF!,MATCH('HIDDEN_APS Part Numbers'!$A103,PART_NUMBER_GENERATOR_TABLE[[ROW]:[ROW]],0),1),"")</f>
        <v/>
      </c>
    </row>
    <row r="102" spans="2:9">
      <c r="B102" t="str">
        <f>IFERROR(INDEX(PART_NUMBER_GENERATOR_TABLE[Manufacturer Part Number],MATCH('HIDDEN_APS Part Numbers'!$A104,PART_NUMBER_GENERATOR_TABLE[[ROW]:[ROW]],0),1),"")</f>
        <v/>
      </c>
      <c r="C102" t="str">
        <f>IFERROR(INDEX(PART_NUMBER_GENERATOR_TABLE[Quantity],MATCH('HIDDEN_APS Part Numbers'!$A104,PART_NUMBER_GENERATOR_TABLE[[ROW]:[ROW]],0),1),"")</f>
        <v/>
      </c>
      <c r="D102" s="465" t="str">
        <f>IFERROR(INDEX(PART_NUMBER_GENERATOR_TABLE[Cost],MATCH('HIDDEN_APS Part Numbers'!$A104,PART_NUMBER_GENERATOR_TABLE[[ROW]:[ROW]],0),1),"")</f>
        <v/>
      </c>
      <c r="E102" s="465" t="str">
        <f>IFERROR(INDEX(PART_NUMBER_GENERATOR_TABLE[Suggested Price],MATCH('HIDDEN_APS Part Numbers'!$A104,PART_NUMBER_GENERATOR_TABLE[[ROW]:[ROW]],0),1),"")</f>
        <v/>
      </c>
      <c r="F102" s="465" t="str">
        <f t="shared" si="1"/>
        <v/>
      </c>
      <c r="G102" s="465" t="str">
        <f>IFERROR(INDEX(#REF!,MATCH('HIDDEN_APS Part Numbers'!$A104,PART_NUMBER_GENERATOR_TABLE[[ROW]:[ROW]],0),1),"")</f>
        <v/>
      </c>
      <c r="H102" s="465" t="str">
        <f>IFERROR(INDEX(#REF!,MATCH('HIDDEN_APS Part Numbers'!$A104,PART_NUMBER_GENERATOR_TABLE[[ROW]:[ROW]],0),1),"")</f>
        <v/>
      </c>
      <c r="I102" s="465" t="str">
        <f>IFERROR(INDEX(#REF!,MATCH('HIDDEN_APS Part Numbers'!$A104,PART_NUMBER_GENERATOR_TABLE[[ROW]:[ROW]],0),1),"")</f>
        <v/>
      </c>
    </row>
    <row r="103" spans="2:9">
      <c r="B103" t="str">
        <f>IFERROR(INDEX(PART_NUMBER_GENERATOR_TABLE[Manufacturer Part Number],MATCH('HIDDEN_APS Part Numbers'!$A105,PART_NUMBER_GENERATOR_TABLE[[ROW]:[ROW]],0),1),"")</f>
        <v/>
      </c>
      <c r="C103" t="str">
        <f>IFERROR(INDEX(PART_NUMBER_GENERATOR_TABLE[Quantity],MATCH('HIDDEN_APS Part Numbers'!$A105,PART_NUMBER_GENERATOR_TABLE[[ROW]:[ROW]],0),1),"")</f>
        <v/>
      </c>
      <c r="D103" s="465" t="str">
        <f>IFERROR(INDEX(PART_NUMBER_GENERATOR_TABLE[Cost],MATCH('HIDDEN_APS Part Numbers'!$A105,PART_NUMBER_GENERATOR_TABLE[[ROW]:[ROW]],0),1),"")</f>
        <v/>
      </c>
      <c r="E103" s="465" t="str">
        <f>IFERROR(INDEX(PART_NUMBER_GENERATOR_TABLE[Suggested Price],MATCH('HIDDEN_APS Part Numbers'!$A105,PART_NUMBER_GENERATOR_TABLE[[ROW]:[ROW]],0),1),"")</f>
        <v/>
      </c>
      <c r="F103" s="465" t="str">
        <f t="shared" si="1"/>
        <v/>
      </c>
      <c r="G103" s="465" t="str">
        <f>IFERROR(INDEX(#REF!,MATCH('HIDDEN_APS Part Numbers'!$A105,PART_NUMBER_GENERATOR_TABLE[[ROW]:[ROW]],0),1),"")</f>
        <v/>
      </c>
      <c r="H103" s="465" t="str">
        <f>IFERROR(INDEX(#REF!,MATCH('HIDDEN_APS Part Numbers'!$A105,PART_NUMBER_GENERATOR_TABLE[[ROW]:[ROW]],0),1),"")</f>
        <v/>
      </c>
      <c r="I103" s="465" t="str">
        <f>IFERROR(INDEX(#REF!,MATCH('HIDDEN_APS Part Numbers'!$A105,PART_NUMBER_GENERATOR_TABLE[[ROW]:[ROW]],0),1),"")</f>
        <v/>
      </c>
    </row>
    <row r="104" spans="2:9">
      <c r="B104" t="str">
        <f>IFERROR(INDEX(PART_NUMBER_GENERATOR_TABLE[Manufacturer Part Number],MATCH('HIDDEN_APS Part Numbers'!$A106,PART_NUMBER_GENERATOR_TABLE[[ROW]:[ROW]],0),1),"")</f>
        <v/>
      </c>
      <c r="C104" t="str">
        <f>IFERROR(INDEX(PART_NUMBER_GENERATOR_TABLE[Quantity],MATCH('HIDDEN_APS Part Numbers'!$A106,PART_NUMBER_GENERATOR_TABLE[[ROW]:[ROW]],0),1),"")</f>
        <v/>
      </c>
      <c r="D104" s="465" t="str">
        <f>IFERROR(INDEX(PART_NUMBER_GENERATOR_TABLE[Cost],MATCH('HIDDEN_APS Part Numbers'!$A106,PART_NUMBER_GENERATOR_TABLE[[ROW]:[ROW]],0),1),"")</f>
        <v/>
      </c>
      <c r="E104" s="465" t="str">
        <f>IFERROR(INDEX(PART_NUMBER_GENERATOR_TABLE[Suggested Price],MATCH('HIDDEN_APS Part Numbers'!$A106,PART_NUMBER_GENERATOR_TABLE[[ROW]:[ROW]],0),1),"")</f>
        <v/>
      </c>
      <c r="F104" s="465" t="str">
        <f t="shared" si="1"/>
        <v/>
      </c>
      <c r="G104" s="465" t="str">
        <f>IFERROR(INDEX(#REF!,MATCH('HIDDEN_APS Part Numbers'!$A106,PART_NUMBER_GENERATOR_TABLE[[ROW]:[ROW]],0),1),"")</f>
        <v/>
      </c>
      <c r="H104" s="465" t="str">
        <f>IFERROR(INDEX(#REF!,MATCH('HIDDEN_APS Part Numbers'!$A106,PART_NUMBER_GENERATOR_TABLE[[ROW]:[ROW]],0),1),"")</f>
        <v/>
      </c>
      <c r="I104" s="465" t="str">
        <f>IFERROR(INDEX(#REF!,MATCH('HIDDEN_APS Part Numbers'!$A106,PART_NUMBER_GENERATOR_TABLE[[ROW]:[ROW]],0),1),"")</f>
        <v/>
      </c>
    </row>
    <row r="105" spans="2:9">
      <c r="B105" t="str">
        <f>IFERROR(INDEX(PART_NUMBER_GENERATOR_TABLE[Manufacturer Part Number],MATCH('HIDDEN_APS Part Numbers'!$A107,PART_NUMBER_GENERATOR_TABLE[[ROW]:[ROW]],0),1),"")</f>
        <v/>
      </c>
      <c r="C105" t="str">
        <f>IFERROR(INDEX(PART_NUMBER_GENERATOR_TABLE[Quantity],MATCH('HIDDEN_APS Part Numbers'!$A107,PART_NUMBER_GENERATOR_TABLE[[ROW]:[ROW]],0),1),"")</f>
        <v/>
      </c>
      <c r="D105" s="465" t="str">
        <f>IFERROR(INDEX(PART_NUMBER_GENERATOR_TABLE[Cost],MATCH('HIDDEN_APS Part Numbers'!$A107,PART_NUMBER_GENERATOR_TABLE[[ROW]:[ROW]],0),1),"")</f>
        <v/>
      </c>
      <c r="E105" s="465" t="str">
        <f>IFERROR(INDEX(PART_NUMBER_GENERATOR_TABLE[Suggested Price],MATCH('HIDDEN_APS Part Numbers'!$A107,PART_NUMBER_GENERATOR_TABLE[[ROW]:[ROW]],0),1),"")</f>
        <v/>
      </c>
      <c r="F105" s="465" t="str">
        <f t="shared" si="1"/>
        <v/>
      </c>
      <c r="G105" s="465" t="str">
        <f>IFERROR(INDEX(#REF!,MATCH('HIDDEN_APS Part Numbers'!$A107,PART_NUMBER_GENERATOR_TABLE[[ROW]:[ROW]],0),1),"")</f>
        <v/>
      </c>
      <c r="H105" s="465" t="str">
        <f>IFERROR(INDEX(#REF!,MATCH('HIDDEN_APS Part Numbers'!$A107,PART_NUMBER_GENERATOR_TABLE[[ROW]:[ROW]],0),1),"")</f>
        <v/>
      </c>
      <c r="I105" s="465" t="str">
        <f>IFERROR(INDEX(#REF!,MATCH('HIDDEN_APS Part Numbers'!$A107,PART_NUMBER_GENERATOR_TABLE[[ROW]:[ROW]],0),1),"")</f>
        <v/>
      </c>
    </row>
    <row r="106" spans="2:9">
      <c r="B106" t="str">
        <f>IFERROR(INDEX(PART_NUMBER_GENERATOR_TABLE[Manufacturer Part Number],MATCH('HIDDEN_APS Part Numbers'!$A108,PART_NUMBER_GENERATOR_TABLE[[ROW]:[ROW]],0),1),"")</f>
        <v/>
      </c>
      <c r="C106" t="str">
        <f>IFERROR(INDEX(PART_NUMBER_GENERATOR_TABLE[Quantity],MATCH('HIDDEN_APS Part Numbers'!$A108,PART_NUMBER_GENERATOR_TABLE[[ROW]:[ROW]],0),1),"")</f>
        <v/>
      </c>
      <c r="D106" s="465" t="str">
        <f>IFERROR(INDEX(PART_NUMBER_GENERATOR_TABLE[Cost],MATCH('HIDDEN_APS Part Numbers'!$A108,PART_NUMBER_GENERATOR_TABLE[[ROW]:[ROW]],0),1),"")</f>
        <v/>
      </c>
      <c r="E106" s="465" t="str">
        <f>IFERROR(INDEX(PART_NUMBER_GENERATOR_TABLE[Suggested Price],MATCH('HIDDEN_APS Part Numbers'!$A108,PART_NUMBER_GENERATOR_TABLE[[ROW]:[ROW]],0),1),"")</f>
        <v/>
      </c>
      <c r="F106" s="465" t="str">
        <f t="shared" si="1"/>
        <v/>
      </c>
      <c r="G106" s="465" t="str">
        <f>IFERROR(INDEX(#REF!,MATCH('HIDDEN_APS Part Numbers'!$A108,PART_NUMBER_GENERATOR_TABLE[[ROW]:[ROW]],0),1),"")</f>
        <v/>
      </c>
      <c r="H106" s="465" t="str">
        <f>IFERROR(INDEX(#REF!,MATCH('HIDDEN_APS Part Numbers'!$A108,PART_NUMBER_GENERATOR_TABLE[[ROW]:[ROW]],0),1),"")</f>
        <v/>
      </c>
      <c r="I106" s="465" t="str">
        <f>IFERROR(INDEX(#REF!,MATCH('HIDDEN_APS Part Numbers'!$A108,PART_NUMBER_GENERATOR_TABLE[[ROW]:[ROW]],0),1),"")</f>
        <v/>
      </c>
    </row>
    <row r="107" spans="2:9">
      <c r="B107" t="str">
        <f>IFERROR(INDEX(PART_NUMBER_GENERATOR_TABLE[Manufacturer Part Number],MATCH('HIDDEN_APS Part Numbers'!$A109,PART_NUMBER_GENERATOR_TABLE[[ROW]:[ROW]],0),1),"")</f>
        <v/>
      </c>
      <c r="C107" t="str">
        <f>IFERROR(INDEX(PART_NUMBER_GENERATOR_TABLE[Quantity],MATCH('HIDDEN_APS Part Numbers'!$A109,PART_NUMBER_GENERATOR_TABLE[[ROW]:[ROW]],0),1),"")</f>
        <v/>
      </c>
      <c r="D107" s="465" t="str">
        <f>IFERROR(INDEX(PART_NUMBER_GENERATOR_TABLE[Cost],MATCH('HIDDEN_APS Part Numbers'!$A109,PART_NUMBER_GENERATOR_TABLE[[ROW]:[ROW]],0),1),"")</f>
        <v/>
      </c>
      <c r="E107" s="465" t="str">
        <f>IFERROR(INDEX(PART_NUMBER_GENERATOR_TABLE[Suggested Price],MATCH('HIDDEN_APS Part Numbers'!$A109,PART_NUMBER_GENERATOR_TABLE[[ROW]:[ROW]],0),1),"")</f>
        <v/>
      </c>
      <c r="F107" s="465" t="str">
        <f t="shared" si="1"/>
        <v/>
      </c>
      <c r="G107" s="465" t="str">
        <f>IFERROR(INDEX(#REF!,MATCH('HIDDEN_APS Part Numbers'!$A109,PART_NUMBER_GENERATOR_TABLE[[ROW]:[ROW]],0),1),"")</f>
        <v/>
      </c>
      <c r="H107" s="465" t="str">
        <f>IFERROR(INDEX(#REF!,MATCH('HIDDEN_APS Part Numbers'!$A109,PART_NUMBER_GENERATOR_TABLE[[ROW]:[ROW]],0),1),"")</f>
        <v/>
      </c>
      <c r="I107" s="465" t="str">
        <f>IFERROR(INDEX(#REF!,MATCH('HIDDEN_APS Part Numbers'!$A109,PART_NUMBER_GENERATOR_TABLE[[ROW]:[ROW]],0),1),"")</f>
        <v/>
      </c>
    </row>
    <row r="108" spans="2:9">
      <c r="B108" t="str">
        <f>IFERROR(INDEX(PART_NUMBER_GENERATOR_TABLE[Manufacturer Part Number],MATCH('HIDDEN_APS Part Numbers'!$A110,PART_NUMBER_GENERATOR_TABLE[[ROW]:[ROW]],0),1),"")</f>
        <v/>
      </c>
      <c r="C108" t="str">
        <f>IFERROR(INDEX(PART_NUMBER_GENERATOR_TABLE[Quantity],MATCH('HIDDEN_APS Part Numbers'!$A110,PART_NUMBER_GENERATOR_TABLE[[ROW]:[ROW]],0),1),"")</f>
        <v/>
      </c>
      <c r="D108" s="465" t="str">
        <f>IFERROR(INDEX(PART_NUMBER_GENERATOR_TABLE[Cost],MATCH('HIDDEN_APS Part Numbers'!$A110,PART_NUMBER_GENERATOR_TABLE[[ROW]:[ROW]],0),1),"")</f>
        <v/>
      </c>
      <c r="E108" s="465" t="str">
        <f>IFERROR(INDEX(PART_NUMBER_GENERATOR_TABLE[Suggested Price],MATCH('HIDDEN_APS Part Numbers'!$A110,PART_NUMBER_GENERATOR_TABLE[[ROW]:[ROW]],0),1),"")</f>
        <v/>
      </c>
      <c r="F108" s="465" t="str">
        <f t="shared" si="1"/>
        <v/>
      </c>
      <c r="G108" s="465" t="str">
        <f>IFERROR(INDEX(#REF!,MATCH('HIDDEN_APS Part Numbers'!$A110,PART_NUMBER_GENERATOR_TABLE[[ROW]:[ROW]],0),1),"")</f>
        <v/>
      </c>
      <c r="H108" s="465" t="str">
        <f>IFERROR(INDEX(#REF!,MATCH('HIDDEN_APS Part Numbers'!$A110,PART_NUMBER_GENERATOR_TABLE[[ROW]:[ROW]],0),1),"")</f>
        <v/>
      </c>
      <c r="I108" s="465" t="str">
        <f>IFERROR(INDEX(#REF!,MATCH('HIDDEN_APS Part Numbers'!$A110,PART_NUMBER_GENERATOR_TABLE[[ROW]:[ROW]],0),1),"")</f>
        <v/>
      </c>
    </row>
    <row r="109" spans="2:9">
      <c r="B109" t="str">
        <f>IFERROR(INDEX(PART_NUMBER_GENERATOR_TABLE[Manufacturer Part Number],MATCH('HIDDEN_APS Part Numbers'!$A111,PART_NUMBER_GENERATOR_TABLE[[ROW]:[ROW]],0),1),"")</f>
        <v/>
      </c>
      <c r="C109" t="str">
        <f>IFERROR(INDEX(PART_NUMBER_GENERATOR_TABLE[Quantity],MATCH('HIDDEN_APS Part Numbers'!$A111,PART_NUMBER_GENERATOR_TABLE[[ROW]:[ROW]],0),1),"")</f>
        <v/>
      </c>
      <c r="D109" s="465" t="str">
        <f>IFERROR(INDEX(PART_NUMBER_GENERATOR_TABLE[Cost],MATCH('HIDDEN_APS Part Numbers'!$A111,PART_NUMBER_GENERATOR_TABLE[[ROW]:[ROW]],0),1),"")</f>
        <v/>
      </c>
      <c r="E109" s="465" t="str">
        <f>IFERROR(INDEX(PART_NUMBER_GENERATOR_TABLE[Suggested Price],MATCH('HIDDEN_APS Part Numbers'!$A111,PART_NUMBER_GENERATOR_TABLE[[ROW]:[ROW]],0),1),"")</f>
        <v/>
      </c>
      <c r="F109" s="465" t="str">
        <f t="shared" si="1"/>
        <v/>
      </c>
      <c r="G109" s="465" t="str">
        <f>IFERROR(INDEX(#REF!,MATCH('HIDDEN_APS Part Numbers'!$A111,PART_NUMBER_GENERATOR_TABLE[[ROW]:[ROW]],0),1),"")</f>
        <v/>
      </c>
      <c r="H109" s="465" t="str">
        <f>IFERROR(INDEX(#REF!,MATCH('HIDDEN_APS Part Numbers'!$A111,PART_NUMBER_GENERATOR_TABLE[[ROW]:[ROW]],0),1),"")</f>
        <v/>
      </c>
      <c r="I109" s="465" t="str">
        <f>IFERROR(INDEX(#REF!,MATCH('HIDDEN_APS Part Numbers'!$A111,PART_NUMBER_GENERATOR_TABLE[[ROW]:[ROW]],0),1),"")</f>
        <v/>
      </c>
    </row>
    <row r="110" spans="2:9">
      <c r="B110" t="str">
        <f>IFERROR(INDEX(PART_NUMBER_GENERATOR_TABLE[Manufacturer Part Number],MATCH('HIDDEN_APS Part Numbers'!$A112,PART_NUMBER_GENERATOR_TABLE[[ROW]:[ROW]],0),1),"")</f>
        <v/>
      </c>
      <c r="C110" t="str">
        <f>IFERROR(INDEX(PART_NUMBER_GENERATOR_TABLE[Quantity],MATCH('HIDDEN_APS Part Numbers'!$A112,PART_NUMBER_GENERATOR_TABLE[[ROW]:[ROW]],0),1),"")</f>
        <v/>
      </c>
      <c r="D110" s="465" t="str">
        <f>IFERROR(INDEX(PART_NUMBER_GENERATOR_TABLE[Cost],MATCH('HIDDEN_APS Part Numbers'!$A112,PART_NUMBER_GENERATOR_TABLE[[ROW]:[ROW]],0),1),"")</f>
        <v/>
      </c>
      <c r="E110" s="465" t="str">
        <f>IFERROR(INDEX(PART_NUMBER_GENERATOR_TABLE[Suggested Price],MATCH('HIDDEN_APS Part Numbers'!$A112,PART_NUMBER_GENERATOR_TABLE[[ROW]:[ROW]],0),1),"")</f>
        <v/>
      </c>
      <c r="F110" s="465" t="str">
        <f t="shared" si="1"/>
        <v/>
      </c>
      <c r="G110" s="465" t="str">
        <f>IFERROR(INDEX(#REF!,MATCH('HIDDEN_APS Part Numbers'!$A112,PART_NUMBER_GENERATOR_TABLE[[ROW]:[ROW]],0),1),"")</f>
        <v/>
      </c>
      <c r="H110" s="465" t="str">
        <f>IFERROR(INDEX(#REF!,MATCH('HIDDEN_APS Part Numbers'!$A112,PART_NUMBER_GENERATOR_TABLE[[ROW]:[ROW]],0),1),"")</f>
        <v/>
      </c>
      <c r="I110" s="465" t="str">
        <f>IFERROR(INDEX(#REF!,MATCH('HIDDEN_APS Part Numbers'!$A112,PART_NUMBER_GENERATOR_TABLE[[ROW]:[ROW]],0),1),"")</f>
        <v/>
      </c>
    </row>
    <row r="111" spans="2:9">
      <c r="B111" t="str">
        <f>IFERROR(INDEX(PART_NUMBER_GENERATOR_TABLE[Manufacturer Part Number],MATCH('HIDDEN_APS Part Numbers'!$A113,PART_NUMBER_GENERATOR_TABLE[[ROW]:[ROW]],0),1),"")</f>
        <v/>
      </c>
      <c r="C111" t="str">
        <f>IFERROR(INDEX(PART_NUMBER_GENERATOR_TABLE[Quantity],MATCH('HIDDEN_APS Part Numbers'!$A113,PART_NUMBER_GENERATOR_TABLE[[ROW]:[ROW]],0),1),"")</f>
        <v/>
      </c>
      <c r="D111" s="465" t="str">
        <f>IFERROR(INDEX(PART_NUMBER_GENERATOR_TABLE[Cost],MATCH('HIDDEN_APS Part Numbers'!$A113,PART_NUMBER_GENERATOR_TABLE[[ROW]:[ROW]],0),1),"")</f>
        <v/>
      </c>
      <c r="E111" s="465" t="str">
        <f>IFERROR(INDEX(PART_NUMBER_GENERATOR_TABLE[Suggested Price],MATCH('HIDDEN_APS Part Numbers'!$A113,PART_NUMBER_GENERATOR_TABLE[[ROW]:[ROW]],0),1),"")</f>
        <v/>
      </c>
      <c r="F111" s="465" t="str">
        <f t="shared" si="1"/>
        <v/>
      </c>
      <c r="G111" s="465" t="str">
        <f>IFERROR(INDEX(#REF!,MATCH('HIDDEN_APS Part Numbers'!$A113,PART_NUMBER_GENERATOR_TABLE[[ROW]:[ROW]],0),1),"")</f>
        <v/>
      </c>
      <c r="H111" s="465" t="str">
        <f>IFERROR(INDEX(#REF!,MATCH('HIDDEN_APS Part Numbers'!$A113,PART_NUMBER_GENERATOR_TABLE[[ROW]:[ROW]],0),1),"")</f>
        <v/>
      </c>
      <c r="I111" s="465" t="str">
        <f>IFERROR(INDEX(#REF!,MATCH('HIDDEN_APS Part Numbers'!$A113,PART_NUMBER_GENERATOR_TABLE[[ROW]:[ROW]],0),1),"")</f>
        <v/>
      </c>
    </row>
    <row r="112" spans="2:9">
      <c r="B112" t="str">
        <f>IFERROR(INDEX(PART_NUMBER_GENERATOR_TABLE[Manufacturer Part Number],MATCH('HIDDEN_APS Part Numbers'!$A114,PART_NUMBER_GENERATOR_TABLE[[ROW]:[ROW]],0),1),"")</f>
        <v/>
      </c>
      <c r="C112" t="str">
        <f>IFERROR(INDEX(PART_NUMBER_GENERATOR_TABLE[Quantity],MATCH('HIDDEN_APS Part Numbers'!$A114,PART_NUMBER_GENERATOR_TABLE[[ROW]:[ROW]],0),1),"")</f>
        <v/>
      </c>
      <c r="D112" s="465" t="str">
        <f>IFERROR(INDEX(PART_NUMBER_GENERATOR_TABLE[Cost],MATCH('HIDDEN_APS Part Numbers'!$A114,PART_NUMBER_GENERATOR_TABLE[[ROW]:[ROW]],0),1),"")</f>
        <v/>
      </c>
      <c r="E112" s="465" t="str">
        <f>IFERROR(INDEX(PART_NUMBER_GENERATOR_TABLE[Suggested Price],MATCH('HIDDEN_APS Part Numbers'!$A114,PART_NUMBER_GENERATOR_TABLE[[ROW]:[ROW]],0),1),"")</f>
        <v/>
      </c>
      <c r="F112" s="465" t="str">
        <f t="shared" si="1"/>
        <v/>
      </c>
      <c r="G112" s="465" t="str">
        <f>IFERROR(INDEX(#REF!,MATCH('HIDDEN_APS Part Numbers'!$A114,PART_NUMBER_GENERATOR_TABLE[[ROW]:[ROW]],0),1),"")</f>
        <v/>
      </c>
      <c r="H112" s="465" t="str">
        <f>IFERROR(INDEX(#REF!,MATCH('HIDDEN_APS Part Numbers'!$A114,PART_NUMBER_GENERATOR_TABLE[[ROW]:[ROW]],0),1),"")</f>
        <v/>
      </c>
      <c r="I112" s="465" t="str">
        <f>IFERROR(INDEX(#REF!,MATCH('HIDDEN_APS Part Numbers'!$A114,PART_NUMBER_GENERATOR_TABLE[[ROW]:[ROW]],0),1),"")</f>
        <v/>
      </c>
    </row>
    <row r="113" spans="2:9">
      <c r="B113" t="str">
        <f>IFERROR(INDEX(PART_NUMBER_GENERATOR_TABLE[Manufacturer Part Number],MATCH('HIDDEN_APS Part Numbers'!$A115,PART_NUMBER_GENERATOR_TABLE[[ROW]:[ROW]],0),1),"")</f>
        <v/>
      </c>
      <c r="C113" t="str">
        <f>IFERROR(INDEX(PART_NUMBER_GENERATOR_TABLE[Quantity],MATCH('HIDDEN_APS Part Numbers'!$A115,PART_NUMBER_GENERATOR_TABLE[[ROW]:[ROW]],0),1),"")</f>
        <v/>
      </c>
      <c r="D113" s="465" t="str">
        <f>IFERROR(INDEX(PART_NUMBER_GENERATOR_TABLE[Cost],MATCH('HIDDEN_APS Part Numbers'!$A115,PART_NUMBER_GENERATOR_TABLE[[ROW]:[ROW]],0),1),"")</f>
        <v/>
      </c>
      <c r="E113" s="465" t="str">
        <f>IFERROR(INDEX(PART_NUMBER_GENERATOR_TABLE[Suggested Price],MATCH('HIDDEN_APS Part Numbers'!$A115,PART_NUMBER_GENERATOR_TABLE[[ROW]:[ROW]],0),1),"")</f>
        <v/>
      </c>
      <c r="F113" s="465" t="str">
        <f t="shared" si="1"/>
        <v/>
      </c>
      <c r="G113" s="465" t="str">
        <f>IFERROR(INDEX(#REF!,MATCH('HIDDEN_APS Part Numbers'!$A115,PART_NUMBER_GENERATOR_TABLE[[ROW]:[ROW]],0),1),"")</f>
        <v/>
      </c>
      <c r="H113" s="465" t="str">
        <f>IFERROR(INDEX(#REF!,MATCH('HIDDEN_APS Part Numbers'!$A115,PART_NUMBER_GENERATOR_TABLE[[ROW]:[ROW]],0),1),"")</f>
        <v/>
      </c>
      <c r="I113" s="465" t="str">
        <f>IFERROR(INDEX(#REF!,MATCH('HIDDEN_APS Part Numbers'!$A115,PART_NUMBER_GENERATOR_TABLE[[ROW]:[ROW]],0),1),"")</f>
        <v/>
      </c>
    </row>
    <row r="114" spans="2:9">
      <c r="B114" t="str">
        <f>IFERROR(INDEX(PART_NUMBER_GENERATOR_TABLE[Manufacturer Part Number],MATCH('HIDDEN_APS Part Numbers'!$A116,PART_NUMBER_GENERATOR_TABLE[[ROW]:[ROW]],0),1),"")</f>
        <v/>
      </c>
      <c r="C114" t="str">
        <f>IFERROR(INDEX(PART_NUMBER_GENERATOR_TABLE[Quantity],MATCH('HIDDEN_APS Part Numbers'!$A116,PART_NUMBER_GENERATOR_TABLE[[ROW]:[ROW]],0),1),"")</f>
        <v/>
      </c>
      <c r="D114" s="465" t="str">
        <f>IFERROR(INDEX(PART_NUMBER_GENERATOR_TABLE[Cost],MATCH('HIDDEN_APS Part Numbers'!$A116,PART_NUMBER_GENERATOR_TABLE[[ROW]:[ROW]],0),1),"")</f>
        <v/>
      </c>
      <c r="E114" s="465" t="str">
        <f>IFERROR(INDEX(PART_NUMBER_GENERATOR_TABLE[Suggested Price],MATCH('HIDDEN_APS Part Numbers'!$A116,PART_NUMBER_GENERATOR_TABLE[[ROW]:[ROW]],0),1),"")</f>
        <v/>
      </c>
      <c r="F114" s="465" t="str">
        <f t="shared" si="1"/>
        <v/>
      </c>
      <c r="G114" s="465" t="str">
        <f>IFERROR(INDEX(#REF!,MATCH('HIDDEN_APS Part Numbers'!$A116,PART_NUMBER_GENERATOR_TABLE[[ROW]:[ROW]],0),1),"")</f>
        <v/>
      </c>
      <c r="H114" s="465" t="str">
        <f>IFERROR(INDEX(#REF!,MATCH('HIDDEN_APS Part Numbers'!$A116,PART_NUMBER_GENERATOR_TABLE[[ROW]:[ROW]],0),1),"")</f>
        <v/>
      </c>
      <c r="I114" s="465" t="str">
        <f>IFERROR(INDEX(#REF!,MATCH('HIDDEN_APS Part Numbers'!$A116,PART_NUMBER_GENERATOR_TABLE[[ROW]:[ROW]],0),1),"")</f>
        <v/>
      </c>
    </row>
    <row r="115" spans="2:9">
      <c r="B115" t="str">
        <f>IFERROR(INDEX(PART_NUMBER_GENERATOR_TABLE[Manufacturer Part Number],MATCH('HIDDEN_APS Part Numbers'!$A117,PART_NUMBER_GENERATOR_TABLE[[ROW]:[ROW]],0),1),"")</f>
        <v/>
      </c>
      <c r="C115" t="str">
        <f>IFERROR(INDEX(PART_NUMBER_GENERATOR_TABLE[Quantity],MATCH('HIDDEN_APS Part Numbers'!$A117,PART_NUMBER_GENERATOR_TABLE[[ROW]:[ROW]],0),1),"")</f>
        <v/>
      </c>
      <c r="D115" s="465" t="str">
        <f>IFERROR(INDEX(PART_NUMBER_GENERATOR_TABLE[Cost],MATCH('HIDDEN_APS Part Numbers'!$A117,PART_NUMBER_GENERATOR_TABLE[[ROW]:[ROW]],0),1),"")</f>
        <v/>
      </c>
      <c r="E115" s="465" t="str">
        <f>IFERROR(INDEX(PART_NUMBER_GENERATOR_TABLE[Suggested Price],MATCH('HIDDEN_APS Part Numbers'!$A117,PART_NUMBER_GENERATOR_TABLE[[ROW]:[ROW]],0),1),"")</f>
        <v/>
      </c>
      <c r="F115" s="465" t="str">
        <f t="shared" si="1"/>
        <v/>
      </c>
      <c r="G115" s="465" t="str">
        <f>IFERROR(INDEX(#REF!,MATCH('HIDDEN_APS Part Numbers'!$A117,PART_NUMBER_GENERATOR_TABLE[[ROW]:[ROW]],0),1),"")</f>
        <v/>
      </c>
      <c r="H115" s="465" t="str">
        <f>IFERROR(INDEX(#REF!,MATCH('HIDDEN_APS Part Numbers'!$A117,PART_NUMBER_GENERATOR_TABLE[[ROW]:[ROW]],0),1),"")</f>
        <v/>
      </c>
      <c r="I115" s="465" t="str">
        <f>IFERROR(INDEX(#REF!,MATCH('HIDDEN_APS Part Numbers'!$A117,PART_NUMBER_GENERATOR_TABLE[[ROW]:[ROW]],0),1),"")</f>
        <v/>
      </c>
    </row>
    <row r="116" spans="2:9">
      <c r="B116" t="str">
        <f>IFERROR(INDEX(PART_NUMBER_GENERATOR_TABLE[Manufacturer Part Number],MATCH('HIDDEN_APS Part Numbers'!$A118,PART_NUMBER_GENERATOR_TABLE[[ROW]:[ROW]],0),1),"")</f>
        <v/>
      </c>
      <c r="C116" t="str">
        <f>IFERROR(INDEX(PART_NUMBER_GENERATOR_TABLE[Quantity],MATCH('HIDDEN_APS Part Numbers'!$A118,PART_NUMBER_GENERATOR_TABLE[[ROW]:[ROW]],0),1),"")</f>
        <v/>
      </c>
      <c r="D116" s="465" t="str">
        <f>IFERROR(INDEX(PART_NUMBER_GENERATOR_TABLE[Cost],MATCH('HIDDEN_APS Part Numbers'!$A118,PART_NUMBER_GENERATOR_TABLE[[ROW]:[ROW]],0),1),"")</f>
        <v/>
      </c>
      <c r="E116" s="465" t="str">
        <f>IFERROR(INDEX(PART_NUMBER_GENERATOR_TABLE[Suggested Price],MATCH('HIDDEN_APS Part Numbers'!$A118,PART_NUMBER_GENERATOR_TABLE[[ROW]:[ROW]],0),1),"")</f>
        <v/>
      </c>
      <c r="F116" s="465" t="str">
        <f t="shared" si="1"/>
        <v/>
      </c>
      <c r="G116" s="465" t="str">
        <f>IFERROR(INDEX(#REF!,MATCH('HIDDEN_APS Part Numbers'!$A118,PART_NUMBER_GENERATOR_TABLE[[ROW]:[ROW]],0),1),"")</f>
        <v/>
      </c>
      <c r="H116" s="465" t="str">
        <f>IFERROR(INDEX(#REF!,MATCH('HIDDEN_APS Part Numbers'!$A118,PART_NUMBER_GENERATOR_TABLE[[ROW]:[ROW]],0),1),"")</f>
        <v/>
      </c>
      <c r="I116" s="465" t="str">
        <f>IFERROR(INDEX(#REF!,MATCH('HIDDEN_APS Part Numbers'!$A118,PART_NUMBER_GENERATOR_TABLE[[ROW]:[ROW]],0),1),"")</f>
        <v/>
      </c>
    </row>
    <row r="117" spans="2:9">
      <c r="B117" t="str">
        <f>IFERROR(INDEX(PART_NUMBER_GENERATOR_TABLE[Manufacturer Part Number],MATCH('HIDDEN_APS Part Numbers'!$A119,PART_NUMBER_GENERATOR_TABLE[[ROW]:[ROW]],0),1),"")</f>
        <v/>
      </c>
      <c r="C117" t="str">
        <f>IFERROR(INDEX(PART_NUMBER_GENERATOR_TABLE[Quantity],MATCH('HIDDEN_APS Part Numbers'!$A119,PART_NUMBER_GENERATOR_TABLE[[ROW]:[ROW]],0),1),"")</f>
        <v/>
      </c>
      <c r="D117" s="465" t="str">
        <f>IFERROR(INDEX(PART_NUMBER_GENERATOR_TABLE[Cost],MATCH('HIDDEN_APS Part Numbers'!$A119,PART_NUMBER_GENERATOR_TABLE[[ROW]:[ROW]],0),1),"")</f>
        <v/>
      </c>
      <c r="E117" s="465" t="str">
        <f>IFERROR(INDEX(PART_NUMBER_GENERATOR_TABLE[Suggested Price],MATCH('HIDDEN_APS Part Numbers'!$A119,PART_NUMBER_GENERATOR_TABLE[[ROW]:[ROW]],0),1),"")</f>
        <v/>
      </c>
      <c r="F117" s="465" t="str">
        <f t="shared" si="1"/>
        <v/>
      </c>
      <c r="G117" s="465" t="str">
        <f>IFERROR(INDEX(#REF!,MATCH('HIDDEN_APS Part Numbers'!$A119,PART_NUMBER_GENERATOR_TABLE[[ROW]:[ROW]],0),1),"")</f>
        <v/>
      </c>
      <c r="H117" s="465" t="str">
        <f>IFERROR(INDEX(#REF!,MATCH('HIDDEN_APS Part Numbers'!$A119,PART_NUMBER_GENERATOR_TABLE[[ROW]:[ROW]],0),1),"")</f>
        <v/>
      </c>
      <c r="I117" s="465" t="str">
        <f>IFERROR(INDEX(#REF!,MATCH('HIDDEN_APS Part Numbers'!$A119,PART_NUMBER_GENERATOR_TABLE[[ROW]:[ROW]],0),1),"")</f>
        <v/>
      </c>
    </row>
    <row r="118" spans="2:9">
      <c r="B118" t="str">
        <f>IFERROR(INDEX(PART_NUMBER_GENERATOR_TABLE[Manufacturer Part Number],MATCH('HIDDEN_APS Part Numbers'!$A120,PART_NUMBER_GENERATOR_TABLE[[ROW]:[ROW]],0),1),"")</f>
        <v/>
      </c>
      <c r="C118" t="str">
        <f>IFERROR(INDEX(PART_NUMBER_GENERATOR_TABLE[Quantity],MATCH('HIDDEN_APS Part Numbers'!$A120,PART_NUMBER_GENERATOR_TABLE[[ROW]:[ROW]],0),1),"")</f>
        <v/>
      </c>
      <c r="D118" s="465" t="str">
        <f>IFERROR(INDEX(PART_NUMBER_GENERATOR_TABLE[Cost],MATCH('HIDDEN_APS Part Numbers'!$A120,PART_NUMBER_GENERATOR_TABLE[[ROW]:[ROW]],0),1),"")</f>
        <v/>
      </c>
      <c r="E118" s="465" t="str">
        <f>IFERROR(INDEX(PART_NUMBER_GENERATOR_TABLE[Suggested Price],MATCH('HIDDEN_APS Part Numbers'!$A120,PART_NUMBER_GENERATOR_TABLE[[ROW]:[ROW]],0),1),"")</f>
        <v/>
      </c>
      <c r="F118" s="465" t="str">
        <f t="shared" si="1"/>
        <v/>
      </c>
      <c r="G118" s="465" t="str">
        <f>IFERROR(INDEX(#REF!,MATCH('HIDDEN_APS Part Numbers'!$A120,PART_NUMBER_GENERATOR_TABLE[[ROW]:[ROW]],0),1),"")</f>
        <v/>
      </c>
      <c r="H118" s="465" t="str">
        <f>IFERROR(INDEX(#REF!,MATCH('HIDDEN_APS Part Numbers'!$A120,PART_NUMBER_GENERATOR_TABLE[[ROW]:[ROW]],0),1),"")</f>
        <v/>
      </c>
      <c r="I118" s="465" t="str">
        <f>IFERROR(INDEX(#REF!,MATCH('HIDDEN_APS Part Numbers'!$A120,PART_NUMBER_GENERATOR_TABLE[[ROW]:[ROW]],0),1),"")</f>
        <v/>
      </c>
    </row>
    <row r="119" spans="2:9">
      <c r="B119" t="str">
        <f>IFERROR(INDEX(PART_NUMBER_GENERATOR_TABLE[Manufacturer Part Number],MATCH('HIDDEN_APS Part Numbers'!$A121,PART_NUMBER_GENERATOR_TABLE[[ROW]:[ROW]],0),1),"")</f>
        <v/>
      </c>
      <c r="C119" t="str">
        <f>IFERROR(INDEX(PART_NUMBER_GENERATOR_TABLE[Quantity],MATCH('HIDDEN_APS Part Numbers'!$A121,PART_NUMBER_GENERATOR_TABLE[[ROW]:[ROW]],0),1),"")</f>
        <v/>
      </c>
      <c r="D119" s="465" t="str">
        <f>IFERROR(INDEX(PART_NUMBER_GENERATOR_TABLE[Cost],MATCH('HIDDEN_APS Part Numbers'!$A121,PART_NUMBER_GENERATOR_TABLE[[ROW]:[ROW]],0),1),"")</f>
        <v/>
      </c>
      <c r="E119" s="465" t="str">
        <f>IFERROR(INDEX(PART_NUMBER_GENERATOR_TABLE[Suggested Price],MATCH('HIDDEN_APS Part Numbers'!$A121,PART_NUMBER_GENERATOR_TABLE[[ROW]:[ROW]],0),1),"")</f>
        <v/>
      </c>
      <c r="F119" s="465" t="str">
        <f t="shared" si="1"/>
        <v/>
      </c>
      <c r="G119" s="465" t="str">
        <f>IFERROR(INDEX(#REF!,MATCH('HIDDEN_APS Part Numbers'!$A121,PART_NUMBER_GENERATOR_TABLE[[ROW]:[ROW]],0),1),"")</f>
        <v/>
      </c>
      <c r="H119" s="465" t="str">
        <f>IFERROR(INDEX(#REF!,MATCH('HIDDEN_APS Part Numbers'!$A121,PART_NUMBER_GENERATOR_TABLE[[ROW]:[ROW]],0),1),"")</f>
        <v/>
      </c>
      <c r="I119" s="465" t="str">
        <f>IFERROR(INDEX(#REF!,MATCH('HIDDEN_APS Part Numbers'!$A121,PART_NUMBER_GENERATOR_TABLE[[ROW]:[ROW]],0),1),"")</f>
        <v/>
      </c>
    </row>
    <row r="120" spans="2:9">
      <c r="B120" t="str">
        <f>IFERROR(INDEX(PART_NUMBER_GENERATOR_TABLE[Manufacturer Part Number],MATCH('HIDDEN_APS Part Numbers'!$A122,PART_NUMBER_GENERATOR_TABLE[[ROW]:[ROW]],0),1),"")</f>
        <v/>
      </c>
      <c r="C120" t="str">
        <f>IFERROR(INDEX(PART_NUMBER_GENERATOR_TABLE[Quantity],MATCH('HIDDEN_APS Part Numbers'!$A122,PART_NUMBER_GENERATOR_TABLE[[ROW]:[ROW]],0),1),"")</f>
        <v/>
      </c>
      <c r="D120" s="465" t="str">
        <f>IFERROR(INDEX(PART_NUMBER_GENERATOR_TABLE[Cost],MATCH('HIDDEN_APS Part Numbers'!$A122,PART_NUMBER_GENERATOR_TABLE[[ROW]:[ROW]],0),1),"")</f>
        <v/>
      </c>
      <c r="E120" s="465" t="str">
        <f>IFERROR(INDEX(PART_NUMBER_GENERATOR_TABLE[Suggested Price],MATCH('HIDDEN_APS Part Numbers'!$A122,PART_NUMBER_GENERATOR_TABLE[[ROW]:[ROW]],0),1),"")</f>
        <v/>
      </c>
      <c r="F120" s="465" t="str">
        <f t="shared" si="1"/>
        <v/>
      </c>
      <c r="G120" s="465" t="str">
        <f>IFERROR(INDEX(#REF!,MATCH('HIDDEN_APS Part Numbers'!$A122,PART_NUMBER_GENERATOR_TABLE[[ROW]:[ROW]],0),1),"")</f>
        <v/>
      </c>
      <c r="H120" s="465" t="str">
        <f>IFERROR(INDEX(#REF!,MATCH('HIDDEN_APS Part Numbers'!$A122,PART_NUMBER_GENERATOR_TABLE[[ROW]:[ROW]],0),1),"")</f>
        <v/>
      </c>
      <c r="I120" s="465" t="str">
        <f>IFERROR(INDEX(#REF!,MATCH('HIDDEN_APS Part Numbers'!$A122,PART_NUMBER_GENERATOR_TABLE[[ROW]:[ROW]],0),1),"")</f>
        <v/>
      </c>
    </row>
    <row r="121" spans="2:9">
      <c r="B121" t="str">
        <f>IFERROR(INDEX(PART_NUMBER_GENERATOR_TABLE[Manufacturer Part Number],MATCH('HIDDEN_APS Part Numbers'!$A123,PART_NUMBER_GENERATOR_TABLE[[ROW]:[ROW]],0),1),"")</f>
        <v/>
      </c>
      <c r="C121" t="str">
        <f>IFERROR(INDEX(PART_NUMBER_GENERATOR_TABLE[Quantity],MATCH('HIDDEN_APS Part Numbers'!$A123,PART_NUMBER_GENERATOR_TABLE[[ROW]:[ROW]],0),1),"")</f>
        <v/>
      </c>
      <c r="D121" s="465" t="str">
        <f>IFERROR(INDEX(PART_NUMBER_GENERATOR_TABLE[Cost],MATCH('HIDDEN_APS Part Numbers'!$A123,PART_NUMBER_GENERATOR_TABLE[[ROW]:[ROW]],0),1),"")</f>
        <v/>
      </c>
      <c r="E121" s="465" t="str">
        <f>IFERROR(INDEX(PART_NUMBER_GENERATOR_TABLE[Suggested Price],MATCH('HIDDEN_APS Part Numbers'!$A123,PART_NUMBER_GENERATOR_TABLE[[ROW]:[ROW]],0),1),"")</f>
        <v/>
      </c>
      <c r="F121" s="465" t="str">
        <f t="shared" si="1"/>
        <v/>
      </c>
      <c r="G121" s="465" t="str">
        <f>IFERROR(INDEX(#REF!,MATCH('HIDDEN_APS Part Numbers'!$A123,PART_NUMBER_GENERATOR_TABLE[[ROW]:[ROW]],0),1),"")</f>
        <v/>
      </c>
      <c r="H121" s="465" t="str">
        <f>IFERROR(INDEX(#REF!,MATCH('HIDDEN_APS Part Numbers'!$A123,PART_NUMBER_GENERATOR_TABLE[[ROW]:[ROW]],0),1),"")</f>
        <v/>
      </c>
      <c r="I121" s="465" t="str">
        <f>IFERROR(INDEX(#REF!,MATCH('HIDDEN_APS Part Numbers'!$A123,PART_NUMBER_GENERATOR_TABLE[[ROW]:[ROW]],0),1),"")</f>
        <v/>
      </c>
    </row>
    <row r="122" spans="2:9">
      <c r="B122" t="str">
        <f>IFERROR(INDEX(PART_NUMBER_GENERATOR_TABLE[Manufacturer Part Number],MATCH('HIDDEN_APS Part Numbers'!$A124,PART_NUMBER_GENERATOR_TABLE[[ROW]:[ROW]],0),1),"")</f>
        <v/>
      </c>
      <c r="C122" t="str">
        <f>IFERROR(INDEX(PART_NUMBER_GENERATOR_TABLE[Quantity],MATCH('HIDDEN_APS Part Numbers'!$A124,PART_NUMBER_GENERATOR_TABLE[[ROW]:[ROW]],0),1),"")</f>
        <v/>
      </c>
      <c r="D122" s="465" t="str">
        <f>IFERROR(INDEX(PART_NUMBER_GENERATOR_TABLE[Cost],MATCH('HIDDEN_APS Part Numbers'!$A124,PART_NUMBER_GENERATOR_TABLE[[ROW]:[ROW]],0),1),"")</f>
        <v/>
      </c>
      <c r="E122" s="465" t="str">
        <f>IFERROR(INDEX(PART_NUMBER_GENERATOR_TABLE[Suggested Price],MATCH('HIDDEN_APS Part Numbers'!$A124,PART_NUMBER_GENERATOR_TABLE[[ROW]:[ROW]],0),1),"")</f>
        <v/>
      </c>
      <c r="F122" s="465" t="str">
        <f t="shared" si="1"/>
        <v/>
      </c>
      <c r="G122" s="465" t="str">
        <f>IFERROR(INDEX(#REF!,MATCH('HIDDEN_APS Part Numbers'!$A124,PART_NUMBER_GENERATOR_TABLE[[ROW]:[ROW]],0),1),"")</f>
        <v/>
      </c>
      <c r="H122" s="465" t="str">
        <f>IFERROR(INDEX(#REF!,MATCH('HIDDEN_APS Part Numbers'!$A124,PART_NUMBER_GENERATOR_TABLE[[ROW]:[ROW]],0),1),"")</f>
        <v/>
      </c>
      <c r="I122" s="465" t="str">
        <f>IFERROR(INDEX(#REF!,MATCH('HIDDEN_APS Part Numbers'!$A124,PART_NUMBER_GENERATOR_TABLE[[ROW]:[ROW]],0),1),"")</f>
        <v/>
      </c>
    </row>
    <row r="123" spans="2:9">
      <c r="B123" t="str">
        <f>IFERROR(INDEX(PART_NUMBER_GENERATOR_TABLE[Manufacturer Part Number],MATCH('HIDDEN_APS Part Numbers'!$A125,PART_NUMBER_GENERATOR_TABLE[[ROW]:[ROW]],0),1),"")</f>
        <v/>
      </c>
      <c r="C123" t="str">
        <f>IFERROR(INDEX(PART_NUMBER_GENERATOR_TABLE[Quantity],MATCH('HIDDEN_APS Part Numbers'!$A125,PART_NUMBER_GENERATOR_TABLE[[ROW]:[ROW]],0),1),"")</f>
        <v/>
      </c>
      <c r="D123" s="465" t="str">
        <f>IFERROR(INDEX(PART_NUMBER_GENERATOR_TABLE[Cost],MATCH('HIDDEN_APS Part Numbers'!$A125,PART_NUMBER_GENERATOR_TABLE[[ROW]:[ROW]],0),1),"")</f>
        <v/>
      </c>
      <c r="E123" s="465" t="str">
        <f>IFERROR(INDEX(PART_NUMBER_GENERATOR_TABLE[Suggested Price],MATCH('HIDDEN_APS Part Numbers'!$A125,PART_NUMBER_GENERATOR_TABLE[[ROW]:[ROW]],0),1),"")</f>
        <v/>
      </c>
      <c r="F123" s="465" t="str">
        <f t="shared" si="1"/>
        <v/>
      </c>
      <c r="G123" s="465" t="str">
        <f>IFERROR(INDEX(#REF!,MATCH('HIDDEN_APS Part Numbers'!$A125,PART_NUMBER_GENERATOR_TABLE[[ROW]:[ROW]],0),1),"")</f>
        <v/>
      </c>
      <c r="H123" s="465" t="str">
        <f>IFERROR(INDEX(#REF!,MATCH('HIDDEN_APS Part Numbers'!$A125,PART_NUMBER_GENERATOR_TABLE[[ROW]:[ROW]],0),1),"")</f>
        <v/>
      </c>
      <c r="I123" s="465" t="str">
        <f>IFERROR(INDEX(#REF!,MATCH('HIDDEN_APS Part Numbers'!$A125,PART_NUMBER_GENERATOR_TABLE[[ROW]:[ROW]],0),1),"")</f>
        <v/>
      </c>
    </row>
    <row r="124" spans="2:9">
      <c r="B124" t="str">
        <f>IFERROR(INDEX(PART_NUMBER_GENERATOR_TABLE[Manufacturer Part Number],MATCH('HIDDEN_APS Part Numbers'!$A126,PART_NUMBER_GENERATOR_TABLE[[ROW]:[ROW]],0),1),"")</f>
        <v/>
      </c>
      <c r="C124" t="str">
        <f>IFERROR(INDEX(PART_NUMBER_GENERATOR_TABLE[Quantity],MATCH('HIDDEN_APS Part Numbers'!$A126,PART_NUMBER_GENERATOR_TABLE[[ROW]:[ROW]],0),1),"")</f>
        <v/>
      </c>
      <c r="D124" s="465" t="str">
        <f>IFERROR(INDEX(PART_NUMBER_GENERATOR_TABLE[Cost],MATCH('HIDDEN_APS Part Numbers'!$A126,PART_NUMBER_GENERATOR_TABLE[[ROW]:[ROW]],0),1),"")</f>
        <v/>
      </c>
      <c r="E124" s="465" t="str">
        <f>IFERROR(INDEX(PART_NUMBER_GENERATOR_TABLE[Suggested Price],MATCH('HIDDEN_APS Part Numbers'!$A126,PART_NUMBER_GENERATOR_TABLE[[ROW]:[ROW]],0),1),"")</f>
        <v/>
      </c>
      <c r="F124" s="465" t="str">
        <f t="shared" si="1"/>
        <v/>
      </c>
      <c r="G124" s="465" t="str">
        <f>IFERROR(INDEX(#REF!,MATCH('HIDDEN_APS Part Numbers'!$A126,PART_NUMBER_GENERATOR_TABLE[[ROW]:[ROW]],0),1),"")</f>
        <v/>
      </c>
      <c r="H124" s="465" t="str">
        <f>IFERROR(INDEX(#REF!,MATCH('HIDDEN_APS Part Numbers'!$A126,PART_NUMBER_GENERATOR_TABLE[[ROW]:[ROW]],0),1),"")</f>
        <v/>
      </c>
      <c r="I124" s="465" t="str">
        <f>IFERROR(INDEX(#REF!,MATCH('HIDDEN_APS Part Numbers'!$A126,PART_NUMBER_GENERATOR_TABLE[[ROW]:[ROW]],0),1),"")</f>
        <v/>
      </c>
    </row>
    <row r="125" spans="2:9">
      <c r="B125" t="str">
        <f>IFERROR(INDEX(PART_NUMBER_GENERATOR_TABLE[Manufacturer Part Number],MATCH('HIDDEN_APS Part Numbers'!$A127,PART_NUMBER_GENERATOR_TABLE[[ROW]:[ROW]],0),1),"")</f>
        <v/>
      </c>
      <c r="C125" t="str">
        <f>IFERROR(INDEX(PART_NUMBER_GENERATOR_TABLE[Quantity],MATCH('HIDDEN_APS Part Numbers'!$A127,PART_NUMBER_GENERATOR_TABLE[[ROW]:[ROW]],0),1),"")</f>
        <v/>
      </c>
      <c r="D125" s="465" t="str">
        <f>IFERROR(INDEX(PART_NUMBER_GENERATOR_TABLE[Cost],MATCH('HIDDEN_APS Part Numbers'!$A127,PART_NUMBER_GENERATOR_TABLE[[ROW]:[ROW]],0),1),"")</f>
        <v/>
      </c>
      <c r="E125" s="465" t="str">
        <f>IFERROR(INDEX(PART_NUMBER_GENERATOR_TABLE[Suggested Price],MATCH('HIDDEN_APS Part Numbers'!$A127,PART_NUMBER_GENERATOR_TABLE[[ROW]:[ROW]],0),1),"")</f>
        <v/>
      </c>
      <c r="F125" s="465" t="str">
        <f t="shared" si="1"/>
        <v/>
      </c>
      <c r="G125" s="465" t="str">
        <f>IFERROR(INDEX(#REF!,MATCH('HIDDEN_APS Part Numbers'!$A127,PART_NUMBER_GENERATOR_TABLE[[ROW]:[ROW]],0),1),"")</f>
        <v/>
      </c>
      <c r="H125" s="465" t="str">
        <f>IFERROR(INDEX(#REF!,MATCH('HIDDEN_APS Part Numbers'!$A127,PART_NUMBER_GENERATOR_TABLE[[ROW]:[ROW]],0),1),"")</f>
        <v/>
      </c>
      <c r="I125" s="465" t="str">
        <f>IFERROR(INDEX(#REF!,MATCH('HIDDEN_APS Part Numbers'!$A127,PART_NUMBER_GENERATOR_TABLE[[ROW]:[ROW]],0),1),"")</f>
        <v/>
      </c>
    </row>
    <row r="126" spans="2:9">
      <c r="B126" t="str">
        <f>IFERROR(INDEX(PART_NUMBER_GENERATOR_TABLE[Manufacturer Part Number],MATCH('HIDDEN_APS Part Numbers'!$A128,PART_NUMBER_GENERATOR_TABLE[[ROW]:[ROW]],0),1),"")</f>
        <v/>
      </c>
      <c r="C126" t="str">
        <f>IFERROR(INDEX(PART_NUMBER_GENERATOR_TABLE[Quantity],MATCH('HIDDEN_APS Part Numbers'!$A128,PART_NUMBER_GENERATOR_TABLE[[ROW]:[ROW]],0),1),"")</f>
        <v/>
      </c>
      <c r="D126" s="465" t="str">
        <f>IFERROR(INDEX(PART_NUMBER_GENERATOR_TABLE[Cost],MATCH('HIDDEN_APS Part Numbers'!$A128,PART_NUMBER_GENERATOR_TABLE[[ROW]:[ROW]],0),1),"")</f>
        <v/>
      </c>
      <c r="E126" s="465" t="str">
        <f>IFERROR(INDEX(PART_NUMBER_GENERATOR_TABLE[Suggested Price],MATCH('HIDDEN_APS Part Numbers'!$A128,PART_NUMBER_GENERATOR_TABLE[[ROW]:[ROW]],0),1),"")</f>
        <v/>
      </c>
      <c r="F126" s="465" t="str">
        <f t="shared" si="1"/>
        <v/>
      </c>
      <c r="G126" s="465" t="str">
        <f>IFERROR(INDEX(#REF!,MATCH('HIDDEN_APS Part Numbers'!$A128,PART_NUMBER_GENERATOR_TABLE[[ROW]:[ROW]],0),1),"")</f>
        <v/>
      </c>
      <c r="H126" s="465" t="str">
        <f>IFERROR(INDEX(#REF!,MATCH('HIDDEN_APS Part Numbers'!$A128,PART_NUMBER_GENERATOR_TABLE[[ROW]:[ROW]],0),1),"")</f>
        <v/>
      </c>
      <c r="I126" s="465" t="str">
        <f>IFERROR(INDEX(#REF!,MATCH('HIDDEN_APS Part Numbers'!$A128,PART_NUMBER_GENERATOR_TABLE[[ROW]:[ROW]],0),1),"")</f>
        <v/>
      </c>
    </row>
    <row r="127" spans="2:9">
      <c r="B127" t="str">
        <f>IFERROR(INDEX(PART_NUMBER_GENERATOR_TABLE[Manufacturer Part Number],MATCH('HIDDEN_APS Part Numbers'!$A129,PART_NUMBER_GENERATOR_TABLE[[ROW]:[ROW]],0),1),"")</f>
        <v/>
      </c>
      <c r="C127" t="str">
        <f>IFERROR(INDEX(PART_NUMBER_GENERATOR_TABLE[Quantity],MATCH('HIDDEN_APS Part Numbers'!$A129,PART_NUMBER_GENERATOR_TABLE[[ROW]:[ROW]],0),1),"")</f>
        <v/>
      </c>
      <c r="D127" s="465" t="str">
        <f>IFERROR(INDEX(PART_NUMBER_GENERATOR_TABLE[Cost],MATCH('HIDDEN_APS Part Numbers'!$A129,PART_NUMBER_GENERATOR_TABLE[[ROW]:[ROW]],0),1),"")</f>
        <v/>
      </c>
      <c r="E127" s="465" t="str">
        <f>IFERROR(INDEX(PART_NUMBER_GENERATOR_TABLE[Suggested Price],MATCH('HIDDEN_APS Part Numbers'!$A129,PART_NUMBER_GENERATOR_TABLE[[ROW]:[ROW]],0),1),"")</f>
        <v/>
      </c>
      <c r="F127" s="465" t="str">
        <f t="shared" si="1"/>
        <v/>
      </c>
      <c r="G127" s="465" t="str">
        <f>IFERROR(INDEX(#REF!,MATCH('HIDDEN_APS Part Numbers'!$A129,PART_NUMBER_GENERATOR_TABLE[[ROW]:[ROW]],0),1),"")</f>
        <v/>
      </c>
      <c r="H127" s="465" t="str">
        <f>IFERROR(INDEX(#REF!,MATCH('HIDDEN_APS Part Numbers'!$A129,PART_NUMBER_GENERATOR_TABLE[[ROW]:[ROW]],0),1),"")</f>
        <v/>
      </c>
      <c r="I127" s="465" t="str">
        <f>IFERROR(INDEX(#REF!,MATCH('HIDDEN_APS Part Numbers'!$A129,PART_NUMBER_GENERATOR_TABLE[[ROW]:[ROW]],0),1),"")</f>
        <v/>
      </c>
    </row>
    <row r="128" spans="2:9">
      <c r="B128" t="str">
        <f>IFERROR(INDEX(PART_NUMBER_GENERATOR_TABLE[Manufacturer Part Number],MATCH('HIDDEN_APS Part Numbers'!$A130,PART_NUMBER_GENERATOR_TABLE[[ROW]:[ROW]],0),1),"")</f>
        <v/>
      </c>
      <c r="C128" t="str">
        <f>IFERROR(INDEX(PART_NUMBER_GENERATOR_TABLE[Quantity],MATCH('HIDDEN_APS Part Numbers'!$A130,PART_NUMBER_GENERATOR_TABLE[[ROW]:[ROW]],0),1),"")</f>
        <v/>
      </c>
      <c r="D128" s="465" t="str">
        <f>IFERROR(INDEX(PART_NUMBER_GENERATOR_TABLE[Cost],MATCH('HIDDEN_APS Part Numbers'!$A130,PART_NUMBER_GENERATOR_TABLE[[ROW]:[ROW]],0),1),"")</f>
        <v/>
      </c>
      <c r="E128" s="465" t="str">
        <f>IFERROR(INDEX(PART_NUMBER_GENERATOR_TABLE[Suggested Price],MATCH('HIDDEN_APS Part Numbers'!$A130,PART_NUMBER_GENERATOR_TABLE[[ROW]:[ROW]],0),1),"")</f>
        <v/>
      </c>
      <c r="F128" s="465" t="str">
        <f t="shared" si="1"/>
        <v/>
      </c>
      <c r="G128" s="465" t="str">
        <f>IFERROR(INDEX(#REF!,MATCH('HIDDEN_APS Part Numbers'!$A130,PART_NUMBER_GENERATOR_TABLE[[ROW]:[ROW]],0),1),"")</f>
        <v/>
      </c>
      <c r="H128" s="465" t="str">
        <f>IFERROR(INDEX(#REF!,MATCH('HIDDEN_APS Part Numbers'!$A130,PART_NUMBER_GENERATOR_TABLE[[ROW]:[ROW]],0),1),"")</f>
        <v/>
      </c>
      <c r="I128" s="465" t="str">
        <f>IFERROR(INDEX(#REF!,MATCH('HIDDEN_APS Part Numbers'!$A130,PART_NUMBER_GENERATOR_TABLE[[ROW]:[ROW]],0),1),"")</f>
        <v/>
      </c>
    </row>
    <row r="129" spans="2:9">
      <c r="B129" t="str">
        <f>IFERROR(INDEX(PART_NUMBER_GENERATOR_TABLE[Manufacturer Part Number],MATCH('HIDDEN_APS Part Numbers'!$A131,PART_NUMBER_GENERATOR_TABLE[[ROW]:[ROW]],0),1),"")</f>
        <v/>
      </c>
      <c r="C129" t="str">
        <f>IFERROR(INDEX(PART_NUMBER_GENERATOR_TABLE[Quantity],MATCH('HIDDEN_APS Part Numbers'!$A131,PART_NUMBER_GENERATOR_TABLE[[ROW]:[ROW]],0),1),"")</f>
        <v/>
      </c>
      <c r="D129" s="465" t="str">
        <f>IFERROR(INDEX(PART_NUMBER_GENERATOR_TABLE[Cost],MATCH('HIDDEN_APS Part Numbers'!$A131,PART_NUMBER_GENERATOR_TABLE[[ROW]:[ROW]],0),1),"")</f>
        <v/>
      </c>
      <c r="E129" s="465" t="str">
        <f>IFERROR(INDEX(PART_NUMBER_GENERATOR_TABLE[Suggested Price],MATCH('HIDDEN_APS Part Numbers'!$A131,PART_NUMBER_GENERATOR_TABLE[[ROW]:[ROW]],0),1),"")</f>
        <v/>
      </c>
      <c r="F129" s="465" t="str">
        <f t="shared" si="1"/>
        <v/>
      </c>
      <c r="G129" s="465" t="str">
        <f>IFERROR(INDEX(#REF!,MATCH('HIDDEN_APS Part Numbers'!$A131,PART_NUMBER_GENERATOR_TABLE[[ROW]:[ROW]],0),1),"")</f>
        <v/>
      </c>
      <c r="H129" s="465" t="str">
        <f>IFERROR(INDEX(#REF!,MATCH('HIDDEN_APS Part Numbers'!$A131,PART_NUMBER_GENERATOR_TABLE[[ROW]:[ROW]],0),1),"")</f>
        <v/>
      </c>
      <c r="I129" s="465" t="str">
        <f>IFERROR(INDEX(#REF!,MATCH('HIDDEN_APS Part Numbers'!$A131,PART_NUMBER_GENERATOR_TABLE[[ROW]:[ROW]],0),1),"")</f>
        <v/>
      </c>
    </row>
    <row r="130" spans="2:9">
      <c r="B130" t="str">
        <f>IFERROR(INDEX(PART_NUMBER_GENERATOR_TABLE[Manufacturer Part Number],MATCH('HIDDEN_APS Part Numbers'!$A132,PART_NUMBER_GENERATOR_TABLE[[ROW]:[ROW]],0),1),"")</f>
        <v/>
      </c>
      <c r="C130" t="str">
        <f>IFERROR(INDEX(PART_NUMBER_GENERATOR_TABLE[Quantity],MATCH('HIDDEN_APS Part Numbers'!$A132,PART_NUMBER_GENERATOR_TABLE[[ROW]:[ROW]],0),1),"")</f>
        <v/>
      </c>
      <c r="D130" s="465" t="str">
        <f>IFERROR(INDEX(PART_NUMBER_GENERATOR_TABLE[Cost],MATCH('HIDDEN_APS Part Numbers'!$A132,PART_NUMBER_GENERATOR_TABLE[[ROW]:[ROW]],0),1),"")</f>
        <v/>
      </c>
      <c r="E130" s="465" t="str">
        <f>IFERROR(INDEX(PART_NUMBER_GENERATOR_TABLE[Suggested Price],MATCH('HIDDEN_APS Part Numbers'!$A132,PART_NUMBER_GENERATOR_TABLE[[ROW]:[ROW]],0),1),"")</f>
        <v/>
      </c>
      <c r="F130" s="465" t="str">
        <f t="shared" si="1"/>
        <v/>
      </c>
      <c r="G130" s="465" t="str">
        <f>IFERROR(INDEX(#REF!,MATCH('HIDDEN_APS Part Numbers'!$A132,PART_NUMBER_GENERATOR_TABLE[[ROW]:[ROW]],0),1),"")</f>
        <v/>
      </c>
      <c r="H130" s="465" t="str">
        <f>IFERROR(INDEX(#REF!,MATCH('HIDDEN_APS Part Numbers'!$A132,PART_NUMBER_GENERATOR_TABLE[[ROW]:[ROW]],0),1),"")</f>
        <v/>
      </c>
      <c r="I130" s="465" t="str">
        <f>IFERROR(INDEX(#REF!,MATCH('HIDDEN_APS Part Numbers'!$A132,PART_NUMBER_GENERATOR_TABLE[[ROW]:[ROW]],0),1),"")</f>
        <v/>
      </c>
    </row>
    <row r="131" spans="2:9">
      <c r="B131" t="str">
        <f>IFERROR(INDEX(PART_NUMBER_GENERATOR_TABLE[Manufacturer Part Number],MATCH('HIDDEN_APS Part Numbers'!$A133,PART_NUMBER_GENERATOR_TABLE[[ROW]:[ROW]],0),1),"")</f>
        <v/>
      </c>
      <c r="C131" t="str">
        <f>IFERROR(INDEX(PART_NUMBER_GENERATOR_TABLE[Quantity],MATCH('HIDDEN_APS Part Numbers'!$A133,PART_NUMBER_GENERATOR_TABLE[[ROW]:[ROW]],0),1),"")</f>
        <v/>
      </c>
      <c r="D131" s="465" t="str">
        <f>IFERROR(INDEX(PART_NUMBER_GENERATOR_TABLE[Cost],MATCH('HIDDEN_APS Part Numbers'!$A133,PART_NUMBER_GENERATOR_TABLE[[ROW]:[ROW]],0),1),"")</f>
        <v/>
      </c>
      <c r="E131" s="465" t="str">
        <f>IFERROR(INDEX(PART_NUMBER_GENERATOR_TABLE[Suggested Price],MATCH('HIDDEN_APS Part Numbers'!$A133,PART_NUMBER_GENERATOR_TABLE[[ROW]:[ROW]],0),1),"")</f>
        <v/>
      </c>
      <c r="F131" s="465" t="str">
        <f t="shared" si="1"/>
        <v/>
      </c>
      <c r="G131" s="465" t="str">
        <f>IFERROR(INDEX(#REF!,MATCH('HIDDEN_APS Part Numbers'!$A133,PART_NUMBER_GENERATOR_TABLE[[ROW]:[ROW]],0),1),"")</f>
        <v/>
      </c>
      <c r="H131" s="465" t="str">
        <f>IFERROR(INDEX(#REF!,MATCH('HIDDEN_APS Part Numbers'!$A133,PART_NUMBER_GENERATOR_TABLE[[ROW]:[ROW]],0),1),"")</f>
        <v/>
      </c>
      <c r="I131" s="465" t="str">
        <f>IFERROR(INDEX(#REF!,MATCH('HIDDEN_APS Part Numbers'!$A133,PART_NUMBER_GENERATOR_TABLE[[ROW]:[ROW]],0),1),"")</f>
        <v/>
      </c>
    </row>
    <row r="132" spans="2:9">
      <c r="B132" t="str">
        <f>IFERROR(INDEX(PART_NUMBER_GENERATOR_TABLE[Manufacturer Part Number],MATCH('HIDDEN_APS Part Numbers'!$A134,PART_NUMBER_GENERATOR_TABLE[[ROW]:[ROW]],0),1),"")</f>
        <v/>
      </c>
      <c r="C132" t="str">
        <f>IFERROR(INDEX(PART_NUMBER_GENERATOR_TABLE[Quantity],MATCH('HIDDEN_APS Part Numbers'!$A134,PART_NUMBER_GENERATOR_TABLE[[ROW]:[ROW]],0),1),"")</f>
        <v/>
      </c>
      <c r="D132" s="465" t="str">
        <f>IFERROR(INDEX(PART_NUMBER_GENERATOR_TABLE[Cost],MATCH('HIDDEN_APS Part Numbers'!$A134,PART_NUMBER_GENERATOR_TABLE[[ROW]:[ROW]],0),1),"")</f>
        <v/>
      </c>
      <c r="E132" s="465" t="str">
        <f>IFERROR(INDEX(PART_NUMBER_GENERATOR_TABLE[Suggested Price],MATCH('HIDDEN_APS Part Numbers'!$A134,PART_NUMBER_GENERATOR_TABLE[[ROW]:[ROW]],0),1),"")</f>
        <v/>
      </c>
      <c r="F132" s="465" t="str">
        <f t="shared" si="1"/>
        <v/>
      </c>
      <c r="G132" s="465" t="str">
        <f>IFERROR(INDEX(#REF!,MATCH('HIDDEN_APS Part Numbers'!$A134,PART_NUMBER_GENERATOR_TABLE[[ROW]:[ROW]],0),1),"")</f>
        <v/>
      </c>
      <c r="H132" s="465" t="str">
        <f>IFERROR(INDEX(#REF!,MATCH('HIDDEN_APS Part Numbers'!$A134,PART_NUMBER_GENERATOR_TABLE[[ROW]:[ROW]],0),1),"")</f>
        <v/>
      </c>
      <c r="I132" s="465" t="str">
        <f>IFERROR(INDEX(#REF!,MATCH('HIDDEN_APS Part Numbers'!$A134,PART_NUMBER_GENERATOR_TABLE[[ROW]:[ROW]],0),1),"")</f>
        <v/>
      </c>
    </row>
    <row r="133" spans="2:9">
      <c r="B133" t="str">
        <f>IFERROR(INDEX(PART_NUMBER_GENERATOR_TABLE[Manufacturer Part Number],MATCH('HIDDEN_APS Part Numbers'!$A135,PART_NUMBER_GENERATOR_TABLE[[ROW]:[ROW]],0),1),"")</f>
        <v/>
      </c>
      <c r="C133" t="str">
        <f>IFERROR(INDEX(PART_NUMBER_GENERATOR_TABLE[Quantity],MATCH('HIDDEN_APS Part Numbers'!$A135,PART_NUMBER_GENERATOR_TABLE[[ROW]:[ROW]],0),1),"")</f>
        <v/>
      </c>
      <c r="D133" s="465" t="str">
        <f>IFERROR(INDEX(PART_NUMBER_GENERATOR_TABLE[Cost],MATCH('HIDDEN_APS Part Numbers'!$A135,PART_NUMBER_GENERATOR_TABLE[[ROW]:[ROW]],0),1),"")</f>
        <v/>
      </c>
      <c r="E133" s="465" t="str">
        <f>IFERROR(INDEX(PART_NUMBER_GENERATOR_TABLE[Suggested Price],MATCH('HIDDEN_APS Part Numbers'!$A135,PART_NUMBER_GENERATOR_TABLE[[ROW]:[ROW]],0),1),"")</f>
        <v/>
      </c>
      <c r="F133" s="465" t="str">
        <f t="shared" si="1"/>
        <v/>
      </c>
      <c r="G133" s="465" t="str">
        <f>IFERROR(INDEX(#REF!,MATCH('HIDDEN_APS Part Numbers'!$A135,PART_NUMBER_GENERATOR_TABLE[[ROW]:[ROW]],0),1),"")</f>
        <v/>
      </c>
      <c r="H133" s="465" t="str">
        <f>IFERROR(INDEX(#REF!,MATCH('HIDDEN_APS Part Numbers'!$A135,PART_NUMBER_GENERATOR_TABLE[[ROW]:[ROW]],0),1),"")</f>
        <v/>
      </c>
      <c r="I133" s="465" t="str">
        <f>IFERROR(INDEX(#REF!,MATCH('HIDDEN_APS Part Numbers'!$A135,PART_NUMBER_GENERATOR_TABLE[[ROW]:[ROW]],0),1),"")</f>
        <v/>
      </c>
    </row>
    <row r="134" spans="2:9">
      <c r="B134" t="str">
        <f>IFERROR(INDEX(PART_NUMBER_GENERATOR_TABLE[Manufacturer Part Number],MATCH('HIDDEN_APS Part Numbers'!$A136,PART_NUMBER_GENERATOR_TABLE[[ROW]:[ROW]],0),1),"")</f>
        <v/>
      </c>
      <c r="C134" t="str">
        <f>IFERROR(INDEX(PART_NUMBER_GENERATOR_TABLE[Quantity],MATCH('HIDDEN_APS Part Numbers'!$A136,PART_NUMBER_GENERATOR_TABLE[[ROW]:[ROW]],0),1),"")</f>
        <v/>
      </c>
      <c r="D134" s="465" t="str">
        <f>IFERROR(INDEX(PART_NUMBER_GENERATOR_TABLE[Cost],MATCH('HIDDEN_APS Part Numbers'!$A136,PART_NUMBER_GENERATOR_TABLE[[ROW]:[ROW]],0),1),"")</f>
        <v/>
      </c>
      <c r="E134" s="465" t="str">
        <f>IFERROR(INDEX(PART_NUMBER_GENERATOR_TABLE[Suggested Price],MATCH('HIDDEN_APS Part Numbers'!$A136,PART_NUMBER_GENERATOR_TABLE[[ROW]:[ROW]],0),1),"")</f>
        <v/>
      </c>
      <c r="F134" s="465" t="str">
        <f t="shared" si="1"/>
        <v/>
      </c>
      <c r="G134" s="465" t="str">
        <f>IFERROR(INDEX(#REF!,MATCH('HIDDEN_APS Part Numbers'!$A136,PART_NUMBER_GENERATOR_TABLE[[ROW]:[ROW]],0),1),"")</f>
        <v/>
      </c>
      <c r="H134" s="465" t="str">
        <f>IFERROR(INDEX(#REF!,MATCH('HIDDEN_APS Part Numbers'!$A136,PART_NUMBER_GENERATOR_TABLE[[ROW]:[ROW]],0),1),"")</f>
        <v/>
      </c>
      <c r="I134" s="465" t="str">
        <f>IFERROR(INDEX(#REF!,MATCH('HIDDEN_APS Part Numbers'!$A136,PART_NUMBER_GENERATOR_TABLE[[ROW]:[ROW]],0),1),"")</f>
        <v/>
      </c>
    </row>
    <row r="135" spans="2:9">
      <c r="B135" t="str">
        <f>IFERROR(INDEX(PART_NUMBER_GENERATOR_TABLE[Manufacturer Part Number],MATCH('HIDDEN_APS Part Numbers'!$A137,PART_NUMBER_GENERATOR_TABLE[[ROW]:[ROW]],0),1),"")</f>
        <v/>
      </c>
      <c r="C135" t="str">
        <f>IFERROR(INDEX(PART_NUMBER_GENERATOR_TABLE[Quantity],MATCH('HIDDEN_APS Part Numbers'!$A137,PART_NUMBER_GENERATOR_TABLE[[ROW]:[ROW]],0),1),"")</f>
        <v/>
      </c>
      <c r="D135" s="465" t="str">
        <f>IFERROR(INDEX(PART_NUMBER_GENERATOR_TABLE[Cost],MATCH('HIDDEN_APS Part Numbers'!$A137,PART_NUMBER_GENERATOR_TABLE[[ROW]:[ROW]],0),1),"")</f>
        <v/>
      </c>
      <c r="E135" s="465" t="str">
        <f>IFERROR(INDEX(PART_NUMBER_GENERATOR_TABLE[Suggested Price],MATCH('HIDDEN_APS Part Numbers'!$A137,PART_NUMBER_GENERATOR_TABLE[[ROW]:[ROW]],0),1),"")</f>
        <v/>
      </c>
      <c r="F135" s="465" t="str">
        <f t="shared" si="1"/>
        <v/>
      </c>
      <c r="G135" s="465" t="str">
        <f>IFERROR(INDEX(#REF!,MATCH('HIDDEN_APS Part Numbers'!$A137,PART_NUMBER_GENERATOR_TABLE[[ROW]:[ROW]],0),1),"")</f>
        <v/>
      </c>
      <c r="H135" s="465" t="str">
        <f>IFERROR(INDEX(#REF!,MATCH('HIDDEN_APS Part Numbers'!$A137,PART_NUMBER_GENERATOR_TABLE[[ROW]:[ROW]],0),1),"")</f>
        <v/>
      </c>
      <c r="I135" s="465" t="str">
        <f>IFERROR(INDEX(#REF!,MATCH('HIDDEN_APS Part Numbers'!$A137,PART_NUMBER_GENERATOR_TABLE[[ROW]:[ROW]],0),1),"")</f>
        <v/>
      </c>
    </row>
    <row r="136" spans="2:9">
      <c r="B136" t="str">
        <f>IFERROR(INDEX(PART_NUMBER_GENERATOR_TABLE[Manufacturer Part Number],MATCH('HIDDEN_APS Part Numbers'!$A138,PART_NUMBER_GENERATOR_TABLE[[ROW]:[ROW]],0),1),"")</f>
        <v/>
      </c>
      <c r="C136" t="str">
        <f>IFERROR(INDEX(PART_NUMBER_GENERATOR_TABLE[Quantity],MATCH('HIDDEN_APS Part Numbers'!$A138,PART_NUMBER_GENERATOR_TABLE[[ROW]:[ROW]],0),1),"")</f>
        <v/>
      </c>
      <c r="D136" s="465" t="str">
        <f>IFERROR(INDEX(PART_NUMBER_GENERATOR_TABLE[Cost],MATCH('HIDDEN_APS Part Numbers'!$A138,PART_NUMBER_GENERATOR_TABLE[[ROW]:[ROW]],0),1),"")</f>
        <v/>
      </c>
      <c r="E136" s="465" t="str">
        <f>IFERROR(INDEX(PART_NUMBER_GENERATOR_TABLE[Suggested Price],MATCH('HIDDEN_APS Part Numbers'!$A138,PART_NUMBER_GENERATOR_TABLE[[ROW]:[ROW]],0),1),"")</f>
        <v/>
      </c>
      <c r="F136" s="465" t="str">
        <f t="shared" si="1"/>
        <v/>
      </c>
      <c r="G136" s="465" t="str">
        <f>IFERROR(INDEX(#REF!,MATCH('HIDDEN_APS Part Numbers'!$A138,PART_NUMBER_GENERATOR_TABLE[[ROW]:[ROW]],0),1),"")</f>
        <v/>
      </c>
      <c r="H136" s="465" t="str">
        <f>IFERROR(INDEX(#REF!,MATCH('HIDDEN_APS Part Numbers'!$A138,PART_NUMBER_GENERATOR_TABLE[[ROW]:[ROW]],0),1),"")</f>
        <v/>
      </c>
      <c r="I136" s="465" t="str">
        <f>IFERROR(INDEX(#REF!,MATCH('HIDDEN_APS Part Numbers'!$A138,PART_NUMBER_GENERATOR_TABLE[[ROW]:[ROW]],0),1),"")</f>
        <v/>
      </c>
    </row>
    <row r="137" spans="2:9">
      <c r="B137" t="str">
        <f>IFERROR(INDEX(PART_NUMBER_GENERATOR_TABLE[Manufacturer Part Number],MATCH('HIDDEN_APS Part Numbers'!$A139,PART_NUMBER_GENERATOR_TABLE[[ROW]:[ROW]],0),1),"")</f>
        <v/>
      </c>
      <c r="C137" t="str">
        <f>IFERROR(INDEX(PART_NUMBER_GENERATOR_TABLE[Quantity],MATCH('HIDDEN_APS Part Numbers'!$A139,PART_NUMBER_GENERATOR_TABLE[[ROW]:[ROW]],0),1),"")</f>
        <v/>
      </c>
      <c r="D137" s="465" t="str">
        <f>IFERROR(INDEX(PART_NUMBER_GENERATOR_TABLE[Cost],MATCH('HIDDEN_APS Part Numbers'!$A139,PART_NUMBER_GENERATOR_TABLE[[ROW]:[ROW]],0),1),"")</f>
        <v/>
      </c>
      <c r="E137" s="465" t="str">
        <f>IFERROR(INDEX(PART_NUMBER_GENERATOR_TABLE[Suggested Price],MATCH('HIDDEN_APS Part Numbers'!$A139,PART_NUMBER_GENERATOR_TABLE[[ROW]:[ROW]],0),1),"")</f>
        <v/>
      </c>
      <c r="F137" s="465" t="str">
        <f t="shared" si="1"/>
        <v/>
      </c>
      <c r="G137" s="465" t="str">
        <f>IFERROR(INDEX(#REF!,MATCH('HIDDEN_APS Part Numbers'!$A139,PART_NUMBER_GENERATOR_TABLE[[ROW]:[ROW]],0),1),"")</f>
        <v/>
      </c>
      <c r="H137" s="465" t="str">
        <f>IFERROR(INDEX(#REF!,MATCH('HIDDEN_APS Part Numbers'!$A139,PART_NUMBER_GENERATOR_TABLE[[ROW]:[ROW]],0),1),"")</f>
        <v/>
      </c>
      <c r="I137" s="465" t="str">
        <f>IFERROR(INDEX(#REF!,MATCH('HIDDEN_APS Part Numbers'!$A139,PART_NUMBER_GENERATOR_TABLE[[ROW]:[ROW]],0),1),"")</f>
        <v/>
      </c>
    </row>
    <row r="138" spans="2:9">
      <c r="B138" t="str">
        <f>IFERROR(INDEX(PART_NUMBER_GENERATOR_TABLE[Manufacturer Part Number],MATCH('HIDDEN_APS Part Numbers'!$A140,PART_NUMBER_GENERATOR_TABLE[[ROW]:[ROW]],0),1),"")</f>
        <v/>
      </c>
      <c r="C138" t="str">
        <f>IFERROR(INDEX(PART_NUMBER_GENERATOR_TABLE[Quantity],MATCH('HIDDEN_APS Part Numbers'!$A140,PART_NUMBER_GENERATOR_TABLE[[ROW]:[ROW]],0),1),"")</f>
        <v/>
      </c>
      <c r="D138" s="465" t="str">
        <f>IFERROR(INDEX(PART_NUMBER_GENERATOR_TABLE[Cost],MATCH('HIDDEN_APS Part Numbers'!$A140,PART_NUMBER_GENERATOR_TABLE[[ROW]:[ROW]],0),1),"")</f>
        <v/>
      </c>
      <c r="E138" s="465" t="str">
        <f>IFERROR(INDEX(PART_NUMBER_GENERATOR_TABLE[Suggested Price],MATCH('HIDDEN_APS Part Numbers'!$A140,PART_NUMBER_GENERATOR_TABLE[[ROW]:[ROW]],0),1),"")</f>
        <v/>
      </c>
      <c r="F138" s="465" t="str">
        <f t="shared" si="1"/>
        <v/>
      </c>
      <c r="G138" s="465" t="str">
        <f>IFERROR(INDEX(#REF!,MATCH('HIDDEN_APS Part Numbers'!$A140,PART_NUMBER_GENERATOR_TABLE[[ROW]:[ROW]],0),1),"")</f>
        <v/>
      </c>
      <c r="H138" s="465" t="str">
        <f>IFERROR(INDEX(#REF!,MATCH('HIDDEN_APS Part Numbers'!$A140,PART_NUMBER_GENERATOR_TABLE[[ROW]:[ROW]],0),1),"")</f>
        <v/>
      </c>
      <c r="I138" s="465" t="str">
        <f>IFERROR(INDEX(#REF!,MATCH('HIDDEN_APS Part Numbers'!$A140,PART_NUMBER_GENERATOR_TABLE[[ROW]:[ROW]],0),1),"")</f>
        <v/>
      </c>
    </row>
    <row r="139" spans="2:9">
      <c r="B139" t="str">
        <f>IFERROR(INDEX(PART_NUMBER_GENERATOR_TABLE[Manufacturer Part Number],MATCH('HIDDEN_APS Part Numbers'!$A141,PART_NUMBER_GENERATOR_TABLE[[ROW]:[ROW]],0),1),"")</f>
        <v/>
      </c>
      <c r="C139" t="str">
        <f>IFERROR(INDEX(PART_NUMBER_GENERATOR_TABLE[Quantity],MATCH('HIDDEN_APS Part Numbers'!$A141,PART_NUMBER_GENERATOR_TABLE[[ROW]:[ROW]],0),1),"")</f>
        <v/>
      </c>
      <c r="D139" s="465" t="str">
        <f>IFERROR(INDEX(PART_NUMBER_GENERATOR_TABLE[Cost],MATCH('HIDDEN_APS Part Numbers'!$A141,PART_NUMBER_GENERATOR_TABLE[[ROW]:[ROW]],0),1),"")</f>
        <v/>
      </c>
      <c r="E139" s="465" t="str">
        <f>IFERROR(INDEX(PART_NUMBER_GENERATOR_TABLE[Suggested Price],MATCH('HIDDEN_APS Part Numbers'!$A141,PART_NUMBER_GENERATOR_TABLE[[ROW]:[ROW]],0),1),"")</f>
        <v/>
      </c>
      <c r="F139" s="465" t="str">
        <f t="shared" si="1"/>
        <v/>
      </c>
      <c r="G139" s="465" t="str">
        <f>IFERROR(INDEX(#REF!,MATCH('HIDDEN_APS Part Numbers'!$A141,PART_NUMBER_GENERATOR_TABLE[[ROW]:[ROW]],0),1),"")</f>
        <v/>
      </c>
      <c r="H139" s="465" t="str">
        <f>IFERROR(INDEX(#REF!,MATCH('HIDDEN_APS Part Numbers'!$A141,PART_NUMBER_GENERATOR_TABLE[[ROW]:[ROW]],0),1),"")</f>
        <v/>
      </c>
      <c r="I139" s="465" t="str">
        <f>IFERROR(INDEX(#REF!,MATCH('HIDDEN_APS Part Numbers'!$A141,PART_NUMBER_GENERATOR_TABLE[[ROW]:[ROW]],0),1),"")</f>
        <v/>
      </c>
    </row>
    <row r="140" spans="2:9">
      <c r="B140" t="str">
        <f>IFERROR(INDEX(PART_NUMBER_GENERATOR_TABLE[Manufacturer Part Number],MATCH('HIDDEN_APS Part Numbers'!$A142,PART_NUMBER_GENERATOR_TABLE[[ROW]:[ROW]],0),1),"")</f>
        <v/>
      </c>
      <c r="C140" t="str">
        <f>IFERROR(INDEX(PART_NUMBER_GENERATOR_TABLE[Quantity],MATCH('HIDDEN_APS Part Numbers'!$A142,PART_NUMBER_GENERATOR_TABLE[[ROW]:[ROW]],0),1),"")</f>
        <v/>
      </c>
      <c r="D140" s="465" t="str">
        <f>IFERROR(INDEX(PART_NUMBER_GENERATOR_TABLE[Cost],MATCH('HIDDEN_APS Part Numbers'!$A142,PART_NUMBER_GENERATOR_TABLE[[ROW]:[ROW]],0),1),"")</f>
        <v/>
      </c>
      <c r="E140" s="465" t="str">
        <f>IFERROR(INDEX(PART_NUMBER_GENERATOR_TABLE[Suggested Price],MATCH('HIDDEN_APS Part Numbers'!$A142,PART_NUMBER_GENERATOR_TABLE[[ROW]:[ROW]],0),1),"")</f>
        <v/>
      </c>
      <c r="F140" s="465" t="str">
        <f t="shared" si="1"/>
        <v/>
      </c>
      <c r="G140" s="465" t="str">
        <f>IFERROR(INDEX(#REF!,MATCH('HIDDEN_APS Part Numbers'!$A142,PART_NUMBER_GENERATOR_TABLE[[ROW]:[ROW]],0),1),"")</f>
        <v/>
      </c>
      <c r="H140" s="465" t="str">
        <f>IFERROR(INDEX(#REF!,MATCH('HIDDEN_APS Part Numbers'!$A142,PART_NUMBER_GENERATOR_TABLE[[ROW]:[ROW]],0),1),"")</f>
        <v/>
      </c>
      <c r="I140" s="465" t="str">
        <f>IFERROR(INDEX(#REF!,MATCH('HIDDEN_APS Part Numbers'!$A142,PART_NUMBER_GENERATOR_TABLE[[ROW]:[ROW]],0),1),"")</f>
        <v/>
      </c>
    </row>
    <row r="141" spans="2:9">
      <c r="B141" t="str">
        <f>IFERROR(INDEX(PART_NUMBER_GENERATOR_TABLE[Manufacturer Part Number],MATCH('HIDDEN_APS Part Numbers'!$A143,PART_NUMBER_GENERATOR_TABLE[[ROW]:[ROW]],0),1),"")</f>
        <v/>
      </c>
      <c r="C141" t="str">
        <f>IFERROR(INDEX(PART_NUMBER_GENERATOR_TABLE[Quantity],MATCH('HIDDEN_APS Part Numbers'!$A143,PART_NUMBER_GENERATOR_TABLE[[ROW]:[ROW]],0),1),"")</f>
        <v/>
      </c>
      <c r="D141" s="465" t="str">
        <f>IFERROR(INDEX(PART_NUMBER_GENERATOR_TABLE[Cost],MATCH('HIDDEN_APS Part Numbers'!$A143,PART_NUMBER_GENERATOR_TABLE[[ROW]:[ROW]],0),1),"")</f>
        <v/>
      </c>
      <c r="E141" s="465" t="str">
        <f>IFERROR(INDEX(PART_NUMBER_GENERATOR_TABLE[Suggested Price],MATCH('HIDDEN_APS Part Numbers'!$A143,PART_NUMBER_GENERATOR_TABLE[[ROW]:[ROW]],0),1),"")</f>
        <v/>
      </c>
      <c r="F141" s="465" t="str">
        <f t="shared" si="1"/>
        <v/>
      </c>
      <c r="G141" s="465" t="str">
        <f>IFERROR(INDEX(#REF!,MATCH('HIDDEN_APS Part Numbers'!$A143,PART_NUMBER_GENERATOR_TABLE[[ROW]:[ROW]],0),1),"")</f>
        <v/>
      </c>
      <c r="H141" s="465" t="str">
        <f>IFERROR(INDEX(#REF!,MATCH('HIDDEN_APS Part Numbers'!$A143,PART_NUMBER_GENERATOR_TABLE[[ROW]:[ROW]],0),1),"")</f>
        <v/>
      </c>
      <c r="I141" s="465" t="str">
        <f>IFERROR(INDEX(#REF!,MATCH('HIDDEN_APS Part Numbers'!$A143,PART_NUMBER_GENERATOR_TABLE[[ROW]:[ROW]],0),1),"")</f>
        <v/>
      </c>
    </row>
    <row r="142" spans="2:9">
      <c r="B142" t="str">
        <f>IFERROR(INDEX(PART_NUMBER_GENERATOR_TABLE[Manufacturer Part Number],MATCH('HIDDEN_APS Part Numbers'!$A144,PART_NUMBER_GENERATOR_TABLE[[ROW]:[ROW]],0),1),"")</f>
        <v/>
      </c>
      <c r="C142" t="str">
        <f>IFERROR(INDEX(PART_NUMBER_GENERATOR_TABLE[Quantity],MATCH('HIDDEN_APS Part Numbers'!$A144,PART_NUMBER_GENERATOR_TABLE[[ROW]:[ROW]],0),1),"")</f>
        <v/>
      </c>
      <c r="D142" s="465" t="str">
        <f>IFERROR(INDEX(PART_NUMBER_GENERATOR_TABLE[Cost],MATCH('HIDDEN_APS Part Numbers'!$A144,PART_NUMBER_GENERATOR_TABLE[[ROW]:[ROW]],0),1),"")</f>
        <v/>
      </c>
      <c r="E142" s="465" t="str">
        <f>IFERROR(INDEX(PART_NUMBER_GENERATOR_TABLE[Suggested Price],MATCH('HIDDEN_APS Part Numbers'!$A144,PART_NUMBER_GENERATOR_TABLE[[ROW]:[ROW]],0),1),"")</f>
        <v/>
      </c>
      <c r="F142" s="465" t="str">
        <f t="shared" si="1"/>
        <v/>
      </c>
      <c r="G142" s="465" t="str">
        <f>IFERROR(INDEX(#REF!,MATCH('HIDDEN_APS Part Numbers'!$A144,PART_NUMBER_GENERATOR_TABLE[[ROW]:[ROW]],0),1),"")</f>
        <v/>
      </c>
      <c r="H142" s="465" t="str">
        <f>IFERROR(INDEX(#REF!,MATCH('HIDDEN_APS Part Numbers'!$A144,PART_NUMBER_GENERATOR_TABLE[[ROW]:[ROW]],0),1),"")</f>
        <v/>
      </c>
      <c r="I142" s="465" t="str">
        <f>IFERROR(INDEX(#REF!,MATCH('HIDDEN_APS Part Numbers'!$A144,PART_NUMBER_GENERATOR_TABLE[[ROW]:[ROW]],0),1),"")</f>
        <v/>
      </c>
    </row>
    <row r="143" spans="2:9">
      <c r="B143" t="str">
        <f>IFERROR(INDEX(PART_NUMBER_GENERATOR_TABLE[Manufacturer Part Number],MATCH('HIDDEN_APS Part Numbers'!$A145,PART_NUMBER_GENERATOR_TABLE[[ROW]:[ROW]],0),1),"")</f>
        <v/>
      </c>
      <c r="C143" t="str">
        <f>IFERROR(INDEX(PART_NUMBER_GENERATOR_TABLE[Quantity],MATCH('HIDDEN_APS Part Numbers'!$A145,PART_NUMBER_GENERATOR_TABLE[[ROW]:[ROW]],0),1),"")</f>
        <v/>
      </c>
      <c r="D143" s="465" t="str">
        <f>IFERROR(INDEX(PART_NUMBER_GENERATOR_TABLE[Cost],MATCH('HIDDEN_APS Part Numbers'!$A145,PART_NUMBER_GENERATOR_TABLE[[ROW]:[ROW]],0),1),"")</f>
        <v/>
      </c>
      <c r="E143" s="465" t="str">
        <f>IFERROR(INDEX(PART_NUMBER_GENERATOR_TABLE[Suggested Price],MATCH('HIDDEN_APS Part Numbers'!$A145,PART_NUMBER_GENERATOR_TABLE[[ROW]:[ROW]],0),1),"")</f>
        <v/>
      </c>
      <c r="F143" s="465" t="str">
        <f t="shared" si="1"/>
        <v/>
      </c>
      <c r="G143" s="465" t="str">
        <f>IFERROR(INDEX(#REF!,MATCH('HIDDEN_APS Part Numbers'!$A145,PART_NUMBER_GENERATOR_TABLE[[ROW]:[ROW]],0),1),"")</f>
        <v/>
      </c>
      <c r="H143" s="465" t="str">
        <f>IFERROR(INDEX(#REF!,MATCH('HIDDEN_APS Part Numbers'!$A145,PART_NUMBER_GENERATOR_TABLE[[ROW]:[ROW]],0),1),"")</f>
        <v/>
      </c>
      <c r="I143" s="465" t="str">
        <f>IFERROR(INDEX(#REF!,MATCH('HIDDEN_APS Part Numbers'!$A145,PART_NUMBER_GENERATOR_TABLE[[ROW]:[ROW]],0),1),"")</f>
        <v/>
      </c>
    </row>
    <row r="144" spans="2:9">
      <c r="B144" t="str">
        <f>IFERROR(INDEX(PART_NUMBER_GENERATOR_TABLE[Manufacturer Part Number],MATCH('HIDDEN_APS Part Numbers'!$A146,PART_NUMBER_GENERATOR_TABLE[[ROW]:[ROW]],0),1),"")</f>
        <v/>
      </c>
      <c r="C144" t="str">
        <f>IFERROR(INDEX(PART_NUMBER_GENERATOR_TABLE[Quantity],MATCH('HIDDEN_APS Part Numbers'!$A146,PART_NUMBER_GENERATOR_TABLE[[ROW]:[ROW]],0),1),"")</f>
        <v/>
      </c>
      <c r="D144" s="465" t="str">
        <f>IFERROR(INDEX(PART_NUMBER_GENERATOR_TABLE[Cost],MATCH('HIDDEN_APS Part Numbers'!$A146,PART_NUMBER_GENERATOR_TABLE[[ROW]:[ROW]],0),1),"")</f>
        <v/>
      </c>
      <c r="E144" s="465" t="str">
        <f>IFERROR(INDEX(PART_NUMBER_GENERATOR_TABLE[Suggested Price],MATCH('HIDDEN_APS Part Numbers'!$A146,PART_NUMBER_GENERATOR_TABLE[[ROW]:[ROW]],0),1),"")</f>
        <v/>
      </c>
      <c r="F144" s="465" t="str">
        <f t="shared" si="1"/>
        <v/>
      </c>
      <c r="G144" s="465" t="str">
        <f>IFERROR(INDEX(#REF!,MATCH('HIDDEN_APS Part Numbers'!$A146,PART_NUMBER_GENERATOR_TABLE[[ROW]:[ROW]],0),1),"")</f>
        <v/>
      </c>
      <c r="H144" s="465" t="str">
        <f>IFERROR(INDEX(#REF!,MATCH('HIDDEN_APS Part Numbers'!$A146,PART_NUMBER_GENERATOR_TABLE[[ROW]:[ROW]],0),1),"")</f>
        <v/>
      </c>
      <c r="I144" s="465" t="str">
        <f>IFERROR(INDEX(#REF!,MATCH('HIDDEN_APS Part Numbers'!$A146,PART_NUMBER_GENERATOR_TABLE[[ROW]:[ROW]],0),1),"")</f>
        <v/>
      </c>
    </row>
    <row r="145" spans="2:9">
      <c r="B145" t="str">
        <f>IFERROR(INDEX(PART_NUMBER_GENERATOR_TABLE[Manufacturer Part Number],MATCH('HIDDEN_APS Part Numbers'!$A147,PART_NUMBER_GENERATOR_TABLE[[ROW]:[ROW]],0),1),"")</f>
        <v/>
      </c>
      <c r="C145" t="str">
        <f>IFERROR(INDEX(PART_NUMBER_GENERATOR_TABLE[Quantity],MATCH('HIDDEN_APS Part Numbers'!$A147,PART_NUMBER_GENERATOR_TABLE[[ROW]:[ROW]],0),1),"")</f>
        <v/>
      </c>
      <c r="D145" s="465" t="str">
        <f>IFERROR(INDEX(PART_NUMBER_GENERATOR_TABLE[Cost],MATCH('HIDDEN_APS Part Numbers'!$A147,PART_NUMBER_GENERATOR_TABLE[[ROW]:[ROW]],0),1),"")</f>
        <v/>
      </c>
      <c r="E145" s="465" t="str">
        <f>IFERROR(INDEX(PART_NUMBER_GENERATOR_TABLE[Suggested Price],MATCH('HIDDEN_APS Part Numbers'!$A147,PART_NUMBER_GENERATOR_TABLE[[ROW]:[ROW]],0),1),"")</f>
        <v/>
      </c>
      <c r="F145" s="465" t="str">
        <f t="shared" si="1"/>
        <v/>
      </c>
      <c r="G145" s="465" t="str">
        <f>IFERROR(INDEX(#REF!,MATCH('HIDDEN_APS Part Numbers'!$A147,PART_NUMBER_GENERATOR_TABLE[[ROW]:[ROW]],0),1),"")</f>
        <v/>
      </c>
      <c r="H145" s="465" t="str">
        <f>IFERROR(INDEX(#REF!,MATCH('HIDDEN_APS Part Numbers'!$A147,PART_NUMBER_GENERATOR_TABLE[[ROW]:[ROW]],0),1),"")</f>
        <v/>
      </c>
      <c r="I145" s="465" t="str">
        <f>IFERROR(INDEX(#REF!,MATCH('HIDDEN_APS Part Numbers'!$A147,PART_NUMBER_GENERATOR_TABLE[[ROW]:[ROW]],0),1),"")</f>
        <v/>
      </c>
    </row>
    <row r="146" spans="2:9">
      <c r="B146" t="str">
        <f>IFERROR(INDEX(PART_NUMBER_GENERATOR_TABLE[Manufacturer Part Number],MATCH('HIDDEN_APS Part Numbers'!$A148,PART_NUMBER_GENERATOR_TABLE[[ROW]:[ROW]],0),1),"")</f>
        <v/>
      </c>
      <c r="C146" t="str">
        <f>IFERROR(INDEX(PART_NUMBER_GENERATOR_TABLE[Quantity],MATCH('HIDDEN_APS Part Numbers'!$A148,PART_NUMBER_GENERATOR_TABLE[[ROW]:[ROW]],0),1),"")</f>
        <v/>
      </c>
      <c r="D146" s="465" t="str">
        <f>IFERROR(INDEX(PART_NUMBER_GENERATOR_TABLE[Cost],MATCH('HIDDEN_APS Part Numbers'!$A148,PART_NUMBER_GENERATOR_TABLE[[ROW]:[ROW]],0),1),"")</f>
        <v/>
      </c>
      <c r="E146" s="465" t="str">
        <f>IFERROR(INDEX(PART_NUMBER_GENERATOR_TABLE[Suggested Price],MATCH('HIDDEN_APS Part Numbers'!$A148,PART_NUMBER_GENERATOR_TABLE[[ROW]:[ROW]],0),1),"")</f>
        <v/>
      </c>
      <c r="F146" s="465" t="str">
        <f t="shared" si="1"/>
        <v/>
      </c>
      <c r="G146" s="465" t="str">
        <f>IFERROR(INDEX(#REF!,MATCH('HIDDEN_APS Part Numbers'!$A148,PART_NUMBER_GENERATOR_TABLE[[ROW]:[ROW]],0),1),"")</f>
        <v/>
      </c>
      <c r="H146" s="465" t="str">
        <f>IFERROR(INDEX(#REF!,MATCH('HIDDEN_APS Part Numbers'!$A148,PART_NUMBER_GENERATOR_TABLE[[ROW]:[ROW]],0),1),"")</f>
        <v/>
      </c>
      <c r="I146" s="465" t="str">
        <f>IFERROR(INDEX(#REF!,MATCH('HIDDEN_APS Part Numbers'!$A148,PART_NUMBER_GENERATOR_TABLE[[ROW]:[ROW]],0),1),"")</f>
        <v/>
      </c>
    </row>
    <row r="147" spans="2:9">
      <c r="B147" t="str">
        <f>IFERROR(INDEX(PART_NUMBER_GENERATOR_TABLE[Manufacturer Part Number],MATCH('HIDDEN_APS Part Numbers'!$A149,PART_NUMBER_GENERATOR_TABLE[[ROW]:[ROW]],0),1),"")</f>
        <v/>
      </c>
      <c r="C147" t="str">
        <f>IFERROR(INDEX(PART_NUMBER_GENERATOR_TABLE[Quantity],MATCH('HIDDEN_APS Part Numbers'!$A149,PART_NUMBER_GENERATOR_TABLE[[ROW]:[ROW]],0),1),"")</f>
        <v/>
      </c>
      <c r="D147" s="465" t="str">
        <f>IFERROR(INDEX(PART_NUMBER_GENERATOR_TABLE[Cost],MATCH('HIDDEN_APS Part Numbers'!$A149,PART_NUMBER_GENERATOR_TABLE[[ROW]:[ROW]],0),1),"")</f>
        <v/>
      </c>
      <c r="E147" s="465" t="str">
        <f>IFERROR(INDEX(PART_NUMBER_GENERATOR_TABLE[Suggested Price],MATCH('HIDDEN_APS Part Numbers'!$A149,PART_NUMBER_GENERATOR_TABLE[[ROW]:[ROW]],0),1),"")</f>
        <v/>
      </c>
      <c r="F147" s="465" t="str">
        <f t="shared" si="1"/>
        <v/>
      </c>
      <c r="G147" s="465" t="str">
        <f>IFERROR(INDEX(#REF!,MATCH('HIDDEN_APS Part Numbers'!$A149,PART_NUMBER_GENERATOR_TABLE[[ROW]:[ROW]],0),1),"")</f>
        <v/>
      </c>
      <c r="H147" s="465" t="str">
        <f>IFERROR(INDEX(#REF!,MATCH('HIDDEN_APS Part Numbers'!$A149,PART_NUMBER_GENERATOR_TABLE[[ROW]:[ROW]],0),1),"")</f>
        <v/>
      </c>
      <c r="I147" s="465" t="str">
        <f>IFERROR(INDEX(#REF!,MATCH('HIDDEN_APS Part Numbers'!$A149,PART_NUMBER_GENERATOR_TABLE[[ROW]:[ROW]],0),1),"")</f>
        <v/>
      </c>
    </row>
    <row r="148" spans="2:9">
      <c r="B148" t="str">
        <f>IFERROR(INDEX(PART_NUMBER_GENERATOR_TABLE[Manufacturer Part Number],MATCH('HIDDEN_APS Part Numbers'!$A150,PART_NUMBER_GENERATOR_TABLE[[ROW]:[ROW]],0),1),"")</f>
        <v/>
      </c>
      <c r="C148" t="str">
        <f>IFERROR(INDEX(PART_NUMBER_GENERATOR_TABLE[Quantity],MATCH('HIDDEN_APS Part Numbers'!$A150,PART_NUMBER_GENERATOR_TABLE[[ROW]:[ROW]],0),1),"")</f>
        <v/>
      </c>
      <c r="D148" s="465" t="str">
        <f>IFERROR(INDEX(PART_NUMBER_GENERATOR_TABLE[Cost],MATCH('HIDDEN_APS Part Numbers'!$A150,PART_NUMBER_GENERATOR_TABLE[[ROW]:[ROW]],0),1),"")</f>
        <v/>
      </c>
      <c r="E148" s="465" t="str">
        <f>IFERROR(INDEX(PART_NUMBER_GENERATOR_TABLE[Suggested Price],MATCH('HIDDEN_APS Part Numbers'!$A150,PART_NUMBER_GENERATOR_TABLE[[ROW]:[ROW]],0),1),"")</f>
        <v/>
      </c>
      <c r="F148" s="465" t="str">
        <f t="shared" si="1"/>
        <v/>
      </c>
      <c r="G148" s="465" t="str">
        <f>IFERROR(INDEX(#REF!,MATCH('HIDDEN_APS Part Numbers'!$A150,PART_NUMBER_GENERATOR_TABLE[[ROW]:[ROW]],0),1),"")</f>
        <v/>
      </c>
      <c r="H148" s="465" t="str">
        <f>IFERROR(INDEX(#REF!,MATCH('HIDDEN_APS Part Numbers'!$A150,PART_NUMBER_GENERATOR_TABLE[[ROW]:[ROW]],0),1),"")</f>
        <v/>
      </c>
      <c r="I148" s="465" t="str">
        <f>IFERROR(INDEX(#REF!,MATCH('HIDDEN_APS Part Numbers'!$A150,PART_NUMBER_GENERATOR_TABLE[[ROW]:[ROW]],0),1),"")</f>
        <v/>
      </c>
    </row>
    <row r="149" spans="2:9">
      <c r="B149" t="str">
        <f>IFERROR(INDEX(PART_NUMBER_GENERATOR_TABLE[Manufacturer Part Number],MATCH('HIDDEN_APS Part Numbers'!$A151,PART_NUMBER_GENERATOR_TABLE[[ROW]:[ROW]],0),1),"")</f>
        <v/>
      </c>
      <c r="C149" t="str">
        <f>IFERROR(INDEX(PART_NUMBER_GENERATOR_TABLE[Quantity],MATCH('HIDDEN_APS Part Numbers'!$A151,PART_NUMBER_GENERATOR_TABLE[[ROW]:[ROW]],0),1),"")</f>
        <v/>
      </c>
      <c r="D149" s="465" t="str">
        <f>IFERROR(INDEX(PART_NUMBER_GENERATOR_TABLE[Cost],MATCH('HIDDEN_APS Part Numbers'!$A151,PART_NUMBER_GENERATOR_TABLE[[ROW]:[ROW]],0),1),"")</f>
        <v/>
      </c>
      <c r="E149" s="465" t="str">
        <f>IFERROR(INDEX(PART_NUMBER_GENERATOR_TABLE[Suggested Price],MATCH('HIDDEN_APS Part Numbers'!$A151,PART_NUMBER_GENERATOR_TABLE[[ROW]:[ROW]],0),1),"")</f>
        <v/>
      </c>
      <c r="F149" s="465" t="str">
        <f t="shared" si="1"/>
        <v/>
      </c>
      <c r="G149" s="465" t="str">
        <f>IFERROR(INDEX(#REF!,MATCH('HIDDEN_APS Part Numbers'!$A151,PART_NUMBER_GENERATOR_TABLE[[ROW]:[ROW]],0),1),"")</f>
        <v/>
      </c>
      <c r="H149" s="465" t="str">
        <f>IFERROR(INDEX(#REF!,MATCH('HIDDEN_APS Part Numbers'!$A151,PART_NUMBER_GENERATOR_TABLE[[ROW]:[ROW]],0),1),"")</f>
        <v/>
      </c>
      <c r="I149" s="465" t="str">
        <f>IFERROR(INDEX(#REF!,MATCH('HIDDEN_APS Part Numbers'!$A151,PART_NUMBER_GENERATOR_TABLE[[ROW]:[ROW]],0),1),"")</f>
        <v/>
      </c>
    </row>
    <row r="150" spans="2:9">
      <c r="B150" t="str">
        <f>IFERROR(INDEX(PART_NUMBER_GENERATOR_TABLE[Manufacturer Part Number],MATCH('HIDDEN_APS Part Numbers'!$A152,PART_NUMBER_GENERATOR_TABLE[[ROW]:[ROW]],0),1),"")</f>
        <v/>
      </c>
      <c r="C150" t="str">
        <f>IFERROR(INDEX(PART_NUMBER_GENERATOR_TABLE[Quantity],MATCH('HIDDEN_APS Part Numbers'!$A152,PART_NUMBER_GENERATOR_TABLE[[ROW]:[ROW]],0),1),"")</f>
        <v/>
      </c>
      <c r="D150" s="465" t="str">
        <f>IFERROR(INDEX(PART_NUMBER_GENERATOR_TABLE[Cost],MATCH('HIDDEN_APS Part Numbers'!$A152,PART_NUMBER_GENERATOR_TABLE[[ROW]:[ROW]],0),1),"")</f>
        <v/>
      </c>
      <c r="E150" s="465" t="str">
        <f>IFERROR(INDEX(PART_NUMBER_GENERATOR_TABLE[Suggested Price],MATCH('HIDDEN_APS Part Numbers'!$A152,PART_NUMBER_GENERATOR_TABLE[[ROW]:[ROW]],0),1),"")</f>
        <v/>
      </c>
      <c r="F150" s="465" t="str">
        <f t="shared" si="1"/>
        <v/>
      </c>
      <c r="G150" s="465" t="str">
        <f>IFERROR(INDEX(#REF!,MATCH('HIDDEN_APS Part Numbers'!$A152,PART_NUMBER_GENERATOR_TABLE[[ROW]:[ROW]],0),1),"")</f>
        <v/>
      </c>
      <c r="H150" s="465" t="str">
        <f>IFERROR(INDEX(#REF!,MATCH('HIDDEN_APS Part Numbers'!$A152,PART_NUMBER_GENERATOR_TABLE[[ROW]:[ROW]],0),1),"")</f>
        <v/>
      </c>
      <c r="I150" s="465" t="str">
        <f>IFERROR(INDEX(#REF!,MATCH('HIDDEN_APS Part Numbers'!$A152,PART_NUMBER_GENERATOR_TABLE[[ROW]:[ROW]],0),1),"")</f>
        <v/>
      </c>
    </row>
    <row r="151" spans="2:9">
      <c r="B151" t="str">
        <f>IFERROR(INDEX(PART_NUMBER_GENERATOR_TABLE[Manufacturer Part Number],MATCH('HIDDEN_APS Part Numbers'!$A153,PART_NUMBER_GENERATOR_TABLE[[ROW]:[ROW]],0),1),"")</f>
        <v/>
      </c>
      <c r="C151" t="str">
        <f>IFERROR(INDEX(PART_NUMBER_GENERATOR_TABLE[Quantity],MATCH('HIDDEN_APS Part Numbers'!$A153,PART_NUMBER_GENERATOR_TABLE[[ROW]:[ROW]],0),1),"")</f>
        <v/>
      </c>
      <c r="D151" s="465" t="str">
        <f>IFERROR(INDEX(PART_NUMBER_GENERATOR_TABLE[Cost],MATCH('HIDDEN_APS Part Numbers'!$A153,PART_NUMBER_GENERATOR_TABLE[[ROW]:[ROW]],0),1),"")</f>
        <v/>
      </c>
      <c r="E151" s="465" t="str">
        <f>IFERROR(INDEX(PART_NUMBER_GENERATOR_TABLE[Suggested Price],MATCH('HIDDEN_APS Part Numbers'!$A153,PART_NUMBER_GENERATOR_TABLE[[ROW]:[ROW]],0),1),"")</f>
        <v/>
      </c>
      <c r="F151" s="465" t="str">
        <f t="shared" si="1"/>
        <v/>
      </c>
      <c r="G151" s="465" t="str">
        <f>IFERROR(INDEX(#REF!,MATCH('HIDDEN_APS Part Numbers'!$A153,PART_NUMBER_GENERATOR_TABLE[[ROW]:[ROW]],0),1),"")</f>
        <v/>
      </c>
      <c r="H151" s="465" t="str">
        <f>IFERROR(INDEX(#REF!,MATCH('HIDDEN_APS Part Numbers'!$A153,PART_NUMBER_GENERATOR_TABLE[[ROW]:[ROW]],0),1),"")</f>
        <v/>
      </c>
      <c r="I151" s="465" t="str">
        <f>IFERROR(INDEX(#REF!,MATCH('HIDDEN_APS Part Numbers'!$A153,PART_NUMBER_GENERATOR_TABLE[[ROW]:[ROW]],0),1),"")</f>
        <v/>
      </c>
    </row>
    <row r="152" spans="2:9">
      <c r="B152" t="str">
        <f>IFERROR(INDEX(PART_NUMBER_GENERATOR_TABLE[Manufacturer Part Number],MATCH('HIDDEN_APS Part Numbers'!$A154,PART_NUMBER_GENERATOR_TABLE[[ROW]:[ROW]],0),1),"")</f>
        <v/>
      </c>
      <c r="C152" t="str">
        <f>IFERROR(INDEX(PART_NUMBER_GENERATOR_TABLE[Quantity],MATCH('HIDDEN_APS Part Numbers'!$A154,PART_NUMBER_GENERATOR_TABLE[[ROW]:[ROW]],0),1),"")</f>
        <v/>
      </c>
      <c r="D152" s="465" t="str">
        <f>IFERROR(INDEX(PART_NUMBER_GENERATOR_TABLE[Cost],MATCH('HIDDEN_APS Part Numbers'!$A154,PART_NUMBER_GENERATOR_TABLE[[ROW]:[ROW]],0),1),"")</f>
        <v/>
      </c>
      <c r="E152" s="465" t="str">
        <f>IFERROR(INDEX(PART_NUMBER_GENERATOR_TABLE[Suggested Price],MATCH('HIDDEN_APS Part Numbers'!$A154,PART_NUMBER_GENERATOR_TABLE[[ROW]:[ROW]],0),1),"")</f>
        <v/>
      </c>
      <c r="F152" s="465" t="str">
        <f t="shared" si="1"/>
        <v/>
      </c>
      <c r="G152" s="465" t="str">
        <f>IFERROR(INDEX(#REF!,MATCH('HIDDEN_APS Part Numbers'!$A154,PART_NUMBER_GENERATOR_TABLE[[ROW]:[ROW]],0),1),"")</f>
        <v/>
      </c>
      <c r="H152" s="465" t="str">
        <f>IFERROR(INDEX(#REF!,MATCH('HIDDEN_APS Part Numbers'!$A154,PART_NUMBER_GENERATOR_TABLE[[ROW]:[ROW]],0),1),"")</f>
        <v/>
      </c>
      <c r="I152" s="465" t="str">
        <f>IFERROR(INDEX(#REF!,MATCH('HIDDEN_APS Part Numbers'!$A154,PART_NUMBER_GENERATOR_TABLE[[ROW]:[ROW]],0),1),"")</f>
        <v/>
      </c>
    </row>
    <row r="153" spans="2:9">
      <c r="B153" t="str">
        <f>IFERROR(INDEX(PART_NUMBER_GENERATOR_TABLE[Manufacturer Part Number],MATCH('HIDDEN_APS Part Numbers'!$A155,PART_NUMBER_GENERATOR_TABLE[[ROW]:[ROW]],0),1),"")</f>
        <v/>
      </c>
      <c r="C153" t="str">
        <f>IFERROR(INDEX(PART_NUMBER_GENERATOR_TABLE[Quantity],MATCH('HIDDEN_APS Part Numbers'!$A155,PART_NUMBER_GENERATOR_TABLE[[ROW]:[ROW]],0),1),"")</f>
        <v/>
      </c>
      <c r="D153" s="465" t="str">
        <f>IFERROR(INDEX(PART_NUMBER_GENERATOR_TABLE[Cost],MATCH('HIDDEN_APS Part Numbers'!$A155,PART_NUMBER_GENERATOR_TABLE[[ROW]:[ROW]],0),1),"")</f>
        <v/>
      </c>
      <c r="E153" s="465" t="str">
        <f>IFERROR(INDEX(PART_NUMBER_GENERATOR_TABLE[Suggested Price],MATCH('HIDDEN_APS Part Numbers'!$A155,PART_NUMBER_GENERATOR_TABLE[[ROW]:[ROW]],0),1),"")</f>
        <v/>
      </c>
      <c r="F153" s="465" t="str">
        <f t="shared" ref="F153:F178" si="2">IF(B153&lt;&gt;"",FALSE,"")</f>
        <v/>
      </c>
      <c r="G153" s="465" t="str">
        <f>IFERROR(INDEX(#REF!,MATCH('HIDDEN_APS Part Numbers'!$A155,PART_NUMBER_GENERATOR_TABLE[[ROW]:[ROW]],0),1),"")</f>
        <v/>
      </c>
      <c r="H153" s="465" t="str">
        <f>IFERROR(INDEX(#REF!,MATCH('HIDDEN_APS Part Numbers'!$A155,PART_NUMBER_GENERATOR_TABLE[[ROW]:[ROW]],0),1),"")</f>
        <v/>
      </c>
      <c r="I153" s="465" t="str">
        <f>IFERROR(INDEX(#REF!,MATCH('HIDDEN_APS Part Numbers'!$A155,PART_NUMBER_GENERATOR_TABLE[[ROW]:[ROW]],0),1),"")</f>
        <v/>
      </c>
    </row>
    <row r="154" spans="2:9">
      <c r="B154" t="str">
        <f>IFERROR(INDEX(PART_NUMBER_GENERATOR_TABLE[Manufacturer Part Number],MATCH('HIDDEN_APS Part Numbers'!$A156,PART_NUMBER_GENERATOR_TABLE[[ROW]:[ROW]],0),1),"")</f>
        <v/>
      </c>
      <c r="C154" t="str">
        <f>IFERROR(INDEX(PART_NUMBER_GENERATOR_TABLE[Quantity],MATCH('HIDDEN_APS Part Numbers'!$A156,PART_NUMBER_GENERATOR_TABLE[[ROW]:[ROW]],0),1),"")</f>
        <v/>
      </c>
      <c r="D154" s="465" t="str">
        <f>IFERROR(INDEX(PART_NUMBER_GENERATOR_TABLE[Cost],MATCH('HIDDEN_APS Part Numbers'!$A156,PART_NUMBER_GENERATOR_TABLE[[ROW]:[ROW]],0),1),"")</f>
        <v/>
      </c>
      <c r="E154" s="465" t="str">
        <f>IFERROR(INDEX(PART_NUMBER_GENERATOR_TABLE[Suggested Price],MATCH('HIDDEN_APS Part Numbers'!$A156,PART_NUMBER_GENERATOR_TABLE[[ROW]:[ROW]],0),1),"")</f>
        <v/>
      </c>
      <c r="F154" s="465" t="str">
        <f t="shared" si="2"/>
        <v/>
      </c>
      <c r="G154" s="465" t="str">
        <f>IFERROR(INDEX(#REF!,MATCH('HIDDEN_APS Part Numbers'!$A156,PART_NUMBER_GENERATOR_TABLE[[ROW]:[ROW]],0),1),"")</f>
        <v/>
      </c>
      <c r="H154" s="465" t="str">
        <f>IFERROR(INDEX(#REF!,MATCH('HIDDEN_APS Part Numbers'!$A156,PART_NUMBER_GENERATOR_TABLE[[ROW]:[ROW]],0),1),"")</f>
        <v/>
      </c>
      <c r="I154" s="465" t="str">
        <f>IFERROR(INDEX(#REF!,MATCH('HIDDEN_APS Part Numbers'!$A156,PART_NUMBER_GENERATOR_TABLE[[ROW]:[ROW]],0),1),"")</f>
        <v/>
      </c>
    </row>
    <row r="155" spans="2:9">
      <c r="B155" t="str">
        <f>IFERROR(INDEX(PART_NUMBER_GENERATOR_TABLE[Manufacturer Part Number],MATCH('HIDDEN_APS Part Numbers'!$A157,PART_NUMBER_GENERATOR_TABLE[[ROW]:[ROW]],0),1),"")</f>
        <v/>
      </c>
      <c r="C155" t="str">
        <f>IFERROR(INDEX(PART_NUMBER_GENERATOR_TABLE[Quantity],MATCH('HIDDEN_APS Part Numbers'!$A157,PART_NUMBER_GENERATOR_TABLE[[ROW]:[ROW]],0),1),"")</f>
        <v/>
      </c>
      <c r="D155" s="465" t="str">
        <f>IFERROR(INDEX(PART_NUMBER_GENERATOR_TABLE[Cost],MATCH('HIDDEN_APS Part Numbers'!$A157,PART_NUMBER_GENERATOR_TABLE[[ROW]:[ROW]],0),1),"")</f>
        <v/>
      </c>
      <c r="E155" s="465" t="str">
        <f>IFERROR(INDEX(PART_NUMBER_GENERATOR_TABLE[Suggested Price],MATCH('HIDDEN_APS Part Numbers'!$A157,PART_NUMBER_GENERATOR_TABLE[[ROW]:[ROW]],0),1),"")</f>
        <v/>
      </c>
      <c r="F155" s="465" t="str">
        <f t="shared" si="2"/>
        <v/>
      </c>
      <c r="G155" s="465" t="str">
        <f>IFERROR(INDEX(#REF!,MATCH('HIDDEN_APS Part Numbers'!$A157,PART_NUMBER_GENERATOR_TABLE[[ROW]:[ROW]],0),1),"")</f>
        <v/>
      </c>
      <c r="H155" s="465" t="str">
        <f>IFERROR(INDEX(#REF!,MATCH('HIDDEN_APS Part Numbers'!$A157,PART_NUMBER_GENERATOR_TABLE[[ROW]:[ROW]],0),1),"")</f>
        <v/>
      </c>
      <c r="I155" s="465" t="str">
        <f>IFERROR(INDEX(#REF!,MATCH('HIDDEN_APS Part Numbers'!$A157,PART_NUMBER_GENERATOR_TABLE[[ROW]:[ROW]],0),1),"")</f>
        <v/>
      </c>
    </row>
    <row r="156" spans="2:9">
      <c r="B156" t="str">
        <f>IFERROR(INDEX(PART_NUMBER_GENERATOR_TABLE[Manufacturer Part Number],MATCH('HIDDEN_APS Part Numbers'!$A158,PART_NUMBER_GENERATOR_TABLE[[ROW]:[ROW]],0),1),"")</f>
        <v/>
      </c>
      <c r="C156" t="str">
        <f>IFERROR(INDEX(PART_NUMBER_GENERATOR_TABLE[Quantity],MATCH('HIDDEN_APS Part Numbers'!$A158,PART_NUMBER_GENERATOR_TABLE[[ROW]:[ROW]],0),1),"")</f>
        <v/>
      </c>
      <c r="D156" s="465" t="str">
        <f>IFERROR(INDEX(PART_NUMBER_GENERATOR_TABLE[Cost],MATCH('HIDDEN_APS Part Numbers'!$A158,PART_NUMBER_GENERATOR_TABLE[[ROW]:[ROW]],0),1),"")</f>
        <v/>
      </c>
      <c r="E156" s="465" t="str">
        <f>IFERROR(INDEX(PART_NUMBER_GENERATOR_TABLE[Suggested Price],MATCH('HIDDEN_APS Part Numbers'!$A158,PART_NUMBER_GENERATOR_TABLE[[ROW]:[ROW]],0),1),"")</f>
        <v/>
      </c>
      <c r="F156" s="465" t="str">
        <f t="shared" si="2"/>
        <v/>
      </c>
      <c r="G156" s="465" t="str">
        <f>IFERROR(INDEX(#REF!,MATCH('HIDDEN_APS Part Numbers'!$A158,PART_NUMBER_GENERATOR_TABLE[[ROW]:[ROW]],0),1),"")</f>
        <v/>
      </c>
      <c r="H156" s="465" t="str">
        <f>IFERROR(INDEX(#REF!,MATCH('HIDDEN_APS Part Numbers'!$A158,PART_NUMBER_GENERATOR_TABLE[[ROW]:[ROW]],0),1),"")</f>
        <v/>
      </c>
      <c r="I156" s="465" t="str">
        <f>IFERROR(INDEX(#REF!,MATCH('HIDDEN_APS Part Numbers'!$A158,PART_NUMBER_GENERATOR_TABLE[[ROW]:[ROW]],0),1),"")</f>
        <v/>
      </c>
    </row>
    <row r="157" spans="2:9">
      <c r="B157" t="str">
        <f>IFERROR(INDEX(PART_NUMBER_GENERATOR_TABLE[Manufacturer Part Number],MATCH('HIDDEN_APS Part Numbers'!$A159,PART_NUMBER_GENERATOR_TABLE[[ROW]:[ROW]],0),1),"")</f>
        <v/>
      </c>
      <c r="C157" t="str">
        <f>IFERROR(INDEX(PART_NUMBER_GENERATOR_TABLE[Quantity],MATCH('HIDDEN_APS Part Numbers'!$A159,PART_NUMBER_GENERATOR_TABLE[[ROW]:[ROW]],0),1),"")</f>
        <v/>
      </c>
      <c r="D157" s="465" t="str">
        <f>IFERROR(INDEX(PART_NUMBER_GENERATOR_TABLE[Cost],MATCH('HIDDEN_APS Part Numbers'!$A159,PART_NUMBER_GENERATOR_TABLE[[ROW]:[ROW]],0),1),"")</f>
        <v/>
      </c>
      <c r="E157" s="465" t="str">
        <f>IFERROR(INDEX(PART_NUMBER_GENERATOR_TABLE[Suggested Price],MATCH('HIDDEN_APS Part Numbers'!$A159,PART_NUMBER_GENERATOR_TABLE[[ROW]:[ROW]],0),1),"")</f>
        <v/>
      </c>
      <c r="F157" s="465" t="str">
        <f t="shared" si="2"/>
        <v/>
      </c>
      <c r="G157" s="465" t="str">
        <f>IFERROR(INDEX(#REF!,MATCH('HIDDEN_APS Part Numbers'!$A159,PART_NUMBER_GENERATOR_TABLE[[ROW]:[ROW]],0),1),"")</f>
        <v/>
      </c>
      <c r="H157" s="465" t="str">
        <f>IFERROR(INDEX(#REF!,MATCH('HIDDEN_APS Part Numbers'!$A159,PART_NUMBER_GENERATOR_TABLE[[ROW]:[ROW]],0),1),"")</f>
        <v/>
      </c>
      <c r="I157" s="465" t="str">
        <f>IFERROR(INDEX(#REF!,MATCH('HIDDEN_APS Part Numbers'!$A159,PART_NUMBER_GENERATOR_TABLE[[ROW]:[ROW]],0),1),"")</f>
        <v/>
      </c>
    </row>
    <row r="158" spans="2:9">
      <c r="B158" t="str">
        <f>IFERROR(INDEX(PART_NUMBER_GENERATOR_TABLE[Manufacturer Part Number],MATCH('HIDDEN_APS Part Numbers'!$A160,PART_NUMBER_GENERATOR_TABLE[[ROW]:[ROW]],0),1),"")</f>
        <v/>
      </c>
      <c r="C158" t="str">
        <f>IFERROR(INDEX(PART_NUMBER_GENERATOR_TABLE[Quantity],MATCH('HIDDEN_APS Part Numbers'!$A160,PART_NUMBER_GENERATOR_TABLE[[ROW]:[ROW]],0),1),"")</f>
        <v/>
      </c>
      <c r="D158" s="465" t="str">
        <f>IFERROR(INDEX(PART_NUMBER_GENERATOR_TABLE[Cost],MATCH('HIDDEN_APS Part Numbers'!$A160,PART_NUMBER_GENERATOR_TABLE[[ROW]:[ROW]],0),1),"")</f>
        <v/>
      </c>
      <c r="E158" s="465" t="str">
        <f>IFERROR(INDEX(PART_NUMBER_GENERATOR_TABLE[Suggested Price],MATCH('HIDDEN_APS Part Numbers'!$A160,PART_NUMBER_GENERATOR_TABLE[[ROW]:[ROW]],0),1),"")</f>
        <v/>
      </c>
      <c r="F158" s="465" t="str">
        <f t="shared" si="2"/>
        <v/>
      </c>
      <c r="G158" s="465" t="str">
        <f>IFERROR(INDEX(#REF!,MATCH('HIDDEN_APS Part Numbers'!$A160,PART_NUMBER_GENERATOR_TABLE[[ROW]:[ROW]],0),1),"")</f>
        <v/>
      </c>
      <c r="H158" s="465" t="str">
        <f>IFERROR(INDEX(#REF!,MATCH('HIDDEN_APS Part Numbers'!$A160,PART_NUMBER_GENERATOR_TABLE[[ROW]:[ROW]],0),1),"")</f>
        <v/>
      </c>
      <c r="I158" s="465" t="str">
        <f>IFERROR(INDEX(#REF!,MATCH('HIDDEN_APS Part Numbers'!$A160,PART_NUMBER_GENERATOR_TABLE[[ROW]:[ROW]],0),1),"")</f>
        <v/>
      </c>
    </row>
    <row r="159" spans="2:9">
      <c r="B159" t="str">
        <f>IFERROR(INDEX(PART_NUMBER_GENERATOR_TABLE[Manufacturer Part Number],MATCH('HIDDEN_APS Part Numbers'!$A161,PART_NUMBER_GENERATOR_TABLE[[ROW]:[ROW]],0),1),"")</f>
        <v/>
      </c>
      <c r="C159" t="str">
        <f>IFERROR(INDEX(PART_NUMBER_GENERATOR_TABLE[Quantity],MATCH('HIDDEN_APS Part Numbers'!$A161,PART_NUMBER_GENERATOR_TABLE[[ROW]:[ROW]],0),1),"")</f>
        <v/>
      </c>
      <c r="D159" s="465" t="str">
        <f>IFERROR(INDEX(PART_NUMBER_GENERATOR_TABLE[Cost],MATCH('HIDDEN_APS Part Numbers'!$A161,PART_NUMBER_GENERATOR_TABLE[[ROW]:[ROW]],0),1),"")</f>
        <v/>
      </c>
      <c r="E159" s="465" t="str">
        <f>IFERROR(INDEX(PART_NUMBER_GENERATOR_TABLE[Suggested Price],MATCH('HIDDEN_APS Part Numbers'!$A161,PART_NUMBER_GENERATOR_TABLE[[ROW]:[ROW]],0),1),"")</f>
        <v/>
      </c>
      <c r="F159" s="465" t="str">
        <f t="shared" si="2"/>
        <v/>
      </c>
      <c r="G159" s="465" t="str">
        <f>IFERROR(INDEX(#REF!,MATCH('HIDDEN_APS Part Numbers'!$A161,PART_NUMBER_GENERATOR_TABLE[[ROW]:[ROW]],0),1),"")</f>
        <v/>
      </c>
      <c r="H159" s="465" t="str">
        <f>IFERROR(INDEX(#REF!,MATCH('HIDDEN_APS Part Numbers'!$A161,PART_NUMBER_GENERATOR_TABLE[[ROW]:[ROW]],0),1),"")</f>
        <v/>
      </c>
      <c r="I159" s="465" t="str">
        <f>IFERROR(INDEX(#REF!,MATCH('HIDDEN_APS Part Numbers'!$A161,PART_NUMBER_GENERATOR_TABLE[[ROW]:[ROW]],0),1),"")</f>
        <v/>
      </c>
    </row>
    <row r="160" spans="2:9">
      <c r="B160" t="str">
        <f>IFERROR(INDEX(PART_NUMBER_GENERATOR_TABLE[Manufacturer Part Number],MATCH('HIDDEN_APS Part Numbers'!$A162,PART_NUMBER_GENERATOR_TABLE[[ROW]:[ROW]],0),1),"")</f>
        <v/>
      </c>
      <c r="C160" t="str">
        <f>IFERROR(INDEX(PART_NUMBER_GENERATOR_TABLE[Quantity],MATCH('HIDDEN_APS Part Numbers'!$A162,PART_NUMBER_GENERATOR_TABLE[[ROW]:[ROW]],0),1),"")</f>
        <v/>
      </c>
      <c r="D160" s="465" t="str">
        <f>IFERROR(INDEX(PART_NUMBER_GENERATOR_TABLE[Cost],MATCH('HIDDEN_APS Part Numbers'!$A162,PART_NUMBER_GENERATOR_TABLE[[ROW]:[ROW]],0),1),"")</f>
        <v/>
      </c>
      <c r="E160" s="465" t="str">
        <f>IFERROR(INDEX(PART_NUMBER_GENERATOR_TABLE[Suggested Price],MATCH('HIDDEN_APS Part Numbers'!$A162,PART_NUMBER_GENERATOR_TABLE[[ROW]:[ROW]],0),1),"")</f>
        <v/>
      </c>
      <c r="F160" s="465" t="str">
        <f t="shared" si="2"/>
        <v/>
      </c>
      <c r="G160" s="465" t="str">
        <f>IFERROR(INDEX(#REF!,MATCH('HIDDEN_APS Part Numbers'!$A162,PART_NUMBER_GENERATOR_TABLE[[ROW]:[ROW]],0),1),"")</f>
        <v/>
      </c>
      <c r="H160" s="465" t="str">
        <f>IFERROR(INDEX(#REF!,MATCH('HIDDEN_APS Part Numbers'!$A162,PART_NUMBER_GENERATOR_TABLE[[ROW]:[ROW]],0),1),"")</f>
        <v/>
      </c>
      <c r="I160" s="465" t="str">
        <f>IFERROR(INDEX(#REF!,MATCH('HIDDEN_APS Part Numbers'!$A162,PART_NUMBER_GENERATOR_TABLE[[ROW]:[ROW]],0),1),"")</f>
        <v/>
      </c>
    </row>
    <row r="161" spans="2:9">
      <c r="B161" t="str">
        <f>IFERROR(INDEX(PART_NUMBER_GENERATOR_TABLE[Manufacturer Part Number],MATCH('HIDDEN_APS Part Numbers'!$A163,PART_NUMBER_GENERATOR_TABLE[[ROW]:[ROW]],0),1),"")</f>
        <v/>
      </c>
      <c r="C161" t="str">
        <f>IFERROR(INDEX(PART_NUMBER_GENERATOR_TABLE[Quantity],MATCH('HIDDEN_APS Part Numbers'!$A163,PART_NUMBER_GENERATOR_TABLE[[ROW]:[ROW]],0),1),"")</f>
        <v/>
      </c>
      <c r="D161" s="465" t="str">
        <f>IFERROR(INDEX(PART_NUMBER_GENERATOR_TABLE[Cost],MATCH('HIDDEN_APS Part Numbers'!$A163,PART_NUMBER_GENERATOR_TABLE[[ROW]:[ROW]],0),1),"")</f>
        <v/>
      </c>
      <c r="E161" s="465" t="str">
        <f>IFERROR(INDEX(PART_NUMBER_GENERATOR_TABLE[Suggested Price],MATCH('HIDDEN_APS Part Numbers'!$A163,PART_NUMBER_GENERATOR_TABLE[[ROW]:[ROW]],0),1),"")</f>
        <v/>
      </c>
      <c r="F161" s="465" t="str">
        <f t="shared" si="2"/>
        <v/>
      </c>
      <c r="G161" s="465" t="str">
        <f>IFERROR(INDEX(#REF!,MATCH('HIDDEN_APS Part Numbers'!$A163,PART_NUMBER_GENERATOR_TABLE[[ROW]:[ROW]],0),1),"")</f>
        <v/>
      </c>
      <c r="H161" s="465" t="str">
        <f>IFERROR(INDEX(#REF!,MATCH('HIDDEN_APS Part Numbers'!$A163,PART_NUMBER_GENERATOR_TABLE[[ROW]:[ROW]],0),1),"")</f>
        <v/>
      </c>
      <c r="I161" s="465" t="str">
        <f>IFERROR(INDEX(#REF!,MATCH('HIDDEN_APS Part Numbers'!$A163,PART_NUMBER_GENERATOR_TABLE[[ROW]:[ROW]],0),1),"")</f>
        <v/>
      </c>
    </row>
    <row r="162" spans="2:9">
      <c r="B162" t="str">
        <f>IFERROR(INDEX(PART_NUMBER_GENERATOR_TABLE[Manufacturer Part Number],MATCH('HIDDEN_APS Part Numbers'!$A164,PART_NUMBER_GENERATOR_TABLE[[ROW]:[ROW]],0),1),"")</f>
        <v/>
      </c>
      <c r="C162" t="str">
        <f>IFERROR(INDEX(PART_NUMBER_GENERATOR_TABLE[Quantity],MATCH('HIDDEN_APS Part Numbers'!$A164,PART_NUMBER_GENERATOR_TABLE[[ROW]:[ROW]],0),1),"")</f>
        <v/>
      </c>
      <c r="D162" s="465" t="str">
        <f>IFERROR(INDEX(PART_NUMBER_GENERATOR_TABLE[Cost],MATCH('HIDDEN_APS Part Numbers'!$A164,PART_NUMBER_GENERATOR_TABLE[[ROW]:[ROW]],0),1),"")</f>
        <v/>
      </c>
      <c r="E162" s="465" t="str">
        <f>IFERROR(INDEX(PART_NUMBER_GENERATOR_TABLE[Suggested Price],MATCH('HIDDEN_APS Part Numbers'!$A164,PART_NUMBER_GENERATOR_TABLE[[ROW]:[ROW]],0),1),"")</f>
        <v/>
      </c>
      <c r="F162" s="465" t="str">
        <f t="shared" si="2"/>
        <v/>
      </c>
      <c r="G162" s="465" t="str">
        <f>IFERROR(INDEX(#REF!,MATCH('HIDDEN_APS Part Numbers'!$A164,PART_NUMBER_GENERATOR_TABLE[[ROW]:[ROW]],0),1),"")</f>
        <v/>
      </c>
      <c r="H162" s="465" t="str">
        <f>IFERROR(INDEX(#REF!,MATCH('HIDDEN_APS Part Numbers'!$A164,PART_NUMBER_GENERATOR_TABLE[[ROW]:[ROW]],0),1),"")</f>
        <v/>
      </c>
      <c r="I162" s="465" t="str">
        <f>IFERROR(INDEX(#REF!,MATCH('HIDDEN_APS Part Numbers'!$A164,PART_NUMBER_GENERATOR_TABLE[[ROW]:[ROW]],0),1),"")</f>
        <v/>
      </c>
    </row>
    <row r="163" spans="2:9">
      <c r="B163" t="str">
        <f>IFERROR(INDEX(PART_NUMBER_GENERATOR_TABLE[Manufacturer Part Number],MATCH('HIDDEN_APS Part Numbers'!$A165,PART_NUMBER_GENERATOR_TABLE[[ROW]:[ROW]],0),1),"")</f>
        <v/>
      </c>
      <c r="C163" t="str">
        <f>IFERROR(INDEX(PART_NUMBER_GENERATOR_TABLE[Quantity],MATCH('HIDDEN_APS Part Numbers'!$A165,PART_NUMBER_GENERATOR_TABLE[[ROW]:[ROW]],0),1),"")</f>
        <v/>
      </c>
      <c r="D163" s="465" t="str">
        <f>IFERROR(INDEX(PART_NUMBER_GENERATOR_TABLE[Cost],MATCH('HIDDEN_APS Part Numbers'!$A165,PART_NUMBER_GENERATOR_TABLE[[ROW]:[ROW]],0),1),"")</f>
        <v/>
      </c>
      <c r="E163" s="465" t="str">
        <f>IFERROR(INDEX(PART_NUMBER_GENERATOR_TABLE[Suggested Price],MATCH('HIDDEN_APS Part Numbers'!$A165,PART_NUMBER_GENERATOR_TABLE[[ROW]:[ROW]],0),1),"")</f>
        <v/>
      </c>
      <c r="F163" s="465" t="str">
        <f t="shared" si="2"/>
        <v/>
      </c>
      <c r="G163" s="465" t="str">
        <f>IFERROR(INDEX(#REF!,MATCH('HIDDEN_APS Part Numbers'!$A165,PART_NUMBER_GENERATOR_TABLE[[ROW]:[ROW]],0),1),"")</f>
        <v/>
      </c>
      <c r="H163" s="465" t="str">
        <f>IFERROR(INDEX(#REF!,MATCH('HIDDEN_APS Part Numbers'!$A165,PART_NUMBER_GENERATOR_TABLE[[ROW]:[ROW]],0),1),"")</f>
        <v/>
      </c>
      <c r="I163" s="465" t="str">
        <f>IFERROR(INDEX(#REF!,MATCH('HIDDEN_APS Part Numbers'!$A165,PART_NUMBER_GENERATOR_TABLE[[ROW]:[ROW]],0),1),"")</f>
        <v/>
      </c>
    </row>
    <row r="164" spans="2:9">
      <c r="B164" t="str">
        <f>IFERROR(INDEX(PART_NUMBER_GENERATOR_TABLE[Manufacturer Part Number],MATCH('HIDDEN_APS Part Numbers'!$A166,PART_NUMBER_GENERATOR_TABLE[[ROW]:[ROW]],0),1),"")</f>
        <v/>
      </c>
      <c r="C164" t="str">
        <f>IFERROR(INDEX(PART_NUMBER_GENERATOR_TABLE[Quantity],MATCH('HIDDEN_APS Part Numbers'!$A166,PART_NUMBER_GENERATOR_TABLE[[ROW]:[ROW]],0),1),"")</f>
        <v/>
      </c>
      <c r="D164" s="465" t="str">
        <f>IFERROR(INDEX(PART_NUMBER_GENERATOR_TABLE[Cost],MATCH('HIDDEN_APS Part Numbers'!$A166,PART_NUMBER_GENERATOR_TABLE[[ROW]:[ROW]],0),1),"")</f>
        <v/>
      </c>
      <c r="E164" s="465" t="str">
        <f>IFERROR(INDEX(PART_NUMBER_GENERATOR_TABLE[Suggested Price],MATCH('HIDDEN_APS Part Numbers'!$A166,PART_NUMBER_GENERATOR_TABLE[[ROW]:[ROW]],0),1),"")</f>
        <v/>
      </c>
      <c r="F164" s="465" t="str">
        <f t="shared" si="2"/>
        <v/>
      </c>
      <c r="G164" s="465" t="str">
        <f>IFERROR(INDEX(#REF!,MATCH('HIDDEN_APS Part Numbers'!$A166,PART_NUMBER_GENERATOR_TABLE[[ROW]:[ROW]],0),1),"")</f>
        <v/>
      </c>
      <c r="H164" s="465" t="str">
        <f>IFERROR(INDEX(#REF!,MATCH('HIDDEN_APS Part Numbers'!$A166,PART_NUMBER_GENERATOR_TABLE[[ROW]:[ROW]],0),1),"")</f>
        <v/>
      </c>
      <c r="I164" s="465" t="str">
        <f>IFERROR(INDEX(#REF!,MATCH('HIDDEN_APS Part Numbers'!$A166,PART_NUMBER_GENERATOR_TABLE[[ROW]:[ROW]],0),1),"")</f>
        <v/>
      </c>
    </row>
    <row r="165" spans="2:9">
      <c r="B165" t="str">
        <f>IFERROR(INDEX(PART_NUMBER_GENERATOR_TABLE[Manufacturer Part Number],MATCH('HIDDEN_APS Part Numbers'!$A167,PART_NUMBER_GENERATOR_TABLE[[ROW]:[ROW]],0),1),"")</f>
        <v/>
      </c>
      <c r="C165" t="str">
        <f>IFERROR(INDEX(PART_NUMBER_GENERATOR_TABLE[Quantity],MATCH('HIDDEN_APS Part Numbers'!$A167,PART_NUMBER_GENERATOR_TABLE[[ROW]:[ROW]],0),1),"")</f>
        <v/>
      </c>
      <c r="D165" s="465" t="str">
        <f>IFERROR(INDEX(PART_NUMBER_GENERATOR_TABLE[Cost],MATCH('HIDDEN_APS Part Numbers'!$A167,PART_NUMBER_GENERATOR_TABLE[[ROW]:[ROW]],0),1),"")</f>
        <v/>
      </c>
      <c r="E165" s="465" t="str">
        <f>IFERROR(INDEX(PART_NUMBER_GENERATOR_TABLE[Suggested Price],MATCH('HIDDEN_APS Part Numbers'!$A167,PART_NUMBER_GENERATOR_TABLE[[ROW]:[ROW]],0),1),"")</f>
        <v/>
      </c>
      <c r="F165" s="465" t="str">
        <f t="shared" si="2"/>
        <v/>
      </c>
      <c r="G165" s="465" t="str">
        <f>IFERROR(INDEX(#REF!,MATCH('HIDDEN_APS Part Numbers'!$A167,PART_NUMBER_GENERATOR_TABLE[[ROW]:[ROW]],0),1),"")</f>
        <v/>
      </c>
      <c r="H165" s="465" t="str">
        <f>IFERROR(INDEX(#REF!,MATCH('HIDDEN_APS Part Numbers'!$A167,PART_NUMBER_GENERATOR_TABLE[[ROW]:[ROW]],0),1),"")</f>
        <v/>
      </c>
      <c r="I165" s="465" t="str">
        <f>IFERROR(INDEX(#REF!,MATCH('HIDDEN_APS Part Numbers'!$A167,PART_NUMBER_GENERATOR_TABLE[[ROW]:[ROW]],0),1),"")</f>
        <v/>
      </c>
    </row>
    <row r="166" spans="2:9">
      <c r="B166" t="str">
        <f>IFERROR(INDEX(PART_NUMBER_GENERATOR_TABLE[Manufacturer Part Number],MATCH('HIDDEN_APS Part Numbers'!$A168,PART_NUMBER_GENERATOR_TABLE[[ROW]:[ROW]],0),1),"")</f>
        <v/>
      </c>
      <c r="C166" t="str">
        <f>IFERROR(INDEX(PART_NUMBER_GENERATOR_TABLE[Quantity],MATCH('HIDDEN_APS Part Numbers'!$A168,PART_NUMBER_GENERATOR_TABLE[[ROW]:[ROW]],0),1),"")</f>
        <v/>
      </c>
      <c r="D166" s="465" t="str">
        <f>IFERROR(INDEX(PART_NUMBER_GENERATOR_TABLE[Cost],MATCH('HIDDEN_APS Part Numbers'!$A168,PART_NUMBER_GENERATOR_TABLE[[ROW]:[ROW]],0),1),"")</f>
        <v/>
      </c>
      <c r="E166" s="465" t="str">
        <f>IFERROR(INDEX(PART_NUMBER_GENERATOR_TABLE[Suggested Price],MATCH('HIDDEN_APS Part Numbers'!$A168,PART_NUMBER_GENERATOR_TABLE[[ROW]:[ROW]],0),1),"")</f>
        <v/>
      </c>
      <c r="F166" s="465" t="str">
        <f t="shared" si="2"/>
        <v/>
      </c>
      <c r="G166" s="465" t="str">
        <f>IFERROR(INDEX(#REF!,MATCH('HIDDEN_APS Part Numbers'!$A168,PART_NUMBER_GENERATOR_TABLE[[ROW]:[ROW]],0),1),"")</f>
        <v/>
      </c>
      <c r="H166" s="465" t="str">
        <f>IFERROR(INDEX(#REF!,MATCH('HIDDEN_APS Part Numbers'!$A168,PART_NUMBER_GENERATOR_TABLE[[ROW]:[ROW]],0),1),"")</f>
        <v/>
      </c>
      <c r="I166" s="465" t="str">
        <f>IFERROR(INDEX(#REF!,MATCH('HIDDEN_APS Part Numbers'!$A168,PART_NUMBER_GENERATOR_TABLE[[ROW]:[ROW]],0),1),"")</f>
        <v/>
      </c>
    </row>
    <row r="167" spans="2:9">
      <c r="B167" t="str">
        <f>IFERROR(INDEX(PART_NUMBER_GENERATOR_TABLE[Manufacturer Part Number],MATCH('HIDDEN_APS Part Numbers'!$A169,PART_NUMBER_GENERATOR_TABLE[[ROW]:[ROW]],0),1),"")</f>
        <v/>
      </c>
      <c r="C167" t="str">
        <f>IFERROR(INDEX(PART_NUMBER_GENERATOR_TABLE[Quantity],MATCH('HIDDEN_APS Part Numbers'!$A169,PART_NUMBER_GENERATOR_TABLE[[ROW]:[ROW]],0),1),"")</f>
        <v/>
      </c>
      <c r="D167" s="465" t="str">
        <f>IFERROR(INDEX(PART_NUMBER_GENERATOR_TABLE[Cost],MATCH('HIDDEN_APS Part Numbers'!$A169,PART_NUMBER_GENERATOR_TABLE[[ROW]:[ROW]],0),1),"")</f>
        <v/>
      </c>
      <c r="E167" s="465" t="str">
        <f>IFERROR(INDEX(PART_NUMBER_GENERATOR_TABLE[Suggested Price],MATCH('HIDDEN_APS Part Numbers'!$A169,PART_NUMBER_GENERATOR_TABLE[[ROW]:[ROW]],0),1),"")</f>
        <v/>
      </c>
      <c r="F167" s="465" t="str">
        <f t="shared" si="2"/>
        <v/>
      </c>
      <c r="G167" s="465" t="str">
        <f>IFERROR(INDEX(#REF!,MATCH('HIDDEN_APS Part Numbers'!$A169,PART_NUMBER_GENERATOR_TABLE[[ROW]:[ROW]],0),1),"")</f>
        <v/>
      </c>
      <c r="H167" s="465" t="str">
        <f>IFERROR(INDEX(#REF!,MATCH('HIDDEN_APS Part Numbers'!$A169,PART_NUMBER_GENERATOR_TABLE[[ROW]:[ROW]],0),1),"")</f>
        <v/>
      </c>
      <c r="I167" s="465" t="str">
        <f>IFERROR(INDEX(#REF!,MATCH('HIDDEN_APS Part Numbers'!$A169,PART_NUMBER_GENERATOR_TABLE[[ROW]:[ROW]],0),1),"")</f>
        <v/>
      </c>
    </row>
    <row r="168" spans="2:9">
      <c r="B168" t="str">
        <f>IFERROR(INDEX(PART_NUMBER_GENERATOR_TABLE[Manufacturer Part Number],MATCH('HIDDEN_APS Part Numbers'!$A170,PART_NUMBER_GENERATOR_TABLE[[ROW]:[ROW]],0),1),"")</f>
        <v/>
      </c>
      <c r="C168" t="str">
        <f>IFERROR(INDEX(PART_NUMBER_GENERATOR_TABLE[Quantity],MATCH('HIDDEN_APS Part Numbers'!$A170,PART_NUMBER_GENERATOR_TABLE[[ROW]:[ROW]],0),1),"")</f>
        <v/>
      </c>
      <c r="D168" s="465" t="str">
        <f>IFERROR(INDEX(PART_NUMBER_GENERATOR_TABLE[Cost],MATCH('HIDDEN_APS Part Numbers'!$A170,PART_NUMBER_GENERATOR_TABLE[[ROW]:[ROW]],0),1),"")</f>
        <v/>
      </c>
      <c r="E168" s="465" t="str">
        <f>IFERROR(INDEX(PART_NUMBER_GENERATOR_TABLE[Suggested Price],MATCH('HIDDEN_APS Part Numbers'!$A170,PART_NUMBER_GENERATOR_TABLE[[ROW]:[ROW]],0),1),"")</f>
        <v/>
      </c>
      <c r="F168" s="465" t="str">
        <f t="shared" si="2"/>
        <v/>
      </c>
      <c r="G168" s="465" t="str">
        <f>IFERROR(INDEX(#REF!,MATCH('HIDDEN_APS Part Numbers'!$A170,PART_NUMBER_GENERATOR_TABLE[[ROW]:[ROW]],0),1),"")</f>
        <v/>
      </c>
      <c r="H168" s="465" t="str">
        <f>IFERROR(INDEX(#REF!,MATCH('HIDDEN_APS Part Numbers'!$A170,PART_NUMBER_GENERATOR_TABLE[[ROW]:[ROW]],0),1),"")</f>
        <v/>
      </c>
      <c r="I168" s="465" t="str">
        <f>IFERROR(INDEX(#REF!,MATCH('HIDDEN_APS Part Numbers'!$A170,PART_NUMBER_GENERATOR_TABLE[[ROW]:[ROW]],0),1),"")</f>
        <v/>
      </c>
    </row>
    <row r="169" spans="2:9">
      <c r="B169" t="str">
        <f>IFERROR(INDEX(PART_NUMBER_GENERATOR_TABLE[Manufacturer Part Number],MATCH('HIDDEN_APS Part Numbers'!$A171,PART_NUMBER_GENERATOR_TABLE[[ROW]:[ROW]],0),1),"")</f>
        <v/>
      </c>
      <c r="C169" t="str">
        <f>IFERROR(INDEX(PART_NUMBER_GENERATOR_TABLE[Quantity],MATCH('HIDDEN_APS Part Numbers'!$A171,PART_NUMBER_GENERATOR_TABLE[[ROW]:[ROW]],0),1),"")</f>
        <v/>
      </c>
      <c r="D169" s="465" t="str">
        <f>IFERROR(INDEX(PART_NUMBER_GENERATOR_TABLE[Cost],MATCH('HIDDEN_APS Part Numbers'!$A171,PART_NUMBER_GENERATOR_TABLE[[ROW]:[ROW]],0),1),"")</f>
        <v/>
      </c>
      <c r="E169" s="465" t="str">
        <f>IFERROR(INDEX(PART_NUMBER_GENERATOR_TABLE[Suggested Price],MATCH('HIDDEN_APS Part Numbers'!$A171,PART_NUMBER_GENERATOR_TABLE[[ROW]:[ROW]],0),1),"")</f>
        <v/>
      </c>
      <c r="F169" s="465" t="str">
        <f t="shared" si="2"/>
        <v/>
      </c>
      <c r="G169" s="465" t="str">
        <f>IFERROR(INDEX(#REF!,MATCH('HIDDEN_APS Part Numbers'!$A171,PART_NUMBER_GENERATOR_TABLE[[ROW]:[ROW]],0),1),"")</f>
        <v/>
      </c>
      <c r="H169" s="465" t="str">
        <f>IFERROR(INDEX(#REF!,MATCH('HIDDEN_APS Part Numbers'!$A171,PART_NUMBER_GENERATOR_TABLE[[ROW]:[ROW]],0),1),"")</f>
        <v/>
      </c>
      <c r="I169" s="465" t="str">
        <f>IFERROR(INDEX(#REF!,MATCH('HIDDEN_APS Part Numbers'!$A171,PART_NUMBER_GENERATOR_TABLE[[ROW]:[ROW]],0),1),"")</f>
        <v/>
      </c>
    </row>
    <row r="170" spans="2:9">
      <c r="B170" t="str">
        <f>IFERROR(INDEX(PART_NUMBER_GENERATOR_TABLE[Manufacturer Part Number],MATCH('HIDDEN_APS Part Numbers'!$A172,PART_NUMBER_GENERATOR_TABLE[[ROW]:[ROW]],0),1),"")</f>
        <v/>
      </c>
      <c r="C170" t="str">
        <f>IFERROR(INDEX(PART_NUMBER_GENERATOR_TABLE[Quantity],MATCH('HIDDEN_APS Part Numbers'!$A172,PART_NUMBER_GENERATOR_TABLE[[ROW]:[ROW]],0),1),"")</f>
        <v/>
      </c>
      <c r="D170" s="465" t="str">
        <f>IFERROR(INDEX(PART_NUMBER_GENERATOR_TABLE[Cost],MATCH('HIDDEN_APS Part Numbers'!$A172,PART_NUMBER_GENERATOR_TABLE[[ROW]:[ROW]],0),1),"")</f>
        <v/>
      </c>
      <c r="E170" s="465" t="str">
        <f>IFERROR(INDEX(PART_NUMBER_GENERATOR_TABLE[Suggested Price],MATCH('HIDDEN_APS Part Numbers'!$A172,PART_NUMBER_GENERATOR_TABLE[[ROW]:[ROW]],0),1),"")</f>
        <v/>
      </c>
      <c r="F170" s="465" t="str">
        <f t="shared" si="2"/>
        <v/>
      </c>
      <c r="G170" s="465" t="str">
        <f>IFERROR(INDEX(#REF!,MATCH('HIDDEN_APS Part Numbers'!$A172,PART_NUMBER_GENERATOR_TABLE[[ROW]:[ROW]],0),1),"")</f>
        <v/>
      </c>
      <c r="H170" s="465" t="str">
        <f>IFERROR(INDEX(#REF!,MATCH('HIDDEN_APS Part Numbers'!$A172,PART_NUMBER_GENERATOR_TABLE[[ROW]:[ROW]],0),1),"")</f>
        <v/>
      </c>
      <c r="I170" s="465" t="str">
        <f>IFERROR(INDEX(#REF!,MATCH('HIDDEN_APS Part Numbers'!$A172,PART_NUMBER_GENERATOR_TABLE[[ROW]:[ROW]],0),1),"")</f>
        <v/>
      </c>
    </row>
    <row r="171" spans="2:9">
      <c r="B171" t="str">
        <f>IFERROR(INDEX(PART_NUMBER_GENERATOR_TABLE[Manufacturer Part Number],MATCH('HIDDEN_APS Part Numbers'!$A173,PART_NUMBER_GENERATOR_TABLE[[ROW]:[ROW]],0),1),"")</f>
        <v/>
      </c>
      <c r="C171" t="str">
        <f>IFERROR(INDEX(PART_NUMBER_GENERATOR_TABLE[Quantity],MATCH('HIDDEN_APS Part Numbers'!$A173,PART_NUMBER_GENERATOR_TABLE[[ROW]:[ROW]],0),1),"")</f>
        <v/>
      </c>
      <c r="D171" s="465" t="str">
        <f>IFERROR(INDEX(PART_NUMBER_GENERATOR_TABLE[Cost],MATCH('HIDDEN_APS Part Numbers'!$A173,PART_NUMBER_GENERATOR_TABLE[[ROW]:[ROW]],0),1),"")</f>
        <v/>
      </c>
      <c r="E171" s="465" t="str">
        <f>IFERROR(INDEX(PART_NUMBER_GENERATOR_TABLE[Suggested Price],MATCH('HIDDEN_APS Part Numbers'!$A173,PART_NUMBER_GENERATOR_TABLE[[ROW]:[ROW]],0),1),"")</f>
        <v/>
      </c>
      <c r="F171" s="465" t="str">
        <f t="shared" si="2"/>
        <v/>
      </c>
      <c r="G171" s="465" t="str">
        <f>IFERROR(INDEX(#REF!,MATCH('HIDDEN_APS Part Numbers'!$A173,PART_NUMBER_GENERATOR_TABLE[[ROW]:[ROW]],0),1),"")</f>
        <v/>
      </c>
      <c r="H171" s="465" t="str">
        <f>IFERROR(INDEX(#REF!,MATCH('HIDDEN_APS Part Numbers'!$A173,PART_NUMBER_GENERATOR_TABLE[[ROW]:[ROW]],0),1),"")</f>
        <v/>
      </c>
      <c r="I171" s="465" t="str">
        <f>IFERROR(INDEX(#REF!,MATCH('HIDDEN_APS Part Numbers'!$A173,PART_NUMBER_GENERATOR_TABLE[[ROW]:[ROW]],0),1),"")</f>
        <v/>
      </c>
    </row>
    <row r="172" spans="2:9">
      <c r="B172" t="str">
        <f>IFERROR(INDEX(PART_NUMBER_GENERATOR_TABLE[Manufacturer Part Number],MATCH('HIDDEN_APS Part Numbers'!$A174,PART_NUMBER_GENERATOR_TABLE[[ROW]:[ROW]],0),1),"")</f>
        <v/>
      </c>
      <c r="C172" t="str">
        <f>IFERROR(INDEX(PART_NUMBER_GENERATOR_TABLE[Quantity],MATCH('HIDDEN_APS Part Numbers'!$A174,PART_NUMBER_GENERATOR_TABLE[[ROW]:[ROW]],0),1),"")</f>
        <v/>
      </c>
      <c r="D172" s="465" t="str">
        <f>IFERROR(INDEX(PART_NUMBER_GENERATOR_TABLE[Cost],MATCH('HIDDEN_APS Part Numbers'!$A174,PART_NUMBER_GENERATOR_TABLE[[ROW]:[ROW]],0),1),"")</f>
        <v/>
      </c>
      <c r="E172" s="465" t="str">
        <f>IFERROR(INDEX(PART_NUMBER_GENERATOR_TABLE[Suggested Price],MATCH('HIDDEN_APS Part Numbers'!$A174,PART_NUMBER_GENERATOR_TABLE[[ROW]:[ROW]],0),1),"")</f>
        <v/>
      </c>
      <c r="F172" s="465" t="str">
        <f t="shared" si="2"/>
        <v/>
      </c>
      <c r="G172" s="465" t="str">
        <f>IFERROR(INDEX(#REF!,MATCH('HIDDEN_APS Part Numbers'!$A174,PART_NUMBER_GENERATOR_TABLE[[ROW]:[ROW]],0),1),"")</f>
        <v/>
      </c>
      <c r="H172" s="465" t="str">
        <f>IFERROR(INDEX(#REF!,MATCH('HIDDEN_APS Part Numbers'!$A174,PART_NUMBER_GENERATOR_TABLE[[ROW]:[ROW]],0),1),"")</f>
        <v/>
      </c>
      <c r="I172" s="465" t="str">
        <f>IFERROR(INDEX(#REF!,MATCH('HIDDEN_APS Part Numbers'!$A174,PART_NUMBER_GENERATOR_TABLE[[ROW]:[ROW]],0),1),"")</f>
        <v/>
      </c>
    </row>
    <row r="173" spans="2:9">
      <c r="B173" t="str">
        <f>IFERROR(INDEX(PART_NUMBER_GENERATOR_TABLE[Manufacturer Part Number],MATCH('HIDDEN_APS Part Numbers'!$A175,PART_NUMBER_GENERATOR_TABLE[[ROW]:[ROW]],0),1),"")</f>
        <v/>
      </c>
      <c r="C173" t="str">
        <f>IFERROR(INDEX(PART_NUMBER_GENERATOR_TABLE[Quantity],MATCH('HIDDEN_APS Part Numbers'!$A175,PART_NUMBER_GENERATOR_TABLE[[ROW]:[ROW]],0),1),"")</f>
        <v/>
      </c>
      <c r="D173" s="465" t="str">
        <f>IFERROR(INDEX(PART_NUMBER_GENERATOR_TABLE[Cost],MATCH('HIDDEN_APS Part Numbers'!$A175,PART_NUMBER_GENERATOR_TABLE[[ROW]:[ROW]],0),1),"")</f>
        <v/>
      </c>
      <c r="E173" s="465" t="str">
        <f>IFERROR(INDEX(PART_NUMBER_GENERATOR_TABLE[Suggested Price],MATCH('HIDDEN_APS Part Numbers'!$A175,PART_NUMBER_GENERATOR_TABLE[[ROW]:[ROW]],0),1),"")</f>
        <v/>
      </c>
      <c r="F173" s="465" t="str">
        <f t="shared" si="2"/>
        <v/>
      </c>
      <c r="G173" s="465" t="str">
        <f>IFERROR(INDEX(#REF!,MATCH('HIDDEN_APS Part Numbers'!$A175,PART_NUMBER_GENERATOR_TABLE[[ROW]:[ROW]],0),1),"")</f>
        <v/>
      </c>
      <c r="H173" s="465" t="str">
        <f>IFERROR(INDEX(#REF!,MATCH('HIDDEN_APS Part Numbers'!$A175,PART_NUMBER_GENERATOR_TABLE[[ROW]:[ROW]],0),1),"")</f>
        <v/>
      </c>
      <c r="I173" s="465" t="str">
        <f>IFERROR(INDEX(#REF!,MATCH('HIDDEN_APS Part Numbers'!$A175,PART_NUMBER_GENERATOR_TABLE[[ROW]:[ROW]],0),1),"")</f>
        <v/>
      </c>
    </row>
    <row r="174" spans="2:9">
      <c r="B174" t="str">
        <f>IFERROR(INDEX(PART_NUMBER_GENERATOR_TABLE[Manufacturer Part Number],MATCH('HIDDEN_APS Part Numbers'!$A176,PART_NUMBER_GENERATOR_TABLE[[ROW]:[ROW]],0),1),"")</f>
        <v/>
      </c>
      <c r="C174" t="str">
        <f>IFERROR(INDEX(PART_NUMBER_GENERATOR_TABLE[Quantity],MATCH('HIDDEN_APS Part Numbers'!$A176,PART_NUMBER_GENERATOR_TABLE[[ROW]:[ROW]],0),1),"")</f>
        <v/>
      </c>
      <c r="D174" s="465" t="str">
        <f>IFERROR(INDEX(PART_NUMBER_GENERATOR_TABLE[Cost],MATCH('HIDDEN_APS Part Numbers'!$A176,PART_NUMBER_GENERATOR_TABLE[[ROW]:[ROW]],0),1),"")</f>
        <v/>
      </c>
      <c r="E174" s="465" t="str">
        <f>IFERROR(INDEX(PART_NUMBER_GENERATOR_TABLE[Suggested Price],MATCH('HIDDEN_APS Part Numbers'!$A176,PART_NUMBER_GENERATOR_TABLE[[ROW]:[ROW]],0),1),"")</f>
        <v/>
      </c>
      <c r="F174" s="465" t="str">
        <f t="shared" si="2"/>
        <v/>
      </c>
      <c r="G174" s="465" t="str">
        <f>IFERROR(INDEX(#REF!,MATCH('HIDDEN_APS Part Numbers'!$A176,PART_NUMBER_GENERATOR_TABLE[[ROW]:[ROW]],0),1),"")</f>
        <v/>
      </c>
      <c r="H174" s="465" t="str">
        <f>IFERROR(INDEX(#REF!,MATCH('HIDDEN_APS Part Numbers'!$A176,PART_NUMBER_GENERATOR_TABLE[[ROW]:[ROW]],0),1),"")</f>
        <v/>
      </c>
      <c r="I174" s="465" t="str">
        <f>IFERROR(INDEX(#REF!,MATCH('HIDDEN_APS Part Numbers'!$A176,PART_NUMBER_GENERATOR_TABLE[[ROW]:[ROW]],0),1),"")</f>
        <v/>
      </c>
    </row>
    <row r="175" spans="2:9">
      <c r="B175" t="str">
        <f>IFERROR(INDEX(PART_NUMBER_GENERATOR_TABLE[Manufacturer Part Number],MATCH('HIDDEN_APS Part Numbers'!$A177,PART_NUMBER_GENERATOR_TABLE[[ROW]:[ROW]],0),1),"")</f>
        <v/>
      </c>
      <c r="C175" t="str">
        <f>IFERROR(INDEX(PART_NUMBER_GENERATOR_TABLE[Quantity],MATCH('HIDDEN_APS Part Numbers'!$A177,PART_NUMBER_GENERATOR_TABLE[[ROW]:[ROW]],0),1),"")</f>
        <v/>
      </c>
      <c r="D175" s="465" t="str">
        <f>IFERROR(INDEX(PART_NUMBER_GENERATOR_TABLE[Cost],MATCH('HIDDEN_APS Part Numbers'!$A177,PART_NUMBER_GENERATOR_TABLE[[ROW]:[ROW]],0),1),"")</f>
        <v/>
      </c>
      <c r="E175" s="465" t="str">
        <f>IFERROR(INDEX(PART_NUMBER_GENERATOR_TABLE[Suggested Price],MATCH('HIDDEN_APS Part Numbers'!$A177,PART_NUMBER_GENERATOR_TABLE[[ROW]:[ROW]],0),1),"")</f>
        <v/>
      </c>
      <c r="F175" s="465" t="str">
        <f t="shared" si="2"/>
        <v/>
      </c>
      <c r="G175" s="465" t="str">
        <f>IFERROR(INDEX(#REF!,MATCH('HIDDEN_APS Part Numbers'!$A177,PART_NUMBER_GENERATOR_TABLE[[ROW]:[ROW]],0),1),"")</f>
        <v/>
      </c>
      <c r="H175" s="465" t="str">
        <f>IFERROR(INDEX(#REF!,MATCH('HIDDEN_APS Part Numbers'!$A177,PART_NUMBER_GENERATOR_TABLE[[ROW]:[ROW]],0),1),"")</f>
        <v/>
      </c>
      <c r="I175" s="465" t="str">
        <f>IFERROR(INDEX(#REF!,MATCH('HIDDEN_APS Part Numbers'!$A177,PART_NUMBER_GENERATOR_TABLE[[ROW]:[ROW]],0),1),"")</f>
        <v/>
      </c>
    </row>
    <row r="176" spans="2:9">
      <c r="B176" t="str">
        <f>IFERROR(INDEX(PART_NUMBER_GENERATOR_TABLE[Manufacturer Part Number],MATCH('HIDDEN_APS Part Numbers'!$A178,PART_NUMBER_GENERATOR_TABLE[[ROW]:[ROW]],0),1),"")</f>
        <v/>
      </c>
      <c r="C176" t="str">
        <f>IFERROR(INDEX(PART_NUMBER_GENERATOR_TABLE[Quantity],MATCH('HIDDEN_APS Part Numbers'!$A178,PART_NUMBER_GENERATOR_TABLE[[ROW]:[ROW]],0),1),"")</f>
        <v/>
      </c>
      <c r="D176" s="465" t="str">
        <f>IFERROR(INDEX(PART_NUMBER_GENERATOR_TABLE[Cost],MATCH('HIDDEN_APS Part Numbers'!$A178,PART_NUMBER_GENERATOR_TABLE[[ROW]:[ROW]],0),1),"")</f>
        <v/>
      </c>
      <c r="E176" s="465" t="str">
        <f>IFERROR(INDEX(PART_NUMBER_GENERATOR_TABLE[Suggested Price],MATCH('HIDDEN_APS Part Numbers'!$A178,PART_NUMBER_GENERATOR_TABLE[[ROW]:[ROW]],0),1),"")</f>
        <v/>
      </c>
      <c r="F176" s="465" t="str">
        <f t="shared" si="2"/>
        <v/>
      </c>
      <c r="G176" s="465" t="str">
        <f>IFERROR(INDEX(#REF!,MATCH('HIDDEN_APS Part Numbers'!$A178,PART_NUMBER_GENERATOR_TABLE[[ROW]:[ROW]],0),1),"")</f>
        <v/>
      </c>
      <c r="H176" s="465" t="str">
        <f>IFERROR(INDEX(#REF!,MATCH('HIDDEN_APS Part Numbers'!$A178,PART_NUMBER_GENERATOR_TABLE[[ROW]:[ROW]],0),1),"")</f>
        <v/>
      </c>
      <c r="I176" s="465" t="str">
        <f>IFERROR(INDEX(#REF!,MATCH('HIDDEN_APS Part Numbers'!$A178,PART_NUMBER_GENERATOR_TABLE[[ROW]:[ROW]],0),1),"")</f>
        <v/>
      </c>
    </row>
    <row r="177" spans="2:9">
      <c r="B177" t="str">
        <f>IFERROR(INDEX(PART_NUMBER_GENERATOR_TABLE[Manufacturer Part Number],MATCH('HIDDEN_APS Part Numbers'!$A179,PART_NUMBER_GENERATOR_TABLE[[ROW]:[ROW]],0),1),"")</f>
        <v/>
      </c>
      <c r="C177" t="str">
        <f>IFERROR(INDEX(PART_NUMBER_GENERATOR_TABLE[Quantity],MATCH('HIDDEN_APS Part Numbers'!$A179,PART_NUMBER_GENERATOR_TABLE[[ROW]:[ROW]],0),1),"")</f>
        <v/>
      </c>
      <c r="D177" s="465" t="str">
        <f>IFERROR(INDEX(PART_NUMBER_GENERATOR_TABLE[Cost],MATCH('HIDDEN_APS Part Numbers'!$A179,PART_NUMBER_GENERATOR_TABLE[[ROW]:[ROW]],0),1),"")</f>
        <v/>
      </c>
      <c r="E177" s="465" t="str">
        <f>IFERROR(INDEX(PART_NUMBER_GENERATOR_TABLE[Suggested Price],MATCH('HIDDEN_APS Part Numbers'!$A179,PART_NUMBER_GENERATOR_TABLE[[ROW]:[ROW]],0),1),"")</f>
        <v/>
      </c>
      <c r="F177" s="465" t="str">
        <f t="shared" si="2"/>
        <v/>
      </c>
      <c r="G177" s="465" t="str">
        <f>IFERROR(INDEX(#REF!,MATCH('HIDDEN_APS Part Numbers'!$A179,PART_NUMBER_GENERATOR_TABLE[[ROW]:[ROW]],0),1),"")</f>
        <v/>
      </c>
      <c r="H177" s="465" t="str">
        <f>IFERROR(INDEX(#REF!,MATCH('HIDDEN_APS Part Numbers'!$A179,PART_NUMBER_GENERATOR_TABLE[[ROW]:[ROW]],0),1),"")</f>
        <v/>
      </c>
      <c r="I177" s="465" t="str">
        <f>IFERROR(INDEX(#REF!,MATCH('HIDDEN_APS Part Numbers'!$A179,PART_NUMBER_GENERATOR_TABLE[[ROW]:[ROW]],0),1),"")</f>
        <v/>
      </c>
    </row>
    <row r="178" spans="2:9">
      <c r="B178" t="str">
        <f>IFERROR(INDEX(PART_NUMBER_GENERATOR_TABLE[Manufacturer Part Number],MATCH('HIDDEN_APS Part Numbers'!$A180,PART_NUMBER_GENERATOR_TABLE[[ROW]:[ROW]],0),1),"")</f>
        <v/>
      </c>
      <c r="C178" t="str">
        <f>IFERROR(INDEX(PART_NUMBER_GENERATOR_TABLE[Quantity],MATCH('HIDDEN_APS Part Numbers'!$A180,PART_NUMBER_GENERATOR_TABLE[[ROW]:[ROW]],0),1),"")</f>
        <v/>
      </c>
      <c r="D178" s="465" t="str">
        <f>IFERROR(INDEX(PART_NUMBER_GENERATOR_TABLE[Cost],MATCH('HIDDEN_APS Part Numbers'!$A180,PART_NUMBER_GENERATOR_TABLE[[ROW]:[ROW]],0),1),"")</f>
        <v/>
      </c>
      <c r="E178" s="465" t="str">
        <f>IFERROR(INDEX(PART_NUMBER_GENERATOR_TABLE[Suggested Price],MATCH('HIDDEN_APS Part Numbers'!$A180,PART_NUMBER_GENERATOR_TABLE[[ROW]:[ROW]],0),1),"")</f>
        <v/>
      </c>
      <c r="F178" s="465" t="str">
        <f t="shared" si="2"/>
        <v/>
      </c>
      <c r="G178" s="465" t="str">
        <f>IFERROR(INDEX(#REF!,MATCH('HIDDEN_APS Part Numbers'!$A180,PART_NUMBER_GENERATOR_TABLE[[ROW]:[ROW]],0),1),"")</f>
        <v/>
      </c>
      <c r="H178" s="465" t="str">
        <f>IFERROR(INDEX(#REF!,MATCH('HIDDEN_APS Part Numbers'!$A180,PART_NUMBER_GENERATOR_TABLE[[ROW]:[ROW]],0),1),"")</f>
        <v/>
      </c>
      <c r="I178" s="465" t="str">
        <f>IFERROR(INDEX(#REF!,MATCH('HIDDEN_APS Part Numbers'!$A180,PART_NUMBER_GENERATOR_TABLE[[ROW]:[ROW]],0),1),"")</f>
        <v/>
      </c>
    </row>
  </sheetData>
  <sheetProtection algorithmName="SHA-512" hashValue="GHbpKp0gBeclXl4VYtcs8t5x70QBoCTP0D9OBLo5gW7oAF6Ss1DJoxjM6t5g5D2KMQ91h8+RMp6jgmnxWaRRWQ==" saltValue="pXIqzERuS1S5haH90FPVmQ==" spinCount="100000" sheet="1" objects="1" scenarios="1"/>
  <mergeCells count="4">
    <mergeCell ref="D3:I3"/>
    <mergeCell ref="C16:F16"/>
    <mergeCell ref="C17:F17"/>
    <mergeCell ref="B19:F21"/>
  </mergeCells>
  <conditionalFormatting sqref="B19:F21">
    <cfRule type="expression" dxfId="14" priority="1">
      <formula>$B$19&lt;&gt;""</formula>
    </cfRule>
  </conditionalFormatting>
  <conditionalFormatting sqref="B24:F178">
    <cfRule type="expression" dxfId="13" priority="2">
      <formula>B24&lt;&gt;""</formula>
    </cfRule>
  </conditionalFormatting>
  <conditionalFormatting sqref="I4:I5">
    <cfRule type="expression" dxfId="12" priority="5">
      <formula>I4&lt;&gt;G4</formula>
    </cfRule>
    <cfRule type="expression" dxfId="11" priority="6">
      <formula>I4=G4</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4" id="{2A2B8CA5-8544-408B-968C-76E62F3B7136}">
            <xm:f>AND(NOT(B24=""),NOT(ISNUMBER(MATCH(B24,Settings_Hidden!$A$381:$A$1011,0))))</xm:f>
            <x14:dxf>
              <fill>
                <patternFill>
                  <bgColor theme="5" tint="0.79998168889431442"/>
                </patternFill>
              </fill>
            </x14:dxf>
          </x14:cfRule>
          <xm:sqref>B24:B178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292CE-386B-4B1F-A188-DEE750E682B0}">
  <sheetPr>
    <tabColor theme="4" tint="0.59999389629810485"/>
  </sheetPr>
  <dimension ref="A1:F81"/>
  <sheetViews>
    <sheetView showGridLines="0" zoomScale="66" zoomScaleNormal="100" workbookViewId="0"/>
  </sheetViews>
  <sheetFormatPr defaultColWidth="8.69921875" defaultRowHeight="15.6"/>
  <cols>
    <col min="1" max="1" width="2.59765625" style="347" customWidth="1"/>
    <col min="2" max="2" width="31.09765625" style="450" bestFit="1" customWidth="1"/>
    <col min="3" max="3" width="51.3984375" style="453" bestFit="1" customWidth="1"/>
    <col min="4" max="4" width="8.69921875" style="347"/>
    <col min="5" max="5" width="43.19921875" style="450" bestFit="1" customWidth="1"/>
    <col min="6" max="6" width="43.19921875" style="453" bestFit="1" customWidth="1"/>
    <col min="7" max="16384" width="8.69921875" style="347"/>
  </cols>
  <sheetData>
    <row r="1" spans="1:6" s="162" customFormat="1">
      <c r="A1" s="164"/>
      <c r="B1" s="151"/>
      <c r="C1" s="178"/>
      <c r="E1" s="151"/>
      <c r="F1" s="178"/>
    </row>
    <row r="2" spans="1:6" s="162" customFormat="1">
      <c r="A2" s="164"/>
      <c r="B2" s="151"/>
      <c r="C2" s="178"/>
      <c r="E2" s="151"/>
      <c r="F2" s="178"/>
    </row>
    <row r="3" spans="1:6" s="162" customFormat="1">
      <c r="A3" s="164"/>
      <c r="B3" s="151"/>
      <c r="C3" s="178"/>
      <c r="E3" s="151"/>
      <c r="F3" s="178"/>
    </row>
    <row r="4" spans="1:6" s="162" customFormat="1">
      <c r="A4" s="164"/>
      <c r="B4" s="151"/>
      <c r="C4" s="178"/>
      <c r="E4" s="151"/>
      <c r="F4" s="178"/>
    </row>
    <row r="5" spans="1:6" s="162" customFormat="1">
      <c r="B5" s="151"/>
      <c r="C5" s="178"/>
      <c r="E5" s="151"/>
      <c r="F5" s="178"/>
    </row>
    <row r="6" spans="1:6" s="162" customFormat="1" ht="22.8">
      <c r="A6" s="20" t="s">
        <v>668</v>
      </c>
      <c r="B6" s="151"/>
      <c r="C6" s="178"/>
      <c r="E6" s="151"/>
      <c r="F6" s="178"/>
    </row>
    <row r="7" spans="1:6" s="162" customFormat="1" ht="22.8">
      <c r="A7" s="20"/>
      <c r="B7" s="151"/>
      <c r="C7" s="178"/>
      <c r="E7" s="151"/>
      <c r="F7" s="178"/>
    </row>
    <row r="8" spans="1:6">
      <c r="B8" s="462" t="s">
        <v>572</v>
      </c>
    </row>
    <row r="9" spans="1:6">
      <c r="C9" s="452"/>
    </row>
    <row r="10" spans="1:6">
      <c r="B10" s="450" t="s">
        <v>537</v>
      </c>
      <c r="C10" s="453" t="s">
        <v>538</v>
      </c>
      <c r="E10" s="450" t="s">
        <v>59</v>
      </c>
      <c r="F10" s="453" t="str">
        <f>Settings_Hidden!C320</f>
        <v>Engineer-Only Project</v>
      </c>
    </row>
    <row r="11" spans="1:6">
      <c r="B11" s="450" t="s">
        <v>555</v>
      </c>
      <c r="C11" s="454">
        <f>Management!B18</f>
        <v>0</v>
      </c>
      <c r="E11" s="450" t="s">
        <v>556</v>
      </c>
      <c r="F11" s="454" t="str">
        <f>Management!B19</f>
        <v/>
      </c>
    </row>
    <row r="12" spans="1:6">
      <c r="B12" s="450" t="s">
        <v>9</v>
      </c>
      <c r="C12" s="453" t="str">
        <f>Role.PMO.Leader.Name</f>
        <v>Stephen McDonald</v>
      </c>
      <c r="E12" s="450" t="s">
        <v>557</v>
      </c>
      <c r="F12" s="456">
        <v>0</v>
      </c>
    </row>
    <row r="13" spans="1:6">
      <c r="B13" s="450" t="s">
        <v>558</v>
      </c>
      <c r="C13" s="455" t="s">
        <v>559</v>
      </c>
      <c r="E13" s="450" t="s">
        <v>560</v>
      </c>
      <c r="F13" s="455" t="s">
        <v>561</v>
      </c>
    </row>
    <row r="14" spans="1:6">
      <c r="B14" s="450" t="s">
        <v>562</v>
      </c>
      <c r="C14" s="453" t="str">
        <f>IF('Project Technical Tasks'!B17="Fixed Fee",IF(Milestones!B26&gt;1,"Yes","No"),"T&amp;M")</f>
        <v>T&amp;M</v>
      </c>
      <c r="E14" s="450" t="s">
        <v>563</v>
      </c>
      <c r="F14" s="455" t="s">
        <v>559</v>
      </c>
    </row>
    <row r="15" spans="1:6">
      <c r="B15" s="450" t="s">
        <v>565</v>
      </c>
      <c r="C15" s="458">
        <f>Summary!H46</f>
        <v>1.5</v>
      </c>
    </row>
    <row r="16" spans="1:6">
      <c r="B16" s="450" t="s">
        <v>566</v>
      </c>
      <c r="C16" s="459">
        <f ca="1">(Summary!F61+Summary!F62)/Summary!F68</f>
        <v>0</v>
      </c>
    </row>
    <row r="17" spans="2:6">
      <c r="B17" s="450" t="s">
        <v>568</v>
      </c>
      <c r="C17" s="453" t="str" cm="1">
        <f t="array" aca="1" ref="C17" ca="1">MID(CELL("filename",A1),FIND("[",CELL("filename",A1))+1,FIND("]", CELL("filename",A1))-FIND("[",CELL("filename",A1))-1)</f>
        <v>ArchiTech PSE V2027.1.xltx</v>
      </c>
    </row>
    <row r="18" spans="2:6">
      <c r="B18" s="450" t="s">
        <v>569</v>
      </c>
      <c r="C18" s="460" t="s">
        <v>667</v>
      </c>
    </row>
    <row r="19" spans="2:6">
      <c r="B19" s="450" t="s">
        <v>570</v>
      </c>
      <c r="C19" s="453">
        <f>'Project Technical Tasks'!B19</f>
        <v>0</v>
      </c>
    </row>
    <row r="21" spans="2:6">
      <c r="B21" s="462" t="s">
        <v>642</v>
      </c>
    </row>
    <row r="22" spans="2:6">
      <c r="B22" s="450" t="s">
        <v>573</v>
      </c>
      <c r="C22" s="453">
        <f>'Project Technical Tasks'!B17</f>
        <v>0</v>
      </c>
      <c r="E22" s="450" t="s">
        <v>585</v>
      </c>
      <c r="F22" s="460" t="s">
        <v>586</v>
      </c>
    </row>
    <row r="23" spans="2:6">
      <c r="B23" s="450" t="s">
        <v>574</v>
      </c>
      <c r="C23" s="492" t="str">
        <f>IF(C22="Fixed Fee",0,IF(C22="T&amp;M","",IF(C22="Not to Exceed",F27+F28+C42,"TBD")))</f>
        <v>TBD</v>
      </c>
      <c r="E23" s="450" t="s">
        <v>587</v>
      </c>
      <c r="F23" s="460" t="s">
        <v>586</v>
      </c>
    </row>
    <row r="24" spans="2:6">
      <c r="B24" s="450" t="s">
        <v>575</v>
      </c>
      <c r="C24" s="453" t="s">
        <v>581</v>
      </c>
      <c r="E24" s="450" t="s">
        <v>588</v>
      </c>
      <c r="F24" s="813">
        <f xml:space="preserve">
+Summary!E56
+Summary!E57
+Summary!E60</f>
        <v>221.33704686655341</v>
      </c>
    </row>
    <row r="25" spans="2:6">
      <c r="B25" s="450" t="s">
        <v>576</v>
      </c>
      <c r="C25" s="453" t="s">
        <v>581</v>
      </c>
      <c r="E25" s="450" t="s">
        <v>589</v>
      </c>
      <c r="F25" s="458">
        <f>Summary!E58
+Summary!E63
+Summary!E64
+Summary!E65</f>
        <v>0</v>
      </c>
    </row>
    <row r="26" spans="2:6">
      <c r="B26" s="450" t="s">
        <v>577</v>
      </c>
      <c r="C26" s="453" t="s">
        <v>581</v>
      </c>
      <c r="E26" s="450" t="s">
        <v>590</v>
      </c>
      <c r="F26" s="458">
        <f>Summary!E59</f>
        <v>0</v>
      </c>
    </row>
    <row r="27" spans="2:6">
      <c r="B27" s="450" t="s">
        <v>578</v>
      </c>
      <c r="C27" s="460" t="s">
        <v>567</v>
      </c>
      <c r="E27" s="450" t="s">
        <v>591</v>
      </c>
      <c r="F27" s="458">
        <f xml:space="preserve">
(Summary!F56
+Summary!F57
+Summary!F60
+Summary!F61)
*(1-Summary!C66)</f>
        <v>337.5</v>
      </c>
    </row>
    <row r="28" spans="2:6">
      <c r="B28" s="450" t="s">
        <v>579</v>
      </c>
      <c r="C28" s="453" t="s">
        <v>582</v>
      </c>
      <c r="E28" s="450" t="s">
        <v>592</v>
      </c>
      <c r="F28" s="458">
        <f>Summary!F58
+Summary!F62
+Summary!F63
+Summary!F64
+Summary!F65</f>
        <v>0</v>
      </c>
    </row>
    <row r="29" spans="2:6">
      <c r="B29" s="450" t="s">
        <v>204</v>
      </c>
      <c r="C29" s="453" t="s">
        <v>583</v>
      </c>
      <c r="E29" s="450" t="s">
        <v>593</v>
      </c>
      <c r="F29" s="458">
        <f>Summary!F59</f>
        <v>0</v>
      </c>
    </row>
    <row r="30" spans="2:6">
      <c r="B30" s="450" t="s">
        <v>580</v>
      </c>
      <c r="C30" s="453" t="s">
        <v>584</v>
      </c>
      <c r="E30" s="450" t="s">
        <v>595</v>
      </c>
      <c r="F30" s="460" t="s">
        <v>594</v>
      </c>
    </row>
    <row r="31" spans="2:6">
      <c r="E31" s="450" t="s">
        <v>596</v>
      </c>
      <c r="F31" s="453" t="s">
        <v>597</v>
      </c>
    </row>
    <row r="33" spans="2:3">
      <c r="B33" s="450" t="s">
        <v>598</v>
      </c>
      <c r="C33" s="453">
        <f>'Project Technical Tasks'!B11</f>
        <v>0</v>
      </c>
    </row>
    <row r="34" spans="2:3">
      <c r="B34" s="450" t="s">
        <v>599</v>
      </c>
      <c r="C34" s="460" t="s">
        <v>665</v>
      </c>
    </row>
    <row r="35" spans="2:3">
      <c r="B35" s="450" t="s">
        <v>600</v>
      </c>
      <c r="C35" s="460" t="s">
        <v>567</v>
      </c>
    </row>
    <row r="36" spans="2:3">
      <c r="B36" s="450" t="s">
        <v>601</v>
      </c>
      <c r="C36" s="453" t="s">
        <v>602</v>
      </c>
    </row>
    <row r="37" spans="2:3">
      <c r="B37" s="450" t="s">
        <v>633</v>
      </c>
      <c r="C37" s="453" t="str">
        <f ca="1">INDEX(Settings_Hidden!$B$343:$B$352,MATCH(1,Settings_Hidden!$G$343:$G$352,0),1)</f>
        <v>Unknown</v>
      </c>
    </row>
    <row r="38" spans="2:3">
      <c r="B38" s="450" t="s">
        <v>632</v>
      </c>
      <c r="C38" s="453">
        <f ca="1">Milestones!B27</f>
        <v>1</v>
      </c>
    </row>
    <row r="39" spans="2:3">
      <c r="B39" s="450" t="s">
        <v>634</v>
      </c>
      <c r="C39" s="453" t="s">
        <v>225</v>
      </c>
    </row>
    <row r="40" spans="2:3">
      <c r="B40" s="450" t="s">
        <v>1289</v>
      </c>
      <c r="C40" s="458">
        <f>+Summary!E61</f>
        <v>0</v>
      </c>
    </row>
    <row r="41" spans="2:3">
      <c r="B41" s="450" t="s">
        <v>1290</v>
      </c>
      <c r="C41" s="458">
        <f>+Summary!E62</f>
        <v>0</v>
      </c>
    </row>
    <row r="43" spans="2:3">
      <c r="B43" s="450" t="s">
        <v>635</v>
      </c>
      <c r="C43" s="460" t="s">
        <v>636</v>
      </c>
    </row>
    <row r="44" spans="2:3">
      <c r="B44" s="450" t="s">
        <v>638</v>
      </c>
      <c r="C44" s="460" t="s">
        <v>636</v>
      </c>
    </row>
    <row r="45" spans="2:3">
      <c r="B45" s="450" t="s">
        <v>637</v>
      </c>
      <c r="C45" s="460" t="s">
        <v>636</v>
      </c>
    </row>
    <row r="46" spans="2:3">
      <c r="B46" s="450" t="s">
        <v>639</v>
      </c>
      <c r="C46" s="460" t="s">
        <v>636</v>
      </c>
    </row>
    <row r="47" spans="2:3">
      <c r="B47" s="450" t="s">
        <v>640</v>
      </c>
      <c r="C47" s="460" t="s">
        <v>636</v>
      </c>
    </row>
    <row r="48" spans="2:3">
      <c r="B48" s="450" t="s">
        <v>641</v>
      </c>
      <c r="C48" s="460" t="s">
        <v>636</v>
      </c>
    </row>
    <row r="50" spans="2:6">
      <c r="B50" s="462" t="s">
        <v>643</v>
      </c>
    </row>
    <row r="51" spans="2:6">
      <c r="B51" s="450" t="s">
        <v>644</v>
      </c>
      <c r="C51" s="460" t="s">
        <v>567</v>
      </c>
      <c r="E51" s="450" t="s">
        <v>650</v>
      </c>
      <c r="F51" s="455" t="s">
        <v>559</v>
      </c>
    </row>
    <row r="52" spans="2:6">
      <c r="B52" s="450" t="s">
        <v>645</v>
      </c>
      <c r="C52" s="460" t="s">
        <v>567</v>
      </c>
      <c r="E52" s="450" t="s">
        <v>652</v>
      </c>
      <c r="F52" s="455" t="str">
        <f>IFERROR(IF(C22="Fixed Fee","ü","û"),"ü")</f>
        <v>û</v>
      </c>
    </row>
    <row r="53" spans="2:6">
      <c r="B53" s="450" t="s">
        <v>646</v>
      </c>
      <c r="C53" s="453" t="s">
        <v>647</v>
      </c>
      <c r="E53" s="450" t="s">
        <v>651</v>
      </c>
      <c r="F53" s="455" t="s">
        <v>559</v>
      </c>
    </row>
    <row r="54" spans="2:6">
      <c r="B54" s="450" t="s">
        <v>648</v>
      </c>
      <c r="C54" s="458">
        <f>Summary!H68-Summary!H61</f>
        <v>1.5</v>
      </c>
      <c r="E54" s="450" t="s">
        <v>649</v>
      </c>
      <c r="F54" s="455" t="s">
        <v>561</v>
      </c>
    </row>
    <row r="55" spans="2:6">
      <c r="B55" s="450" t="s">
        <v>654</v>
      </c>
      <c r="C55" s="458">
        <f>INDEX(Settings_Hidden!$D$49:$D$67,MATCH(SUBSTITUTE(B55," Hours Sold",""),Settings_Hidden!$C$49:$C$67,0),1)</f>
        <v>1.5</v>
      </c>
      <c r="E55" s="450" t="s">
        <v>653</v>
      </c>
      <c r="F55" s="455" t="s">
        <v>561</v>
      </c>
    </row>
    <row r="56" spans="2:6">
      <c r="B56" s="450" t="s">
        <v>791</v>
      </c>
      <c r="C56" s="458">
        <f>INDEX(Settings_Hidden!$D$49:$D$67,MATCH(SUBSTITUTE(B56," Hours Sold",""),Settings_Hidden!$C$49:$C$67,0),1)</f>
        <v>0</v>
      </c>
      <c r="F56" s="455"/>
    </row>
    <row r="57" spans="2:6">
      <c r="B57" s="450" t="s">
        <v>655</v>
      </c>
      <c r="C57" s="458">
        <f>INDEX(Settings_Hidden!$D$49:$D$67,MATCH(SUBSTITUTE(B57," Hours Sold",""),Settings_Hidden!$C$49:$C$67,0),1)</f>
        <v>0</v>
      </c>
    </row>
    <row r="58" spans="2:6">
      <c r="B58" s="450" t="s">
        <v>656</v>
      </c>
      <c r="C58" s="458">
        <f>INDEX(Settings_Hidden!$D$49:$D$67,MATCH(SUBSTITUTE(B58," Hours Sold",""),Settings_Hidden!$C$49:$C$67,0),1)</f>
        <v>0</v>
      </c>
    </row>
    <row r="59" spans="2:6">
      <c r="B59" s="450" t="s">
        <v>657</v>
      </c>
      <c r="C59" s="458">
        <f>INDEX(Settings_Hidden!$D$49:$D$67,MATCH(SUBSTITUTE(B59," Hours Sold",""),Settings_Hidden!$C$49:$C$67,0),1)</f>
        <v>0</v>
      </c>
    </row>
    <row r="60" spans="2:6">
      <c r="B60" s="450" t="s">
        <v>1291</v>
      </c>
      <c r="C60" s="458">
        <f>INDEX(Settings_Hidden!$D$49:$D$67,MATCH(SUBSTITUTE(B60," Hours Sold",""),Settings_Hidden!$C$49:$C$67,0),1)</f>
        <v>0</v>
      </c>
    </row>
    <row r="61" spans="2:6">
      <c r="B61" s="450" t="s">
        <v>792</v>
      </c>
      <c r="C61" s="458">
        <f>INDEX(Settings_Hidden!$D$49:$D$67,MATCH(SUBSTITUTE(B61," Hours Sold",""),Settings_Hidden!$C$49:$C$67,0),1)</f>
        <v>0</v>
      </c>
    </row>
    <row r="62" spans="2:6">
      <c r="B62" s="450" t="s">
        <v>1292</v>
      </c>
      <c r="C62" s="458">
        <f>INDEX(Settings_Hidden!$D$49:$D$67,MATCH(SUBSTITUTE(B62," Hours Sold",""),Settings_Hidden!$C$49:$C$67,0),1)</f>
        <v>0</v>
      </c>
    </row>
    <row r="63" spans="2:6">
      <c r="B63" s="450" t="s">
        <v>1293</v>
      </c>
      <c r="C63" s="458">
        <f>INDEX(Settings_Hidden!$D$49:$D$67,MATCH(SUBSTITUTE(B63," Hours Sold",""),Settings_Hidden!$C$49:$C$67,0),1)</f>
        <v>0</v>
      </c>
    </row>
    <row r="64" spans="2:6">
      <c r="B64" s="450" t="s">
        <v>790</v>
      </c>
      <c r="C64" s="458">
        <f>INDEX(Settings_Hidden!$D$49:$D$67,MATCH(SUBSTITUTE(B64," Hours Sold",""),Settings_Hidden!$C$49:$C$67,0),1)</f>
        <v>0</v>
      </c>
    </row>
    <row r="65" spans="2:3">
      <c r="B65" s="450" t="s">
        <v>658</v>
      </c>
      <c r="C65" s="453">
        <v>0</v>
      </c>
    </row>
    <row r="66" spans="2:3">
      <c r="B66" s="450" t="s">
        <v>793</v>
      </c>
      <c r="C66" s="458">
        <f>Summary!H61</f>
        <v>0</v>
      </c>
    </row>
    <row r="67" spans="2:3">
      <c r="B67" s="450" t="s">
        <v>659</v>
      </c>
      <c r="C67" s="460" t="s">
        <v>567</v>
      </c>
    </row>
    <row r="68" spans="2:3">
      <c r="B68" s="450" t="s">
        <v>660</v>
      </c>
      <c r="C68" s="453">
        <f>Summary!D16</f>
        <v>0</v>
      </c>
    </row>
    <row r="70" spans="2:3">
      <c r="B70" s="462" t="s">
        <v>681</v>
      </c>
    </row>
    <row r="71" spans="2:3">
      <c r="B71" s="450" t="s">
        <v>682</v>
      </c>
      <c r="C71" s="453" t="s">
        <v>683</v>
      </c>
    </row>
    <row r="72" spans="2:3">
      <c r="B72" s="493" t="str">
        <f>IF(SUM(Settings_Hidden!$D$360:$D$366)=0,"leave the rest of this pod unchanged","")</f>
        <v/>
      </c>
    </row>
    <row r="73" spans="2:3">
      <c r="B73" s="450" t="s">
        <v>676</v>
      </c>
      <c r="C73" s="452" t="s">
        <v>680</v>
      </c>
    </row>
    <row r="74" spans="2:3">
      <c r="B74" s="347" t="str">
        <f>IFERROR(INDEX(Settings_Hidden!$A$360:$A$366,MATCH(SMALL(Settings_Hidden!$F$360:$F$366,(ROW(B74)-ROW($B$73))),Settings_Hidden!$F$360:$F$366,0),1),"")</f>
        <v/>
      </c>
      <c r="C74" s="453" t="str">
        <f>IFERROR(INDEX(Settings_Hidden!$D$360:$D$366,MATCH(SMALL(Settings_Hidden!$F$360:$F$366,(ROW(B74)-ROW($B$73))),Settings_Hidden!$F$360:$F$366,0),1),"")</f>
        <v/>
      </c>
    </row>
    <row r="75" spans="2:3">
      <c r="B75" s="347" t="str">
        <f>IFERROR(INDEX(Settings_Hidden!$A$360:$A$366,MATCH(SMALL(Settings_Hidden!$F$360:$F$366,(ROW(B75)-ROW($B$73))),Settings_Hidden!$F$360:$F$366,0),1),"")</f>
        <v/>
      </c>
      <c r="C75" s="453" t="str">
        <f>IFERROR(INDEX(Settings_Hidden!$D$360:$D$366,MATCH(SMALL(Settings_Hidden!$F$360:$F$366,(ROW(B75)-ROW($B$73))),Settings_Hidden!$F$360:$F$366,0),1),"")</f>
        <v/>
      </c>
    </row>
    <row r="76" spans="2:3">
      <c r="B76" s="347" t="str">
        <f>IFERROR(INDEX(Settings_Hidden!$A$360:$A$366,MATCH(SMALL(Settings_Hidden!$F$360:$F$366,(ROW(B76)-ROW($B$73))),Settings_Hidden!$F$360:$F$366,0),1),"")</f>
        <v/>
      </c>
      <c r="C76" s="453" t="str">
        <f>IFERROR(INDEX(Settings_Hidden!$D$360:$D$366,MATCH(SMALL(Settings_Hidden!$F$360:$F$366,(ROW(B76)-ROW($B$73))),Settings_Hidden!$F$360:$F$366,0),1),"")</f>
        <v/>
      </c>
    </row>
    <row r="77" spans="2:3">
      <c r="B77" s="347" t="str">
        <f>IFERROR(INDEX(Settings_Hidden!$A$360:$A$366,MATCH(SMALL(Settings_Hidden!$F$360:$F$366,(ROW(B77)-ROW($B$73))),Settings_Hidden!$F$360:$F$366,0),1),"")</f>
        <v/>
      </c>
      <c r="C77" s="453" t="str">
        <f>IFERROR(INDEX(Settings_Hidden!$D$360:$D$366,MATCH(SMALL(Settings_Hidden!$F$360:$F$366,(ROW(B77)-ROW($B$73))),Settings_Hidden!$F$360:$F$366,0),1),"")</f>
        <v/>
      </c>
    </row>
    <row r="78" spans="2:3">
      <c r="B78" s="347" t="str">
        <f>IFERROR(INDEX(Settings_Hidden!$A$360:$A$366,MATCH(SMALL(Settings_Hidden!$F$360:$F$366,(ROW(B78)-ROW($B$73))),Settings_Hidden!$F$360:$F$366,0),1),"")</f>
        <v/>
      </c>
      <c r="C78" s="453" t="str">
        <f>IFERROR(INDEX(Settings_Hidden!$D$360:$D$366,MATCH(SMALL(Settings_Hidden!$F$360:$F$366,(ROW(B78)-ROW($B$73))),Settings_Hidden!$F$360:$F$366,0),1),"")</f>
        <v/>
      </c>
    </row>
    <row r="79" spans="2:3">
      <c r="B79" s="347" t="str">
        <f>IFERROR(INDEX(Settings_Hidden!$A$360:$A$366,MATCH(SMALL(Settings_Hidden!$F$360:$F$366,(ROW(B79)-ROW($B$73))),Settings_Hidden!$F$360:$F$366,0),1),"")</f>
        <v/>
      </c>
      <c r="C79" s="453" t="str">
        <f>IFERROR(INDEX(Settings_Hidden!$D$360:$D$366,MATCH(SMALL(Settings_Hidden!$F$360:$F$366,(ROW(B79)-ROW($B$73))),Settings_Hidden!$F$360:$F$366,0),1),"")</f>
        <v/>
      </c>
    </row>
    <row r="80" spans="2:3">
      <c r="B80" s="347" t="str">
        <f>IFERROR(INDEX(Settings_Hidden!$A$360:$A$366,MATCH(SMALL(Settings_Hidden!$F$360:$F$366,(ROW(B80)-ROW($B$73))),Settings_Hidden!$F$360:$F$366,0),1),"")</f>
        <v/>
      </c>
      <c r="C80" s="453" t="str">
        <f>IFERROR(INDEX(Settings_Hidden!$D$360:$D$366,MATCH(SMALL(Settings_Hidden!$F$360:$F$366,(ROW(B80)-ROW($B$73))),Settings_Hidden!$F$360:$F$366,0),1),"")</f>
        <v/>
      </c>
    </row>
    <row r="81" spans="2:3">
      <c r="B81" s="347" t="str">
        <f>IFERROR(INDEX(Settings_Hidden!$A$360:$A$366,MATCH(SMALL(Settings_Hidden!$F$360:$F$366,(ROW(B81)-ROW($B$73))),Settings_Hidden!$F$360:$F$366,0),1),"")</f>
        <v/>
      </c>
      <c r="C81" s="453" t="str">
        <f>IFERROR(INDEX(Settings_Hidden!$D$360:$D$366,MATCH(SMALL(Settings_Hidden!$F$360:$F$366,(ROW(B81)-ROW($B$73))),Settings_Hidden!$F$360:$F$366,0),1),"")</f>
        <v/>
      </c>
    </row>
  </sheetData>
  <sheetProtection algorithmName="SHA-512" hashValue="23oACcTyyxPjiWg5U5LNlcdJfWgWPoqUZjwPDRBhGFJOQ/wM1hSjSBKkJhKiDEqzim1WGw55D6ypAsjP4R7phQ==" saltValue="fHeySDx0shTIfGVC1DZiFw==" spinCount="100000" sheet="1" objects="1" scenarios="1"/>
  <conditionalFormatting sqref="B70:C73">
    <cfRule type="expression" dxfId="10" priority="1">
      <formula>$B$74=""</formula>
    </cfRule>
  </conditionalFormatting>
  <conditionalFormatting sqref="C10:C20 C22:C39 C42:C81">
    <cfRule type="expression" dxfId="8" priority="4">
      <formula>C10="leave this field blank"</formula>
    </cfRule>
  </conditionalFormatting>
  <conditionalFormatting sqref="F14">
    <cfRule type="expression" dxfId="7" priority="3">
      <formula>F14="leave this field blank"</formula>
    </cfRule>
  </conditionalFormatting>
  <conditionalFormatting sqref="F51 F53">
    <cfRule type="expression" dxfId="6" priority="6">
      <formula>F51="leave this field blank"</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91" id="{DBF0AADA-3F50-45C8-8C7F-1CD586863D61}">
            <xm:f>SUM(Settings_Hidden!$D$360:$D$366)=0</xm:f>
            <x14:dxf>
              <font>
                <color theme="0"/>
              </font>
              <fill>
                <patternFill>
                  <bgColor theme="0"/>
                </patternFill>
              </fill>
              <border>
                <left/>
                <right/>
                <top/>
                <bottom/>
                <vertical/>
                <horizontal/>
              </border>
            </x14:dxf>
          </x14:cfRule>
          <xm:sqref>B73:C81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7766C-BD45-4699-AA8E-75D4AF4F22E7}">
  <dimension ref="A1:BS180"/>
  <sheetViews>
    <sheetView topLeftCell="M1" zoomScale="74" workbookViewId="0">
      <selection activeCell="Y7" sqref="Y7"/>
    </sheetView>
  </sheetViews>
  <sheetFormatPr defaultColWidth="15.09765625" defaultRowHeight="15.6"/>
  <cols>
    <col min="1" max="1" width="3.69921875" bestFit="1" customWidth="1"/>
    <col min="3" max="3" width="36" customWidth="1"/>
    <col min="47" max="66" width="14.8984375" customWidth="1"/>
    <col min="67" max="67" width="14.8984375" style="451" customWidth="1"/>
    <col min="68" max="76" width="14.8984375" customWidth="1"/>
  </cols>
  <sheetData>
    <row r="1" spans="3:67" s="661" customFormat="1" ht="16.2" thickBot="1">
      <c r="C1" s="655" t="s">
        <v>676</v>
      </c>
      <c r="J1" s="661" t="str">
        <f>IFERROR(INDEX(settings.Table_Engineer.Roles[ID],MATCH(RESOURCE_1_TYPE,ENGINEER_ROLES,0),1),"")</f>
        <v>SSE</v>
      </c>
      <c r="K1" s="661" t="str">
        <f>IFERROR(INDEX(settings.Table_Engineer.Roles[ID],MATCH(RESOURCE_1_TYPE,ENGINEER_ROLES,0),1),"")</f>
        <v>SSE</v>
      </c>
      <c r="L1" s="661" t="str">
        <f>IFERROR(INDEX(settings.Table_Engineer.Roles[ID],MATCH(RESOURCE_2_TYPE,ENGINEER_ROLES,0),1),"")</f>
        <v/>
      </c>
      <c r="M1" s="661" t="str">
        <f>IFERROR(INDEX(settings.Table_Engineer.Roles[ID],MATCH(RESOURCE_2_TYPE,ENGINEER_ROLES,0),1),"")</f>
        <v/>
      </c>
      <c r="N1" s="661" t="str">
        <f>IFERROR(INDEX(settings.Table_Engineer.Roles[ID],MATCH(RESOURCE_3_TYPE,ENGINEER_ROLES,0),1),"")</f>
        <v/>
      </c>
      <c r="O1" s="661" t="str">
        <f>IFERROR(INDEX(settings.Table_Engineer.Roles[ID],MATCH(RESOURCE_3_TYPE,ENGINEER_ROLES,0),1),"")</f>
        <v/>
      </c>
      <c r="P1" s="661" t="str">
        <f>IFERROR(INDEX(settings.Table_Engineer.Roles[ID],MATCH(RESOURCE_4_TYPE,ENGINEER_ROLES,0),1),"")</f>
        <v/>
      </c>
      <c r="Q1" s="661" t="str">
        <f>IFERROR(INDEX(settings.Table_Engineer.Roles[ID],MATCH(RESOURCE_4_TYPE,ENGINEER_ROLES,0),1),"")</f>
        <v/>
      </c>
      <c r="R1" s="661" t="str">
        <f>IFERROR(INDEX(settings.Table_Engineer.Roles[ID],MATCH(RESOURCE_5_TYPE,ENGINEER_ROLES,0),1),"")</f>
        <v/>
      </c>
      <c r="S1" s="661" t="str">
        <f>IFERROR(INDEX(settings.Table_Engineer.Roles[ID],MATCH(RESOURCE_5_TYPE,ENGINEER_ROLES,0),1),"")</f>
        <v/>
      </c>
      <c r="T1" s="661" t="str">
        <f>IFERROR(INDEX(Settings.Table_PM.Roles[ID],MATCH(Management!B13,Settings.Table_PM.Roles[Role],0),1),"")</f>
        <v>PM</v>
      </c>
      <c r="U1" s="661" t="str">
        <f>J1</f>
        <v>SSE</v>
      </c>
      <c r="V1" s="661" t="str">
        <f>L1</f>
        <v/>
      </c>
      <c r="W1" s="661" t="str">
        <f>N1</f>
        <v/>
      </c>
      <c r="X1" s="661" t="str">
        <f>P1</f>
        <v/>
      </c>
      <c r="Y1" s="661" t="str">
        <f>R1</f>
        <v/>
      </c>
      <c r="Z1" s="661" t="str">
        <f>IFERROR(INDEX(Settings.Table_PM.Roles[ID],MATCH(Management!B13,Settings.Table_PM.Roles[Role],0),1),"")</f>
        <v>PM</v>
      </c>
      <c r="AA1" s="661" t="str">
        <f>J1</f>
        <v>SSE</v>
      </c>
      <c r="AB1" s="661" t="str">
        <f>L1</f>
        <v/>
      </c>
      <c r="AC1" s="661" t="str">
        <f>N1</f>
        <v/>
      </c>
      <c r="AD1" s="661" t="str">
        <f>P1</f>
        <v/>
      </c>
      <c r="AE1" s="661" t="str">
        <f>R1</f>
        <v/>
      </c>
      <c r="AF1" s="661" t="str">
        <f>LEFT(AF6,SEARCH(" ",AF6)-1)</f>
        <v>SSE</v>
      </c>
      <c r="AG1" s="661" t="str">
        <f t="shared" ref="AG1:AK1" si="0">LEFT(AG6,SEARCH(" ",AG6)-1)</f>
        <v>SSE</v>
      </c>
      <c r="AH1" s="661" t="str">
        <f>IFERROR(INDEX(Settings.Table_PM.Roles[ID],MATCH(Management!B13,Settings.Table_PM.Roles[Role],0),1),"")</f>
        <v>PM</v>
      </c>
      <c r="AI1" s="661" t="str">
        <f t="shared" si="0"/>
        <v>SSE</v>
      </c>
      <c r="AJ1" s="661" t="str">
        <f t="shared" si="0"/>
        <v>SSE</v>
      </c>
      <c r="AK1" s="661" t="str">
        <f t="shared" si="0"/>
        <v>SSE</v>
      </c>
      <c r="AL1" s="661" t="str">
        <f>IFERROR(INDEX(Settings.Table_PM.Roles[ID],MATCH(Management!B13,Settings.Table_PM.Roles[Role],0),1),"")</f>
        <v>PM</v>
      </c>
      <c r="AN1" s="661" t="str">
        <f>IFERROR(INDEX(Settings.Table_PM.Roles[ID],MATCH(Management!B13,Settings.Table_PM.Roles[Role],0),1),"")</f>
        <v>PM</v>
      </c>
      <c r="AO1" s="661" t="str">
        <f>J1</f>
        <v>SSE</v>
      </c>
      <c r="AP1" s="661" t="str">
        <f>L1</f>
        <v/>
      </c>
      <c r="AQ1" s="661" t="str">
        <f>N1</f>
        <v/>
      </c>
      <c r="AR1" s="661" t="str">
        <f>P1</f>
        <v/>
      </c>
      <c r="AS1" s="661" t="str">
        <f>R1</f>
        <v/>
      </c>
      <c r="BO1" s="683"/>
    </row>
    <row r="2" spans="3:67" s="656" customFormat="1" ht="16.2" thickBot="1">
      <c r="C2" s="655" t="s">
        <v>884</v>
      </c>
      <c r="BO2" s="684"/>
    </row>
    <row r="3" spans="3:67" s="654" customFormat="1" ht="16.2" thickBot="1">
      <c r="C3" s="653" t="s">
        <v>885</v>
      </c>
      <c r="BO3" s="685"/>
    </row>
    <row r="4" spans="3:67" ht="16.2" thickBot="1"/>
    <row r="5" spans="3:67" ht="16.2" thickBot="1">
      <c r="N5" s="664" t="s">
        <v>1167</v>
      </c>
      <c r="O5" s="665"/>
      <c r="P5" s="665"/>
      <c r="Q5" s="665"/>
      <c r="R5" s="665"/>
      <c r="S5" s="669"/>
      <c r="T5" s="663" t="s">
        <v>1174</v>
      </c>
      <c r="U5" s="661"/>
      <c r="V5" s="661"/>
      <c r="W5" s="661"/>
      <c r="X5" s="661"/>
      <c r="Y5" s="666"/>
      <c r="Z5" s="663" t="s">
        <v>1173</v>
      </c>
      <c r="AA5" s="661"/>
      <c r="AB5" s="661"/>
      <c r="AC5" s="661"/>
      <c r="AD5" s="661"/>
      <c r="AE5" s="666"/>
      <c r="AF5" s="663" t="s">
        <v>1188</v>
      </c>
      <c r="AG5" s="661"/>
      <c r="AH5" s="661"/>
      <c r="AI5" s="666"/>
      <c r="AJ5" s="663" t="s">
        <v>1188</v>
      </c>
      <c r="AK5" s="661"/>
      <c r="AL5" s="666"/>
    </row>
    <row r="6" spans="3:67">
      <c r="M6" s="652" t="s">
        <v>1139</v>
      </c>
      <c r="N6" s="664" t="s">
        <v>1159</v>
      </c>
      <c r="O6" s="665" t="s">
        <v>1160</v>
      </c>
      <c r="P6" s="665" t="s">
        <v>1161</v>
      </c>
      <c r="Q6" s="665" t="s">
        <v>1162</v>
      </c>
      <c r="R6" s="665" t="s">
        <v>1163</v>
      </c>
      <c r="S6" s="669" t="s">
        <v>1164</v>
      </c>
      <c r="T6" s="664" t="s">
        <v>739</v>
      </c>
      <c r="U6" s="665" t="s">
        <v>1160</v>
      </c>
      <c r="V6" s="665" t="s">
        <v>1161</v>
      </c>
      <c r="W6" s="665" t="s">
        <v>1162</v>
      </c>
      <c r="X6" s="665" t="s">
        <v>1163</v>
      </c>
      <c r="Y6" s="669" t="s">
        <v>1164</v>
      </c>
      <c r="Z6" s="664" t="s">
        <v>739</v>
      </c>
      <c r="AA6" s="665" t="s">
        <v>1160</v>
      </c>
      <c r="AB6" s="665" t="s">
        <v>1161</v>
      </c>
      <c r="AC6" s="665" t="s">
        <v>1162</v>
      </c>
      <c r="AD6" s="665" t="s">
        <v>1163</v>
      </c>
      <c r="AE6" s="669" t="s">
        <v>1164</v>
      </c>
      <c r="AF6" s="667" t="s">
        <v>1184</v>
      </c>
      <c r="AG6" s="660" t="s">
        <v>1185</v>
      </c>
      <c r="AH6" s="660" t="s">
        <v>1183</v>
      </c>
      <c r="AI6" s="668" t="s">
        <v>1186</v>
      </c>
      <c r="AJ6" s="120" t="str">
        <f>SUBSTITUTE(AF6," "," Remainder ",1)</f>
        <v>SSE Remainder RISK BH</v>
      </c>
      <c r="AK6" s="657" t="str">
        <f t="shared" ref="AK6:AL6" si="1">SUBSTITUTE(AG6," "," Remainder ",1)</f>
        <v>SSE Remainder RISK AH</v>
      </c>
      <c r="AL6" s="121" t="str">
        <f t="shared" si="1"/>
        <v>PM Remainder RISK</v>
      </c>
      <c r="AV6" t="str">
        <f t="shared" ref="AV6" ca="1" si="2">IFERROR(_xlfn.FORMULATEXT(AU17),IF(AU17="","",AU17))</f>
        <v/>
      </c>
    </row>
    <row r="7" spans="3:67">
      <c r="M7" s="652" t="s">
        <v>115</v>
      </c>
      <c r="N7" s="651">
        <f>SUM(N9:N16)</f>
        <v>0</v>
      </c>
      <c r="O7" s="652">
        <f t="shared" ref="O7:S7" si="3">SUM(O9:O16)</f>
        <v>0</v>
      </c>
      <c r="P7" s="652">
        <f t="shared" si="3"/>
        <v>0</v>
      </c>
      <c r="Q7" s="652">
        <f t="shared" si="3"/>
        <v>0</v>
      </c>
      <c r="R7" s="652">
        <f t="shared" si="3"/>
        <v>0</v>
      </c>
      <c r="S7" s="670">
        <f t="shared" si="3"/>
        <v>0</v>
      </c>
      <c r="T7" s="651">
        <f>Summary!H46</f>
        <v>1.5</v>
      </c>
      <c r="U7" s="652">
        <f>IF('Project Technical Tasks'!G33="REMOVE",0,'Project Technical Tasks'!D33)</f>
        <v>0</v>
      </c>
      <c r="V7" s="652">
        <f>IF('Project Technical Tasks'!G34="REMOVE",0,'Project Technical Tasks'!D34)</f>
        <v>0</v>
      </c>
      <c r="W7" s="652">
        <f>IF('Project Technical Tasks'!G35="REMOVE",0,'Project Technical Tasks'!D35)</f>
        <v>0</v>
      </c>
      <c r="X7" s="652">
        <f>IF('Project Technical Tasks'!G36="REMOVE",0,'Project Technical Tasks'!D36)</f>
        <v>0</v>
      </c>
      <c r="Y7" s="670">
        <f>IF('Project Technical Tasks'!G37="REMOVE",0,'Project Technical Tasks'!D37)</f>
        <v>0</v>
      </c>
      <c r="Z7" s="651">
        <f>T7-SUM(T9:T24)</f>
        <v>1.5</v>
      </c>
      <c r="AA7" s="652">
        <f t="shared" ref="AA7:AE7" si="4">U7-SUM(U9:U24)</f>
        <v>0</v>
      </c>
      <c r="AB7" s="652">
        <f t="shared" si="4"/>
        <v>0</v>
      </c>
      <c r="AC7" s="652">
        <f t="shared" si="4"/>
        <v>0</v>
      </c>
      <c r="AD7" s="652">
        <f t="shared" si="4"/>
        <v>0</v>
      </c>
      <c r="AE7" s="670">
        <f t="shared" si="4"/>
        <v>0</v>
      </c>
      <c r="AF7" s="122">
        <f>'Project Risk'!B25</f>
        <v>0</v>
      </c>
      <c r="AG7" s="510">
        <f>'Project Risk'!C25</f>
        <v>0</v>
      </c>
      <c r="AH7" s="510">
        <f>'Project Risk'!D26</f>
        <v>0</v>
      </c>
      <c r="AI7" s="671">
        <f>'Project Risk'!D27</f>
        <v>0</v>
      </c>
      <c r="AJ7" s="122">
        <f>AF7-SUM(AF9:AF24)</f>
        <v>0</v>
      </c>
      <c r="AK7">
        <f t="shared" ref="AK7:AL7" si="5">AG7-SUM(AG9:AG24)</f>
        <v>0</v>
      </c>
      <c r="AL7" s="123">
        <f t="shared" si="5"/>
        <v>0</v>
      </c>
      <c r="AV7" t="str">
        <f t="shared" ref="AV7" ca="1" si="6">IFERROR(_xlfn.FORMULATEXT(AU18),IF(AU18="","",AU18))</f>
        <v/>
      </c>
    </row>
    <row r="8" spans="3:67" ht="16.2" thickBot="1">
      <c r="M8" s="652" t="s">
        <v>883</v>
      </c>
      <c r="N8" s="651" t="str">
        <f>INDEX($M$9:$M$24,MATCH(MAX(N9:N24),N9:N24,0),1)</f>
        <v>Collaboration</v>
      </c>
      <c r="O8" s="652" t="str">
        <f t="shared" ref="O8:S8" si="7">INDEX($M$9:$M$24,MATCH(MAX(O9:O24),O9:O24,0),1)</f>
        <v>Collaboration</v>
      </c>
      <c r="P8" s="652" t="str">
        <f t="shared" si="7"/>
        <v>Collaboration</v>
      </c>
      <c r="Q8" s="652" t="str">
        <f t="shared" si="7"/>
        <v>Collaboration</v>
      </c>
      <c r="R8" s="652" t="str">
        <f t="shared" si="7"/>
        <v>Collaboration</v>
      </c>
      <c r="S8" s="670" t="str">
        <f t="shared" si="7"/>
        <v>Collaboration</v>
      </c>
      <c r="T8" s="651"/>
      <c r="U8" s="652"/>
      <c r="V8" s="652"/>
      <c r="W8" s="652"/>
      <c r="X8" s="652"/>
      <c r="Y8" s="670"/>
      <c r="Z8" s="651"/>
      <c r="AA8" s="652"/>
      <c r="AB8" s="652"/>
      <c r="AC8" s="652"/>
      <c r="AD8" s="652"/>
      <c r="AE8" s="670"/>
      <c r="AF8" s="124" t="str">
        <f>INDEX($M$9:$M$24,MATCH(MAX(AF9:AF24),AF9:AF24,0),1)</f>
        <v>Collaboration</v>
      </c>
      <c r="AG8" s="658" t="str">
        <f t="shared" ref="AG8:AI8" si="8">INDEX($M$9:$M$24,MATCH(MAX(AG9:AG24),AG9:AG24,0),1)</f>
        <v>Collaboration</v>
      </c>
      <c r="AH8" s="658" t="str">
        <f t="shared" si="8"/>
        <v>Collaboration</v>
      </c>
      <c r="AI8" s="125" t="str">
        <f t="shared" si="8"/>
        <v>Collaboration</v>
      </c>
      <c r="AJ8" s="124"/>
      <c r="AK8" s="658"/>
      <c r="AL8" s="125"/>
      <c r="AV8" t="str">
        <f t="shared" ref="AV8" ca="1" si="9">IFERROR(_xlfn.FORMULATEXT(AU19),IF(AU19="","",AU19))</f>
        <v/>
      </c>
    </row>
    <row r="9" spans="3:67">
      <c r="M9" t="str" cm="1">
        <f t="array" ref="M9:M16">Table.Settings_Skill.List[Skill Name]</f>
        <v>Collaboration</v>
      </c>
      <c r="N9" s="122">
        <f>SUM(O9:S9)</f>
        <v>0</v>
      </c>
      <c r="O9">
        <f>SUMIFS(PART_NUMBER_GENERATOR_TABLE[Resource 1 BH],PART_NUMBER_GENERATOR_TABLE[[Tech]:[Tech]],$M9)
+SUMIFS(PART_NUMBER_GENERATOR_TABLE[Resource 1 AH],PART_NUMBER_GENERATOR_TABLE[[Tech]:[Tech]],$M9)</f>
        <v>0</v>
      </c>
      <c r="P9">
        <f>SUMIFS(PART_NUMBER_GENERATOR_TABLE[Resource 2 BH],PART_NUMBER_GENERATOR_TABLE[[Tech]:[Tech]],$M9)
+SUMIFS(PART_NUMBER_GENERATOR_TABLE[Resource 2 AH],PART_NUMBER_GENERATOR_TABLE[[Tech]:[Tech]],$M9)</f>
        <v>0</v>
      </c>
      <c r="Q9">
        <f>SUMIFS(PART_NUMBER_GENERATOR_TABLE[Resource 3 BH],PART_NUMBER_GENERATOR_TABLE[[Tech]:[Tech]],$M9)
+SUMIFS(PART_NUMBER_GENERATOR_TABLE[Resource 3 AH],PART_NUMBER_GENERATOR_TABLE[[Tech]:[Tech]],$M9)</f>
        <v>0</v>
      </c>
      <c r="R9">
        <f>SUMIFS(PART_NUMBER_GENERATOR_TABLE[Resource 4 BH],PART_NUMBER_GENERATOR_TABLE[[Tech]:[Tech]],$M9)
+SUMIFS(PART_NUMBER_GENERATOR_TABLE[Resource 4 AH],PART_NUMBER_GENERATOR_TABLE[[Tech]:[Tech]],$M9)</f>
        <v>0</v>
      </c>
      <c r="S9" s="123">
        <f>SUMIFS(PART_NUMBER_GENERATOR_TABLE[Resource 5 BH],PART_NUMBER_GENERATOR_TABLE[[Tech]:[Tech]],$M9)
+SUMIFS(PART_NUMBER_GENERATOR_TABLE[Resource 5 AH],PART_NUMBER_GENERATOR_TABLE[[Tech]:[Tech]],$M9)</f>
        <v>0</v>
      </c>
      <c r="T9" s="122">
        <f>IFERROR(ROUNDDOWN(T$7*(N9/N$7)*4,0)/4,0)</f>
        <v>0</v>
      </c>
      <c r="U9">
        <f>IFERROR(ROUNDDOWN(U$7*(O9/O$7)*4,0)/4,0)</f>
        <v>0</v>
      </c>
      <c r="V9">
        <f>IFERROR(ROUNDDOWN(V$7*(P9/P$7)*4,0)/4,0)</f>
        <v>0</v>
      </c>
      <c r="W9">
        <f>IFERROR(ROUNDDOWN(W$7*(Q9/Q$7)*4,0)/4,0)</f>
        <v>0</v>
      </c>
      <c r="X9">
        <f>IFERROR(ROUNDDOWN(X$7*(R9/R$7)*4,0)/4,0)</f>
        <v>0</v>
      </c>
      <c r="Y9" s="123">
        <f>IFERROR(ROUNDDOWN(Y$7*(S9/S$7)*4,0)/4,)</f>
        <v>0</v>
      </c>
      <c r="Z9" s="122">
        <f>IF($M9=N$8,Z$7,0)</f>
        <v>1.5</v>
      </c>
      <c r="AA9">
        <f t="shared" ref="AA9:AE24" si="10">IF($M9=O$8,AA$7,0)</f>
        <v>0</v>
      </c>
      <c r="AB9">
        <f t="shared" si="10"/>
        <v>0</v>
      </c>
      <c r="AC9">
        <f t="shared" si="10"/>
        <v>0</v>
      </c>
      <c r="AD9">
        <f t="shared" si="10"/>
        <v>0</v>
      </c>
      <c r="AE9" s="123">
        <f t="shared" si="10"/>
        <v>0</v>
      </c>
      <c r="AF9" s="120">
        <f>IFERROR(ROUNDDOWN(AF$7*(N9/N$7)*4,0)/4,0)</f>
        <v>0</v>
      </c>
      <c r="AG9" s="657">
        <f>IFERROR(ROUNDDOWN(AG$7*(N9/N$7)*4,0)/4,0)</f>
        <v>0</v>
      </c>
      <c r="AH9" s="657">
        <f>IFERROR(ROUNDDOWN(AH$7*(N9/N$7)*4,0)/4,0)</f>
        <v>0</v>
      </c>
      <c r="AI9" s="121">
        <f t="shared" ref="AI9:AI24" si="11">IF($M9=TRAVEL_CODE,AI$7,0)</f>
        <v>0</v>
      </c>
      <c r="AJ9" s="120">
        <f>IF($M9=AF$8,AJ$7,0)</f>
        <v>0</v>
      </c>
      <c r="AK9" s="657">
        <f t="shared" ref="AK9:AL9" si="12">IF($M9=AG$8,AK$7,0)</f>
        <v>0</v>
      </c>
      <c r="AL9" s="121">
        <f t="shared" si="12"/>
        <v>0</v>
      </c>
      <c r="AV9" t="str">
        <f t="shared" ref="AV9" ca="1" si="13">IFERROR(_xlfn.FORMULATEXT(AU20),IF(AU20="","",AU20))</f>
        <v/>
      </c>
    </row>
    <row r="10" spans="3:67">
      <c r="M10" t="str">
        <v>Networking</v>
      </c>
      <c r="N10" s="122">
        <f t="shared" ref="N10:N16" si="14">SUM(O10:S10)</f>
        <v>0</v>
      </c>
      <c r="O10">
        <f>SUMIFS(PART_NUMBER_GENERATOR_TABLE[Resource 1 BH],PART_NUMBER_GENERATOR_TABLE[[Tech]:[Tech]],$M10)
+SUMIFS(PART_NUMBER_GENERATOR_TABLE[Resource 1 AH],PART_NUMBER_GENERATOR_TABLE[[Tech]:[Tech]],$M10)</f>
        <v>0</v>
      </c>
      <c r="P10">
        <f>SUMIFS(PART_NUMBER_GENERATOR_TABLE[Resource 2 BH],PART_NUMBER_GENERATOR_TABLE[[Tech]:[Tech]],$M10)
+SUMIFS(PART_NUMBER_GENERATOR_TABLE[Resource 2 AH],PART_NUMBER_GENERATOR_TABLE[[Tech]:[Tech]],$M10)</f>
        <v>0</v>
      </c>
      <c r="Q10">
        <f>SUMIFS(PART_NUMBER_GENERATOR_TABLE[Resource 3 BH],PART_NUMBER_GENERATOR_TABLE[[Tech]:[Tech]],$M10)
+SUMIFS(PART_NUMBER_GENERATOR_TABLE[Resource 3 AH],PART_NUMBER_GENERATOR_TABLE[[Tech]:[Tech]],$M10)</f>
        <v>0</v>
      </c>
      <c r="R10">
        <f>SUMIFS(PART_NUMBER_GENERATOR_TABLE[Resource 4 BH],PART_NUMBER_GENERATOR_TABLE[[Tech]:[Tech]],$M10)
+SUMIFS(PART_NUMBER_GENERATOR_TABLE[Resource 4 AH],PART_NUMBER_GENERATOR_TABLE[[Tech]:[Tech]],$M10)</f>
        <v>0</v>
      </c>
      <c r="S10" s="123">
        <f>SUMIFS(PART_NUMBER_GENERATOR_TABLE[Resource 5 BH],PART_NUMBER_GENERATOR_TABLE[[Tech]:[Tech]],$M10)
+SUMIFS(PART_NUMBER_GENERATOR_TABLE[Resource 5 AH],PART_NUMBER_GENERATOR_TABLE[[Tech]:[Tech]],$M10)</f>
        <v>0</v>
      </c>
      <c r="T10" s="122">
        <f t="shared" ref="T10:T24" si="15">IFERROR(ROUNDDOWN(T$7*(N10/N$7)*4,0)/4,0)</f>
        <v>0</v>
      </c>
      <c r="U10">
        <f t="shared" ref="U10:U24" si="16">IFERROR(ROUNDDOWN(U$7*(O10/O$7)*4,0)/4,0)</f>
        <v>0</v>
      </c>
      <c r="V10">
        <f t="shared" ref="V10:V24" si="17">IFERROR(ROUNDDOWN(V$7*(P10/P$7)*4,0)/4,0)</f>
        <v>0</v>
      </c>
      <c r="W10">
        <f t="shared" ref="W10:W24" si="18">IFERROR(ROUNDDOWN(W$7*(Q10/Q$7)*4,0)/4,0)</f>
        <v>0</v>
      </c>
      <c r="X10">
        <f t="shared" ref="X10:X24" si="19">IFERROR(ROUNDDOWN(X$7*(R10/R$7)*4,0)/4,0)</f>
        <v>0</v>
      </c>
      <c r="Y10" s="123">
        <f t="shared" ref="Y10:Y24" si="20">IFERROR(ROUNDDOWN(Y$7*(S10/S$7)*4,0)/4,)</f>
        <v>0</v>
      </c>
      <c r="Z10" s="122">
        <f t="shared" ref="Z10:Z24" si="21">IF($M10=N$8,Z$7,0)</f>
        <v>0</v>
      </c>
      <c r="AA10">
        <f t="shared" si="10"/>
        <v>0</v>
      </c>
      <c r="AB10">
        <f t="shared" si="10"/>
        <v>0</v>
      </c>
      <c r="AC10">
        <f t="shared" si="10"/>
        <v>0</v>
      </c>
      <c r="AD10">
        <f t="shared" si="10"/>
        <v>0</v>
      </c>
      <c r="AE10" s="123">
        <f t="shared" si="10"/>
        <v>0</v>
      </c>
      <c r="AF10" s="122">
        <f t="shared" ref="AF10:AF24" si="22">IFERROR(ROUNDDOWN(AF$7*(N10/N$7)*4,0)/4,0)</f>
        <v>0</v>
      </c>
      <c r="AG10">
        <f t="shared" ref="AG10:AG24" si="23">IFERROR(ROUNDDOWN(AG$7*(N10/N$7)*4,0)/4,0)</f>
        <v>0</v>
      </c>
      <c r="AH10">
        <f t="shared" ref="AH10:AH24" si="24">IFERROR(ROUNDDOWN(AH$7*(N10/N$7)*4,0)/4,0)</f>
        <v>0</v>
      </c>
      <c r="AI10" s="123">
        <f t="shared" si="11"/>
        <v>0</v>
      </c>
      <c r="AJ10" s="122">
        <f t="shared" ref="AJ10:AJ24" si="25">IF($M10=AF$8,AJ$7,0)</f>
        <v>0</v>
      </c>
      <c r="AK10">
        <f t="shared" ref="AK10:AK24" si="26">IF($M10=AG$8,AK$7,0)</f>
        <v>0</v>
      </c>
      <c r="AL10" s="123">
        <f t="shared" ref="AL10:AL24" si="27">IF($M10=AH$8,AL$7,0)</f>
        <v>0</v>
      </c>
      <c r="AV10" t="str">
        <f t="shared" ref="AV10" ca="1" si="28">IFERROR(_xlfn.FORMULATEXT(AU21),IF(AU21="","",AU21))</f>
        <v/>
      </c>
      <c r="BM10" s="465"/>
    </row>
    <row r="11" spans="3:67">
      <c r="M11" t="str">
        <v>Secure Networking</v>
      </c>
      <c r="N11" s="122">
        <f t="shared" si="14"/>
        <v>0</v>
      </c>
      <c r="O11">
        <f>SUMIFS(PART_NUMBER_GENERATOR_TABLE[Resource 1 BH],PART_NUMBER_GENERATOR_TABLE[[Tech]:[Tech]],$M11)
+SUMIFS(PART_NUMBER_GENERATOR_TABLE[Resource 1 AH],PART_NUMBER_GENERATOR_TABLE[[Tech]:[Tech]],$M11)</f>
        <v>0</v>
      </c>
      <c r="P11">
        <f>SUMIFS(PART_NUMBER_GENERATOR_TABLE[Resource 2 BH],PART_NUMBER_GENERATOR_TABLE[[Tech]:[Tech]],$M11)
+SUMIFS(PART_NUMBER_GENERATOR_TABLE[Resource 2 AH],PART_NUMBER_GENERATOR_TABLE[[Tech]:[Tech]],$M11)</f>
        <v>0</v>
      </c>
      <c r="Q11">
        <f>SUMIFS(PART_NUMBER_GENERATOR_TABLE[Resource 3 BH],PART_NUMBER_GENERATOR_TABLE[[Tech]:[Tech]],$M11)
+SUMIFS(PART_NUMBER_GENERATOR_TABLE[Resource 3 AH],PART_NUMBER_GENERATOR_TABLE[[Tech]:[Tech]],$M11)</f>
        <v>0</v>
      </c>
      <c r="R11">
        <f>SUMIFS(PART_NUMBER_GENERATOR_TABLE[Resource 4 BH],PART_NUMBER_GENERATOR_TABLE[[Tech]:[Tech]],$M11)
+SUMIFS(PART_NUMBER_GENERATOR_TABLE[Resource 4 AH],PART_NUMBER_GENERATOR_TABLE[[Tech]:[Tech]],$M11)</f>
        <v>0</v>
      </c>
      <c r="S11" s="123">
        <f>SUMIFS(PART_NUMBER_GENERATOR_TABLE[Resource 5 BH],PART_NUMBER_GENERATOR_TABLE[[Tech]:[Tech]],$M11)
+SUMIFS(PART_NUMBER_GENERATOR_TABLE[Resource 5 AH],PART_NUMBER_GENERATOR_TABLE[[Tech]:[Tech]],$M11)</f>
        <v>0</v>
      </c>
      <c r="T11" s="122">
        <f t="shared" si="15"/>
        <v>0</v>
      </c>
      <c r="U11">
        <f t="shared" si="16"/>
        <v>0</v>
      </c>
      <c r="V11">
        <f t="shared" si="17"/>
        <v>0</v>
      </c>
      <c r="W11">
        <f t="shared" si="18"/>
        <v>0</v>
      </c>
      <c r="X11">
        <f t="shared" si="19"/>
        <v>0</v>
      </c>
      <c r="Y11" s="123">
        <f t="shared" si="20"/>
        <v>0</v>
      </c>
      <c r="Z11" s="122">
        <f t="shared" si="21"/>
        <v>0</v>
      </c>
      <c r="AA11">
        <f t="shared" si="10"/>
        <v>0</v>
      </c>
      <c r="AB11">
        <f t="shared" si="10"/>
        <v>0</v>
      </c>
      <c r="AC11">
        <f t="shared" si="10"/>
        <v>0</v>
      </c>
      <c r="AD11">
        <f t="shared" si="10"/>
        <v>0</v>
      </c>
      <c r="AE11" s="123">
        <f t="shared" si="10"/>
        <v>0</v>
      </c>
      <c r="AF11" s="122">
        <f t="shared" si="22"/>
        <v>0</v>
      </c>
      <c r="AG11">
        <f t="shared" si="23"/>
        <v>0</v>
      </c>
      <c r="AH11">
        <f t="shared" si="24"/>
        <v>0</v>
      </c>
      <c r="AI11" s="123">
        <f t="shared" si="11"/>
        <v>0</v>
      </c>
      <c r="AJ11" s="122">
        <f t="shared" si="25"/>
        <v>0</v>
      </c>
      <c r="AK11">
        <f t="shared" si="26"/>
        <v>0</v>
      </c>
      <c r="AL11" s="123">
        <f t="shared" si="27"/>
        <v>0</v>
      </c>
      <c r="AV11" t="str">
        <f t="shared" ref="AV11" ca="1" si="29">IFERROR(_xlfn.FORMULATEXT(AU22),IF(AU22="","",AU22))</f>
        <v/>
      </c>
    </row>
    <row r="12" spans="3:67">
      <c r="M12" t="str">
        <v>Security</v>
      </c>
      <c r="N12" s="122">
        <f t="shared" si="14"/>
        <v>0</v>
      </c>
      <c r="O12">
        <f>SUMIFS(PART_NUMBER_GENERATOR_TABLE[Resource 1 BH],PART_NUMBER_GENERATOR_TABLE[[Tech]:[Tech]],$M12)
+SUMIFS(PART_NUMBER_GENERATOR_TABLE[Resource 1 AH],PART_NUMBER_GENERATOR_TABLE[[Tech]:[Tech]],$M12)</f>
        <v>0</v>
      </c>
      <c r="P12">
        <f>SUMIFS(PART_NUMBER_GENERATOR_TABLE[Resource 2 BH],PART_NUMBER_GENERATOR_TABLE[[Tech]:[Tech]],$M12)
+SUMIFS(PART_NUMBER_GENERATOR_TABLE[Resource 2 AH],PART_NUMBER_GENERATOR_TABLE[[Tech]:[Tech]],$M12)</f>
        <v>0</v>
      </c>
      <c r="Q12">
        <f>SUMIFS(PART_NUMBER_GENERATOR_TABLE[Resource 3 BH],PART_NUMBER_GENERATOR_TABLE[[Tech]:[Tech]],$M12)
+SUMIFS(PART_NUMBER_GENERATOR_TABLE[Resource 3 AH],PART_NUMBER_GENERATOR_TABLE[[Tech]:[Tech]],$M12)</f>
        <v>0</v>
      </c>
      <c r="R12">
        <f>SUMIFS(PART_NUMBER_GENERATOR_TABLE[Resource 4 BH],PART_NUMBER_GENERATOR_TABLE[[Tech]:[Tech]],$M12)
+SUMIFS(PART_NUMBER_GENERATOR_TABLE[Resource 4 AH],PART_NUMBER_GENERATOR_TABLE[[Tech]:[Tech]],$M12)</f>
        <v>0</v>
      </c>
      <c r="S12" s="123">
        <f>SUMIFS(PART_NUMBER_GENERATOR_TABLE[Resource 5 BH],PART_NUMBER_GENERATOR_TABLE[[Tech]:[Tech]],$M12)
+SUMIFS(PART_NUMBER_GENERATOR_TABLE[Resource 5 AH],PART_NUMBER_GENERATOR_TABLE[[Tech]:[Tech]],$M12)</f>
        <v>0</v>
      </c>
      <c r="T12" s="122">
        <f t="shared" si="15"/>
        <v>0</v>
      </c>
      <c r="U12">
        <f t="shared" si="16"/>
        <v>0</v>
      </c>
      <c r="V12">
        <f t="shared" si="17"/>
        <v>0</v>
      </c>
      <c r="W12">
        <f t="shared" si="18"/>
        <v>0</v>
      </c>
      <c r="X12">
        <f t="shared" si="19"/>
        <v>0</v>
      </c>
      <c r="Y12" s="123">
        <f t="shared" si="20"/>
        <v>0</v>
      </c>
      <c r="Z12" s="122">
        <f t="shared" si="21"/>
        <v>0</v>
      </c>
      <c r="AA12">
        <f t="shared" si="10"/>
        <v>0</v>
      </c>
      <c r="AB12">
        <f t="shared" si="10"/>
        <v>0</v>
      </c>
      <c r="AC12">
        <f t="shared" si="10"/>
        <v>0</v>
      </c>
      <c r="AD12">
        <f t="shared" si="10"/>
        <v>0</v>
      </c>
      <c r="AE12" s="123">
        <f t="shared" si="10"/>
        <v>0</v>
      </c>
      <c r="AF12" s="122">
        <f t="shared" si="22"/>
        <v>0</v>
      </c>
      <c r="AG12">
        <f t="shared" si="23"/>
        <v>0</v>
      </c>
      <c r="AH12">
        <f t="shared" si="24"/>
        <v>0</v>
      </c>
      <c r="AI12" s="123">
        <f t="shared" si="11"/>
        <v>0</v>
      </c>
      <c r="AJ12" s="122">
        <f t="shared" si="25"/>
        <v>0</v>
      </c>
      <c r="AK12">
        <f t="shared" si="26"/>
        <v>0</v>
      </c>
      <c r="AL12" s="123">
        <f t="shared" si="27"/>
        <v>0</v>
      </c>
      <c r="AV12" t="str">
        <f t="shared" ref="AV12" ca="1" si="30">IFERROR(_xlfn.FORMULATEXT(AU23),IF(AU23="","",AU23))</f>
        <v/>
      </c>
      <c r="AX12" s="674"/>
    </row>
    <row r="13" spans="3:67">
      <c r="M13" t="str">
        <v>Integrated Health</v>
      </c>
      <c r="N13" s="122">
        <f t="shared" si="14"/>
        <v>0</v>
      </c>
      <c r="O13">
        <f>SUMIFS(PART_NUMBER_GENERATOR_TABLE[Resource 1 BH],PART_NUMBER_GENERATOR_TABLE[[Tech]:[Tech]],$M13)
+SUMIFS(PART_NUMBER_GENERATOR_TABLE[Resource 1 AH],PART_NUMBER_GENERATOR_TABLE[[Tech]:[Tech]],$M13)</f>
        <v>0</v>
      </c>
      <c r="P13">
        <f>SUMIFS(PART_NUMBER_GENERATOR_TABLE[Resource 2 BH],PART_NUMBER_GENERATOR_TABLE[[Tech]:[Tech]],$M13)
+SUMIFS(PART_NUMBER_GENERATOR_TABLE[Resource 2 AH],PART_NUMBER_GENERATOR_TABLE[[Tech]:[Tech]],$M13)</f>
        <v>0</v>
      </c>
      <c r="Q13">
        <f>SUMIFS(PART_NUMBER_GENERATOR_TABLE[Resource 3 BH],PART_NUMBER_GENERATOR_TABLE[[Tech]:[Tech]],$M13)
+SUMIFS(PART_NUMBER_GENERATOR_TABLE[Resource 3 AH],PART_NUMBER_GENERATOR_TABLE[[Tech]:[Tech]],$M13)</f>
        <v>0</v>
      </c>
      <c r="R13">
        <f>SUMIFS(PART_NUMBER_GENERATOR_TABLE[Resource 4 BH],PART_NUMBER_GENERATOR_TABLE[[Tech]:[Tech]],$M13)
+SUMIFS(PART_NUMBER_GENERATOR_TABLE[Resource 4 AH],PART_NUMBER_GENERATOR_TABLE[[Tech]:[Tech]],$M13)</f>
        <v>0</v>
      </c>
      <c r="S13" s="123">
        <f>SUMIFS(PART_NUMBER_GENERATOR_TABLE[Resource 5 BH],PART_NUMBER_GENERATOR_TABLE[[Tech]:[Tech]],$M13)
+SUMIFS(PART_NUMBER_GENERATOR_TABLE[Resource 5 AH],PART_NUMBER_GENERATOR_TABLE[[Tech]:[Tech]],$M13)</f>
        <v>0</v>
      </c>
      <c r="T13" s="122">
        <f t="shared" si="15"/>
        <v>0</v>
      </c>
      <c r="U13">
        <f t="shared" si="16"/>
        <v>0</v>
      </c>
      <c r="V13">
        <f t="shared" si="17"/>
        <v>0</v>
      </c>
      <c r="W13">
        <f t="shared" si="18"/>
        <v>0</v>
      </c>
      <c r="X13">
        <f t="shared" si="19"/>
        <v>0</v>
      </c>
      <c r="Y13" s="123">
        <f t="shared" si="20"/>
        <v>0</v>
      </c>
      <c r="Z13" s="122">
        <f t="shared" si="21"/>
        <v>0</v>
      </c>
      <c r="AA13">
        <f t="shared" si="10"/>
        <v>0</v>
      </c>
      <c r="AB13">
        <f t="shared" si="10"/>
        <v>0</v>
      </c>
      <c r="AC13">
        <f t="shared" si="10"/>
        <v>0</v>
      </c>
      <c r="AD13">
        <f t="shared" si="10"/>
        <v>0</v>
      </c>
      <c r="AE13" s="123">
        <f t="shared" si="10"/>
        <v>0</v>
      </c>
      <c r="AF13" s="122">
        <f t="shared" si="22"/>
        <v>0</v>
      </c>
      <c r="AG13">
        <f t="shared" si="23"/>
        <v>0</v>
      </c>
      <c r="AH13">
        <f t="shared" si="24"/>
        <v>0</v>
      </c>
      <c r="AI13" s="123">
        <f t="shared" si="11"/>
        <v>0</v>
      </c>
      <c r="AJ13" s="122">
        <f t="shared" si="25"/>
        <v>0</v>
      </c>
      <c r="AK13">
        <f t="shared" si="26"/>
        <v>0</v>
      </c>
      <c r="AL13" s="123">
        <f t="shared" si="27"/>
        <v>0</v>
      </c>
      <c r="AV13" t="str">
        <f t="shared" ref="AV13" ca="1" si="31">IFERROR(_xlfn.FORMULATEXT(AU24),IF(AU24="","",AU24))</f>
        <v/>
      </c>
      <c r="AX13" s="674"/>
    </row>
    <row r="14" spans="3:67">
      <c r="M14" t="str">
        <v>Data Centre / Cloud</v>
      </c>
      <c r="N14" s="122">
        <f t="shared" si="14"/>
        <v>0</v>
      </c>
      <c r="O14">
        <f>SUMIFS(PART_NUMBER_GENERATOR_TABLE[Resource 1 BH],PART_NUMBER_GENERATOR_TABLE[[Tech]:[Tech]],$M14)
+SUMIFS(PART_NUMBER_GENERATOR_TABLE[Resource 1 AH],PART_NUMBER_GENERATOR_TABLE[[Tech]:[Tech]],$M14)</f>
        <v>0</v>
      </c>
      <c r="P14">
        <f>SUMIFS(PART_NUMBER_GENERATOR_TABLE[Resource 2 BH],PART_NUMBER_GENERATOR_TABLE[[Tech]:[Tech]],$M14)
+SUMIFS(PART_NUMBER_GENERATOR_TABLE[Resource 2 AH],PART_NUMBER_GENERATOR_TABLE[[Tech]:[Tech]],$M14)</f>
        <v>0</v>
      </c>
      <c r="Q14">
        <f>SUMIFS(PART_NUMBER_GENERATOR_TABLE[Resource 3 BH],PART_NUMBER_GENERATOR_TABLE[[Tech]:[Tech]],$M14)
+SUMIFS(PART_NUMBER_GENERATOR_TABLE[Resource 3 AH],PART_NUMBER_GENERATOR_TABLE[[Tech]:[Tech]],$M14)</f>
        <v>0</v>
      </c>
      <c r="R14">
        <f>SUMIFS(PART_NUMBER_GENERATOR_TABLE[Resource 4 BH],PART_NUMBER_GENERATOR_TABLE[[Tech]:[Tech]],$M14)
+SUMIFS(PART_NUMBER_GENERATOR_TABLE[Resource 4 AH],PART_NUMBER_GENERATOR_TABLE[[Tech]:[Tech]],$M14)</f>
        <v>0</v>
      </c>
      <c r="S14" s="123">
        <f>SUMIFS(PART_NUMBER_GENERATOR_TABLE[Resource 5 BH],PART_NUMBER_GENERATOR_TABLE[[Tech]:[Tech]],$M14)
+SUMIFS(PART_NUMBER_GENERATOR_TABLE[Resource 5 AH],PART_NUMBER_GENERATOR_TABLE[[Tech]:[Tech]],$M14)</f>
        <v>0</v>
      </c>
      <c r="T14" s="122">
        <f t="shared" si="15"/>
        <v>0</v>
      </c>
      <c r="U14">
        <f t="shared" si="16"/>
        <v>0</v>
      </c>
      <c r="V14">
        <f t="shared" si="17"/>
        <v>0</v>
      </c>
      <c r="W14">
        <f t="shared" si="18"/>
        <v>0</v>
      </c>
      <c r="X14">
        <f t="shared" si="19"/>
        <v>0</v>
      </c>
      <c r="Y14" s="123">
        <f t="shared" si="20"/>
        <v>0</v>
      </c>
      <c r="Z14" s="122">
        <f t="shared" si="21"/>
        <v>0</v>
      </c>
      <c r="AA14">
        <f t="shared" si="10"/>
        <v>0</v>
      </c>
      <c r="AB14">
        <f t="shared" si="10"/>
        <v>0</v>
      </c>
      <c r="AC14">
        <f t="shared" si="10"/>
        <v>0</v>
      </c>
      <c r="AD14">
        <f t="shared" si="10"/>
        <v>0</v>
      </c>
      <c r="AE14" s="123">
        <f t="shared" si="10"/>
        <v>0</v>
      </c>
      <c r="AF14" s="122">
        <f t="shared" si="22"/>
        <v>0</v>
      </c>
      <c r="AG14">
        <f t="shared" si="23"/>
        <v>0</v>
      </c>
      <c r="AH14">
        <f t="shared" si="24"/>
        <v>0</v>
      </c>
      <c r="AI14" s="123">
        <f t="shared" si="11"/>
        <v>0</v>
      </c>
      <c r="AJ14" s="122">
        <f t="shared" si="25"/>
        <v>0</v>
      </c>
      <c r="AK14">
        <f t="shared" si="26"/>
        <v>0</v>
      </c>
      <c r="AL14" s="123">
        <f t="shared" si="27"/>
        <v>0</v>
      </c>
      <c r="AV14" t="str">
        <f t="shared" ref="AV14" ca="1" si="32">IFERROR(_xlfn.FORMULATEXT(AU25),IF(AU25="","",AU25))</f>
        <v/>
      </c>
    </row>
    <row r="15" spans="3:67">
      <c r="M15" t="str">
        <v>Operational Technology</v>
      </c>
      <c r="N15" s="122">
        <f t="shared" si="14"/>
        <v>0</v>
      </c>
      <c r="O15">
        <f>SUMIFS(PART_NUMBER_GENERATOR_TABLE[Resource 1 BH],PART_NUMBER_GENERATOR_TABLE[[Tech]:[Tech]],$M15)
+SUMIFS(PART_NUMBER_GENERATOR_TABLE[Resource 1 AH],PART_NUMBER_GENERATOR_TABLE[[Tech]:[Tech]],$M15)</f>
        <v>0</v>
      </c>
      <c r="P15">
        <f>SUMIFS(PART_NUMBER_GENERATOR_TABLE[Resource 2 BH],PART_NUMBER_GENERATOR_TABLE[[Tech]:[Tech]],$M15)
+SUMIFS(PART_NUMBER_GENERATOR_TABLE[Resource 2 AH],PART_NUMBER_GENERATOR_TABLE[[Tech]:[Tech]],$M15)</f>
        <v>0</v>
      </c>
      <c r="Q15">
        <f>SUMIFS(PART_NUMBER_GENERATOR_TABLE[Resource 3 BH],PART_NUMBER_GENERATOR_TABLE[[Tech]:[Tech]],$M15)
+SUMIFS(PART_NUMBER_GENERATOR_TABLE[Resource 3 AH],PART_NUMBER_GENERATOR_TABLE[[Tech]:[Tech]],$M15)</f>
        <v>0</v>
      </c>
      <c r="R15">
        <f>SUMIFS(PART_NUMBER_GENERATOR_TABLE[Resource 4 BH],PART_NUMBER_GENERATOR_TABLE[[Tech]:[Tech]],$M15)
+SUMIFS(PART_NUMBER_GENERATOR_TABLE[Resource 4 AH],PART_NUMBER_GENERATOR_TABLE[[Tech]:[Tech]],$M15)</f>
        <v>0</v>
      </c>
      <c r="S15" s="123">
        <f>SUMIFS(PART_NUMBER_GENERATOR_TABLE[Resource 5 BH],PART_NUMBER_GENERATOR_TABLE[[Tech]:[Tech]],$M15)
+SUMIFS(PART_NUMBER_GENERATOR_TABLE[Resource 5 AH],PART_NUMBER_GENERATOR_TABLE[[Tech]:[Tech]],$M15)</f>
        <v>0</v>
      </c>
      <c r="T15" s="122">
        <f t="shared" si="15"/>
        <v>0</v>
      </c>
      <c r="U15">
        <f t="shared" si="16"/>
        <v>0</v>
      </c>
      <c r="V15">
        <f t="shared" si="17"/>
        <v>0</v>
      </c>
      <c r="W15">
        <f t="shared" si="18"/>
        <v>0</v>
      </c>
      <c r="X15">
        <f t="shared" si="19"/>
        <v>0</v>
      </c>
      <c r="Y15" s="123">
        <f t="shared" si="20"/>
        <v>0</v>
      </c>
      <c r="Z15" s="122">
        <f t="shared" si="21"/>
        <v>0</v>
      </c>
      <c r="AA15">
        <f t="shared" si="10"/>
        <v>0</v>
      </c>
      <c r="AB15">
        <f t="shared" si="10"/>
        <v>0</v>
      </c>
      <c r="AC15">
        <f t="shared" si="10"/>
        <v>0</v>
      </c>
      <c r="AD15">
        <f t="shared" si="10"/>
        <v>0</v>
      </c>
      <c r="AE15" s="123">
        <f t="shared" si="10"/>
        <v>0</v>
      </c>
      <c r="AF15" s="122">
        <f t="shared" si="22"/>
        <v>0</v>
      </c>
      <c r="AG15">
        <f t="shared" si="23"/>
        <v>0</v>
      </c>
      <c r="AH15">
        <f t="shared" si="24"/>
        <v>0</v>
      </c>
      <c r="AI15" s="123">
        <f t="shared" si="11"/>
        <v>0</v>
      </c>
      <c r="AJ15" s="122">
        <f t="shared" si="25"/>
        <v>0</v>
      </c>
      <c r="AK15">
        <f t="shared" si="26"/>
        <v>0</v>
      </c>
      <c r="AL15" s="123">
        <f t="shared" si="27"/>
        <v>0</v>
      </c>
      <c r="AN15" t="str">
        <f t="shared" ref="AN15:AV15" ca="1" si="33">IFERROR(_xlfn.FORMULATEXT(AM26),IF(AM26="","",AM26))</f>
        <v/>
      </c>
      <c r="AO15" t="str">
        <f t="shared" ca="1" si="33"/>
        <v/>
      </c>
      <c r="AP15" t="str">
        <f t="shared" ca="1" si="33"/>
        <v/>
      </c>
      <c r="AQ15" t="str">
        <f t="shared" ca="1" si="33"/>
        <v/>
      </c>
      <c r="AR15" t="str">
        <f t="shared" ca="1" si="33"/>
        <v/>
      </c>
      <c r="AS15" t="str">
        <f t="shared" ca="1" si="33"/>
        <v/>
      </c>
      <c r="AT15" t="str">
        <f t="shared" ca="1" si="33"/>
        <v/>
      </c>
      <c r="AU15" t="str">
        <f t="shared" ca="1" si="33"/>
        <v/>
      </c>
      <c r="AV15" t="str">
        <f t="shared" ca="1" si="33"/>
        <v/>
      </c>
    </row>
    <row r="16" spans="3:67" ht="16.2" thickBot="1">
      <c r="M16" t="str">
        <v>Travel</v>
      </c>
      <c r="N16" s="122">
        <f t="shared" si="14"/>
        <v>0</v>
      </c>
      <c r="O16">
        <f>SUMIFS(PART_NUMBER_GENERATOR_TABLE[Resource 1 BH],PART_NUMBER_GENERATOR_TABLE[[Tech]:[Tech]],$M16)
+SUMIFS(PART_NUMBER_GENERATOR_TABLE[Resource 1 AH],PART_NUMBER_GENERATOR_TABLE[[Tech]:[Tech]],$M16)</f>
        <v>0</v>
      </c>
      <c r="P16">
        <f>SUMIFS(PART_NUMBER_GENERATOR_TABLE[Resource 2 BH],PART_NUMBER_GENERATOR_TABLE[[Tech]:[Tech]],$M16)
+SUMIFS(PART_NUMBER_GENERATOR_TABLE[Resource 2 AH],PART_NUMBER_GENERATOR_TABLE[[Tech]:[Tech]],$M16)</f>
        <v>0</v>
      </c>
      <c r="Q16">
        <f>SUMIFS(PART_NUMBER_GENERATOR_TABLE[Resource 3 BH],PART_NUMBER_GENERATOR_TABLE[[Tech]:[Tech]],$M16)
+SUMIFS(PART_NUMBER_GENERATOR_TABLE[Resource 3 AH],PART_NUMBER_GENERATOR_TABLE[[Tech]:[Tech]],$M16)</f>
        <v>0</v>
      </c>
      <c r="R16">
        <f>SUMIFS(PART_NUMBER_GENERATOR_TABLE[Resource 4 BH],PART_NUMBER_GENERATOR_TABLE[[Tech]:[Tech]],$M16)
+SUMIFS(PART_NUMBER_GENERATOR_TABLE[Resource 4 AH],PART_NUMBER_GENERATOR_TABLE[[Tech]:[Tech]],$M16)</f>
        <v>0</v>
      </c>
      <c r="S16" s="123">
        <f>SUMIFS(PART_NUMBER_GENERATOR_TABLE[Resource 5 BH],PART_NUMBER_GENERATOR_TABLE[[Tech]:[Tech]],$M16)
+SUMIFS(PART_NUMBER_GENERATOR_TABLE[Resource 5 AH],PART_NUMBER_GENERATOR_TABLE[[Tech]:[Tech]],$M16)</f>
        <v>0</v>
      </c>
      <c r="T16" s="122">
        <f t="shared" si="15"/>
        <v>0</v>
      </c>
      <c r="U16">
        <f t="shared" si="16"/>
        <v>0</v>
      </c>
      <c r="V16">
        <f t="shared" si="17"/>
        <v>0</v>
      </c>
      <c r="W16">
        <f t="shared" si="18"/>
        <v>0</v>
      </c>
      <c r="X16">
        <f t="shared" si="19"/>
        <v>0</v>
      </c>
      <c r="Y16" s="123">
        <f t="shared" si="20"/>
        <v>0</v>
      </c>
      <c r="Z16" s="122">
        <f t="shared" si="21"/>
        <v>0</v>
      </c>
      <c r="AA16">
        <f t="shared" si="10"/>
        <v>0</v>
      </c>
      <c r="AB16">
        <f t="shared" si="10"/>
        <v>0</v>
      </c>
      <c r="AC16">
        <f t="shared" si="10"/>
        <v>0</v>
      </c>
      <c r="AD16">
        <f t="shared" si="10"/>
        <v>0</v>
      </c>
      <c r="AE16" s="123">
        <f t="shared" si="10"/>
        <v>0</v>
      </c>
      <c r="AF16" s="122">
        <f t="shared" si="22"/>
        <v>0</v>
      </c>
      <c r="AG16">
        <f t="shared" si="23"/>
        <v>0</v>
      </c>
      <c r="AH16">
        <f t="shared" si="24"/>
        <v>0</v>
      </c>
      <c r="AI16" s="123">
        <f t="shared" si="11"/>
        <v>0</v>
      </c>
      <c r="AJ16" s="122">
        <f t="shared" si="25"/>
        <v>0</v>
      </c>
      <c r="AK16">
        <f t="shared" si="26"/>
        <v>0</v>
      </c>
      <c r="AL16" s="123">
        <f t="shared" si="27"/>
        <v>0</v>
      </c>
      <c r="AX16" s="674"/>
    </row>
    <row r="17" spans="1:71">
      <c r="N17" s="122">
        <f t="shared" ref="N17:N24" si="34">SUM(O17:S17)</f>
        <v>0</v>
      </c>
      <c r="O17">
        <f>SUMIFS(PART_NUMBER_GENERATOR_TABLE[Resource 1 BH],PART_NUMBER_GENERATOR_TABLE[[Tech]:[Tech]],$M17)
+SUMIFS(PART_NUMBER_GENERATOR_TABLE[Resource 1 AH],PART_NUMBER_GENERATOR_TABLE[[Tech]:[Tech]],$M17)</f>
        <v>0</v>
      </c>
      <c r="P17">
        <f>SUMIFS(PART_NUMBER_GENERATOR_TABLE[Resource 2 BH],PART_NUMBER_GENERATOR_TABLE[[Tech]:[Tech]],$M17)
+SUMIFS(PART_NUMBER_GENERATOR_TABLE[Resource 2 AH],PART_NUMBER_GENERATOR_TABLE[[Tech]:[Tech]],$M17)</f>
        <v>0</v>
      </c>
      <c r="Q17">
        <f>SUMIFS(PART_NUMBER_GENERATOR_TABLE[Resource 3 BH],PART_NUMBER_GENERATOR_TABLE[[Tech]:[Tech]],$M17)
+SUMIFS(PART_NUMBER_GENERATOR_TABLE[Resource 3 AH],PART_NUMBER_GENERATOR_TABLE[[Tech]:[Tech]],$M17)</f>
        <v>0</v>
      </c>
      <c r="R17">
        <f>SUMIFS(PART_NUMBER_GENERATOR_TABLE[Resource 4 BH],PART_NUMBER_GENERATOR_TABLE[[Tech]:[Tech]],$M17)
+SUMIFS(PART_NUMBER_GENERATOR_TABLE[Resource 4 AH],PART_NUMBER_GENERATOR_TABLE[[Tech]:[Tech]],$M17)</f>
        <v>0</v>
      </c>
      <c r="S17" s="123">
        <f>SUMIFS(PART_NUMBER_GENERATOR_TABLE[Resource 5 BH],PART_NUMBER_GENERATOR_TABLE[[Tech]:[Tech]],$M17)
+SUMIFS(PART_NUMBER_GENERATOR_TABLE[Resource 5 AH],PART_NUMBER_GENERATOR_TABLE[[Tech]:[Tech]],$M17)</f>
        <v>0</v>
      </c>
      <c r="T17" s="122">
        <f t="shared" si="15"/>
        <v>0</v>
      </c>
      <c r="U17">
        <f t="shared" si="16"/>
        <v>0</v>
      </c>
      <c r="V17">
        <f t="shared" si="17"/>
        <v>0</v>
      </c>
      <c r="W17">
        <f t="shared" si="18"/>
        <v>0</v>
      </c>
      <c r="X17">
        <f t="shared" si="19"/>
        <v>0</v>
      </c>
      <c r="Y17" s="123">
        <f t="shared" si="20"/>
        <v>0</v>
      </c>
      <c r="Z17" s="122">
        <f t="shared" si="21"/>
        <v>0</v>
      </c>
      <c r="AA17">
        <f t="shared" si="10"/>
        <v>0</v>
      </c>
      <c r="AB17">
        <f t="shared" si="10"/>
        <v>0</v>
      </c>
      <c r="AC17">
        <f t="shared" si="10"/>
        <v>0</v>
      </c>
      <c r="AD17">
        <f t="shared" si="10"/>
        <v>0</v>
      </c>
      <c r="AE17" s="123">
        <f t="shared" si="10"/>
        <v>0</v>
      </c>
      <c r="AF17" s="122">
        <f t="shared" si="22"/>
        <v>0</v>
      </c>
      <c r="AG17">
        <f t="shared" si="23"/>
        <v>0</v>
      </c>
      <c r="AH17">
        <f t="shared" si="24"/>
        <v>0</v>
      </c>
      <c r="AI17" s="123">
        <f t="shared" si="11"/>
        <v>0</v>
      </c>
      <c r="AJ17" s="122">
        <f t="shared" si="25"/>
        <v>0</v>
      </c>
      <c r="AK17">
        <f t="shared" si="26"/>
        <v>0</v>
      </c>
      <c r="AL17" s="123">
        <f t="shared" si="27"/>
        <v>0</v>
      </c>
      <c r="AN17" s="120" t="s">
        <v>1262</v>
      </c>
      <c r="AO17" s="657" t="s">
        <v>1265</v>
      </c>
      <c r="AP17" s="657" t="s">
        <v>1266</v>
      </c>
      <c r="AQ17" s="657" t="s">
        <v>1267</v>
      </c>
      <c r="AR17" s="657" t="s">
        <v>1268</v>
      </c>
      <c r="AS17" s="121" t="s">
        <v>1269</v>
      </c>
      <c r="AX17" s="674"/>
    </row>
    <row r="18" spans="1:71" ht="16.2" thickBot="1">
      <c r="N18" s="122">
        <f t="shared" si="34"/>
        <v>0</v>
      </c>
      <c r="O18">
        <f>SUMIFS(PART_NUMBER_GENERATOR_TABLE[Resource 1 BH],PART_NUMBER_GENERATOR_TABLE[[Tech]:[Tech]],$M18)
+SUMIFS(PART_NUMBER_GENERATOR_TABLE[Resource 1 AH],PART_NUMBER_GENERATOR_TABLE[[Tech]:[Tech]],$M18)</f>
        <v>0</v>
      </c>
      <c r="P18">
        <f>SUMIFS(PART_NUMBER_GENERATOR_TABLE[Resource 2 BH],PART_NUMBER_GENERATOR_TABLE[[Tech]:[Tech]],$M18)
+SUMIFS(PART_NUMBER_GENERATOR_TABLE[Resource 2 AH],PART_NUMBER_GENERATOR_TABLE[[Tech]:[Tech]],$M18)</f>
        <v>0</v>
      </c>
      <c r="Q18">
        <f>SUMIFS(PART_NUMBER_GENERATOR_TABLE[Resource 3 BH],PART_NUMBER_GENERATOR_TABLE[[Tech]:[Tech]],$M18)
+SUMIFS(PART_NUMBER_GENERATOR_TABLE[Resource 3 AH],PART_NUMBER_GENERATOR_TABLE[[Tech]:[Tech]],$M18)</f>
        <v>0</v>
      </c>
      <c r="R18">
        <f>SUMIFS(PART_NUMBER_GENERATOR_TABLE[Resource 4 BH],PART_NUMBER_GENERATOR_TABLE[[Tech]:[Tech]],$M18)
+SUMIFS(PART_NUMBER_GENERATOR_TABLE[Resource 4 AH],PART_NUMBER_GENERATOR_TABLE[[Tech]:[Tech]],$M18)</f>
        <v>0</v>
      </c>
      <c r="S18" s="123">
        <f>SUMIFS(PART_NUMBER_GENERATOR_TABLE[Resource 5 BH],PART_NUMBER_GENERATOR_TABLE[[Tech]:[Tech]],$M18)
+SUMIFS(PART_NUMBER_GENERATOR_TABLE[Resource 5 AH],PART_NUMBER_GENERATOR_TABLE[[Tech]:[Tech]],$M18)</f>
        <v>0</v>
      </c>
      <c r="T18" s="122">
        <f t="shared" si="15"/>
        <v>0</v>
      </c>
      <c r="U18">
        <f t="shared" si="16"/>
        <v>0</v>
      </c>
      <c r="V18">
        <f t="shared" si="17"/>
        <v>0</v>
      </c>
      <c r="W18">
        <f t="shared" si="18"/>
        <v>0</v>
      </c>
      <c r="X18">
        <f t="shared" si="19"/>
        <v>0</v>
      </c>
      <c r="Y18" s="123">
        <f t="shared" si="20"/>
        <v>0</v>
      </c>
      <c r="Z18" s="122">
        <f t="shared" si="21"/>
        <v>0</v>
      </c>
      <c r="AA18">
        <f t="shared" si="10"/>
        <v>0</v>
      </c>
      <c r="AB18">
        <f t="shared" si="10"/>
        <v>0</v>
      </c>
      <c r="AC18">
        <f t="shared" si="10"/>
        <v>0</v>
      </c>
      <c r="AD18">
        <f t="shared" si="10"/>
        <v>0</v>
      </c>
      <c r="AE18" s="123">
        <f t="shared" si="10"/>
        <v>0</v>
      </c>
      <c r="AF18" s="122">
        <f t="shared" si="22"/>
        <v>0</v>
      </c>
      <c r="AG18">
        <f t="shared" si="23"/>
        <v>0</v>
      </c>
      <c r="AH18">
        <f t="shared" si="24"/>
        <v>0</v>
      </c>
      <c r="AI18" s="123">
        <f t="shared" si="11"/>
        <v>0</v>
      </c>
      <c r="AJ18" s="122">
        <f t="shared" si="25"/>
        <v>0</v>
      </c>
      <c r="AK18">
        <f t="shared" si="26"/>
        <v>0</v>
      </c>
      <c r="AL18" s="123">
        <f t="shared" si="27"/>
        <v>0</v>
      </c>
      <c r="AN18" s="124">
        <f>SUM(Input_Tasks[Onsite Round Trips])</f>
        <v>0</v>
      </c>
      <c r="AO18" s="658">
        <f>AN18-AO23</f>
        <v>0</v>
      </c>
      <c r="AP18" s="658">
        <f t="shared" ref="AP18:AS18" si="35">AO18-AP23</f>
        <v>0</v>
      </c>
      <c r="AQ18" s="658">
        <f t="shared" si="35"/>
        <v>0</v>
      </c>
      <c r="AR18" s="658">
        <f t="shared" si="35"/>
        <v>0</v>
      </c>
      <c r="AS18" s="125">
        <f t="shared" si="35"/>
        <v>0</v>
      </c>
    </row>
    <row r="19" spans="1:71" ht="16.2" thickBot="1">
      <c r="N19" s="122">
        <f t="shared" si="34"/>
        <v>0</v>
      </c>
      <c r="O19">
        <f>SUMIFS(PART_NUMBER_GENERATOR_TABLE[Resource 1 BH],PART_NUMBER_GENERATOR_TABLE[[Tech]:[Tech]],$M19)
+SUMIFS(PART_NUMBER_GENERATOR_TABLE[Resource 1 AH],PART_NUMBER_GENERATOR_TABLE[[Tech]:[Tech]],$M19)</f>
        <v>0</v>
      </c>
      <c r="P19">
        <f>SUMIFS(PART_NUMBER_GENERATOR_TABLE[Resource 2 BH],PART_NUMBER_GENERATOR_TABLE[[Tech]:[Tech]],$M19)
+SUMIFS(PART_NUMBER_GENERATOR_TABLE[Resource 2 AH],PART_NUMBER_GENERATOR_TABLE[[Tech]:[Tech]],$M19)</f>
        <v>0</v>
      </c>
      <c r="Q19">
        <f>SUMIFS(PART_NUMBER_GENERATOR_TABLE[Resource 3 BH],PART_NUMBER_GENERATOR_TABLE[[Tech]:[Tech]],$M19)
+SUMIFS(PART_NUMBER_GENERATOR_TABLE[Resource 3 AH],PART_NUMBER_GENERATOR_TABLE[[Tech]:[Tech]],$M19)</f>
        <v>0</v>
      </c>
      <c r="R19">
        <f>SUMIFS(PART_NUMBER_GENERATOR_TABLE[Resource 4 BH],PART_NUMBER_GENERATOR_TABLE[[Tech]:[Tech]],$M19)
+SUMIFS(PART_NUMBER_GENERATOR_TABLE[Resource 4 AH],PART_NUMBER_GENERATOR_TABLE[[Tech]:[Tech]],$M19)</f>
        <v>0</v>
      </c>
      <c r="S19" s="123">
        <f>SUMIFS(PART_NUMBER_GENERATOR_TABLE[Resource 5 BH],PART_NUMBER_GENERATOR_TABLE[[Tech]:[Tech]],$M19)
+SUMIFS(PART_NUMBER_GENERATOR_TABLE[Resource 5 AH],PART_NUMBER_GENERATOR_TABLE[[Tech]:[Tech]],$M19)</f>
        <v>0</v>
      </c>
      <c r="T19" s="122">
        <f t="shared" si="15"/>
        <v>0</v>
      </c>
      <c r="U19">
        <f t="shared" si="16"/>
        <v>0</v>
      </c>
      <c r="V19">
        <f t="shared" si="17"/>
        <v>0</v>
      </c>
      <c r="W19">
        <f t="shared" si="18"/>
        <v>0</v>
      </c>
      <c r="X19">
        <f t="shared" si="19"/>
        <v>0</v>
      </c>
      <c r="Y19" s="123">
        <f t="shared" si="20"/>
        <v>0</v>
      </c>
      <c r="Z19" s="122">
        <f t="shared" si="21"/>
        <v>0</v>
      </c>
      <c r="AA19">
        <f t="shared" si="10"/>
        <v>0</v>
      </c>
      <c r="AB19">
        <f t="shared" si="10"/>
        <v>0</v>
      </c>
      <c r="AC19">
        <f t="shared" si="10"/>
        <v>0</v>
      </c>
      <c r="AD19">
        <f t="shared" si="10"/>
        <v>0</v>
      </c>
      <c r="AE19" s="123">
        <f t="shared" si="10"/>
        <v>0</v>
      </c>
      <c r="AF19" s="122">
        <f t="shared" si="22"/>
        <v>0</v>
      </c>
      <c r="AG19">
        <f t="shared" si="23"/>
        <v>0</v>
      </c>
      <c r="AH19">
        <f t="shared" si="24"/>
        <v>0</v>
      </c>
      <c r="AI19" s="123">
        <f t="shared" si="11"/>
        <v>0</v>
      </c>
      <c r="AJ19" s="122">
        <f t="shared" si="25"/>
        <v>0</v>
      </c>
      <c r="AK19">
        <f t="shared" si="26"/>
        <v>0</v>
      </c>
      <c r="AL19" s="123">
        <f t="shared" si="27"/>
        <v>0</v>
      </c>
    </row>
    <row r="20" spans="1:71">
      <c r="N20" s="122">
        <f t="shared" si="34"/>
        <v>0</v>
      </c>
      <c r="O20">
        <f>SUMIFS(PART_NUMBER_GENERATOR_TABLE[Resource 1 BH],PART_NUMBER_GENERATOR_TABLE[[Tech]:[Tech]],$M20)
+SUMIFS(PART_NUMBER_GENERATOR_TABLE[Resource 1 AH],PART_NUMBER_GENERATOR_TABLE[[Tech]:[Tech]],$M20)</f>
        <v>0</v>
      </c>
      <c r="P20">
        <f>SUMIFS(PART_NUMBER_GENERATOR_TABLE[Resource 2 BH],PART_NUMBER_GENERATOR_TABLE[[Tech]:[Tech]],$M20)
+SUMIFS(PART_NUMBER_GENERATOR_TABLE[Resource 2 AH],PART_NUMBER_GENERATOR_TABLE[[Tech]:[Tech]],$M20)</f>
        <v>0</v>
      </c>
      <c r="Q20">
        <f>SUMIFS(PART_NUMBER_GENERATOR_TABLE[Resource 3 BH],PART_NUMBER_GENERATOR_TABLE[[Tech]:[Tech]],$M20)
+SUMIFS(PART_NUMBER_GENERATOR_TABLE[Resource 3 AH],PART_NUMBER_GENERATOR_TABLE[[Tech]:[Tech]],$M20)</f>
        <v>0</v>
      </c>
      <c r="R20">
        <f>SUMIFS(PART_NUMBER_GENERATOR_TABLE[Resource 4 BH],PART_NUMBER_GENERATOR_TABLE[[Tech]:[Tech]],$M20)
+SUMIFS(PART_NUMBER_GENERATOR_TABLE[Resource 4 AH],PART_NUMBER_GENERATOR_TABLE[[Tech]:[Tech]],$M20)</f>
        <v>0</v>
      </c>
      <c r="S20" s="123">
        <f>SUMIFS(PART_NUMBER_GENERATOR_TABLE[Resource 5 BH],PART_NUMBER_GENERATOR_TABLE[[Tech]:[Tech]],$M20)
+SUMIFS(PART_NUMBER_GENERATOR_TABLE[Resource 5 AH],PART_NUMBER_GENERATOR_TABLE[[Tech]:[Tech]],$M20)</f>
        <v>0</v>
      </c>
      <c r="T20" s="122">
        <f t="shared" si="15"/>
        <v>0</v>
      </c>
      <c r="U20">
        <f t="shared" si="16"/>
        <v>0</v>
      </c>
      <c r="V20">
        <f t="shared" si="17"/>
        <v>0</v>
      </c>
      <c r="W20">
        <f t="shared" si="18"/>
        <v>0</v>
      </c>
      <c r="X20">
        <f t="shared" si="19"/>
        <v>0</v>
      </c>
      <c r="Y20" s="123">
        <f t="shared" si="20"/>
        <v>0</v>
      </c>
      <c r="Z20" s="122">
        <f t="shared" si="21"/>
        <v>0</v>
      </c>
      <c r="AA20">
        <f t="shared" si="10"/>
        <v>0</v>
      </c>
      <c r="AB20">
        <f t="shared" si="10"/>
        <v>0</v>
      </c>
      <c r="AC20">
        <f t="shared" si="10"/>
        <v>0</v>
      </c>
      <c r="AD20">
        <f t="shared" si="10"/>
        <v>0</v>
      </c>
      <c r="AE20" s="123">
        <f t="shared" si="10"/>
        <v>0</v>
      </c>
      <c r="AF20" s="122">
        <f t="shared" si="22"/>
        <v>0</v>
      </c>
      <c r="AG20">
        <f t="shared" si="23"/>
        <v>0</v>
      </c>
      <c r="AH20">
        <f t="shared" si="24"/>
        <v>0</v>
      </c>
      <c r="AI20" s="123">
        <f t="shared" si="11"/>
        <v>0</v>
      </c>
      <c r="AJ20" s="122">
        <f t="shared" si="25"/>
        <v>0</v>
      </c>
      <c r="AK20">
        <f t="shared" si="26"/>
        <v>0</v>
      </c>
      <c r="AL20" s="123">
        <f t="shared" si="27"/>
        <v>0</v>
      </c>
      <c r="AM20" s="120"/>
      <c r="AN20" s="120" t="s">
        <v>1145</v>
      </c>
      <c r="AO20" s="657"/>
      <c r="AP20" s="657"/>
      <c r="AQ20" s="657"/>
      <c r="AR20" s="657"/>
      <c r="AS20" s="657"/>
      <c r="AT20" s="700"/>
    </row>
    <row r="21" spans="1:71">
      <c r="N21" s="122">
        <f t="shared" si="34"/>
        <v>0</v>
      </c>
      <c r="O21">
        <f>SUMIFS(PART_NUMBER_GENERATOR_TABLE[Resource 1 BH],PART_NUMBER_GENERATOR_TABLE[[Tech]:[Tech]],$M21)
+SUMIFS(PART_NUMBER_GENERATOR_TABLE[Resource 1 AH],PART_NUMBER_GENERATOR_TABLE[[Tech]:[Tech]],$M21)</f>
        <v>0</v>
      </c>
      <c r="P21">
        <f>SUMIFS(PART_NUMBER_GENERATOR_TABLE[Resource 2 BH],PART_NUMBER_GENERATOR_TABLE[[Tech]:[Tech]],$M21)
+SUMIFS(PART_NUMBER_GENERATOR_TABLE[Resource 2 AH],PART_NUMBER_GENERATOR_TABLE[[Tech]:[Tech]],$M21)</f>
        <v>0</v>
      </c>
      <c r="Q21">
        <f>SUMIFS(PART_NUMBER_GENERATOR_TABLE[Resource 3 BH],PART_NUMBER_GENERATOR_TABLE[[Tech]:[Tech]],$M21)
+SUMIFS(PART_NUMBER_GENERATOR_TABLE[Resource 3 AH],PART_NUMBER_GENERATOR_TABLE[[Tech]:[Tech]],$M21)</f>
        <v>0</v>
      </c>
      <c r="R21">
        <f>SUMIFS(PART_NUMBER_GENERATOR_TABLE[Resource 4 BH],PART_NUMBER_GENERATOR_TABLE[[Tech]:[Tech]],$M21)
+SUMIFS(PART_NUMBER_GENERATOR_TABLE[Resource 4 AH],PART_NUMBER_GENERATOR_TABLE[[Tech]:[Tech]],$M21)</f>
        <v>0</v>
      </c>
      <c r="S21" s="123">
        <f>SUMIFS(PART_NUMBER_GENERATOR_TABLE[Resource 5 BH],PART_NUMBER_GENERATOR_TABLE[[Tech]:[Tech]],$M21)
+SUMIFS(PART_NUMBER_GENERATOR_TABLE[Resource 5 AH],PART_NUMBER_GENERATOR_TABLE[[Tech]:[Tech]],$M21)</f>
        <v>0</v>
      </c>
      <c r="T21" s="122">
        <f t="shared" si="15"/>
        <v>0</v>
      </c>
      <c r="U21">
        <f t="shared" si="16"/>
        <v>0</v>
      </c>
      <c r="V21">
        <f t="shared" si="17"/>
        <v>0</v>
      </c>
      <c r="W21">
        <f t="shared" si="18"/>
        <v>0</v>
      </c>
      <c r="X21">
        <f t="shared" si="19"/>
        <v>0</v>
      </c>
      <c r="Y21" s="123">
        <f t="shared" si="20"/>
        <v>0</v>
      </c>
      <c r="Z21" s="122">
        <f t="shared" si="21"/>
        <v>0</v>
      </c>
      <c r="AA21">
        <f t="shared" si="10"/>
        <v>0</v>
      </c>
      <c r="AB21">
        <f t="shared" si="10"/>
        <v>0</v>
      </c>
      <c r="AC21">
        <f t="shared" si="10"/>
        <v>0</v>
      </c>
      <c r="AD21">
        <f t="shared" si="10"/>
        <v>0</v>
      </c>
      <c r="AE21" s="123">
        <f t="shared" si="10"/>
        <v>0</v>
      </c>
      <c r="AF21" s="122">
        <f t="shared" si="22"/>
        <v>0</v>
      </c>
      <c r="AG21">
        <f t="shared" si="23"/>
        <v>0</v>
      </c>
      <c r="AH21">
        <f t="shared" si="24"/>
        <v>0</v>
      </c>
      <c r="AI21" s="123">
        <f t="shared" si="11"/>
        <v>0</v>
      </c>
      <c r="AJ21" s="122">
        <f t="shared" si="25"/>
        <v>0</v>
      </c>
      <c r="AK21">
        <f t="shared" si="26"/>
        <v>0</v>
      </c>
      <c r="AL21" s="123">
        <f t="shared" si="27"/>
        <v>0</v>
      </c>
      <c r="AM21" s="122"/>
      <c r="AN21" s="122" t="s">
        <v>1197</v>
      </c>
      <c r="AO21" t="s">
        <v>1192</v>
      </c>
      <c r="AP21" t="s">
        <v>1193</v>
      </c>
      <c r="AQ21" t="s">
        <v>1194</v>
      </c>
      <c r="AR21" t="s">
        <v>1195</v>
      </c>
      <c r="AS21" t="s">
        <v>1196</v>
      </c>
      <c r="AT21" s="701" t="s">
        <v>1270</v>
      </c>
    </row>
    <row r="22" spans="1:71" ht="16.2" thickBot="1">
      <c r="N22" s="122">
        <f t="shared" si="34"/>
        <v>0</v>
      </c>
      <c r="O22">
        <f>SUMIFS(PART_NUMBER_GENERATOR_TABLE[Resource 1 BH],PART_NUMBER_GENERATOR_TABLE[[Tech]:[Tech]],$M22)
+SUMIFS(PART_NUMBER_GENERATOR_TABLE[Resource 1 AH],PART_NUMBER_GENERATOR_TABLE[[Tech]:[Tech]],$M22)</f>
        <v>0</v>
      </c>
      <c r="P22">
        <f>SUMIFS(PART_NUMBER_GENERATOR_TABLE[Resource 2 BH],PART_NUMBER_GENERATOR_TABLE[[Tech]:[Tech]],$M22)
+SUMIFS(PART_NUMBER_GENERATOR_TABLE[Resource 2 AH],PART_NUMBER_GENERATOR_TABLE[[Tech]:[Tech]],$M22)</f>
        <v>0</v>
      </c>
      <c r="Q22">
        <f>SUMIFS(PART_NUMBER_GENERATOR_TABLE[Resource 3 BH],PART_NUMBER_GENERATOR_TABLE[[Tech]:[Tech]],$M22)
+SUMIFS(PART_NUMBER_GENERATOR_TABLE[Resource 3 AH],PART_NUMBER_GENERATOR_TABLE[[Tech]:[Tech]],$M22)</f>
        <v>0</v>
      </c>
      <c r="R22">
        <f>SUMIFS(PART_NUMBER_GENERATOR_TABLE[Resource 4 BH],PART_NUMBER_GENERATOR_TABLE[[Tech]:[Tech]],$M22)
+SUMIFS(PART_NUMBER_GENERATOR_TABLE[Resource 4 AH],PART_NUMBER_GENERATOR_TABLE[[Tech]:[Tech]],$M22)</f>
        <v>0</v>
      </c>
      <c r="S22" s="123">
        <f>SUMIFS(PART_NUMBER_GENERATOR_TABLE[Resource 5 BH],PART_NUMBER_GENERATOR_TABLE[[Tech]:[Tech]],$M22)
+SUMIFS(PART_NUMBER_GENERATOR_TABLE[Resource 5 AH],PART_NUMBER_GENERATOR_TABLE[[Tech]:[Tech]],$M22)</f>
        <v>0</v>
      </c>
      <c r="T22" s="122">
        <f t="shared" si="15"/>
        <v>0</v>
      </c>
      <c r="U22">
        <f t="shared" si="16"/>
        <v>0</v>
      </c>
      <c r="V22">
        <f t="shared" si="17"/>
        <v>0</v>
      </c>
      <c r="W22">
        <f t="shared" si="18"/>
        <v>0</v>
      </c>
      <c r="X22">
        <f t="shared" si="19"/>
        <v>0</v>
      </c>
      <c r="Y22" s="123">
        <f t="shared" si="20"/>
        <v>0</v>
      </c>
      <c r="Z22" s="122">
        <f t="shared" si="21"/>
        <v>0</v>
      </c>
      <c r="AA22">
        <f t="shared" si="10"/>
        <v>0</v>
      </c>
      <c r="AB22">
        <f t="shared" si="10"/>
        <v>0</v>
      </c>
      <c r="AC22">
        <f t="shared" si="10"/>
        <v>0</v>
      </c>
      <c r="AD22">
        <f t="shared" si="10"/>
        <v>0</v>
      </c>
      <c r="AE22" s="123">
        <f t="shared" si="10"/>
        <v>0</v>
      </c>
      <c r="AF22" s="122">
        <f t="shared" si="22"/>
        <v>0</v>
      </c>
      <c r="AG22">
        <f t="shared" si="23"/>
        <v>0</v>
      </c>
      <c r="AH22">
        <f t="shared" si="24"/>
        <v>0</v>
      </c>
      <c r="AI22" s="123">
        <f t="shared" si="11"/>
        <v>0</v>
      </c>
      <c r="AJ22" s="122">
        <f t="shared" si="25"/>
        <v>0</v>
      </c>
      <c r="AK22">
        <f t="shared" si="26"/>
        <v>0</v>
      </c>
      <c r="AL22" s="123">
        <f t="shared" si="27"/>
        <v>0</v>
      </c>
      <c r="AM22" s="122" t="s">
        <v>1263</v>
      </c>
      <c r="AN22" s="124">
        <f>Management!B15</f>
        <v>0</v>
      </c>
      <c r="AO22" s="658">
        <f>SUM(Input_Tasks[Round Trips R1])</f>
        <v>0</v>
      </c>
      <c r="AP22" s="658">
        <f>SUM(Input_Tasks[Round Trips R2])</f>
        <v>0</v>
      </c>
      <c r="AQ22" s="658">
        <f>SUM(Input_Tasks[Round Trips R3])</f>
        <v>0</v>
      </c>
      <c r="AR22" s="658">
        <f>SUM(Input_Tasks[Round Trips R4])</f>
        <v>0</v>
      </c>
      <c r="AS22" s="658">
        <f>SUM(Input_Tasks[Round Trips R5])</f>
        <v>0</v>
      </c>
      <c r="AT22" s="702">
        <v>0</v>
      </c>
      <c r="AX22" s="465"/>
    </row>
    <row r="23" spans="1:71">
      <c r="N23" s="122">
        <f t="shared" si="34"/>
        <v>0</v>
      </c>
      <c r="O23">
        <f>SUMIFS(PART_NUMBER_GENERATOR_TABLE[Resource 1 BH],PART_NUMBER_GENERATOR_TABLE[[Tech]:[Tech]],$M23)
+SUMIFS(PART_NUMBER_GENERATOR_TABLE[Resource 1 AH],PART_NUMBER_GENERATOR_TABLE[[Tech]:[Tech]],$M23)</f>
        <v>0</v>
      </c>
      <c r="P23">
        <f>SUMIFS(PART_NUMBER_GENERATOR_TABLE[Resource 2 BH],PART_NUMBER_GENERATOR_TABLE[[Tech]:[Tech]],$M23)
+SUMIFS(PART_NUMBER_GENERATOR_TABLE[Resource 2 AH],PART_NUMBER_GENERATOR_TABLE[[Tech]:[Tech]],$M23)</f>
        <v>0</v>
      </c>
      <c r="Q23">
        <f>SUMIFS(PART_NUMBER_GENERATOR_TABLE[Resource 3 BH],PART_NUMBER_GENERATOR_TABLE[[Tech]:[Tech]],$M23)
+SUMIFS(PART_NUMBER_GENERATOR_TABLE[Resource 3 AH],PART_NUMBER_GENERATOR_TABLE[[Tech]:[Tech]],$M23)</f>
        <v>0</v>
      </c>
      <c r="R23">
        <f>SUMIFS(PART_NUMBER_GENERATOR_TABLE[Resource 4 BH],PART_NUMBER_GENERATOR_TABLE[[Tech]:[Tech]],$M23)
+SUMIFS(PART_NUMBER_GENERATOR_TABLE[Resource 4 AH],PART_NUMBER_GENERATOR_TABLE[[Tech]:[Tech]],$M23)</f>
        <v>0</v>
      </c>
      <c r="S23" s="123">
        <f>SUMIFS(PART_NUMBER_GENERATOR_TABLE[Resource 5 BH],PART_NUMBER_GENERATOR_TABLE[[Tech]:[Tech]],$M23)
+SUMIFS(PART_NUMBER_GENERATOR_TABLE[Resource 5 AH],PART_NUMBER_GENERATOR_TABLE[[Tech]:[Tech]],$M23)</f>
        <v>0</v>
      </c>
      <c r="T23" s="122">
        <f t="shared" si="15"/>
        <v>0</v>
      </c>
      <c r="U23">
        <f t="shared" si="16"/>
        <v>0</v>
      </c>
      <c r="V23">
        <f t="shared" si="17"/>
        <v>0</v>
      </c>
      <c r="W23">
        <f t="shared" si="18"/>
        <v>0</v>
      </c>
      <c r="X23">
        <f t="shared" si="19"/>
        <v>0</v>
      </c>
      <c r="Y23" s="123">
        <f t="shared" si="20"/>
        <v>0</v>
      </c>
      <c r="Z23" s="122">
        <f t="shared" si="21"/>
        <v>0</v>
      </c>
      <c r="AA23">
        <f t="shared" si="10"/>
        <v>0</v>
      </c>
      <c r="AB23">
        <f t="shared" si="10"/>
        <v>0</v>
      </c>
      <c r="AC23">
        <f t="shared" si="10"/>
        <v>0</v>
      </c>
      <c r="AD23">
        <f t="shared" si="10"/>
        <v>0</v>
      </c>
      <c r="AE23" s="123">
        <f t="shared" si="10"/>
        <v>0</v>
      </c>
      <c r="AF23" s="122">
        <f t="shared" si="22"/>
        <v>0</v>
      </c>
      <c r="AG23">
        <f t="shared" si="23"/>
        <v>0</v>
      </c>
      <c r="AH23">
        <f t="shared" si="24"/>
        <v>0</v>
      </c>
      <c r="AI23" s="123">
        <f t="shared" si="11"/>
        <v>0</v>
      </c>
      <c r="AJ23" s="122">
        <f t="shared" si="25"/>
        <v>0</v>
      </c>
      <c r="AK23">
        <f t="shared" si="26"/>
        <v>0</v>
      </c>
      <c r="AL23" s="123">
        <f t="shared" si="27"/>
        <v>0</v>
      </c>
      <c r="AM23" s="120" t="s">
        <v>1264</v>
      </c>
      <c r="AN23" s="122">
        <f>Management!B15</f>
        <v>0</v>
      </c>
      <c r="AO23">
        <f>MIN(AN18,AO22)</f>
        <v>0</v>
      </c>
      <c r="AP23">
        <f t="shared" ref="AP23:AS23" si="36">MIN(AO18,AP22)</f>
        <v>0</v>
      </c>
      <c r="AQ23">
        <f t="shared" si="36"/>
        <v>0</v>
      </c>
      <c r="AR23">
        <f t="shared" si="36"/>
        <v>0</v>
      </c>
      <c r="AS23">
        <f t="shared" si="36"/>
        <v>0</v>
      </c>
      <c r="AT23" s="701">
        <f>AS18</f>
        <v>0</v>
      </c>
      <c r="AX23" s="465"/>
    </row>
    <row r="24" spans="1:71" ht="16.2" thickBot="1">
      <c r="N24" s="124">
        <f t="shared" si="34"/>
        <v>0</v>
      </c>
      <c r="O24" s="658">
        <f>SUMIFS(PART_NUMBER_GENERATOR_TABLE[Resource 1 BH],PART_NUMBER_GENERATOR_TABLE[[Tech]:[Tech]],$M24)
+SUMIFS(PART_NUMBER_GENERATOR_TABLE[Resource 1 AH],PART_NUMBER_GENERATOR_TABLE[[Tech]:[Tech]],$M24)</f>
        <v>0</v>
      </c>
      <c r="P24" s="658">
        <f>SUMIFS(PART_NUMBER_GENERATOR_TABLE[Resource 2 BH],PART_NUMBER_GENERATOR_TABLE[[Tech]:[Tech]],$M24)
+SUMIFS(PART_NUMBER_GENERATOR_TABLE[Resource 2 AH],PART_NUMBER_GENERATOR_TABLE[[Tech]:[Tech]],$M24)</f>
        <v>0</v>
      </c>
      <c r="Q24" s="658">
        <f>SUMIFS(PART_NUMBER_GENERATOR_TABLE[Resource 3 BH],PART_NUMBER_GENERATOR_TABLE[[Tech]:[Tech]],$M24)
+SUMIFS(PART_NUMBER_GENERATOR_TABLE[Resource 3 AH],PART_NUMBER_GENERATOR_TABLE[[Tech]:[Tech]],$M24)</f>
        <v>0</v>
      </c>
      <c r="R24" s="658">
        <f>SUMIFS(PART_NUMBER_GENERATOR_TABLE[Resource 4 BH],PART_NUMBER_GENERATOR_TABLE[[Tech]:[Tech]],$M24)
+SUMIFS(PART_NUMBER_GENERATOR_TABLE[Resource 4 AH],PART_NUMBER_GENERATOR_TABLE[[Tech]:[Tech]],$M24)</f>
        <v>0</v>
      </c>
      <c r="S24" s="125">
        <f>SUMIFS(PART_NUMBER_GENERATOR_TABLE[Resource 5 BH],PART_NUMBER_GENERATOR_TABLE[[Tech]:[Tech]],$M24)
+SUMIFS(PART_NUMBER_GENERATOR_TABLE[Resource 5 AH],PART_NUMBER_GENERATOR_TABLE[[Tech]:[Tech]],$M24)</f>
        <v>0</v>
      </c>
      <c r="T24" s="122">
        <f t="shared" si="15"/>
        <v>0</v>
      </c>
      <c r="U24">
        <f t="shared" si="16"/>
        <v>0</v>
      </c>
      <c r="V24">
        <f t="shared" si="17"/>
        <v>0</v>
      </c>
      <c r="W24">
        <f t="shared" si="18"/>
        <v>0</v>
      </c>
      <c r="X24">
        <f t="shared" si="19"/>
        <v>0</v>
      </c>
      <c r="Y24" s="123">
        <f t="shared" si="20"/>
        <v>0</v>
      </c>
      <c r="Z24" s="124">
        <f t="shared" si="21"/>
        <v>0</v>
      </c>
      <c r="AA24" s="658">
        <f t="shared" si="10"/>
        <v>0</v>
      </c>
      <c r="AB24" s="658">
        <f t="shared" si="10"/>
        <v>0</v>
      </c>
      <c r="AC24" s="658">
        <f t="shared" si="10"/>
        <v>0</v>
      </c>
      <c r="AD24" s="658">
        <f t="shared" si="10"/>
        <v>0</v>
      </c>
      <c r="AE24" s="125">
        <f t="shared" si="10"/>
        <v>0</v>
      </c>
      <c r="AF24" s="124">
        <f t="shared" si="22"/>
        <v>0</v>
      </c>
      <c r="AG24" s="658">
        <f t="shared" si="23"/>
        <v>0</v>
      </c>
      <c r="AH24" s="658">
        <f t="shared" si="24"/>
        <v>0</v>
      </c>
      <c r="AI24" s="125">
        <f t="shared" si="11"/>
        <v>0</v>
      </c>
      <c r="AJ24" s="124">
        <f t="shared" si="25"/>
        <v>0</v>
      </c>
      <c r="AK24" s="658">
        <f t="shared" si="26"/>
        <v>0</v>
      </c>
      <c r="AL24" s="125">
        <f t="shared" si="27"/>
        <v>0</v>
      </c>
      <c r="AM24" s="124" t="str">
        <f>TRAVEL_CODE</f>
        <v>Travel</v>
      </c>
      <c r="AN24" s="124">
        <f>Settings_Hidden!$C$115*AN23</f>
        <v>0</v>
      </c>
      <c r="AO24" s="658">
        <f>Settings_Hidden!$C$115*AO23</f>
        <v>0</v>
      </c>
      <c r="AP24" s="658">
        <f>Settings_Hidden!$C$115*AP23</f>
        <v>0</v>
      </c>
      <c r="AQ24" s="658">
        <f>Settings_Hidden!$C$115*AQ23</f>
        <v>0</v>
      </c>
      <c r="AR24" s="658">
        <f>Settings_Hidden!$C$115*AR23</f>
        <v>0</v>
      </c>
      <c r="AS24" s="658">
        <f>Settings_Hidden!$C$115*AS23</f>
        <v>0</v>
      </c>
      <c r="AT24" s="702">
        <f>Settings_Hidden!$C$115*AT23</f>
        <v>0</v>
      </c>
      <c r="AX24" s="465"/>
    </row>
    <row r="25" spans="1:71">
      <c r="AX25" s="465"/>
    </row>
    <row r="26" spans="1:71" ht="31.8" thickBot="1">
      <c r="C26" t="s">
        <v>1165</v>
      </c>
      <c r="J26" s="61" t="s">
        <v>1166</v>
      </c>
      <c r="K26" s="61" t="s">
        <v>1166</v>
      </c>
      <c r="L26" s="61" t="s">
        <v>1166</v>
      </c>
      <c r="M26" s="61" t="s">
        <v>1166</v>
      </c>
      <c r="N26" s="61" t="s">
        <v>1166</v>
      </c>
      <c r="O26" s="61" t="s">
        <v>1166</v>
      </c>
      <c r="P26" s="61" t="s">
        <v>1166</v>
      </c>
      <c r="Q26" s="61" t="s">
        <v>1166</v>
      </c>
      <c r="R26" s="61" t="s">
        <v>1166</v>
      </c>
      <c r="S26" s="61" t="s">
        <v>1166</v>
      </c>
      <c r="T26" s="61" t="s">
        <v>1181</v>
      </c>
      <c r="U26" s="61" t="s">
        <v>1182</v>
      </c>
      <c r="V26" s="61" t="s">
        <v>1182</v>
      </c>
      <c r="W26" s="61" t="s">
        <v>1182</v>
      </c>
      <c r="X26" s="61" t="s">
        <v>1182</v>
      </c>
      <c r="Y26" s="61" t="s">
        <v>1182</v>
      </c>
      <c r="Z26" s="61" t="s">
        <v>1182</v>
      </c>
      <c r="AA26" s="61" t="s">
        <v>1182</v>
      </c>
      <c r="AB26" s="61" t="s">
        <v>1182</v>
      </c>
      <c r="AC26" s="61" t="s">
        <v>1182</v>
      </c>
      <c r="AD26" s="61" t="s">
        <v>1182</v>
      </c>
      <c r="AE26" s="61" t="s">
        <v>1182</v>
      </c>
      <c r="AF26" s="61" t="s">
        <v>1203</v>
      </c>
      <c r="AG26" s="61" t="s">
        <v>1203</v>
      </c>
      <c r="AH26" s="61" t="s">
        <v>1183</v>
      </c>
      <c r="AI26" s="61" t="s">
        <v>1204</v>
      </c>
    </row>
    <row r="27" spans="1:71" s="661" customFormat="1" ht="16.2" thickBot="1">
      <c r="C27" s="663" t="s">
        <v>1156</v>
      </c>
      <c r="J27" s="661">
        <f>SUM(Input_Tasks[R1 Business Hours])</f>
        <v>0</v>
      </c>
      <c r="K27" s="661">
        <f>SUM(Input_Tasks[R1 After Hours])</f>
        <v>0</v>
      </c>
      <c r="L27" s="661">
        <f>SUM(Input_Tasks[R2 Business Hours])</f>
        <v>0</v>
      </c>
      <c r="M27" s="661">
        <f>SUM(Input_Tasks[R2 After Hours])</f>
        <v>0</v>
      </c>
      <c r="N27" s="661">
        <f>SUM(Input_Tasks[R3 Business Hours])</f>
        <v>0</v>
      </c>
      <c r="O27" s="661">
        <f>SUM(Input_Tasks[R3 After Hours])</f>
        <v>0</v>
      </c>
      <c r="P27" s="661">
        <f>SUM(Input_Tasks[R4 Business Hours])</f>
        <v>0</v>
      </c>
      <c r="Q27" s="661">
        <f>SUM(Input_Tasks[R4 After Hours])</f>
        <v>0</v>
      </c>
      <c r="R27" s="661">
        <f>SUM(Input_Tasks[R5 Business Hours])</f>
        <v>0</v>
      </c>
      <c r="S27" s="661">
        <f>SUM(Input_Tasks[R5 After Hours])</f>
        <v>0</v>
      </c>
      <c r="T27" s="661">
        <f>SUM(T9:T24)</f>
        <v>0</v>
      </c>
      <c r="U27" s="661">
        <f t="shared" ref="U27:AE27" si="37">SUM(U9:U24)</f>
        <v>0</v>
      </c>
      <c r="V27" s="661">
        <f t="shared" si="37"/>
        <v>0</v>
      </c>
      <c r="W27" s="661">
        <f t="shared" si="37"/>
        <v>0</v>
      </c>
      <c r="X27" s="661">
        <f t="shared" si="37"/>
        <v>0</v>
      </c>
      <c r="Y27" s="661">
        <f t="shared" si="37"/>
        <v>0</v>
      </c>
      <c r="Z27" s="661">
        <f t="shared" si="37"/>
        <v>1.5</v>
      </c>
      <c r="AA27" s="661">
        <f t="shared" si="37"/>
        <v>0</v>
      </c>
      <c r="AB27" s="661">
        <f t="shared" si="37"/>
        <v>0</v>
      </c>
      <c r="AC27" s="661">
        <f t="shared" si="37"/>
        <v>0</v>
      </c>
      <c r="AD27" s="661">
        <f t="shared" si="37"/>
        <v>0</v>
      </c>
      <c r="AE27" s="661">
        <f t="shared" si="37"/>
        <v>0</v>
      </c>
      <c r="AF27" s="661">
        <f t="shared" ref="AF27:AI27" si="38">SUM(AF9:AF24)</f>
        <v>0</v>
      </c>
      <c r="AG27" s="661">
        <f t="shared" si="38"/>
        <v>0</v>
      </c>
      <c r="AH27" s="661">
        <f t="shared" si="38"/>
        <v>0</v>
      </c>
      <c r="AI27" s="661">
        <f t="shared" si="38"/>
        <v>0</v>
      </c>
      <c r="AJ27" s="661">
        <f t="shared" ref="AJ27:AL27" si="39">SUM(AJ9:AJ24)</f>
        <v>0</v>
      </c>
      <c r="AK27" s="661">
        <f t="shared" si="39"/>
        <v>0</v>
      </c>
      <c r="AL27" s="661">
        <f t="shared" si="39"/>
        <v>0</v>
      </c>
      <c r="AN27" s="661">
        <f t="shared" ref="AN27:AS27" si="40">AN24</f>
        <v>0</v>
      </c>
      <c r="AO27" s="661">
        <f t="shared" si="40"/>
        <v>0</v>
      </c>
      <c r="AP27" s="661">
        <f t="shared" si="40"/>
        <v>0</v>
      </c>
      <c r="AQ27" s="661">
        <f t="shared" si="40"/>
        <v>0</v>
      </c>
      <c r="AR27" s="661">
        <f t="shared" si="40"/>
        <v>0</v>
      </c>
      <c r="AS27" s="661">
        <f t="shared" si="40"/>
        <v>0</v>
      </c>
      <c r="AU27" s="661">
        <f>Summary!H16</f>
        <v>0</v>
      </c>
      <c r="AV27" s="673">
        <f>Summary!F16</f>
        <v>0</v>
      </c>
      <c r="AW27" s="673">
        <f>Summary!E16</f>
        <v>0</v>
      </c>
      <c r="AX27" s="661">
        <f>Summary!H30</f>
        <v>0</v>
      </c>
      <c r="AY27" s="661">
        <f>Summary!F25</f>
        <v>0</v>
      </c>
      <c r="AZ27" s="661">
        <f>Summary!E25</f>
        <v>0</v>
      </c>
      <c r="BA27" s="661">
        <f>Summary!H46</f>
        <v>1.5</v>
      </c>
      <c r="BB27" s="661">
        <f>Summary!F46</f>
        <v>337.5</v>
      </c>
      <c r="BC27" s="661">
        <f>Summary!E46</f>
        <v>221.33704686655341</v>
      </c>
      <c r="BD27" s="661">
        <f>SUM(Summary!H49:H50)</f>
        <v>0</v>
      </c>
      <c r="BE27" s="661">
        <f>Summary!F49+Summary!F50</f>
        <v>0</v>
      </c>
      <c r="BF27" s="661">
        <f>Summary!E49+Summary!E50</f>
        <v>0</v>
      </c>
      <c r="BG27" s="661">
        <f>Summary!H51</f>
        <v>0</v>
      </c>
      <c r="BH27" s="661">
        <f>Summary!F51</f>
        <v>0</v>
      </c>
      <c r="BI27" s="661">
        <f>Summary!E51</f>
        <v>0</v>
      </c>
      <c r="BJ27" s="661">
        <f>Summary!H68</f>
        <v>1.5</v>
      </c>
      <c r="BK27" s="661">
        <f>Summary!F56+Summary!F57+Summary!F60+Summary!F61</f>
        <v>337.5</v>
      </c>
      <c r="BN27" s="661">
        <f ca="1">Summary!F66</f>
        <v>0</v>
      </c>
      <c r="BO27" s="683"/>
    </row>
    <row r="28" spans="1:71" s="660" customFormat="1" ht="16.2" thickBot="1">
      <c r="C28" s="660" t="s">
        <v>1157</v>
      </c>
      <c r="J28" s="660">
        <f>SUM(PART_NUMBER_GENERATOR_TABLE[Resource 1 BH])</f>
        <v>0</v>
      </c>
      <c r="K28" s="660">
        <f>SUM(PART_NUMBER_GENERATOR_TABLE[Resource 1 AH])</f>
        <v>0</v>
      </c>
      <c r="L28" s="660">
        <f>SUM(PART_NUMBER_GENERATOR_TABLE[Resource 2 BH])</f>
        <v>0</v>
      </c>
      <c r="M28" s="660">
        <f>SUM(PART_NUMBER_GENERATOR_TABLE[Resource 2 AH])</f>
        <v>0</v>
      </c>
      <c r="N28" s="660">
        <f>SUM(PART_NUMBER_GENERATOR_TABLE[Resource 3 BH])</f>
        <v>0</v>
      </c>
      <c r="O28" s="660">
        <f>SUM(PART_NUMBER_GENERATOR_TABLE[Resource 3 AH])</f>
        <v>0</v>
      </c>
      <c r="P28" s="660">
        <f>SUM(PART_NUMBER_GENERATOR_TABLE[Resource 4 BH])</f>
        <v>0</v>
      </c>
      <c r="Q28" s="660">
        <f>SUM(PART_NUMBER_GENERATOR_TABLE[Resource 4 AH])</f>
        <v>0</v>
      </c>
      <c r="R28" s="660">
        <f>SUM(PART_NUMBER_GENERATOR_TABLE[Resource 5 BH])</f>
        <v>0</v>
      </c>
      <c r="S28" s="660">
        <f>SUM(PART_NUMBER_GENERATOR_TABLE[Resource 5 AH])</f>
        <v>0</v>
      </c>
      <c r="T28" s="660">
        <f>SUM(PART_NUMBER_GENERATOR_TABLE[PM Hours])</f>
        <v>0</v>
      </c>
      <c r="U28" s="660">
        <f>SUM(PART_NUMBER_GENERATOR_TABLE[R1 Mandatory Tasks])</f>
        <v>0</v>
      </c>
      <c r="V28" s="660">
        <f>SUM(PART_NUMBER_GENERATOR_TABLE[R2 Mandatory Tasks])</f>
        <v>0</v>
      </c>
      <c r="W28" s="660">
        <f>SUM(PART_NUMBER_GENERATOR_TABLE[R3 Mandatory Tasks])</f>
        <v>0</v>
      </c>
      <c r="X28" s="660">
        <f>SUM(PART_NUMBER_GENERATOR_TABLE[R4 Mandatory Tasks])</f>
        <v>0</v>
      </c>
      <c r="Y28" s="660">
        <f>SUM(PART_NUMBER_GENERATOR_TABLE[R5 Mandatory Tasks])</f>
        <v>0</v>
      </c>
      <c r="Z28" s="660">
        <f>SUM(PART_NUMBER_GENERATOR_TABLE[PM Remainder])</f>
        <v>1.5</v>
      </c>
      <c r="AA28" s="660">
        <f>SUM(PART_NUMBER_GENERATOR_TABLE[R1 Remainder])</f>
        <v>0</v>
      </c>
      <c r="AB28" s="660">
        <f>SUM(PART_NUMBER_GENERATOR_TABLE[R2 Remainder])</f>
        <v>0</v>
      </c>
      <c r="AC28" s="660">
        <f>SUM(PART_NUMBER_GENERATOR_TABLE[R3 Remainder])</f>
        <v>0</v>
      </c>
      <c r="AD28" s="660">
        <f>SUM(PART_NUMBER_GENERATOR_TABLE[R4 Remainder])</f>
        <v>0</v>
      </c>
      <c r="AE28" s="660">
        <f>SUM(PART_NUMBER_GENERATOR_TABLE[R5 Remainder])</f>
        <v>0</v>
      </c>
      <c r="AF28" s="660">
        <f>SUM(PART_NUMBER_GENERATOR_TABLE[SSE RISK BH])</f>
        <v>0</v>
      </c>
      <c r="AG28" s="660">
        <f>SUM(PART_NUMBER_GENERATOR_TABLE[SSE RISK AH])</f>
        <v>0</v>
      </c>
      <c r="AH28" s="660">
        <f>SUM(PART_NUMBER_GENERATOR_TABLE[PM RISK])</f>
        <v>0</v>
      </c>
      <c r="AI28" s="660">
        <f>SUM(PART_NUMBER_GENERATOR_TABLE[SSE RISK TRAVEL])</f>
        <v>0</v>
      </c>
      <c r="AJ28" s="660">
        <f>SUM(PART_NUMBER_GENERATOR_TABLE[SSE Remainder RISK BH])</f>
        <v>0</v>
      </c>
      <c r="AK28" s="660">
        <f>SUM(PART_NUMBER_GENERATOR_TABLE[SSE Remainder RISK AH])</f>
        <v>0</v>
      </c>
      <c r="AL28" s="660">
        <f>SUM(PART_NUMBER_GENERATOR_TABLE[PM Remainder RISK])</f>
        <v>0</v>
      </c>
      <c r="AN28" s="660">
        <f>SUM(PART_NUMBER_GENERATOR_TABLE[PM Trips])</f>
        <v>0</v>
      </c>
      <c r="AO28" s="660">
        <f>SUM(PART_NUMBER_GENERATOR_TABLE[R1 Trips])</f>
        <v>0</v>
      </c>
      <c r="AP28" s="660">
        <f>SUM(PART_NUMBER_GENERATOR_TABLE[R2 Trips])</f>
        <v>0</v>
      </c>
      <c r="AQ28" s="660">
        <f>SUM(PART_NUMBER_GENERATOR_TABLE[R3 Trips])</f>
        <v>0</v>
      </c>
      <c r="AR28" s="660">
        <f>SUM(PART_NUMBER_GENERATOR_TABLE[R4 Trips])</f>
        <v>0</v>
      </c>
      <c r="AS28" s="660">
        <f>SUM(PART_NUMBER_GENERATOR_TABLE[R5 Trips])</f>
        <v>0</v>
      </c>
      <c r="AU28" s="660">
        <f>SUM(PART_NUMBER_GENERATOR_TABLE[Professional Engineering Hours])</f>
        <v>0</v>
      </c>
      <c r="AV28" s="675">
        <f>SUM(PART_NUMBER_GENERATOR_TABLE[Professional Engineering Price])</f>
        <v>0</v>
      </c>
      <c r="AW28" s="675">
        <f>SUM(PART_NUMBER_GENERATOR_TABLE[Professional Engineering Costs])</f>
        <v>0</v>
      </c>
      <c r="AX28" s="660">
        <f>SUM(PART_NUMBER_GENERATOR_TABLE[Travel &amp; Accommodation Hours])</f>
        <v>0</v>
      </c>
      <c r="AY28" s="660">
        <f>SUM(PART_NUMBER_GENERATOR_TABLE[Travel &amp; Accommodation Price])</f>
        <v>0</v>
      </c>
      <c r="AZ28" s="660">
        <f>SUM(PART_NUMBER_GENERATOR_TABLE[Travel &amp; Accommodation Cost])</f>
        <v>0</v>
      </c>
      <c r="BA28" s="660">
        <f>SUM(PART_NUMBER_GENERATOR_TABLE[Project Management Hours])</f>
        <v>1.5</v>
      </c>
      <c r="BB28" s="660">
        <f>SUM(PART_NUMBER_GENERATOR_TABLE[Project Management Price])</f>
        <v>337.5</v>
      </c>
      <c r="BC28" s="660">
        <f>SUM(PART_NUMBER_GENERATOR_TABLE[Project Management Cost])</f>
        <v>221.33704686655341</v>
      </c>
      <c r="BD28" s="660">
        <f>SUM(PART_NUMBER_GENERATOR_TABLE[Project Risk Service Hours])</f>
        <v>0</v>
      </c>
      <c r="BE28" s="660">
        <f>SUM(PART_NUMBER_GENERATOR_TABLE[Project Risk Service Price])</f>
        <v>0</v>
      </c>
      <c r="BF28" s="660">
        <f>SUM(PART_NUMBER_GENERATOR_TABLE[Project Risk Service Cost])</f>
        <v>0</v>
      </c>
      <c r="BG28" s="660">
        <f>SUM(PART_NUMBER_GENERATOR_TABLE[Project Risk Travel Hours])</f>
        <v>0</v>
      </c>
      <c r="BH28" s="660">
        <f>SUM(PART_NUMBER_GENERATOR_TABLE[Project Risk Travel Price])</f>
        <v>0</v>
      </c>
      <c r="BI28" s="660">
        <f>SUM(PART_NUMBER_GENERATOR_TABLE[Project Risk Travel Cost])</f>
        <v>0</v>
      </c>
      <c r="BJ28" s="660">
        <f>SUM(PART_NUMBER_GENERATOR_TABLE[Total Hours])</f>
        <v>1.5</v>
      </c>
      <c r="BK28" s="660">
        <f>SUM(PART_NUMBER_GENERATOR_TABLE[Total Base Price])</f>
        <v>337.5</v>
      </c>
      <c r="BN28" s="660">
        <f>SUM(PART_NUMBER_GENERATOR_TABLE[Effective Discount])</f>
        <v>0</v>
      </c>
      <c r="BO28" s="686"/>
    </row>
    <row r="29" spans="1:71" s="661" customFormat="1" ht="16.2" thickBot="1">
      <c r="A29" s="665"/>
      <c r="B29" s="665"/>
      <c r="C29" s="664" t="s">
        <v>1158</v>
      </c>
      <c r="D29" s="665"/>
      <c r="E29" s="665"/>
      <c r="F29" s="665"/>
      <c r="G29" s="665"/>
      <c r="H29" s="665"/>
      <c r="I29" s="665"/>
      <c r="J29" s="665"/>
      <c r="K29" s="665"/>
      <c r="L29" s="665"/>
      <c r="M29" s="665"/>
      <c r="N29" s="665"/>
      <c r="O29" s="665"/>
      <c r="P29" s="665"/>
      <c r="Q29" s="665"/>
      <c r="R29" s="665"/>
      <c r="S29" s="665"/>
      <c r="BO29" s="683"/>
    </row>
    <row r="30" spans="1:71" s="61" customFormat="1" ht="46.8">
      <c r="C30" s="60" t="s">
        <v>876</v>
      </c>
      <c r="D30" s="60" t="s">
        <v>887</v>
      </c>
      <c r="E30" s="60" t="s">
        <v>676</v>
      </c>
      <c r="F30" s="60" t="s">
        <v>204</v>
      </c>
      <c r="G30" s="60" t="s">
        <v>886</v>
      </c>
      <c r="H30" s="60" t="s">
        <v>166</v>
      </c>
      <c r="I30" s="60" t="s">
        <v>167</v>
      </c>
      <c r="J30" s="60" t="s">
        <v>1146</v>
      </c>
      <c r="K30" s="60" t="s">
        <v>1147</v>
      </c>
      <c r="L30" s="60" t="s">
        <v>1148</v>
      </c>
      <c r="M30" s="60" t="s">
        <v>1149</v>
      </c>
      <c r="N30" s="60" t="s">
        <v>1150</v>
      </c>
      <c r="O30" s="60" t="s">
        <v>1151</v>
      </c>
      <c r="P30" s="60" t="s">
        <v>1152</v>
      </c>
      <c r="Q30" s="60" t="s">
        <v>1153</v>
      </c>
      <c r="R30" s="60" t="s">
        <v>1154</v>
      </c>
      <c r="S30" s="60" t="s">
        <v>1155</v>
      </c>
      <c r="T30" s="60" t="s">
        <v>565</v>
      </c>
      <c r="U30" s="60" t="s">
        <v>1168</v>
      </c>
      <c r="V30" s="60" t="s">
        <v>1169</v>
      </c>
      <c r="W30" s="60" t="s">
        <v>1170</v>
      </c>
      <c r="X30" s="60" t="s">
        <v>1171</v>
      </c>
      <c r="Y30" s="60" t="s">
        <v>1172</v>
      </c>
      <c r="Z30" s="60" t="s">
        <v>1175</v>
      </c>
      <c r="AA30" s="60" t="s">
        <v>1176</v>
      </c>
      <c r="AB30" s="60" t="s">
        <v>1177</v>
      </c>
      <c r="AC30" s="60" t="s">
        <v>1178</v>
      </c>
      <c r="AD30" s="60" t="s">
        <v>1179</v>
      </c>
      <c r="AE30" s="60" t="s">
        <v>1180</v>
      </c>
      <c r="AF30" s="676" t="s">
        <v>1184</v>
      </c>
      <c r="AG30" s="60" t="s">
        <v>1185</v>
      </c>
      <c r="AH30" s="60" t="s">
        <v>1183</v>
      </c>
      <c r="AI30" s="677" t="s">
        <v>1186</v>
      </c>
      <c r="AJ30" s="60" t="s">
        <v>1189</v>
      </c>
      <c r="AK30" s="60" t="s">
        <v>1190</v>
      </c>
      <c r="AL30" s="60" t="s">
        <v>1191</v>
      </c>
      <c r="AM30" s="60" t="s">
        <v>1198</v>
      </c>
      <c r="AN30" s="60" t="s">
        <v>1197</v>
      </c>
      <c r="AO30" s="60" t="s">
        <v>1192</v>
      </c>
      <c r="AP30" s="60" t="s">
        <v>1193</v>
      </c>
      <c r="AQ30" s="60" t="s">
        <v>1194</v>
      </c>
      <c r="AR30" s="60" t="s">
        <v>1195</v>
      </c>
      <c r="AS30" s="60" t="s">
        <v>1196</v>
      </c>
      <c r="AT30" s="60" t="s">
        <v>1270</v>
      </c>
      <c r="AU30" s="678" t="s">
        <v>1214</v>
      </c>
      <c r="AV30" s="678" t="s">
        <v>1213</v>
      </c>
      <c r="AW30" s="678" t="s">
        <v>1212</v>
      </c>
      <c r="AX30" s="679" t="s">
        <v>1210</v>
      </c>
      <c r="AY30" s="679" t="s">
        <v>1215</v>
      </c>
      <c r="AZ30" s="679" t="s">
        <v>1216</v>
      </c>
      <c r="BA30" s="678" t="s">
        <v>1217</v>
      </c>
      <c r="BB30" s="678" t="s">
        <v>1218</v>
      </c>
      <c r="BC30" s="678" t="s">
        <v>1219</v>
      </c>
      <c r="BD30" s="678" t="s">
        <v>1220</v>
      </c>
      <c r="BE30" s="678" t="s">
        <v>1221</v>
      </c>
      <c r="BF30" s="678" t="s">
        <v>1222</v>
      </c>
      <c r="BG30" s="678" t="s">
        <v>1223</v>
      </c>
      <c r="BH30" s="678" t="s">
        <v>1224</v>
      </c>
      <c r="BI30" s="678" t="s">
        <v>1225</v>
      </c>
      <c r="BJ30" s="681" t="s">
        <v>844</v>
      </c>
      <c r="BK30" s="681" t="s">
        <v>1211</v>
      </c>
      <c r="BL30" s="60" t="s">
        <v>1208</v>
      </c>
      <c r="BM30" s="60" t="s">
        <v>1207</v>
      </c>
      <c r="BN30" s="60" t="s">
        <v>1209</v>
      </c>
      <c r="BO30" s="687" t="s">
        <v>1227</v>
      </c>
      <c r="BP30" s="682" t="s">
        <v>1205</v>
      </c>
      <c r="BQ30" s="682" t="s">
        <v>1206</v>
      </c>
      <c r="BR30" s="682" t="s">
        <v>26</v>
      </c>
      <c r="BS30" s="682" t="s">
        <v>1238</v>
      </c>
    </row>
    <row r="31" spans="1:71">
      <c r="A31">
        <v>1</v>
      </c>
      <c r="C31" t="s">
        <v>891</v>
      </c>
      <c r="D31" t="str" cm="1">
        <f t="array" ref="D31">INDEX(Table.Settings_Skill.List[Skill Name],MATCH(INDEX(_xlfn.TEXTSPLIT(C31,"-",,TRUE),4),Table.Settings_Skill.List[Skill Code],0),1)</f>
        <v>Collaboration</v>
      </c>
      <c r="E31" t="str" cm="1">
        <f t="array" ref="E31">INDEX(_xlfn.TEXTSPLIT(C31,"-",,TRUE),5)</f>
        <v>PM</v>
      </c>
      <c r="F31" t="str">
        <f>IFERROR(INDEX(settings.Table_Engineer.Roles[Department Code],MATCH(PART_NUMBER_GENERATOR_TABLE[[#This Row],[Work Role]],settings.Table_Engineer.Roles[ID],0),1),"PMO")</f>
        <v>PMO</v>
      </c>
      <c r="G31" t="str" cm="1">
        <f t="array" ref="G31">INDEX(_xlfn.TEXTSPLIT(C31,"-",,TRUE),6)</f>
        <v>BH</v>
      </c>
      <c r="H3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225</v>
      </c>
      <c r="I3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147.55803124436895</v>
      </c>
      <c r="J31" cm="1">
        <f t="array" ref="J31">IF(J$1&lt;&gt;PART_NUMBER_GENERATOR_TABLE[[#This Row],[Work Role]:[Work Role]],0,
IF(RIGHT(J$30,2)&lt;&gt;PART_NUMBER_GENERATOR_TABLE[[#This Row],[Work Type]:[Work Type]],0,
SUMIFS(Input_Tasks[R1 Business Hours],Input_Tasks[[Skill Required]:[Skill Required]],PART_NUMBER_GENERATOR_TABLE[[#This Row],[Tech]:[Tech]])))</f>
        <v>0</v>
      </c>
      <c r="K31" cm="1">
        <f t="array" ref="K31">IF(K$1&lt;&gt;PART_NUMBER_GENERATOR_TABLE[[#This Row],[Work Role]:[Work Role]],0,
IF(RIGHT(K$30,2)&lt;&gt;PART_NUMBER_GENERATOR_TABLE[[#This Row],[Work Type]:[Work Type]],0,
SUMIFS(Input_Tasks[R1 After Hours],Input_Tasks[[Skill Required]:[Skill Required]],PART_NUMBER_GENERATOR_TABLE[[#This Row],[Tech]:[Tech]])))</f>
        <v>0</v>
      </c>
      <c r="L31" cm="1">
        <f t="array" ref="L31">IF(L$1&lt;&gt;PART_NUMBER_GENERATOR_TABLE[[#This Row],[Work Role]:[Work Role]],0,
IF(RIGHT(L$30,2)&lt;&gt;PART_NUMBER_GENERATOR_TABLE[[#This Row],[Work Type]:[Work Type]],0,
SUMIFS(Input_Tasks[R2 Business Hours],Input_Tasks[[Skill Required]:[Skill Required]],PART_NUMBER_GENERATOR_TABLE[[#This Row],[Tech]:[Tech]])))</f>
        <v>0</v>
      </c>
      <c r="M31" cm="1">
        <f t="array" ref="M31">IF(M$1&lt;&gt;PART_NUMBER_GENERATOR_TABLE[[#This Row],[Work Role]:[Work Role]],0,
IF(RIGHT(M$30,2)&lt;&gt;PART_NUMBER_GENERATOR_TABLE[[#This Row],[Work Type]:[Work Type]],0,
SUMIFS(Input_Tasks[R2 After Hours],Input_Tasks[[Skill Required]:[Skill Required]],PART_NUMBER_GENERATOR_TABLE[[#This Row],[Tech]:[Tech]])))</f>
        <v>0</v>
      </c>
      <c r="N31" cm="1">
        <f t="array" ref="N31">IF(N$1&lt;&gt;PART_NUMBER_GENERATOR_TABLE[[#This Row],[Work Role]:[Work Role]],0,
IF(RIGHT(N$30,2)&lt;&gt;PART_NUMBER_GENERATOR_TABLE[[#This Row],[Work Type]:[Work Type]],0,
SUMIFS(Input_Tasks[R3 Business Hours],Input_Tasks[[Skill Required]:[Skill Required]],PART_NUMBER_GENERATOR_TABLE[[#This Row],[Tech]:[Tech]])))</f>
        <v>0</v>
      </c>
      <c r="O31" cm="1">
        <f t="array" ref="O31">IF(O$1&lt;&gt;PART_NUMBER_GENERATOR_TABLE[[#This Row],[Work Role]:[Work Role]],0,
IF(RIGHT(O$30,2)&lt;&gt;PART_NUMBER_GENERATOR_TABLE[[#This Row],[Work Type]:[Work Type]],0,
SUMIFS(Input_Tasks[R3 After Hours],Input_Tasks[[Skill Required]:[Skill Required]],PART_NUMBER_GENERATOR_TABLE[[#This Row],[Tech]:[Tech]])))</f>
        <v>0</v>
      </c>
      <c r="P31" cm="1">
        <f t="array" ref="P31">IF(P$1&lt;&gt;PART_NUMBER_GENERATOR_TABLE[[#This Row],[Work Role]:[Work Role]],0,
IF(RIGHT(P$30,2)&lt;&gt;PART_NUMBER_GENERATOR_TABLE[[#This Row],[Work Type]:[Work Type]],0,
SUMIFS(Input_Tasks[R4 Business Hours],Input_Tasks[[Skill Required]:[Skill Required]],PART_NUMBER_GENERATOR_TABLE[[#This Row],[Tech]:[Tech]])))</f>
        <v>0</v>
      </c>
      <c r="Q31" cm="1">
        <f t="array" ref="Q31">IF(Q$1&lt;&gt;PART_NUMBER_GENERATOR_TABLE[[#This Row],[Work Role]:[Work Role]],0,
IF(RIGHT(Q$30,2)&lt;&gt;PART_NUMBER_GENERATOR_TABLE[[#This Row],[Work Type]:[Work Type]],0,
SUMIFS(Input_Tasks[R4 After Hours],Input_Tasks[[Skill Required]:[Skill Required]],PART_NUMBER_GENERATOR_TABLE[[#This Row],[Tech]:[Tech]])))</f>
        <v>0</v>
      </c>
      <c r="R31" cm="1">
        <f t="array" ref="R31">IF(R$1&lt;&gt;PART_NUMBER_GENERATOR_TABLE[[#This Row],[Work Role]:[Work Role]],0,
IF(RIGHT(R$30,2)&lt;&gt;PART_NUMBER_GENERATOR_TABLE[[#This Row],[Work Type]:[Work Type]],0,
SUMIFS(Input_Tasks[R5 Business Hours],Input_Tasks[[Skill Required]:[Skill Required]],PART_NUMBER_GENERATOR_TABLE[[#This Row],[Tech]:[Tech]])))</f>
        <v>0</v>
      </c>
      <c r="S31" cm="1">
        <f t="array" ref="S31">IF(S$1&lt;&gt;PART_NUMBER_GENERATOR_TABLE[[#This Row],[Work Role]:[Work Role]],0,
IF(RIGHT(S$30,2)&lt;&gt;PART_NUMBER_GENERATOR_TABLE[[#This Row],[Work Type]:[Work Type]],0,
SUMIFS(Input_Tasks[R5 After Hours],Input_Tasks[[Skill Required]:[Skill Required]],PART_NUMBER_GENERATOR_TABLE[[#This Row],[Tech]:[Tech]])))</f>
        <v>0</v>
      </c>
      <c r="T31" cm="1">
        <f t="array" ref="T31">IF(PART_NUMBER_GENERATOR_TABLE[[#This Row],[Work Role]:[Work Role]]&lt;&gt;T$1,0,
IF(PART_NUMBER_GENERATOR_TABLE[[#This Row],[Work Type]:[Work Type]]&lt;&gt;"BH",0,
SUMIFS(T$9:T$24,$M$9:$M$24,PART_NUMBER_GENERATOR_TABLE[[#This Row],[Tech]:[Tech]])))</f>
        <v>0</v>
      </c>
      <c r="U31" cm="1">
        <f t="array" ref="U31">IF(PART_NUMBER_GENERATOR_TABLE[[#This Row],[Work Role]:[Work Role]]&lt;&gt;U$1,0,
IF(PART_NUMBER_GENERATOR_TABLE[[#This Row],[Work Type]:[Work Type]]&lt;&gt;"BH",0,
SUMIFS(U$9:U$24,$M$9:$M$24,PART_NUMBER_GENERATOR_TABLE[[#This Row],[Tech]:[Tech]])))</f>
        <v>0</v>
      </c>
      <c r="V31" cm="1">
        <f t="array" ref="V31">IF(PART_NUMBER_GENERATOR_TABLE[[#This Row],[Work Role]:[Work Role]]&lt;&gt;V$1,0,
IF(PART_NUMBER_GENERATOR_TABLE[[#This Row],[Work Type]:[Work Type]]&lt;&gt;"BH",0,
SUMIFS(V$9:V$24,$M$9:$M$24,PART_NUMBER_GENERATOR_TABLE[[#This Row],[Tech]:[Tech]])))</f>
        <v>0</v>
      </c>
      <c r="W31" cm="1">
        <f t="array" ref="W31">IF(PART_NUMBER_GENERATOR_TABLE[[#This Row],[Work Role]:[Work Role]]&lt;&gt;W$1,0,
IF(PART_NUMBER_GENERATOR_TABLE[[#This Row],[Work Type]:[Work Type]]&lt;&gt;"BH",0,
SUMIFS(W$9:W$24,$M$9:$M$24,PART_NUMBER_GENERATOR_TABLE[[#This Row],[Tech]:[Tech]])))</f>
        <v>0</v>
      </c>
      <c r="X31" cm="1">
        <f t="array" ref="X31">IF(PART_NUMBER_GENERATOR_TABLE[[#This Row],[Work Role]:[Work Role]]&lt;&gt;X$1,0,
IF(PART_NUMBER_GENERATOR_TABLE[[#This Row],[Work Type]:[Work Type]]&lt;&gt;"BH",0,
SUMIFS(X$9:X$24,$M$9:$M$24,PART_NUMBER_GENERATOR_TABLE[[#This Row],[Tech]:[Tech]])))</f>
        <v>0</v>
      </c>
      <c r="Y31" cm="1">
        <f t="array" ref="Y31">IF(PART_NUMBER_GENERATOR_TABLE[[#This Row],[Work Role]:[Work Role]]&lt;&gt;Y$1,0,
IF(PART_NUMBER_GENERATOR_TABLE[[#This Row],[Work Type]:[Work Type]]&lt;&gt;"BH",0,
SUMIFS(Y$9:Y$24,$M$9:$M$24,PART_NUMBER_GENERATOR_TABLE[[#This Row],[Tech]:[Tech]])))</f>
        <v>0</v>
      </c>
      <c r="Z31" cm="1">
        <f t="array" ref="Z31">IF(PART_NUMBER_GENERATOR_TABLE[[#This Row],[Work Role]:[Work Role]]&lt;&gt;Z$1,0,
IF(PART_NUMBER_GENERATOR_TABLE[[#This Row],[Work Type]:[Work Type]]&lt;&gt;"BH",0,
SUMIFS(Z$9:Z$24,$M$9:$M$24,PART_NUMBER_GENERATOR_TABLE[[#This Row],[Tech]:[Tech]])))</f>
        <v>1.5</v>
      </c>
      <c r="AA31" cm="1">
        <f t="array" ref="AA31">IF(PART_NUMBER_GENERATOR_TABLE[[#This Row],[Work Role]:[Work Role]]&lt;&gt;AA$1,0,
IF(PART_NUMBER_GENERATOR_TABLE[[#This Row],[Work Type]:[Work Type]]&lt;&gt;"BH",0,
SUMIFS(AA$9:AA$24,$M$9:$M$24,PART_NUMBER_GENERATOR_TABLE[[#This Row],[Tech]:[Tech]])))</f>
        <v>0</v>
      </c>
      <c r="AB31" cm="1">
        <f t="array" ref="AB31">IF(PART_NUMBER_GENERATOR_TABLE[[#This Row],[Work Role]:[Work Role]]&lt;&gt;AB$1,0,
IF(PART_NUMBER_GENERATOR_TABLE[[#This Row],[Work Type]:[Work Type]]&lt;&gt;"BH",0,
SUMIFS(AB$9:AB$24,$M$9:$M$24,PART_NUMBER_GENERATOR_TABLE[[#This Row],[Tech]:[Tech]])))</f>
        <v>0</v>
      </c>
      <c r="AC31" cm="1">
        <f t="array" ref="AC31">IF(PART_NUMBER_GENERATOR_TABLE[[#This Row],[Work Role]:[Work Role]]&lt;&gt;AC$1,0,
IF(PART_NUMBER_GENERATOR_TABLE[[#This Row],[Work Type]:[Work Type]]&lt;&gt;"BH",0,
SUMIFS(AC$9:AC$24,$M$9:$M$24,PART_NUMBER_GENERATOR_TABLE[[#This Row],[Tech]:[Tech]])))</f>
        <v>0</v>
      </c>
      <c r="AD31" cm="1">
        <f t="array" ref="AD31">IF(PART_NUMBER_GENERATOR_TABLE[[#This Row],[Work Role]:[Work Role]]&lt;&gt;AD$1,0,
IF(PART_NUMBER_GENERATOR_TABLE[[#This Row],[Work Type]:[Work Type]]&lt;&gt;"BH",0,
SUMIFS(AD$9:AD$24,$M$9:$M$24,PART_NUMBER_GENERATOR_TABLE[[#This Row],[Tech]:[Tech]])))</f>
        <v>0</v>
      </c>
      <c r="AE31" cm="1">
        <f t="array" ref="AE31">IF(PART_NUMBER_GENERATOR_TABLE[[#This Row],[Work Role]:[Work Role]]&lt;&gt;AE$1,0,
IF(PART_NUMBER_GENERATOR_TABLE[[#This Row],[Work Type]:[Work Type]]&lt;&gt;"BH",0,
SUMIFS(AE$9:AE$24,$M$9:$M$24,PART_NUMBER_GENERATOR_TABLE[[#This Row],[Tech]:[Tech]])))</f>
        <v>0</v>
      </c>
      <c r="AF31" cm="1">
        <f t="array" ref="AF31">IF(PART_NUMBER_GENERATOR_TABLE[[#This Row],[Work Role]:[Work Role]]&lt;&gt;AF$1,0,
IF(PART_NUMBER_GENERATOR_TABLE[[#This Row],[Work Type]:[Work Type]]&lt;&gt;"BH",0,
SUMIFS(AF$9:AF$24,$M$9:$M$24,PART_NUMBER_GENERATOR_TABLE[[#This Row],[Tech]:[Tech]])))</f>
        <v>0</v>
      </c>
      <c r="AG31" cm="1">
        <f t="array" ref="AG31">IF(PART_NUMBER_GENERATOR_TABLE[[#This Row],[Work Role]:[Work Role]]&lt;&gt;AG$1,0,
IF(PART_NUMBER_GENERATOR_TABLE[[#This Row],[Work Type]:[Work Type]]&lt;&gt;"AH",0,
SUMIFS(AG$9:AG$24,$M$9:$M$24,PART_NUMBER_GENERATOR_TABLE[[#This Row],[Tech]:[Tech]])))</f>
        <v>0</v>
      </c>
      <c r="AH31" cm="1">
        <f t="array" ref="AH31">IF(PART_NUMBER_GENERATOR_TABLE[[#This Row],[Work Role]:[Work Role]]&lt;&gt;AH$1,0,
IF(PART_NUMBER_GENERATOR_TABLE[[#This Row],[Work Type]:[Work Type]]&lt;&gt;"BH",0,
SUMIFS(AH$9:AH$24,$M$9:$M$24,PART_NUMBER_GENERATOR_TABLE[[#This Row],[Tech]:[Tech]])))</f>
        <v>0</v>
      </c>
      <c r="AI31" cm="1">
        <f t="array" ref="AI31">IF(PART_NUMBER_GENERATOR_TABLE[[#This Row],[Work Role]:[Work Role]]&lt;&gt;AI$1,0,
IF(PART_NUMBER_GENERATOR_TABLE[[#This Row],[Work Type]:[Work Type]]&lt;&gt;"BH",0,
SUMIFS(AI$9:AI$24,$M$9:$M$24,PART_NUMBER_GENERATOR_TABLE[[#This Row],[Tech]:[Tech]])))</f>
        <v>0</v>
      </c>
      <c r="AJ31" cm="1">
        <f t="array" ref="AJ31">IF(PART_NUMBER_GENERATOR_TABLE[[#This Row],[Work Role]:[Work Role]]&lt;&gt;AJ$1,0,
IF(PART_NUMBER_GENERATOR_TABLE[[#This Row],[Work Type]:[Work Type]]&lt;&gt;"BH",0,
SUMIFS(AJ$9:AJ$24,$M$9:$M$24,PART_NUMBER_GENERATOR_TABLE[[#This Row],[Tech]:[Tech]])))</f>
        <v>0</v>
      </c>
      <c r="AK31" cm="1">
        <f t="array" ref="AK31">IF(PART_NUMBER_GENERATOR_TABLE[[#This Row],[Work Role]:[Work Role]]&lt;&gt;AK$1,0,
IF(PART_NUMBER_GENERATOR_TABLE[[#This Row],[Work Type]:[Work Type]]&lt;&gt;"AH",0,
SUMIFS(AK$9:AK$24,$M$9:$M$24,PART_NUMBER_GENERATOR_TABLE[[#This Row],[Tech]:[Tech]])))</f>
        <v>0</v>
      </c>
      <c r="AL31" cm="1">
        <f t="array" ref="AL31">IF(PART_NUMBER_GENERATOR_TABLE[[#This Row],[Work Role]:[Work Role]]&lt;&gt;AL$1,0,
IF(PART_NUMBER_GENERATOR_TABLE[[#This Row],[Work Type]:[Work Type]]&lt;&gt;"BH",0,
SUMIFS(AL$9:AL$24,$M$9:$M$24,PART_NUMBER_GENERATOR_TABLE[[#This Row],[Tech]:[Tech]])))</f>
        <v>0</v>
      </c>
      <c r="AM31">
        <f>0</f>
        <v>0</v>
      </c>
      <c r="AN31" cm="1">
        <f t="array" ref="AN31">IF(PART_NUMBER_GENERATOR_TABLE[[#This Row],[Work Role]:[Work Role]]&lt;&gt;AN$1,0,
IF(PART_NUMBER_GENERATOR_TABLE[[#This Row],[Work Type]:[Work Type]]&lt;&gt;"BH",0,
SUMIFS(AN$24,$AM$24,PART_NUMBER_GENERATOR_TABLE[[#This Row],[Tech]:[Tech]])))</f>
        <v>0</v>
      </c>
      <c r="AO31" cm="1">
        <f t="array" ref="AO31">IF(PART_NUMBER_GENERATOR_TABLE[[#This Row],[Work Role]:[Work Role]]&lt;&gt;AO$1,0,
IF(PART_NUMBER_GENERATOR_TABLE[[#This Row],[Work Type]:[Work Type]]&lt;&gt;"BH",0,
SUMIFS(AO$24,$AM$24,PART_NUMBER_GENERATOR_TABLE[[#This Row],[Tech]:[Tech]])))</f>
        <v>0</v>
      </c>
      <c r="AP31" cm="1">
        <f t="array" ref="AP31">IF(PART_NUMBER_GENERATOR_TABLE[[#This Row],[Work Role]:[Work Role]]&lt;&gt;AP$1,0,
IF(PART_NUMBER_GENERATOR_TABLE[[#This Row],[Work Type]:[Work Type]]&lt;&gt;"BH",0,
SUMIFS(AP$24,$AM$24,PART_NUMBER_GENERATOR_TABLE[[#This Row],[Tech]:[Tech]])))</f>
        <v>0</v>
      </c>
      <c r="AQ31" cm="1">
        <f t="array" ref="AQ31">IF(PART_NUMBER_GENERATOR_TABLE[[#This Row],[Work Role]:[Work Role]]&lt;&gt;AQ$1,0,
IF(PART_NUMBER_GENERATOR_TABLE[[#This Row],[Work Type]:[Work Type]]&lt;&gt;"BH",0,
SUMIFS(AQ$24,$AM$24,PART_NUMBER_GENERATOR_TABLE[[#This Row],[Tech]:[Tech]])))</f>
        <v>0</v>
      </c>
      <c r="AR31" cm="1">
        <f t="array" ref="AR31">IF(PART_NUMBER_GENERATOR_TABLE[[#This Row],[Work Role]:[Work Role]]&lt;&gt;AR$1,0,
IF(PART_NUMBER_GENERATOR_TABLE[[#This Row],[Work Type]:[Work Type]]&lt;&gt;"BH",0,
SUMIFS(AR$24,$AM$24,PART_NUMBER_GENERATOR_TABLE[[#This Row],[Tech]:[Tech]])))</f>
        <v>0</v>
      </c>
      <c r="AS31" cm="1">
        <f t="array" ref="AS31">IF(PART_NUMBER_GENERATOR_TABLE[[#This Row],[Work Role]:[Work Role]]&lt;&gt;AS$1,0,
IF(PART_NUMBER_GENERATOR_TABLE[[#This Row],[Work Type]:[Work Type]]&lt;&gt;"BH",0,
SUMIFS(AS$24,$AM$24,PART_NUMBER_GENERATOR_TABLE[[#This Row],[Tech]:[Tech]])))</f>
        <v>0</v>
      </c>
      <c r="AT31" cm="1">
        <f t="array" ref="AT31">IF(PART_NUMBER_GENERATOR_TABLE[[#This Row],[Work Role]:[Work Role]]&lt;&gt;AS$1,0,
IF(PART_NUMBER_GENERATOR_TABLE[[#This Row],[Work Type]:[Work Type]]&lt;&gt;"BH",0,
SUMIFS(AT$24,$AM$24,PART_NUMBER_GENERATOR_TABLE[[#This Row],[Tech]:[Tech]])))</f>
        <v>0</v>
      </c>
      <c r="AU31">
        <f>SUM(PART_NUMBER_GENERATOR_TABLE[[#This Row],[Resource 1 BH]:[Resource 5 AH]],PART_NUMBER_GENERATOR_TABLE[[#This Row],[R1 Mandatory Tasks]:[R5 Mandatory Tasks]],PART_NUMBER_GENERATOR_TABLE[[#This Row],[R1 Remainder]:[R5 Remainder]])</f>
        <v>0</v>
      </c>
      <c r="AV31">
        <f>PART_NUMBER_GENERATOR_TABLE[[#This Row],[Professional Engineering Hours]]*PART_NUMBER_GENERATOR_TABLE[[#This Row],[Sell Rate]]</f>
        <v>0</v>
      </c>
      <c r="AW31">
        <f>PART_NUMBER_GENERATOR_TABLE[[#This Row],[Professional Engineering Hours]]*PART_NUMBER_GENERATOR_TABLE[[#This Row],[Cost Rate]]</f>
        <v>0</v>
      </c>
      <c r="AX31">
        <f>SUM(PART_NUMBER_GENERATOR_TABLE[[#This Row],[PM Trips]:[R5 Trips]])</f>
        <v>0</v>
      </c>
      <c r="AY31">
        <f>PART_NUMBER_GENERATOR_TABLE[[#This Row],[Travel &amp; Accommodation Hours]]*PART_NUMBER_GENERATOR_TABLE[[#This Row],[Sell Rate]]</f>
        <v>0</v>
      </c>
      <c r="AZ31">
        <f>PART_NUMBER_GENERATOR_TABLE[[#This Row],[Travel &amp; Accommodation Hours]]*PART_NUMBER_GENERATOR_TABLE[[#This Row],[Cost Rate]]</f>
        <v>0</v>
      </c>
      <c r="BA31">
        <f>PART_NUMBER_GENERATOR_TABLE[[#This Row],[PM Hours]]+PART_NUMBER_GENERATOR_TABLE[[#This Row],[PM Remainder]]</f>
        <v>1.5</v>
      </c>
      <c r="BB31">
        <f>PART_NUMBER_GENERATOR_TABLE[[#This Row],[Project Management Hours]]*PART_NUMBER_GENERATOR_TABLE[[#This Row],[Sell Rate]]</f>
        <v>337.5</v>
      </c>
      <c r="BC31">
        <f>PART_NUMBER_GENERATOR_TABLE[[#This Row],[Project Management Hours]]*PART_NUMBER_GENERATOR_TABLE[[#This Row],[Cost Rate]]</f>
        <v>221.33704686655341</v>
      </c>
      <c r="BD31">
        <f>SUM(PART_NUMBER_GENERATOR_TABLE[[#This Row],[SSE RISK BH]:[PM RISK]],PART_NUMBER_GENERATOR_TABLE[[#This Row],[SSE Remainder RISK BH]:[PM Remainder RISK]])</f>
        <v>0</v>
      </c>
      <c r="BE31">
        <f>PART_NUMBER_GENERATOR_TABLE[[#This Row],[Project Risk Service Hours]]*PART_NUMBER_GENERATOR_TABLE[[#This Row],[Sell Rate]]</f>
        <v>0</v>
      </c>
      <c r="BF31">
        <f>PART_NUMBER_GENERATOR_TABLE[[#This Row],[Project Risk Service Hours]]*PART_NUMBER_GENERATOR_TABLE[[#This Row],[Cost Rate]]</f>
        <v>0</v>
      </c>
      <c r="BG31">
        <f>PART_NUMBER_GENERATOR_TABLE[[#This Row],[SSE RISK TRAVEL]]</f>
        <v>0</v>
      </c>
      <c r="BH31">
        <f>PART_NUMBER_GENERATOR_TABLE[[#This Row],[Sell Rate]]*PART_NUMBER_GENERATOR_TABLE[[#This Row],[Project Risk Travel Hours]]</f>
        <v>0</v>
      </c>
      <c r="BI31">
        <f>PART_NUMBER_GENERATOR_TABLE[[#This Row],[Project Risk Travel Hours]]*PART_NUMBER_GENERATOR_TABLE[[#This Row],[Cost Rate]]</f>
        <v>0</v>
      </c>
      <c r="BJ3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1.5</v>
      </c>
      <c r="BK3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337.5</v>
      </c>
      <c r="BL31">
        <f>IFERROR(-VLOOKUP(INDEX(ENGINEER_ROLES,MATCH(PART_NUMBER_GENERATOR_TABLE[[#This Row],[Work Role]],settings.Table_Engineer.Roles[ID],0),1),Settings_Hidden!$H$359:$K$366,4,FALSE),0)</f>
        <v>0</v>
      </c>
      <c r="BM31" s="680">
        <f>-Summary!$C$66</f>
        <v>0</v>
      </c>
      <c r="BN31" s="465">
        <f>PART_NUMBER_GENERATOR_TABLE[[#This Row],[Total Base Price]]*MIN(PART_NUMBER_GENERATOR_TABLE[[#This Row],[Rate Service Discount]:[Flat Service Discount]])</f>
        <v>0</v>
      </c>
      <c r="BO31" s="451">
        <f>IF(PART_NUMBER_GENERATOR_TABLE[[#This Row],[Quantity]]&lt;&gt;0,MAX($BO$30:BO30)+1,"")</f>
        <v>1</v>
      </c>
      <c r="BP31" t="str">
        <f>PART_NUMBER_GENERATOR_TABLE[[#This Row],[Part Number]]</f>
        <v>A-PS-P-COLLAB-PM-BH</v>
      </c>
      <c r="BQ31">
        <f>PART_NUMBER_GENERATOR_TABLE[[#This Row],[Total Hours]]</f>
        <v>1.5</v>
      </c>
      <c r="BR31">
        <f>PART_NUMBER_GENERATOR_TABLE[[#This Row],[Cost Rate]]</f>
        <v>147.55803124436895</v>
      </c>
      <c r="BS31" s="465">
        <f>PART_NUMBER_GENERATOR_TABLE[[#This Row],[Sell Rate]]+(PART_NUMBER_GENERATOR_TABLE[[#This Row],[Sell Rate]]*MIN(PART_NUMBER_GENERATOR_TABLE[[#This Row],[Rate Service Discount]:[Flat Service Discount]]))</f>
        <v>225</v>
      </c>
    </row>
    <row r="32" spans="1:71">
      <c r="A32">
        <v>2</v>
      </c>
      <c r="C32" t="s">
        <v>899</v>
      </c>
      <c r="D32" t="str" cm="1">
        <f t="array" ref="D32">INDEX(Table.Settings_Skill.List[Skill Name],MATCH(INDEX(_xlfn.TEXTSPLIT(C32,"-",,TRUE),4),Table.Settings_Skill.List[Skill Code],0),1)</f>
        <v>Collaboration</v>
      </c>
      <c r="E32" t="str" cm="1">
        <f t="array" ref="E32">INDEX(_xlfn.TEXTSPLIT(C32,"-",,TRUE),5)</f>
        <v>SPM</v>
      </c>
      <c r="F32" t="str">
        <f>IFERROR(INDEX(settings.Table_Engineer.Roles[Department Code],MATCH(PART_NUMBER_GENERATOR_TABLE[[#This Row],[Work Role]],settings.Table_Engineer.Roles[ID],0),1),"PMO")</f>
        <v>PMO</v>
      </c>
      <c r="G32" t="str" cm="1">
        <f t="array" ref="G32">INDEX(_xlfn.TEXTSPLIT(C32,"-",,TRUE),6)</f>
        <v>BH</v>
      </c>
      <c r="H3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259</v>
      </c>
      <c r="I3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178.54009633394438</v>
      </c>
      <c r="J32" cm="1">
        <f t="array" ref="J32">IF(J$1&lt;&gt;PART_NUMBER_GENERATOR_TABLE[[#This Row],[Work Role]:[Work Role]],0,
IF(RIGHT(J$30,2)&lt;&gt;PART_NUMBER_GENERATOR_TABLE[[#This Row],[Work Type]:[Work Type]],0,
SUMIFS(Input_Tasks[R1 Business Hours],Input_Tasks[[Skill Required]:[Skill Required]],PART_NUMBER_GENERATOR_TABLE[[#This Row],[Tech]:[Tech]])))</f>
        <v>0</v>
      </c>
      <c r="K32" cm="1">
        <f t="array" ref="K32">IF(K$1&lt;&gt;PART_NUMBER_GENERATOR_TABLE[[#This Row],[Work Role]:[Work Role]],0,
IF(RIGHT(K$30,2)&lt;&gt;PART_NUMBER_GENERATOR_TABLE[[#This Row],[Work Type]:[Work Type]],0,
SUMIFS(Input_Tasks[R1 After Hours],Input_Tasks[[Skill Required]:[Skill Required]],PART_NUMBER_GENERATOR_TABLE[[#This Row],[Tech]:[Tech]])))</f>
        <v>0</v>
      </c>
      <c r="L32" cm="1">
        <f t="array" ref="L32">IF(L$1&lt;&gt;PART_NUMBER_GENERATOR_TABLE[[#This Row],[Work Role]:[Work Role]],0,
IF(RIGHT(L$30,2)&lt;&gt;PART_NUMBER_GENERATOR_TABLE[[#This Row],[Work Type]:[Work Type]],0,
SUMIFS(Input_Tasks[R2 Business Hours],Input_Tasks[[Skill Required]:[Skill Required]],PART_NUMBER_GENERATOR_TABLE[[#This Row],[Tech]:[Tech]])))</f>
        <v>0</v>
      </c>
      <c r="M32" cm="1">
        <f t="array" ref="M32">IF(M$1&lt;&gt;PART_NUMBER_GENERATOR_TABLE[[#This Row],[Work Role]:[Work Role]],0,
IF(RIGHT(M$30,2)&lt;&gt;PART_NUMBER_GENERATOR_TABLE[[#This Row],[Work Type]:[Work Type]],0,
SUMIFS(Input_Tasks[R2 After Hours],Input_Tasks[[Skill Required]:[Skill Required]],PART_NUMBER_GENERATOR_TABLE[[#This Row],[Tech]:[Tech]])))</f>
        <v>0</v>
      </c>
      <c r="N32" cm="1">
        <f t="array" ref="N32">IF(N$1&lt;&gt;PART_NUMBER_GENERATOR_TABLE[[#This Row],[Work Role]:[Work Role]],0,
IF(RIGHT(N$30,2)&lt;&gt;PART_NUMBER_GENERATOR_TABLE[[#This Row],[Work Type]:[Work Type]],0,
SUMIFS(Input_Tasks[R3 Business Hours],Input_Tasks[[Skill Required]:[Skill Required]],PART_NUMBER_GENERATOR_TABLE[[#This Row],[Tech]:[Tech]])))</f>
        <v>0</v>
      </c>
      <c r="O32" cm="1">
        <f t="array" ref="O32">IF(O$1&lt;&gt;PART_NUMBER_GENERATOR_TABLE[[#This Row],[Work Role]:[Work Role]],0,
IF(RIGHT(O$30,2)&lt;&gt;PART_NUMBER_GENERATOR_TABLE[[#This Row],[Work Type]:[Work Type]],0,
SUMIFS(Input_Tasks[R3 After Hours],Input_Tasks[[Skill Required]:[Skill Required]],PART_NUMBER_GENERATOR_TABLE[[#This Row],[Tech]:[Tech]])))</f>
        <v>0</v>
      </c>
      <c r="P32" cm="1">
        <f t="array" ref="P32">IF(P$1&lt;&gt;PART_NUMBER_GENERATOR_TABLE[[#This Row],[Work Role]:[Work Role]],0,
IF(RIGHT(P$30,2)&lt;&gt;PART_NUMBER_GENERATOR_TABLE[[#This Row],[Work Type]:[Work Type]],0,
SUMIFS(Input_Tasks[R4 Business Hours],Input_Tasks[[Skill Required]:[Skill Required]],PART_NUMBER_GENERATOR_TABLE[[#This Row],[Tech]:[Tech]])))</f>
        <v>0</v>
      </c>
      <c r="Q32" cm="1">
        <f t="array" ref="Q32">IF(Q$1&lt;&gt;PART_NUMBER_GENERATOR_TABLE[[#This Row],[Work Role]:[Work Role]],0,
IF(RIGHT(Q$30,2)&lt;&gt;PART_NUMBER_GENERATOR_TABLE[[#This Row],[Work Type]:[Work Type]],0,
SUMIFS(Input_Tasks[R4 After Hours],Input_Tasks[[Skill Required]:[Skill Required]],PART_NUMBER_GENERATOR_TABLE[[#This Row],[Tech]:[Tech]])))</f>
        <v>0</v>
      </c>
      <c r="R32" cm="1">
        <f t="array" ref="R32">IF(R$1&lt;&gt;PART_NUMBER_GENERATOR_TABLE[[#This Row],[Work Role]:[Work Role]],0,
IF(RIGHT(R$30,2)&lt;&gt;PART_NUMBER_GENERATOR_TABLE[[#This Row],[Work Type]:[Work Type]],0,
SUMIFS(Input_Tasks[R5 Business Hours],Input_Tasks[[Skill Required]:[Skill Required]],PART_NUMBER_GENERATOR_TABLE[[#This Row],[Tech]:[Tech]])))</f>
        <v>0</v>
      </c>
      <c r="S32" cm="1">
        <f t="array" ref="S32">IF(S$1&lt;&gt;PART_NUMBER_GENERATOR_TABLE[[#This Row],[Work Role]:[Work Role]],0,
IF(RIGHT(S$30,2)&lt;&gt;PART_NUMBER_GENERATOR_TABLE[[#This Row],[Work Type]:[Work Type]],0,
SUMIFS(Input_Tasks[R5 After Hours],Input_Tasks[[Skill Required]:[Skill Required]],PART_NUMBER_GENERATOR_TABLE[[#This Row],[Tech]:[Tech]])))</f>
        <v>0</v>
      </c>
      <c r="T32" cm="1">
        <f t="array" ref="T32">IF(PART_NUMBER_GENERATOR_TABLE[[#This Row],[Work Role]:[Work Role]]&lt;&gt;T$1,0,
IF(PART_NUMBER_GENERATOR_TABLE[[#This Row],[Work Type]:[Work Type]]&lt;&gt;"BH",0,
SUMIFS(T$9:T$24,$M$9:$M$24,PART_NUMBER_GENERATOR_TABLE[[#This Row],[Tech]:[Tech]])))</f>
        <v>0</v>
      </c>
      <c r="U32" cm="1">
        <f t="array" ref="U32">IF(PART_NUMBER_GENERATOR_TABLE[[#This Row],[Work Role]:[Work Role]]&lt;&gt;U$1,0,
IF(PART_NUMBER_GENERATOR_TABLE[[#This Row],[Work Type]:[Work Type]]&lt;&gt;"BH",0,
SUMIFS(U$9:U$24,$M$9:$M$24,PART_NUMBER_GENERATOR_TABLE[[#This Row],[Tech]:[Tech]])))</f>
        <v>0</v>
      </c>
      <c r="V32" cm="1">
        <f t="array" ref="V32">IF(PART_NUMBER_GENERATOR_TABLE[[#This Row],[Work Role]:[Work Role]]&lt;&gt;V$1,0,
IF(PART_NUMBER_GENERATOR_TABLE[[#This Row],[Work Type]:[Work Type]]&lt;&gt;"BH",0,
SUMIFS(V$9:V$24,$M$9:$M$24,PART_NUMBER_GENERATOR_TABLE[[#This Row],[Tech]:[Tech]])))</f>
        <v>0</v>
      </c>
      <c r="W32" cm="1">
        <f t="array" ref="W32">IF(PART_NUMBER_GENERATOR_TABLE[[#This Row],[Work Role]:[Work Role]]&lt;&gt;W$1,0,
IF(PART_NUMBER_GENERATOR_TABLE[[#This Row],[Work Type]:[Work Type]]&lt;&gt;"BH",0,
SUMIFS(W$9:W$24,$M$9:$M$24,PART_NUMBER_GENERATOR_TABLE[[#This Row],[Tech]:[Tech]])))</f>
        <v>0</v>
      </c>
      <c r="X32" cm="1">
        <f t="array" ref="X32">IF(PART_NUMBER_GENERATOR_TABLE[[#This Row],[Work Role]:[Work Role]]&lt;&gt;X$1,0,
IF(PART_NUMBER_GENERATOR_TABLE[[#This Row],[Work Type]:[Work Type]]&lt;&gt;"BH",0,
SUMIFS(X$9:X$24,$M$9:$M$24,PART_NUMBER_GENERATOR_TABLE[[#This Row],[Tech]:[Tech]])))</f>
        <v>0</v>
      </c>
      <c r="Y32" cm="1">
        <f t="array" ref="Y32">IF(PART_NUMBER_GENERATOR_TABLE[[#This Row],[Work Role]:[Work Role]]&lt;&gt;Y$1,0,
IF(PART_NUMBER_GENERATOR_TABLE[[#This Row],[Work Type]:[Work Type]]&lt;&gt;"BH",0,
SUMIFS(Y$9:Y$24,$M$9:$M$24,PART_NUMBER_GENERATOR_TABLE[[#This Row],[Tech]:[Tech]])))</f>
        <v>0</v>
      </c>
      <c r="Z32" cm="1">
        <f t="array" ref="Z32">IF(PART_NUMBER_GENERATOR_TABLE[[#This Row],[Work Role]:[Work Role]]&lt;&gt;Z$1,0,
IF(PART_NUMBER_GENERATOR_TABLE[[#This Row],[Work Type]:[Work Type]]&lt;&gt;"BH",0,
SUMIFS(Z$9:Z$24,$M$9:$M$24,PART_NUMBER_GENERATOR_TABLE[[#This Row],[Tech]:[Tech]])))</f>
        <v>0</v>
      </c>
      <c r="AA32" cm="1">
        <f t="array" ref="AA32">IF(PART_NUMBER_GENERATOR_TABLE[[#This Row],[Work Role]:[Work Role]]&lt;&gt;AA$1,0,
IF(PART_NUMBER_GENERATOR_TABLE[[#This Row],[Work Type]:[Work Type]]&lt;&gt;"BH",0,
SUMIFS(AA$9:AA$24,$M$9:$M$24,PART_NUMBER_GENERATOR_TABLE[[#This Row],[Tech]:[Tech]])))</f>
        <v>0</v>
      </c>
      <c r="AB32" cm="1">
        <f t="array" ref="AB32">IF(PART_NUMBER_GENERATOR_TABLE[[#This Row],[Work Role]:[Work Role]]&lt;&gt;AB$1,0,
IF(PART_NUMBER_GENERATOR_TABLE[[#This Row],[Work Type]:[Work Type]]&lt;&gt;"BH",0,
SUMIFS(AB$9:AB$24,$M$9:$M$24,PART_NUMBER_GENERATOR_TABLE[[#This Row],[Tech]:[Tech]])))</f>
        <v>0</v>
      </c>
      <c r="AC32" cm="1">
        <f t="array" ref="AC32">IF(PART_NUMBER_GENERATOR_TABLE[[#This Row],[Work Role]:[Work Role]]&lt;&gt;AC$1,0,
IF(PART_NUMBER_GENERATOR_TABLE[[#This Row],[Work Type]:[Work Type]]&lt;&gt;"BH",0,
SUMIFS(AC$9:AC$24,$M$9:$M$24,PART_NUMBER_GENERATOR_TABLE[[#This Row],[Tech]:[Tech]])))</f>
        <v>0</v>
      </c>
      <c r="AD32" cm="1">
        <f t="array" ref="AD32">IF(PART_NUMBER_GENERATOR_TABLE[[#This Row],[Work Role]:[Work Role]]&lt;&gt;AD$1,0,
IF(PART_NUMBER_GENERATOR_TABLE[[#This Row],[Work Type]:[Work Type]]&lt;&gt;"BH",0,
SUMIFS(AD$9:AD$24,$M$9:$M$24,PART_NUMBER_GENERATOR_TABLE[[#This Row],[Tech]:[Tech]])))</f>
        <v>0</v>
      </c>
      <c r="AE32" cm="1">
        <f t="array" ref="AE32">IF(PART_NUMBER_GENERATOR_TABLE[[#This Row],[Work Role]:[Work Role]]&lt;&gt;AE$1,0,
IF(PART_NUMBER_GENERATOR_TABLE[[#This Row],[Work Type]:[Work Type]]&lt;&gt;"BH",0,
SUMIFS(AE$9:AE$24,$M$9:$M$24,PART_NUMBER_GENERATOR_TABLE[[#This Row],[Tech]:[Tech]])))</f>
        <v>0</v>
      </c>
      <c r="AF32" cm="1">
        <f t="array" ref="AF32">IF(PART_NUMBER_GENERATOR_TABLE[[#This Row],[Work Role]:[Work Role]]&lt;&gt;AF$1,0,
IF(PART_NUMBER_GENERATOR_TABLE[[#This Row],[Work Type]:[Work Type]]&lt;&gt;"BH",0,
SUMIFS(AF$9:AF$24,$M$9:$M$24,PART_NUMBER_GENERATOR_TABLE[[#This Row],[Tech]:[Tech]])))</f>
        <v>0</v>
      </c>
      <c r="AG32" cm="1">
        <f t="array" ref="AG32">IF(PART_NUMBER_GENERATOR_TABLE[[#This Row],[Work Role]:[Work Role]]&lt;&gt;AG$1,0,
IF(PART_NUMBER_GENERATOR_TABLE[[#This Row],[Work Type]:[Work Type]]&lt;&gt;"AH",0,
SUMIFS(AG$9:AG$24,$M$9:$M$24,PART_NUMBER_GENERATOR_TABLE[[#This Row],[Tech]:[Tech]])))</f>
        <v>0</v>
      </c>
      <c r="AH32" cm="1">
        <f t="array" ref="AH32">IF(PART_NUMBER_GENERATOR_TABLE[[#This Row],[Work Role]:[Work Role]]&lt;&gt;AH$1,0,
IF(PART_NUMBER_GENERATOR_TABLE[[#This Row],[Work Type]:[Work Type]]&lt;&gt;"BH",0,
SUMIFS(AH$9:AH$24,$M$9:$M$24,PART_NUMBER_GENERATOR_TABLE[[#This Row],[Tech]:[Tech]])))</f>
        <v>0</v>
      </c>
      <c r="AI32" cm="1">
        <f t="array" ref="AI32">IF(PART_NUMBER_GENERATOR_TABLE[[#This Row],[Work Role]:[Work Role]]&lt;&gt;AI$1,0,
IF(PART_NUMBER_GENERATOR_TABLE[[#This Row],[Work Type]:[Work Type]]&lt;&gt;"BH",0,
SUMIFS(AI$9:AI$24,$M$9:$M$24,PART_NUMBER_GENERATOR_TABLE[[#This Row],[Tech]:[Tech]])))</f>
        <v>0</v>
      </c>
      <c r="AJ32" cm="1">
        <f t="array" ref="AJ32">IF(PART_NUMBER_GENERATOR_TABLE[[#This Row],[Work Role]:[Work Role]]&lt;&gt;AJ$1,0,
IF(PART_NUMBER_GENERATOR_TABLE[[#This Row],[Work Type]:[Work Type]]&lt;&gt;"BH",0,
SUMIFS(AJ$9:AJ$24,$M$9:$M$24,PART_NUMBER_GENERATOR_TABLE[[#This Row],[Tech]:[Tech]])))</f>
        <v>0</v>
      </c>
      <c r="AK32" cm="1">
        <f t="array" ref="AK32">IF(PART_NUMBER_GENERATOR_TABLE[[#This Row],[Work Role]:[Work Role]]&lt;&gt;AK$1,0,
IF(PART_NUMBER_GENERATOR_TABLE[[#This Row],[Work Type]:[Work Type]]&lt;&gt;"AH",0,
SUMIFS(AK$9:AK$24,$M$9:$M$24,PART_NUMBER_GENERATOR_TABLE[[#This Row],[Tech]:[Tech]])))</f>
        <v>0</v>
      </c>
      <c r="AL32" cm="1">
        <f t="array" ref="AL32">IF(PART_NUMBER_GENERATOR_TABLE[[#This Row],[Work Role]:[Work Role]]&lt;&gt;AL$1,0,
IF(PART_NUMBER_GENERATOR_TABLE[[#This Row],[Work Type]:[Work Type]]&lt;&gt;"BH",0,
SUMIFS(AL$9:AL$24,$M$9:$M$24,PART_NUMBER_GENERATOR_TABLE[[#This Row],[Tech]:[Tech]])))</f>
        <v>0</v>
      </c>
      <c r="AM32">
        <f>0</f>
        <v>0</v>
      </c>
      <c r="AN32" cm="1">
        <f t="array" ref="AN32">IF(PART_NUMBER_GENERATOR_TABLE[[#This Row],[Work Role]:[Work Role]]&lt;&gt;AN$1,0,
IF(PART_NUMBER_GENERATOR_TABLE[[#This Row],[Work Type]:[Work Type]]&lt;&gt;"BH",0,
SUMIFS(AN$24,$AM$24,PART_NUMBER_GENERATOR_TABLE[[#This Row],[Tech]:[Tech]])))</f>
        <v>0</v>
      </c>
      <c r="AO32" cm="1">
        <f t="array" ref="AO32">IF(PART_NUMBER_GENERATOR_TABLE[[#This Row],[Work Role]:[Work Role]]&lt;&gt;AO$1,0,
IF(PART_NUMBER_GENERATOR_TABLE[[#This Row],[Work Type]:[Work Type]]&lt;&gt;"BH",0,
SUMIFS(AO$24,$AM$24,PART_NUMBER_GENERATOR_TABLE[[#This Row],[Tech]:[Tech]])))</f>
        <v>0</v>
      </c>
      <c r="AP32" cm="1">
        <f t="array" ref="AP32">IF(PART_NUMBER_GENERATOR_TABLE[[#This Row],[Work Role]:[Work Role]]&lt;&gt;AP$1,0,
IF(PART_NUMBER_GENERATOR_TABLE[[#This Row],[Work Type]:[Work Type]]&lt;&gt;"BH",0,
SUMIFS(AP$24,$AM$24,PART_NUMBER_GENERATOR_TABLE[[#This Row],[Tech]:[Tech]])))</f>
        <v>0</v>
      </c>
      <c r="AQ32" cm="1">
        <f t="array" ref="AQ32">IF(PART_NUMBER_GENERATOR_TABLE[[#This Row],[Work Role]:[Work Role]]&lt;&gt;AQ$1,0,
IF(PART_NUMBER_GENERATOR_TABLE[[#This Row],[Work Type]:[Work Type]]&lt;&gt;"BH",0,
SUMIFS(AQ$24,$AM$24,PART_NUMBER_GENERATOR_TABLE[[#This Row],[Tech]:[Tech]])))</f>
        <v>0</v>
      </c>
      <c r="AR32" cm="1">
        <f t="array" ref="AR32">IF(PART_NUMBER_GENERATOR_TABLE[[#This Row],[Work Role]:[Work Role]]&lt;&gt;AR$1,0,
IF(PART_NUMBER_GENERATOR_TABLE[[#This Row],[Work Type]:[Work Type]]&lt;&gt;"BH",0,
SUMIFS(AR$24,$AM$24,PART_NUMBER_GENERATOR_TABLE[[#This Row],[Tech]:[Tech]])))</f>
        <v>0</v>
      </c>
      <c r="AS32" cm="1">
        <f t="array" ref="AS32">IF(PART_NUMBER_GENERATOR_TABLE[[#This Row],[Work Role]:[Work Role]]&lt;&gt;AS$1,0,
IF(PART_NUMBER_GENERATOR_TABLE[[#This Row],[Work Type]:[Work Type]]&lt;&gt;"BH",0,
SUMIFS(AS$24,$AM$24,PART_NUMBER_GENERATOR_TABLE[[#This Row],[Tech]:[Tech]])))</f>
        <v>0</v>
      </c>
      <c r="AT32" cm="1">
        <f t="array" ref="AT32">IF(PART_NUMBER_GENERATOR_TABLE[[#This Row],[Work Role]:[Work Role]]&lt;&gt;AS$1,0,
IF(PART_NUMBER_GENERATOR_TABLE[[#This Row],[Work Type]:[Work Type]]&lt;&gt;"BH",0,
SUMIFS(AT$24,$AM$24,PART_NUMBER_GENERATOR_TABLE[[#This Row],[Tech]:[Tech]])))</f>
        <v>0</v>
      </c>
      <c r="AU32">
        <f>SUM(PART_NUMBER_GENERATOR_TABLE[[#This Row],[Resource 1 BH]:[Resource 5 AH]],PART_NUMBER_GENERATOR_TABLE[[#This Row],[R1 Mandatory Tasks]:[R5 Mandatory Tasks]],PART_NUMBER_GENERATOR_TABLE[[#This Row],[R1 Remainder]:[R5 Remainder]])</f>
        <v>0</v>
      </c>
      <c r="AV32">
        <f>PART_NUMBER_GENERATOR_TABLE[[#This Row],[Professional Engineering Hours]]*PART_NUMBER_GENERATOR_TABLE[[#This Row],[Sell Rate]]</f>
        <v>0</v>
      </c>
      <c r="AW32">
        <f>PART_NUMBER_GENERATOR_TABLE[[#This Row],[Professional Engineering Hours]]*PART_NUMBER_GENERATOR_TABLE[[#This Row],[Cost Rate]]</f>
        <v>0</v>
      </c>
      <c r="AX32">
        <f>SUM(PART_NUMBER_GENERATOR_TABLE[[#This Row],[PM Trips]:[R5 Trips]])</f>
        <v>0</v>
      </c>
      <c r="AY32">
        <f>PART_NUMBER_GENERATOR_TABLE[[#This Row],[Travel &amp; Accommodation Hours]]*PART_NUMBER_GENERATOR_TABLE[[#This Row],[Sell Rate]]</f>
        <v>0</v>
      </c>
      <c r="AZ32">
        <f>PART_NUMBER_GENERATOR_TABLE[[#This Row],[Travel &amp; Accommodation Hours]]*PART_NUMBER_GENERATOR_TABLE[[#This Row],[Cost Rate]]</f>
        <v>0</v>
      </c>
      <c r="BA32">
        <f>PART_NUMBER_GENERATOR_TABLE[[#This Row],[PM Hours]]+PART_NUMBER_GENERATOR_TABLE[[#This Row],[PM Remainder]]</f>
        <v>0</v>
      </c>
      <c r="BB32">
        <f>PART_NUMBER_GENERATOR_TABLE[[#This Row],[Project Management Hours]]*PART_NUMBER_GENERATOR_TABLE[[#This Row],[Sell Rate]]</f>
        <v>0</v>
      </c>
      <c r="BC32">
        <f>PART_NUMBER_GENERATOR_TABLE[[#This Row],[Project Management Hours]]*PART_NUMBER_GENERATOR_TABLE[[#This Row],[Cost Rate]]</f>
        <v>0</v>
      </c>
      <c r="BD32">
        <f>SUM(PART_NUMBER_GENERATOR_TABLE[[#This Row],[SSE RISK BH]:[PM RISK]],PART_NUMBER_GENERATOR_TABLE[[#This Row],[SSE Remainder RISK BH]:[PM Remainder RISK]])</f>
        <v>0</v>
      </c>
      <c r="BE32">
        <f>PART_NUMBER_GENERATOR_TABLE[[#This Row],[Project Risk Service Hours]]*PART_NUMBER_GENERATOR_TABLE[[#This Row],[Sell Rate]]</f>
        <v>0</v>
      </c>
      <c r="BF32">
        <f>PART_NUMBER_GENERATOR_TABLE[[#This Row],[Project Risk Service Hours]]*PART_NUMBER_GENERATOR_TABLE[[#This Row],[Cost Rate]]</f>
        <v>0</v>
      </c>
      <c r="BG32">
        <f>PART_NUMBER_GENERATOR_TABLE[[#This Row],[SSE RISK TRAVEL]]</f>
        <v>0</v>
      </c>
      <c r="BH32">
        <f>PART_NUMBER_GENERATOR_TABLE[[#This Row],[Sell Rate]]*PART_NUMBER_GENERATOR_TABLE[[#This Row],[Project Risk Travel Hours]]</f>
        <v>0</v>
      </c>
      <c r="BI32">
        <f>PART_NUMBER_GENERATOR_TABLE[[#This Row],[Project Risk Travel Hours]]*PART_NUMBER_GENERATOR_TABLE[[#This Row],[Cost Rate]]</f>
        <v>0</v>
      </c>
      <c r="BJ3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3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32">
        <f>IFERROR(-VLOOKUP(INDEX(ENGINEER_ROLES,MATCH(PART_NUMBER_GENERATOR_TABLE[[#This Row],[Work Role]],settings.Table_Engineer.Roles[ID],0),1),Settings_Hidden!$H$359:$K$366,4,FALSE),0)</f>
        <v>0</v>
      </c>
      <c r="BM32" s="680">
        <f>-Summary!$C$66</f>
        <v>0</v>
      </c>
      <c r="BN32" s="465">
        <f>PART_NUMBER_GENERATOR_TABLE[[#This Row],[Total Base Price]]*MIN(PART_NUMBER_GENERATOR_TABLE[[#This Row],[Rate Service Discount]:[Flat Service Discount]])</f>
        <v>0</v>
      </c>
      <c r="BO32" s="451" t="str">
        <f>IF(PART_NUMBER_GENERATOR_TABLE[[#This Row],[Quantity]]&lt;&gt;0,MAX($BO$30:BO31)+1,"")</f>
        <v/>
      </c>
      <c r="BP32" t="str">
        <f>PART_NUMBER_GENERATOR_TABLE[[#This Row],[Part Number]]</f>
        <v>A-PS-P-COLLAB-SPM-BH</v>
      </c>
      <c r="BQ32">
        <f>PART_NUMBER_GENERATOR_TABLE[[#This Row],[Total Hours]]</f>
        <v>0</v>
      </c>
      <c r="BR32">
        <f>PART_NUMBER_GENERATOR_TABLE[[#This Row],[Cost Rate]]</f>
        <v>178.54009633394438</v>
      </c>
      <c r="BS32" s="465">
        <f>PART_NUMBER_GENERATOR_TABLE[[#This Row],[Sell Rate]]+(PART_NUMBER_GENERATOR_TABLE[[#This Row],[Sell Rate]]*MIN(PART_NUMBER_GENERATOR_TABLE[[#This Row],[Rate Service Discount]:[Flat Service Discount]]))</f>
        <v>259</v>
      </c>
    </row>
    <row r="33" spans="1:71">
      <c r="A33">
        <v>3</v>
      </c>
      <c r="C33" t="s">
        <v>917</v>
      </c>
      <c r="D33" t="str" cm="1">
        <f t="array" ref="D33">INDEX(Table.Settings_Skill.List[Skill Name],MATCH(INDEX(_xlfn.TEXTSPLIT(C33,"-",,TRUE),4),Table.Settings_Skill.List[Skill Code],0),1)</f>
        <v>Data Centre / Cloud</v>
      </c>
      <c r="E33" t="str" cm="1">
        <f t="array" ref="E33">INDEX(_xlfn.TEXTSPLIT(C33,"-",,TRUE),5)</f>
        <v>PM</v>
      </c>
      <c r="F33" t="str">
        <f>IFERROR(INDEX(settings.Table_Engineer.Roles[Department Code],MATCH(PART_NUMBER_GENERATOR_TABLE[[#This Row],[Work Role]],settings.Table_Engineer.Roles[ID],0),1),"PMO")</f>
        <v>PMO</v>
      </c>
      <c r="G33" t="str" cm="1">
        <f t="array" ref="G33">INDEX(_xlfn.TEXTSPLIT(C33,"-",,TRUE),6)</f>
        <v>BH</v>
      </c>
      <c r="H3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225</v>
      </c>
      <c r="I3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147.55803124436895</v>
      </c>
      <c r="J33" cm="1">
        <f t="array" ref="J33">IF(J$1&lt;&gt;PART_NUMBER_GENERATOR_TABLE[[#This Row],[Work Role]:[Work Role]],0,
IF(RIGHT(J$30,2)&lt;&gt;PART_NUMBER_GENERATOR_TABLE[[#This Row],[Work Type]:[Work Type]],0,
SUMIFS(Input_Tasks[R1 Business Hours],Input_Tasks[[Skill Required]:[Skill Required]],PART_NUMBER_GENERATOR_TABLE[[#This Row],[Tech]:[Tech]])))</f>
        <v>0</v>
      </c>
      <c r="K33" cm="1">
        <f t="array" ref="K33">IF(K$1&lt;&gt;PART_NUMBER_GENERATOR_TABLE[[#This Row],[Work Role]:[Work Role]],0,
IF(RIGHT(K$30,2)&lt;&gt;PART_NUMBER_GENERATOR_TABLE[[#This Row],[Work Type]:[Work Type]],0,
SUMIFS(Input_Tasks[R1 After Hours],Input_Tasks[[Skill Required]:[Skill Required]],PART_NUMBER_GENERATOR_TABLE[[#This Row],[Tech]:[Tech]])))</f>
        <v>0</v>
      </c>
      <c r="L33" cm="1">
        <f t="array" ref="L33">IF(L$1&lt;&gt;PART_NUMBER_GENERATOR_TABLE[[#This Row],[Work Role]:[Work Role]],0,
IF(RIGHT(L$30,2)&lt;&gt;PART_NUMBER_GENERATOR_TABLE[[#This Row],[Work Type]:[Work Type]],0,
SUMIFS(Input_Tasks[R2 Business Hours],Input_Tasks[[Skill Required]:[Skill Required]],PART_NUMBER_GENERATOR_TABLE[[#This Row],[Tech]:[Tech]])))</f>
        <v>0</v>
      </c>
      <c r="M33" cm="1">
        <f t="array" ref="M33">IF(M$1&lt;&gt;PART_NUMBER_GENERATOR_TABLE[[#This Row],[Work Role]:[Work Role]],0,
IF(RIGHT(M$30,2)&lt;&gt;PART_NUMBER_GENERATOR_TABLE[[#This Row],[Work Type]:[Work Type]],0,
SUMIFS(Input_Tasks[R2 After Hours],Input_Tasks[[Skill Required]:[Skill Required]],PART_NUMBER_GENERATOR_TABLE[[#This Row],[Tech]:[Tech]])))</f>
        <v>0</v>
      </c>
      <c r="N33" cm="1">
        <f t="array" ref="N33">IF(N$1&lt;&gt;PART_NUMBER_GENERATOR_TABLE[[#This Row],[Work Role]:[Work Role]],0,
IF(RIGHT(N$30,2)&lt;&gt;PART_NUMBER_GENERATOR_TABLE[[#This Row],[Work Type]:[Work Type]],0,
SUMIFS(Input_Tasks[R3 Business Hours],Input_Tasks[[Skill Required]:[Skill Required]],PART_NUMBER_GENERATOR_TABLE[[#This Row],[Tech]:[Tech]])))</f>
        <v>0</v>
      </c>
      <c r="O33" cm="1">
        <f t="array" ref="O33">IF(O$1&lt;&gt;PART_NUMBER_GENERATOR_TABLE[[#This Row],[Work Role]:[Work Role]],0,
IF(RIGHT(O$30,2)&lt;&gt;PART_NUMBER_GENERATOR_TABLE[[#This Row],[Work Type]:[Work Type]],0,
SUMIFS(Input_Tasks[R3 After Hours],Input_Tasks[[Skill Required]:[Skill Required]],PART_NUMBER_GENERATOR_TABLE[[#This Row],[Tech]:[Tech]])))</f>
        <v>0</v>
      </c>
      <c r="P33" cm="1">
        <f t="array" ref="P33">IF(P$1&lt;&gt;PART_NUMBER_GENERATOR_TABLE[[#This Row],[Work Role]:[Work Role]],0,
IF(RIGHT(P$30,2)&lt;&gt;PART_NUMBER_GENERATOR_TABLE[[#This Row],[Work Type]:[Work Type]],0,
SUMIFS(Input_Tasks[R4 Business Hours],Input_Tasks[[Skill Required]:[Skill Required]],PART_NUMBER_GENERATOR_TABLE[[#This Row],[Tech]:[Tech]])))</f>
        <v>0</v>
      </c>
      <c r="Q33" cm="1">
        <f t="array" ref="Q33">IF(Q$1&lt;&gt;PART_NUMBER_GENERATOR_TABLE[[#This Row],[Work Role]:[Work Role]],0,
IF(RIGHT(Q$30,2)&lt;&gt;PART_NUMBER_GENERATOR_TABLE[[#This Row],[Work Type]:[Work Type]],0,
SUMIFS(Input_Tasks[R4 After Hours],Input_Tasks[[Skill Required]:[Skill Required]],PART_NUMBER_GENERATOR_TABLE[[#This Row],[Tech]:[Tech]])))</f>
        <v>0</v>
      </c>
      <c r="R33" cm="1">
        <f t="array" ref="R33">IF(R$1&lt;&gt;PART_NUMBER_GENERATOR_TABLE[[#This Row],[Work Role]:[Work Role]],0,
IF(RIGHT(R$30,2)&lt;&gt;PART_NUMBER_GENERATOR_TABLE[[#This Row],[Work Type]:[Work Type]],0,
SUMIFS(Input_Tasks[R5 Business Hours],Input_Tasks[[Skill Required]:[Skill Required]],PART_NUMBER_GENERATOR_TABLE[[#This Row],[Tech]:[Tech]])))</f>
        <v>0</v>
      </c>
      <c r="S33" cm="1">
        <f t="array" ref="S33">IF(S$1&lt;&gt;PART_NUMBER_GENERATOR_TABLE[[#This Row],[Work Role]:[Work Role]],0,
IF(RIGHT(S$30,2)&lt;&gt;PART_NUMBER_GENERATOR_TABLE[[#This Row],[Work Type]:[Work Type]],0,
SUMIFS(Input_Tasks[R5 After Hours],Input_Tasks[[Skill Required]:[Skill Required]],PART_NUMBER_GENERATOR_TABLE[[#This Row],[Tech]:[Tech]])))</f>
        <v>0</v>
      </c>
      <c r="T33" cm="1">
        <f t="array" ref="T33">IF(PART_NUMBER_GENERATOR_TABLE[[#This Row],[Work Role]:[Work Role]]&lt;&gt;T$1,0,
IF(PART_NUMBER_GENERATOR_TABLE[[#This Row],[Work Type]:[Work Type]]&lt;&gt;"BH",0,
SUMIFS(T$9:T$24,$M$9:$M$24,PART_NUMBER_GENERATOR_TABLE[[#This Row],[Tech]:[Tech]])))</f>
        <v>0</v>
      </c>
      <c r="U33" cm="1">
        <f t="array" ref="U33">IF(PART_NUMBER_GENERATOR_TABLE[[#This Row],[Work Role]:[Work Role]]&lt;&gt;U$1,0,
IF(PART_NUMBER_GENERATOR_TABLE[[#This Row],[Work Type]:[Work Type]]&lt;&gt;"BH",0,
SUMIFS(U$9:U$24,$M$9:$M$24,PART_NUMBER_GENERATOR_TABLE[[#This Row],[Tech]:[Tech]])))</f>
        <v>0</v>
      </c>
      <c r="V33" cm="1">
        <f t="array" ref="V33">IF(PART_NUMBER_GENERATOR_TABLE[[#This Row],[Work Role]:[Work Role]]&lt;&gt;V$1,0,
IF(PART_NUMBER_GENERATOR_TABLE[[#This Row],[Work Type]:[Work Type]]&lt;&gt;"BH",0,
SUMIFS(V$9:V$24,$M$9:$M$24,PART_NUMBER_GENERATOR_TABLE[[#This Row],[Tech]:[Tech]])))</f>
        <v>0</v>
      </c>
      <c r="W33" cm="1">
        <f t="array" ref="W33">IF(PART_NUMBER_GENERATOR_TABLE[[#This Row],[Work Role]:[Work Role]]&lt;&gt;W$1,0,
IF(PART_NUMBER_GENERATOR_TABLE[[#This Row],[Work Type]:[Work Type]]&lt;&gt;"BH",0,
SUMIFS(W$9:W$24,$M$9:$M$24,PART_NUMBER_GENERATOR_TABLE[[#This Row],[Tech]:[Tech]])))</f>
        <v>0</v>
      </c>
      <c r="X33" cm="1">
        <f t="array" ref="X33">IF(PART_NUMBER_GENERATOR_TABLE[[#This Row],[Work Role]:[Work Role]]&lt;&gt;X$1,0,
IF(PART_NUMBER_GENERATOR_TABLE[[#This Row],[Work Type]:[Work Type]]&lt;&gt;"BH",0,
SUMIFS(X$9:X$24,$M$9:$M$24,PART_NUMBER_GENERATOR_TABLE[[#This Row],[Tech]:[Tech]])))</f>
        <v>0</v>
      </c>
      <c r="Y33" cm="1">
        <f t="array" ref="Y33">IF(PART_NUMBER_GENERATOR_TABLE[[#This Row],[Work Role]:[Work Role]]&lt;&gt;Y$1,0,
IF(PART_NUMBER_GENERATOR_TABLE[[#This Row],[Work Type]:[Work Type]]&lt;&gt;"BH",0,
SUMIFS(Y$9:Y$24,$M$9:$M$24,PART_NUMBER_GENERATOR_TABLE[[#This Row],[Tech]:[Tech]])))</f>
        <v>0</v>
      </c>
      <c r="Z33" cm="1">
        <f t="array" ref="Z33">IF(PART_NUMBER_GENERATOR_TABLE[[#This Row],[Work Role]:[Work Role]]&lt;&gt;Z$1,0,
IF(PART_NUMBER_GENERATOR_TABLE[[#This Row],[Work Type]:[Work Type]]&lt;&gt;"BH",0,
SUMIFS(Z$9:Z$24,$M$9:$M$24,PART_NUMBER_GENERATOR_TABLE[[#This Row],[Tech]:[Tech]])))</f>
        <v>0</v>
      </c>
      <c r="AA33" cm="1">
        <f t="array" ref="AA33">IF(PART_NUMBER_GENERATOR_TABLE[[#This Row],[Work Role]:[Work Role]]&lt;&gt;AA$1,0,
IF(PART_NUMBER_GENERATOR_TABLE[[#This Row],[Work Type]:[Work Type]]&lt;&gt;"BH",0,
SUMIFS(AA$9:AA$24,$M$9:$M$24,PART_NUMBER_GENERATOR_TABLE[[#This Row],[Tech]:[Tech]])))</f>
        <v>0</v>
      </c>
      <c r="AB33" cm="1">
        <f t="array" ref="AB33">IF(PART_NUMBER_GENERATOR_TABLE[[#This Row],[Work Role]:[Work Role]]&lt;&gt;AB$1,0,
IF(PART_NUMBER_GENERATOR_TABLE[[#This Row],[Work Type]:[Work Type]]&lt;&gt;"BH",0,
SUMIFS(AB$9:AB$24,$M$9:$M$24,PART_NUMBER_GENERATOR_TABLE[[#This Row],[Tech]:[Tech]])))</f>
        <v>0</v>
      </c>
      <c r="AC33" cm="1">
        <f t="array" ref="AC33">IF(PART_NUMBER_GENERATOR_TABLE[[#This Row],[Work Role]:[Work Role]]&lt;&gt;AC$1,0,
IF(PART_NUMBER_GENERATOR_TABLE[[#This Row],[Work Type]:[Work Type]]&lt;&gt;"BH",0,
SUMIFS(AC$9:AC$24,$M$9:$M$24,PART_NUMBER_GENERATOR_TABLE[[#This Row],[Tech]:[Tech]])))</f>
        <v>0</v>
      </c>
      <c r="AD33" cm="1">
        <f t="array" ref="AD33">IF(PART_NUMBER_GENERATOR_TABLE[[#This Row],[Work Role]:[Work Role]]&lt;&gt;AD$1,0,
IF(PART_NUMBER_GENERATOR_TABLE[[#This Row],[Work Type]:[Work Type]]&lt;&gt;"BH",0,
SUMIFS(AD$9:AD$24,$M$9:$M$24,PART_NUMBER_GENERATOR_TABLE[[#This Row],[Tech]:[Tech]])))</f>
        <v>0</v>
      </c>
      <c r="AE33" cm="1">
        <f t="array" ref="AE33">IF(PART_NUMBER_GENERATOR_TABLE[[#This Row],[Work Role]:[Work Role]]&lt;&gt;AE$1,0,
IF(PART_NUMBER_GENERATOR_TABLE[[#This Row],[Work Type]:[Work Type]]&lt;&gt;"BH",0,
SUMIFS(AE$9:AE$24,$M$9:$M$24,PART_NUMBER_GENERATOR_TABLE[[#This Row],[Tech]:[Tech]])))</f>
        <v>0</v>
      </c>
      <c r="AF33" cm="1">
        <f t="array" ref="AF33">IF(PART_NUMBER_GENERATOR_TABLE[[#This Row],[Work Role]:[Work Role]]&lt;&gt;AF$1,0,
IF(PART_NUMBER_GENERATOR_TABLE[[#This Row],[Work Type]:[Work Type]]&lt;&gt;"BH",0,
SUMIFS(AF$9:AF$24,$M$9:$M$24,PART_NUMBER_GENERATOR_TABLE[[#This Row],[Tech]:[Tech]])))</f>
        <v>0</v>
      </c>
      <c r="AG33" cm="1">
        <f t="array" ref="AG33">IF(PART_NUMBER_GENERATOR_TABLE[[#This Row],[Work Role]:[Work Role]]&lt;&gt;AG$1,0,
IF(PART_NUMBER_GENERATOR_TABLE[[#This Row],[Work Type]:[Work Type]]&lt;&gt;"AH",0,
SUMIFS(AG$9:AG$24,$M$9:$M$24,PART_NUMBER_GENERATOR_TABLE[[#This Row],[Tech]:[Tech]])))</f>
        <v>0</v>
      </c>
      <c r="AH33" cm="1">
        <f t="array" ref="AH33">IF(PART_NUMBER_GENERATOR_TABLE[[#This Row],[Work Role]:[Work Role]]&lt;&gt;AH$1,0,
IF(PART_NUMBER_GENERATOR_TABLE[[#This Row],[Work Type]:[Work Type]]&lt;&gt;"BH",0,
SUMIFS(AH$9:AH$24,$M$9:$M$24,PART_NUMBER_GENERATOR_TABLE[[#This Row],[Tech]:[Tech]])))</f>
        <v>0</v>
      </c>
      <c r="AI33" cm="1">
        <f t="array" ref="AI33">IF(PART_NUMBER_GENERATOR_TABLE[[#This Row],[Work Role]:[Work Role]]&lt;&gt;AI$1,0,
IF(PART_NUMBER_GENERATOR_TABLE[[#This Row],[Work Type]:[Work Type]]&lt;&gt;"BH",0,
SUMIFS(AI$9:AI$24,$M$9:$M$24,PART_NUMBER_GENERATOR_TABLE[[#This Row],[Tech]:[Tech]])))</f>
        <v>0</v>
      </c>
      <c r="AJ33" cm="1">
        <f t="array" ref="AJ33">IF(PART_NUMBER_GENERATOR_TABLE[[#This Row],[Work Role]:[Work Role]]&lt;&gt;AJ$1,0,
IF(PART_NUMBER_GENERATOR_TABLE[[#This Row],[Work Type]:[Work Type]]&lt;&gt;"BH",0,
SUMIFS(AJ$9:AJ$24,$M$9:$M$24,PART_NUMBER_GENERATOR_TABLE[[#This Row],[Tech]:[Tech]])))</f>
        <v>0</v>
      </c>
      <c r="AK33" cm="1">
        <f t="array" ref="AK33">IF(PART_NUMBER_GENERATOR_TABLE[[#This Row],[Work Role]:[Work Role]]&lt;&gt;AK$1,0,
IF(PART_NUMBER_GENERATOR_TABLE[[#This Row],[Work Type]:[Work Type]]&lt;&gt;"AH",0,
SUMIFS(AK$9:AK$24,$M$9:$M$24,PART_NUMBER_GENERATOR_TABLE[[#This Row],[Tech]:[Tech]])))</f>
        <v>0</v>
      </c>
      <c r="AL33" cm="1">
        <f t="array" ref="AL33">IF(PART_NUMBER_GENERATOR_TABLE[[#This Row],[Work Role]:[Work Role]]&lt;&gt;AL$1,0,
IF(PART_NUMBER_GENERATOR_TABLE[[#This Row],[Work Type]:[Work Type]]&lt;&gt;"BH",0,
SUMIFS(AL$9:AL$24,$M$9:$M$24,PART_NUMBER_GENERATOR_TABLE[[#This Row],[Tech]:[Tech]])))</f>
        <v>0</v>
      </c>
      <c r="AM33">
        <f>0</f>
        <v>0</v>
      </c>
      <c r="AN33" cm="1">
        <f t="array" ref="AN33">IF(PART_NUMBER_GENERATOR_TABLE[[#This Row],[Work Role]:[Work Role]]&lt;&gt;AN$1,0,
IF(PART_NUMBER_GENERATOR_TABLE[[#This Row],[Work Type]:[Work Type]]&lt;&gt;"BH",0,
SUMIFS(AN$24,$AM$24,PART_NUMBER_GENERATOR_TABLE[[#This Row],[Tech]:[Tech]])))</f>
        <v>0</v>
      </c>
      <c r="AO33" cm="1">
        <f t="array" ref="AO33">IF(PART_NUMBER_GENERATOR_TABLE[[#This Row],[Work Role]:[Work Role]]&lt;&gt;AO$1,0,
IF(PART_NUMBER_GENERATOR_TABLE[[#This Row],[Work Type]:[Work Type]]&lt;&gt;"BH",0,
SUMIFS(AO$24,$AM$24,PART_NUMBER_GENERATOR_TABLE[[#This Row],[Tech]:[Tech]])))</f>
        <v>0</v>
      </c>
      <c r="AP33" cm="1">
        <f t="array" ref="AP33">IF(PART_NUMBER_GENERATOR_TABLE[[#This Row],[Work Role]:[Work Role]]&lt;&gt;AP$1,0,
IF(PART_NUMBER_GENERATOR_TABLE[[#This Row],[Work Type]:[Work Type]]&lt;&gt;"BH",0,
SUMIFS(AP$24,$AM$24,PART_NUMBER_GENERATOR_TABLE[[#This Row],[Tech]:[Tech]])))</f>
        <v>0</v>
      </c>
      <c r="AQ33" cm="1">
        <f t="array" ref="AQ33">IF(PART_NUMBER_GENERATOR_TABLE[[#This Row],[Work Role]:[Work Role]]&lt;&gt;AQ$1,0,
IF(PART_NUMBER_GENERATOR_TABLE[[#This Row],[Work Type]:[Work Type]]&lt;&gt;"BH",0,
SUMIFS(AQ$24,$AM$24,PART_NUMBER_GENERATOR_TABLE[[#This Row],[Tech]:[Tech]])))</f>
        <v>0</v>
      </c>
      <c r="AR33" cm="1">
        <f t="array" ref="AR33">IF(PART_NUMBER_GENERATOR_TABLE[[#This Row],[Work Role]:[Work Role]]&lt;&gt;AR$1,0,
IF(PART_NUMBER_GENERATOR_TABLE[[#This Row],[Work Type]:[Work Type]]&lt;&gt;"BH",0,
SUMIFS(AR$24,$AM$24,PART_NUMBER_GENERATOR_TABLE[[#This Row],[Tech]:[Tech]])))</f>
        <v>0</v>
      </c>
      <c r="AS33" cm="1">
        <f t="array" ref="AS33">IF(PART_NUMBER_GENERATOR_TABLE[[#This Row],[Work Role]:[Work Role]]&lt;&gt;AS$1,0,
IF(PART_NUMBER_GENERATOR_TABLE[[#This Row],[Work Type]:[Work Type]]&lt;&gt;"BH",0,
SUMIFS(AS$24,$AM$24,PART_NUMBER_GENERATOR_TABLE[[#This Row],[Tech]:[Tech]])))</f>
        <v>0</v>
      </c>
      <c r="AT33" cm="1">
        <f t="array" ref="AT33">IF(PART_NUMBER_GENERATOR_TABLE[[#This Row],[Work Role]:[Work Role]]&lt;&gt;AS$1,0,
IF(PART_NUMBER_GENERATOR_TABLE[[#This Row],[Work Type]:[Work Type]]&lt;&gt;"BH",0,
SUMIFS(AT$24,$AM$24,PART_NUMBER_GENERATOR_TABLE[[#This Row],[Tech]:[Tech]])))</f>
        <v>0</v>
      </c>
      <c r="AU33">
        <f>SUM(PART_NUMBER_GENERATOR_TABLE[[#This Row],[Resource 1 BH]:[Resource 5 AH]],PART_NUMBER_GENERATOR_TABLE[[#This Row],[R1 Mandatory Tasks]:[R5 Mandatory Tasks]],PART_NUMBER_GENERATOR_TABLE[[#This Row],[R1 Remainder]:[R5 Remainder]])</f>
        <v>0</v>
      </c>
      <c r="AV33">
        <f>PART_NUMBER_GENERATOR_TABLE[[#This Row],[Professional Engineering Hours]]*PART_NUMBER_GENERATOR_TABLE[[#This Row],[Sell Rate]]</f>
        <v>0</v>
      </c>
      <c r="AW33">
        <f>PART_NUMBER_GENERATOR_TABLE[[#This Row],[Professional Engineering Hours]]*PART_NUMBER_GENERATOR_TABLE[[#This Row],[Cost Rate]]</f>
        <v>0</v>
      </c>
      <c r="AX33">
        <f>SUM(PART_NUMBER_GENERATOR_TABLE[[#This Row],[PM Trips]:[R5 Trips]])</f>
        <v>0</v>
      </c>
      <c r="AY33">
        <f>PART_NUMBER_GENERATOR_TABLE[[#This Row],[Travel &amp; Accommodation Hours]]*PART_NUMBER_GENERATOR_TABLE[[#This Row],[Sell Rate]]</f>
        <v>0</v>
      </c>
      <c r="AZ33">
        <f>PART_NUMBER_GENERATOR_TABLE[[#This Row],[Travel &amp; Accommodation Hours]]*PART_NUMBER_GENERATOR_TABLE[[#This Row],[Cost Rate]]</f>
        <v>0</v>
      </c>
      <c r="BA33">
        <f>PART_NUMBER_GENERATOR_TABLE[[#This Row],[PM Hours]]+PART_NUMBER_GENERATOR_TABLE[[#This Row],[PM Remainder]]</f>
        <v>0</v>
      </c>
      <c r="BB33">
        <f>PART_NUMBER_GENERATOR_TABLE[[#This Row],[Project Management Hours]]*PART_NUMBER_GENERATOR_TABLE[[#This Row],[Sell Rate]]</f>
        <v>0</v>
      </c>
      <c r="BC33">
        <f>PART_NUMBER_GENERATOR_TABLE[[#This Row],[Project Management Hours]]*PART_NUMBER_GENERATOR_TABLE[[#This Row],[Cost Rate]]</f>
        <v>0</v>
      </c>
      <c r="BD33">
        <f>SUM(PART_NUMBER_GENERATOR_TABLE[[#This Row],[SSE RISK BH]:[PM RISK]],PART_NUMBER_GENERATOR_TABLE[[#This Row],[SSE Remainder RISK BH]:[PM Remainder RISK]])</f>
        <v>0</v>
      </c>
      <c r="BE33">
        <f>PART_NUMBER_GENERATOR_TABLE[[#This Row],[Project Risk Service Hours]]*PART_NUMBER_GENERATOR_TABLE[[#This Row],[Sell Rate]]</f>
        <v>0</v>
      </c>
      <c r="BF33">
        <f>PART_NUMBER_GENERATOR_TABLE[[#This Row],[Project Risk Service Hours]]*PART_NUMBER_GENERATOR_TABLE[[#This Row],[Cost Rate]]</f>
        <v>0</v>
      </c>
      <c r="BG33">
        <f>PART_NUMBER_GENERATOR_TABLE[[#This Row],[SSE RISK TRAVEL]]</f>
        <v>0</v>
      </c>
      <c r="BH33">
        <f>PART_NUMBER_GENERATOR_TABLE[[#This Row],[Sell Rate]]*PART_NUMBER_GENERATOR_TABLE[[#This Row],[Project Risk Travel Hours]]</f>
        <v>0</v>
      </c>
      <c r="BI33">
        <f>PART_NUMBER_GENERATOR_TABLE[[#This Row],[Project Risk Travel Hours]]*PART_NUMBER_GENERATOR_TABLE[[#This Row],[Cost Rate]]</f>
        <v>0</v>
      </c>
      <c r="BJ3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3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33">
        <f>IFERROR(-VLOOKUP(INDEX(ENGINEER_ROLES,MATCH(PART_NUMBER_GENERATOR_TABLE[[#This Row],[Work Role]],settings.Table_Engineer.Roles[ID],0),1),Settings_Hidden!$H$359:$K$366,4,FALSE),0)</f>
        <v>0</v>
      </c>
      <c r="BM33" s="680">
        <f>-Summary!$C$66</f>
        <v>0</v>
      </c>
      <c r="BN33" s="465">
        <f>PART_NUMBER_GENERATOR_TABLE[[#This Row],[Total Base Price]]*MIN(PART_NUMBER_GENERATOR_TABLE[[#This Row],[Rate Service Discount]:[Flat Service Discount]])</f>
        <v>0</v>
      </c>
      <c r="BO33" s="451" t="str">
        <f>IF(PART_NUMBER_GENERATOR_TABLE[[#This Row],[Quantity]]&lt;&gt;0,MAX($BO$30:BO32)+1,"")</f>
        <v/>
      </c>
      <c r="BP33" t="str">
        <f>PART_NUMBER_GENERATOR_TABLE[[#This Row],[Part Number]]</f>
        <v>A-PS-P-DATACC-PM-BH</v>
      </c>
      <c r="BQ33">
        <f>PART_NUMBER_GENERATOR_TABLE[[#This Row],[Total Hours]]</f>
        <v>0</v>
      </c>
      <c r="BR33">
        <f>PART_NUMBER_GENERATOR_TABLE[[#This Row],[Cost Rate]]</f>
        <v>147.55803124436895</v>
      </c>
      <c r="BS33" s="465">
        <f>PART_NUMBER_GENERATOR_TABLE[[#This Row],[Sell Rate]]+(PART_NUMBER_GENERATOR_TABLE[[#This Row],[Sell Rate]]*MIN(PART_NUMBER_GENERATOR_TABLE[[#This Row],[Rate Service Discount]:[Flat Service Discount]]))</f>
        <v>225</v>
      </c>
    </row>
    <row r="34" spans="1:71">
      <c r="A34">
        <v>4</v>
      </c>
      <c r="C34" t="s">
        <v>925</v>
      </c>
      <c r="D34" t="str" cm="1">
        <f t="array" ref="D34">INDEX(Table.Settings_Skill.List[Skill Name],MATCH(INDEX(_xlfn.TEXTSPLIT(C34,"-",,TRUE),4),Table.Settings_Skill.List[Skill Code],0),1)</f>
        <v>Data Centre / Cloud</v>
      </c>
      <c r="E34" t="str" cm="1">
        <f t="array" ref="E34">INDEX(_xlfn.TEXTSPLIT(C34,"-",,TRUE),5)</f>
        <v>SPM</v>
      </c>
      <c r="F34" t="str">
        <f>IFERROR(INDEX(settings.Table_Engineer.Roles[Department Code],MATCH(PART_NUMBER_GENERATOR_TABLE[[#This Row],[Work Role]],settings.Table_Engineer.Roles[ID],0),1),"PMO")</f>
        <v>PMO</v>
      </c>
      <c r="G34" t="str" cm="1">
        <f t="array" ref="G34">INDEX(_xlfn.TEXTSPLIT(C34,"-",,TRUE),6)</f>
        <v>BH</v>
      </c>
      <c r="H3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259</v>
      </c>
      <c r="I3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178.54009633394438</v>
      </c>
      <c r="J34" cm="1">
        <f t="array" ref="J34">IF(J$1&lt;&gt;PART_NUMBER_GENERATOR_TABLE[[#This Row],[Work Role]:[Work Role]],0,
IF(RIGHT(J$30,2)&lt;&gt;PART_NUMBER_GENERATOR_TABLE[[#This Row],[Work Type]:[Work Type]],0,
SUMIFS(Input_Tasks[R1 Business Hours],Input_Tasks[[Skill Required]:[Skill Required]],PART_NUMBER_GENERATOR_TABLE[[#This Row],[Tech]:[Tech]])))</f>
        <v>0</v>
      </c>
      <c r="K34" cm="1">
        <f t="array" ref="K34">IF(K$1&lt;&gt;PART_NUMBER_GENERATOR_TABLE[[#This Row],[Work Role]:[Work Role]],0,
IF(RIGHT(K$30,2)&lt;&gt;PART_NUMBER_GENERATOR_TABLE[[#This Row],[Work Type]:[Work Type]],0,
SUMIFS(Input_Tasks[R1 After Hours],Input_Tasks[[Skill Required]:[Skill Required]],PART_NUMBER_GENERATOR_TABLE[[#This Row],[Tech]:[Tech]])))</f>
        <v>0</v>
      </c>
      <c r="L34" cm="1">
        <f t="array" ref="L34">IF(L$1&lt;&gt;PART_NUMBER_GENERATOR_TABLE[[#This Row],[Work Role]:[Work Role]],0,
IF(RIGHT(L$30,2)&lt;&gt;PART_NUMBER_GENERATOR_TABLE[[#This Row],[Work Type]:[Work Type]],0,
SUMIFS(Input_Tasks[R2 Business Hours],Input_Tasks[[Skill Required]:[Skill Required]],PART_NUMBER_GENERATOR_TABLE[[#This Row],[Tech]:[Tech]])))</f>
        <v>0</v>
      </c>
      <c r="M34" cm="1">
        <f t="array" ref="M34">IF(M$1&lt;&gt;PART_NUMBER_GENERATOR_TABLE[[#This Row],[Work Role]:[Work Role]],0,
IF(RIGHT(M$30,2)&lt;&gt;PART_NUMBER_GENERATOR_TABLE[[#This Row],[Work Type]:[Work Type]],0,
SUMIFS(Input_Tasks[R2 After Hours],Input_Tasks[[Skill Required]:[Skill Required]],PART_NUMBER_GENERATOR_TABLE[[#This Row],[Tech]:[Tech]])))</f>
        <v>0</v>
      </c>
      <c r="N34" cm="1">
        <f t="array" ref="N34">IF(N$1&lt;&gt;PART_NUMBER_GENERATOR_TABLE[[#This Row],[Work Role]:[Work Role]],0,
IF(RIGHT(N$30,2)&lt;&gt;PART_NUMBER_GENERATOR_TABLE[[#This Row],[Work Type]:[Work Type]],0,
SUMIFS(Input_Tasks[R3 Business Hours],Input_Tasks[[Skill Required]:[Skill Required]],PART_NUMBER_GENERATOR_TABLE[[#This Row],[Tech]:[Tech]])))</f>
        <v>0</v>
      </c>
      <c r="O34" cm="1">
        <f t="array" ref="O34">IF(O$1&lt;&gt;PART_NUMBER_GENERATOR_TABLE[[#This Row],[Work Role]:[Work Role]],0,
IF(RIGHT(O$30,2)&lt;&gt;PART_NUMBER_GENERATOR_TABLE[[#This Row],[Work Type]:[Work Type]],0,
SUMIFS(Input_Tasks[R3 After Hours],Input_Tasks[[Skill Required]:[Skill Required]],PART_NUMBER_GENERATOR_TABLE[[#This Row],[Tech]:[Tech]])))</f>
        <v>0</v>
      </c>
      <c r="P34" cm="1">
        <f t="array" ref="P34">IF(P$1&lt;&gt;PART_NUMBER_GENERATOR_TABLE[[#This Row],[Work Role]:[Work Role]],0,
IF(RIGHT(P$30,2)&lt;&gt;PART_NUMBER_GENERATOR_TABLE[[#This Row],[Work Type]:[Work Type]],0,
SUMIFS(Input_Tasks[R4 Business Hours],Input_Tasks[[Skill Required]:[Skill Required]],PART_NUMBER_GENERATOR_TABLE[[#This Row],[Tech]:[Tech]])))</f>
        <v>0</v>
      </c>
      <c r="Q34" cm="1">
        <f t="array" ref="Q34">IF(Q$1&lt;&gt;PART_NUMBER_GENERATOR_TABLE[[#This Row],[Work Role]:[Work Role]],0,
IF(RIGHT(Q$30,2)&lt;&gt;PART_NUMBER_GENERATOR_TABLE[[#This Row],[Work Type]:[Work Type]],0,
SUMIFS(Input_Tasks[R4 After Hours],Input_Tasks[[Skill Required]:[Skill Required]],PART_NUMBER_GENERATOR_TABLE[[#This Row],[Tech]:[Tech]])))</f>
        <v>0</v>
      </c>
      <c r="R34" cm="1">
        <f t="array" ref="R34">IF(R$1&lt;&gt;PART_NUMBER_GENERATOR_TABLE[[#This Row],[Work Role]:[Work Role]],0,
IF(RIGHT(R$30,2)&lt;&gt;PART_NUMBER_GENERATOR_TABLE[[#This Row],[Work Type]:[Work Type]],0,
SUMIFS(Input_Tasks[R5 Business Hours],Input_Tasks[[Skill Required]:[Skill Required]],PART_NUMBER_GENERATOR_TABLE[[#This Row],[Tech]:[Tech]])))</f>
        <v>0</v>
      </c>
      <c r="S34" cm="1">
        <f t="array" ref="S34">IF(S$1&lt;&gt;PART_NUMBER_GENERATOR_TABLE[[#This Row],[Work Role]:[Work Role]],0,
IF(RIGHT(S$30,2)&lt;&gt;PART_NUMBER_GENERATOR_TABLE[[#This Row],[Work Type]:[Work Type]],0,
SUMIFS(Input_Tasks[R5 After Hours],Input_Tasks[[Skill Required]:[Skill Required]],PART_NUMBER_GENERATOR_TABLE[[#This Row],[Tech]:[Tech]])))</f>
        <v>0</v>
      </c>
      <c r="T34" cm="1">
        <f t="array" ref="T34">IF(PART_NUMBER_GENERATOR_TABLE[[#This Row],[Work Role]:[Work Role]]&lt;&gt;T$1,0,
IF(PART_NUMBER_GENERATOR_TABLE[[#This Row],[Work Type]:[Work Type]]&lt;&gt;"BH",0,
SUMIFS(T$9:T$24,$M$9:$M$24,PART_NUMBER_GENERATOR_TABLE[[#This Row],[Tech]:[Tech]])))</f>
        <v>0</v>
      </c>
      <c r="U34" cm="1">
        <f t="array" ref="U34">IF(PART_NUMBER_GENERATOR_TABLE[[#This Row],[Work Role]:[Work Role]]&lt;&gt;U$1,0,
IF(PART_NUMBER_GENERATOR_TABLE[[#This Row],[Work Type]:[Work Type]]&lt;&gt;"BH",0,
SUMIFS(U$9:U$24,$M$9:$M$24,PART_NUMBER_GENERATOR_TABLE[[#This Row],[Tech]:[Tech]])))</f>
        <v>0</v>
      </c>
      <c r="V34" cm="1">
        <f t="array" ref="V34">IF(PART_NUMBER_GENERATOR_TABLE[[#This Row],[Work Role]:[Work Role]]&lt;&gt;V$1,0,
IF(PART_NUMBER_GENERATOR_TABLE[[#This Row],[Work Type]:[Work Type]]&lt;&gt;"BH",0,
SUMIFS(V$9:V$24,$M$9:$M$24,PART_NUMBER_GENERATOR_TABLE[[#This Row],[Tech]:[Tech]])))</f>
        <v>0</v>
      </c>
      <c r="W34" cm="1">
        <f t="array" ref="W34">IF(PART_NUMBER_GENERATOR_TABLE[[#This Row],[Work Role]:[Work Role]]&lt;&gt;W$1,0,
IF(PART_NUMBER_GENERATOR_TABLE[[#This Row],[Work Type]:[Work Type]]&lt;&gt;"BH",0,
SUMIFS(W$9:W$24,$M$9:$M$24,PART_NUMBER_GENERATOR_TABLE[[#This Row],[Tech]:[Tech]])))</f>
        <v>0</v>
      </c>
      <c r="X34" cm="1">
        <f t="array" ref="X34">IF(PART_NUMBER_GENERATOR_TABLE[[#This Row],[Work Role]:[Work Role]]&lt;&gt;X$1,0,
IF(PART_NUMBER_GENERATOR_TABLE[[#This Row],[Work Type]:[Work Type]]&lt;&gt;"BH",0,
SUMIFS(X$9:X$24,$M$9:$M$24,PART_NUMBER_GENERATOR_TABLE[[#This Row],[Tech]:[Tech]])))</f>
        <v>0</v>
      </c>
      <c r="Y34" cm="1">
        <f t="array" ref="Y34">IF(PART_NUMBER_GENERATOR_TABLE[[#This Row],[Work Role]:[Work Role]]&lt;&gt;Y$1,0,
IF(PART_NUMBER_GENERATOR_TABLE[[#This Row],[Work Type]:[Work Type]]&lt;&gt;"BH",0,
SUMIFS(Y$9:Y$24,$M$9:$M$24,PART_NUMBER_GENERATOR_TABLE[[#This Row],[Tech]:[Tech]])))</f>
        <v>0</v>
      </c>
      <c r="Z34" cm="1">
        <f t="array" ref="Z34">IF(PART_NUMBER_GENERATOR_TABLE[[#This Row],[Work Role]:[Work Role]]&lt;&gt;Z$1,0,
IF(PART_NUMBER_GENERATOR_TABLE[[#This Row],[Work Type]:[Work Type]]&lt;&gt;"BH",0,
SUMIFS(Z$9:Z$24,$M$9:$M$24,PART_NUMBER_GENERATOR_TABLE[[#This Row],[Tech]:[Tech]])))</f>
        <v>0</v>
      </c>
      <c r="AA34" cm="1">
        <f t="array" ref="AA34">IF(PART_NUMBER_GENERATOR_TABLE[[#This Row],[Work Role]:[Work Role]]&lt;&gt;AA$1,0,
IF(PART_NUMBER_GENERATOR_TABLE[[#This Row],[Work Type]:[Work Type]]&lt;&gt;"BH",0,
SUMIFS(AA$9:AA$24,$M$9:$M$24,PART_NUMBER_GENERATOR_TABLE[[#This Row],[Tech]:[Tech]])))</f>
        <v>0</v>
      </c>
      <c r="AB34" cm="1">
        <f t="array" ref="AB34">IF(PART_NUMBER_GENERATOR_TABLE[[#This Row],[Work Role]:[Work Role]]&lt;&gt;AB$1,0,
IF(PART_NUMBER_GENERATOR_TABLE[[#This Row],[Work Type]:[Work Type]]&lt;&gt;"BH",0,
SUMIFS(AB$9:AB$24,$M$9:$M$24,PART_NUMBER_GENERATOR_TABLE[[#This Row],[Tech]:[Tech]])))</f>
        <v>0</v>
      </c>
      <c r="AC34" cm="1">
        <f t="array" ref="AC34">IF(PART_NUMBER_GENERATOR_TABLE[[#This Row],[Work Role]:[Work Role]]&lt;&gt;AC$1,0,
IF(PART_NUMBER_GENERATOR_TABLE[[#This Row],[Work Type]:[Work Type]]&lt;&gt;"BH",0,
SUMIFS(AC$9:AC$24,$M$9:$M$24,PART_NUMBER_GENERATOR_TABLE[[#This Row],[Tech]:[Tech]])))</f>
        <v>0</v>
      </c>
      <c r="AD34" cm="1">
        <f t="array" ref="AD34">IF(PART_NUMBER_GENERATOR_TABLE[[#This Row],[Work Role]:[Work Role]]&lt;&gt;AD$1,0,
IF(PART_NUMBER_GENERATOR_TABLE[[#This Row],[Work Type]:[Work Type]]&lt;&gt;"BH",0,
SUMIFS(AD$9:AD$24,$M$9:$M$24,PART_NUMBER_GENERATOR_TABLE[[#This Row],[Tech]:[Tech]])))</f>
        <v>0</v>
      </c>
      <c r="AE34" cm="1">
        <f t="array" ref="AE34">IF(PART_NUMBER_GENERATOR_TABLE[[#This Row],[Work Role]:[Work Role]]&lt;&gt;AE$1,0,
IF(PART_NUMBER_GENERATOR_TABLE[[#This Row],[Work Type]:[Work Type]]&lt;&gt;"BH",0,
SUMIFS(AE$9:AE$24,$M$9:$M$24,PART_NUMBER_GENERATOR_TABLE[[#This Row],[Tech]:[Tech]])))</f>
        <v>0</v>
      </c>
      <c r="AF34" cm="1">
        <f t="array" ref="AF34">IF(PART_NUMBER_GENERATOR_TABLE[[#This Row],[Work Role]:[Work Role]]&lt;&gt;AF$1,0,
IF(PART_NUMBER_GENERATOR_TABLE[[#This Row],[Work Type]:[Work Type]]&lt;&gt;"BH",0,
SUMIFS(AF$9:AF$24,$M$9:$M$24,PART_NUMBER_GENERATOR_TABLE[[#This Row],[Tech]:[Tech]])))</f>
        <v>0</v>
      </c>
      <c r="AG34" cm="1">
        <f t="array" ref="AG34">IF(PART_NUMBER_GENERATOR_TABLE[[#This Row],[Work Role]:[Work Role]]&lt;&gt;AG$1,0,
IF(PART_NUMBER_GENERATOR_TABLE[[#This Row],[Work Type]:[Work Type]]&lt;&gt;"AH",0,
SUMIFS(AG$9:AG$24,$M$9:$M$24,PART_NUMBER_GENERATOR_TABLE[[#This Row],[Tech]:[Tech]])))</f>
        <v>0</v>
      </c>
      <c r="AH34" cm="1">
        <f t="array" ref="AH34">IF(PART_NUMBER_GENERATOR_TABLE[[#This Row],[Work Role]:[Work Role]]&lt;&gt;AH$1,0,
IF(PART_NUMBER_GENERATOR_TABLE[[#This Row],[Work Type]:[Work Type]]&lt;&gt;"BH",0,
SUMIFS(AH$9:AH$24,$M$9:$M$24,PART_NUMBER_GENERATOR_TABLE[[#This Row],[Tech]:[Tech]])))</f>
        <v>0</v>
      </c>
      <c r="AI34" cm="1">
        <f t="array" ref="AI34">IF(PART_NUMBER_GENERATOR_TABLE[[#This Row],[Work Role]:[Work Role]]&lt;&gt;AI$1,0,
IF(PART_NUMBER_GENERATOR_TABLE[[#This Row],[Work Type]:[Work Type]]&lt;&gt;"BH",0,
SUMIFS(AI$9:AI$24,$M$9:$M$24,PART_NUMBER_GENERATOR_TABLE[[#This Row],[Tech]:[Tech]])))</f>
        <v>0</v>
      </c>
      <c r="AJ34" cm="1">
        <f t="array" ref="AJ34">IF(PART_NUMBER_GENERATOR_TABLE[[#This Row],[Work Role]:[Work Role]]&lt;&gt;AJ$1,0,
IF(PART_NUMBER_GENERATOR_TABLE[[#This Row],[Work Type]:[Work Type]]&lt;&gt;"BH",0,
SUMIFS(AJ$9:AJ$24,$M$9:$M$24,PART_NUMBER_GENERATOR_TABLE[[#This Row],[Tech]:[Tech]])))</f>
        <v>0</v>
      </c>
      <c r="AK34" cm="1">
        <f t="array" ref="AK34">IF(PART_NUMBER_GENERATOR_TABLE[[#This Row],[Work Role]:[Work Role]]&lt;&gt;AK$1,0,
IF(PART_NUMBER_GENERATOR_TABLE[[#This Row],[Work Type]:[Work Type]]&lt;&gt;"AH",0,
SUMIFS(AK$9:AK$24,$M$9:$M$24,PART_NUMBER_GENERATOR_TABLE[[#This Row],[Tech]:[Tech]])))</f>
        <v>0</v>
      </c>
      <c r="AL34" cm="1">
        <f t="array" ref="AL34">IF(PART_NUMBER_GENERATOR_TABLE[[#This Row],[Work Role]:[Work Role]]&lt;&gt;AL$1,0,
IF(PART_NUMBER_GENERATOR_TABLE[[#This Row],[Work Type]:[Work Type]]&lt;&gt;"BH",0,
SUMIFS(AL$9:AL$24,$M$9:$M$24,PART_NUMBER_GENERATOR_TABLE[[#This Row],[Tech]:[Tech]])))</f>
        <v>0</v>
      </c>
      <c r="AM34">
        <f>0</f>
        <v>0</v>
      </c>
      <c r="AN34" cm="1">
        <f t="array" ref="AN34">IF(PART_NUMBER_GENERATOR_TABLE[[#This Row],[Work Role]:[Work Role]]&lt;&gt;AN$1,0,
IF(PART_NUMBER_GENERATOR_TABLE[[#This Row],[Work Type]:[Work Type]]&lt;&gt;"BH",0,
SUMIFS(AN$24,$AM$24,PART_NUMBER_GENERATOR_TABLE[[#This Row],[Tech]:[Tech]])))</f>
        <v>0</v>
      </c>
      <c r="AO34" cm="1">
        <f t="array" ref="AO34">IF(PART_NUMBER_GENERATOR_TABLE[[#This Row],[Work Role]:[Work Role]]&lt;&gt;AO$1,0,
IF(PART_NUMBER_GENERATOR_TABLE[[#This Row],[Work Type]:[Work Type]]&lt;&gt;"BH",0,
SUMIFS(AO$24,$AM$24,PART_NUMBER_GENERATOR_TABLE[[#This Row],[Tech]:[Tech]])))</f>
        <v>0</v>
      </c>
      <c r="AP34" cm="1">
        <f t="array" ref="AP34">IF(PART_NUMBER_GENERATOR_TABLE[[#This Row],[Work Role]:[Work Role]]&lt;&gt;AP$1,0,
IF(PART_NUMBER_GENERATOR_TABLE[[#This Row],[Work Type]:[Work Type]]&lt;&gt;"BH",0,
SUMIFS(AP$24,$AM$24,PART_NUMBER_GENERATOR_TABLE[[#This Row],[Tech]:[Tech]])))</f>
        <v>0</v>
      </c>
      <c r="AQ34" cm="1">
        <f t="array" ref="AQ34">IF(PART_NUMBER_GENERATOR_TABLE[[#This Row],[Work Role]:[Work Role]]&lt;&gt;AQ$1,0,
IF(PART_NUMBER_GENERATOR_TABLE[[#This Row],[Work Type]:[Work Type]]&lt;&gt;"BH",0,
SUMIFS(AQ$24,$AM$24,PART_NUMBER_GENERATOR_TABLE[[#This Row],[Tech]:[Tech]])))</f>
        <v>0</v>
      </c>
      <c r="AR34" cm="1">
        <f t="array" ref="AR34">IF(PART_NUMBER_GENERATOR_TABLE[[#This Row],[Work Role]:[Work Role]]&lt;&gt;AR$1,0,
IF(PART_NUMBER_GENERATOR_TABLE[[#This Row],[Work Type]:[Work Type]]&lt;&gt;"BH",0,
SUMIFS(AR$24,$AM$24,PART_NUMBER_GENERATOR_TABLE[[#This Row],[Tech]:[Tech]])))</f>
        <v>0</v>
      </c>
      <c r="AS34" cm="1">
        <f t="array" ref="AS34">IF(PART_NUMBER_GENERATOR_TABLE[[#This Row],[Work Role]:[Work Role]]&lt;&gt;AS$1,0,
IF(PART_NUMBER_GENERATOR_TABLE[[#This Row],[Work Type]:[Work Type]]&lt;&gt;"BH",0,
SUMIFS(AS$24,$AM$24,PART_NUMBER_GENERATOR_TABLE[[#This Row],[Tech]:[Tech]])))</f>
        <v>0</v>
      </c>
      <c r="AT34" cm="1">
        <f t="array" ref="AT34">IF(PART_NUMBER_GENERATOR_TABLE[[#This Row],[Work Role]:[Work Role]]&lt;&gt;AS$1,0,
IF(PART_NUMBER_GENERATOR_TABLE[[#This Row],[Work Type]:[Work Type]]&lt;&gt;"BH",0,
SUMIFS(AT$24,$AM$24,PART_NUMBER_GENERATOR_TABLE[[#This Row],[Tech]:[Tech]])))</f>
        <v>0</v>
      </c>
      <c r="AU34">
        <f>SUM(PART_NUMBER_GENERATOR_TABLE[[#This Row],[Resource 1 BH]:[Resource 5 AH]],PART_NUMBER_GENERATOR_TABLE[[#This Row],[R1 Mandatory Tasks]:[R5 Mandatory Tasks]],PART_NUMBER_GENERATOR_TABLE[[#This Row],[R1 Remainder]:[R5 Remainder]])</f>
        <v>0</v>
      </c>
      <c r="AV34">
        <f>PART_NUMBER_GENERATOR_TABLE[[#This Row],[Professional Engineering Hours]]*PART_NUMBER_GENERATOR_TABLE[[#This Row],[Sell Rate]]</f>
        <v>0</v>
      </c>
      <c r="AW34">
        <f>PART_NUMBER_GENERATOR_TABLE[[#This Row],[Professional Engineering Hours]]*PART_NUMBER_GENERATOR_TABLE[[#This Row],[Cost Rate]]</f>
        <v>0</v>
      </c>
      <c r="AX34">
        <f>SUM(PART_NUMBER_GENERATOR_TABLE[[#This Row],[PM Trips]:[R5 Trips]])</f>
        <v>0</v>
      </c>
      <c r="AY34">
        <f>PART_NUMBER_GENERATOR_TABLE[[#This Row],[Travel &amp; Accommodation Hours]]*PART_NUMBER_GENERATOR_TABLE[[#This Row],[Sell Rate]]</f>
        <v>0</v>
      </c>
      <c r="AZ34">
        <f>PART_NUMBER_GENERATOR_TABLE[[#This Row],[Travel &amp; Accommodation Hours]]*PART_NUMBER_GENERATOR_TABLE[[#This Row],[Cost Rate]]</f>
        <v>0</v>
      </c>
      <c r="BA34">
        <f>PART_NUMBER_GENERATOR_TABLE[[#This Row],[PM Hours]]+PART_NUMBER_GENERATOR_TABLE[[#This Row],[PM Remainder]]</f>
        <v>0</v>
      </c>
      <c r="BB34">
        <f>PART_NUMBER_GENERATOR_TABLE[[#This Row],[Project Management Hours]]*PART_NUMBER_GENERATOR_TABLE[[#This Row],[Sell Rate]]</f>
        <v>0</v>
      </c>
      <c r="BC34">
        <f>PART_NUMBER_GENERATOR_TABLE[[#This Row],[Project Management Hours]]*PART_NUMBER_GENERATOR_TABLE[[#This Row],[Cost Rate]]</f>
        <v>0</v>
      </c>
      <c r="BD34">
        <f>SUM(PART_NUMBER_GENERATOR_TABLE[[#This Row],[SSE RISK BH]:[PM RISK]],PART_NUMBER_GENERATOR_TABLE[[#This Row],[SSE Remainder RISK BH]:[PM Remainder RISK]])</f>
        <v>0</v>
      </c>
      <c r="BE34">
        <f>PART_NUMBER_GENERATOR_TABLE[[#This Row],[Project Risk Service Hours]]*PART_NUMBER_GENERATOR_TABLE[[#This Row],[Sell Rate]]</f>
        <v>0</v>
      </c>
      <c r="BF34">
        <f>PART_NUMBER_GENERATOR_TABLE[[#This Row],[Project Risk Service Hours]]*PART_NUMBER_GENERATOR_TABLE[[#This Row],[Cost Rate]]</f>
        <v>0</v>
      </c>
      <c r="BG34">
        <f>PART_NUMBER_GENERATOR_TABLE[[#This Row],[SSE RISK TRAVEL]]</f>
        <v>0</v>
      </c>
      <c r="BH34">
        <f>PART_NUMBER_GENERATOR_TABLE[[#This Row],[Sell Rate]]*PART_NUMBER_GENERATOR_TABLE[[#This Row],[Project Risk Travel Hours]]</f>
        <v>0</v>
      </c>
      <c r="BI34">
        <f>PART_NUMBER_GENERATOR_TABLE[[#This Row],[Project Risk Travel Hours]]*PART_NUMBER_GENERATOR_TABLE[[#This Row],[Cost Rate]]</f>
        <v>0</v>
      </c>
      <c r="BJ3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3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34">
        <f>IFERROR(-VLOOKUP(INDEX(ENGINEER_ROLES,MATCH(PART_NUMBER_GENERATOR_TABLE[[#This Row],[Work Role]],settings.Table_Engineer.Roles[ID],0),1),Settings_Hidden!$H$359:$K$366,4,FALSE),0)</f>
        <v>0</v>
      </c>
      <c r="BM34" s="680">
        <f>-Summary!$C$66</f>
        <v>0</v>
      </c>
      <c r="BN34" s="465">
        <f>PART_NUMBER_GENERATOR_TABLE[[#This Row],[Total Base Price]]*MIN(PART_NUMBER_GENERATOR_TABLE[[#This Row],[Rate Service Discount]:[Flat Service Discount]])</f>
        <v>0</v>
      </c>
      <c r="BO34" s="451" t="str">
        <f>IF(PART_NUMBER_GENERATOR_TABLE[[#This Row],[Quantity]]&lt;&gt;0,MAX($BO$30:BO33)+1,"")</f>
        <v/>
      </c>
      <c r="BP34" t="str">
        <f>PART_NUMBER_GENERATOR_TABLE[[#This Row],[Part Number]]</f>
        <v>A-PS-P-DATACC-SPM-BH</v>
      </c>
      <c r="BQ34">
        <f>PART_NUMBER_GENERATOR_TABLE[[#This Row],[Total Hours]]</f>
        <v>0</v>
      </c>
      <c r="BR34">
        <f>PART_NUMBER_GENERATOR_TABLE[[#This Row],[Cost Rate]]</f>
        <v>178.54009633394438</v>
      </c>
      <c r="BS34" s="465">
        <f>PART_NUMBER_GENERATOR_TABLE[[#This Row],[Sell Rate]]+(PART_NUMBER_GENERATOR_TABLE[[#This Row],[Sell Rate]]*MIN(PART_NUMBER_GENERATOR_TABLE[[#This Row],[Rate Service Discount]:[Flat Service Discount]]))</f>
        <v>259</v>
      </c>
    </row>
    <row r="35" spans="1:71">
      <c r="A35">
        <v>5</v>
      </c>
      <c r="C35" t="s">
        <v>943</v>
      </c>
      <c r="D35" t="str" cm="1">
        <f t="array" ref="D35">INDEX(Table.Settings_Skill.List[Skill Name],MATCH(INDEX(_xlfn.TEXTSPLIT(C35,"-",,TRUE),4),Table.Settings_Skill.List[Skill Code],0),1)</f>
        <v>Integrated Health</v>
      </c>
      <c r="E35" t="str" cm="1">
        <f t="array" ref="E35">INDEX(_xlfn.TEXTSPLIT(C35,"-",,TRUE),5)</f>
        <v>PM</v>
      </c>
      <c r="F35" t="str">
        <f>IFERROR(INDEX(settings.Table_Engineer.Roles[Department Code],MATCH(PART_NUMBER_GENERATOR_TABLE[[#This Row],[Work Role]],settings.Table_Engineer.Roles[ID],0),1),"PMO")</f>
        <v>PMO</v>
      </c>
      <c r="G35" t="str" cm="1">
        <f t="array" ref="G35">INDEX(_xlfn.TEXTSPLIT(C35,"-",,TRUE),6)</f>
        <v>BH</v>
      </c>
      <c r="H3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225</v>
      </c>
      <c r="I3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147.55803124436895</v>
      </c>
      <c r="J35" cm="1">
        <f t="array" ref="J35">IF(J$1&lt;&gt;PART_NUMBER_GENERATOR_TABLE[[#This Row],[Work Role]:[Work Role]],0,
IF(RIGHT(J$30,2)&lt;&gt;PART_NUMBER_GENERATOR_TABLE[[#This Row],[Work Type]:[Work Type]],0,
SUMIFS(Input_Tasks[R1 Business Hours],Input_Tasks[[Skill Required]:[Skill Required]],PART_NUMBER_GENERATOR_TABLE[[#This Row],[Tech]:[Tech]])))</f>
        <v>0</v>
      </c>
      <c r="K35" cm="1">
        <f t="array" ref="K35">IF(K$1&lt;&gt;PART_NUMBER_GENERATOR_TABLE[[#This Row],[Work Role]:[Work Role]],0,
IF(RIGHT(K$30,2)&lt;&gt;PART_NUMBER_GENERATOR_TABLE[[#This Row],[Work Type]:[Work Type]],0,
SUMIFS(Input_Tasks[R1 After Hours],Input_Tasks[[Skill Required]:[Skill Required]],PART_NUMBER_GENERATOR_TABLE[[#This Row],[Tech]:[Tech]])))</f>
        <v>0</v>
      </c>
      <c r="L35" cm="1">
        <f t="array" ref="L35">IF(L$1&lt;&gt;PART_NUMBER_GENERATOR_TABLE[[#This Row],[Work Role]:[Work Role]],0,
IF(RIGHT(L$30,2)&lt;&gt;PART_NUMBER_GENERATOR_TABLE[[#This Row],[Work Type]:[Work Type]],0,
SUMIFS(Input_Tasks[R2 Business Hours],Input_Tasks[[Skill Required]:[Skill Required]],PART_NUMBER_GENERATOR_TABLE[[#This Row],[Tech]:[Tech]])))</f>
        <v>0</v>
      </c>
      <c r="M35" cm="1">
        <f t="array" ref="M35">IF(M$1&lt;&gt;PART_NUMBER_GENERATOR_TABLE[[#This Row],[Work Role]:[Work Role]],0,
IF(RIGHT(M$30,2)&lt;&gt;PART_NUMBER_GENERATOR_TABLE[[#This Row],[Work Type]:[Work Type]],0,
SUMIFS(Input_Tasks[R2 After Hours],Input_Tasks[[Skill Required]:[Skill Required]],PART_NUMBER_GENERATOR_TABLE[[#This Row],[Tech]:[Tech]])))</f>
        <v>0</v>
      </c>
      <c r="N35" cm="1">
        <f t="array" ref="N35">IF(N$1&lt;&gt;PART_NUMBER_GENERATOR_TABLE[[#This Row],[Work Role]:[Work Role]],0,
IF(RIGHT(N$30,2)&lt;&gt;PART_NUMBER_GENERATOR_TABLE[[#This Row],[Work Type]:[Work Type]],0,
SUMIFS(Input_Tasks[R3 Business Hours],Input_Tasks[[Skill Required]:[Skill Required]],PART_NUMBER_GENERATOR_TABLE[[#This Row],[Tech]:[Tech]])))</f>
        <v>0</v>
      </c>
      <c r="O35" cm="1">
        <f t="array" ref="O35">IF(O$1&lt;&gt;PART_NUMBER_GENERATOR_TABLE[[#This Row],[Work Role]:[Work Role]],0,
IF(RIGHT(O$30,2)&lt;&gt;PART_NUMBER_GENERATOR_TABLE[[#This Row],[Work Type]:[Work Type]],0,
SUMIFS(Input_Tasks[R3 After Hours],Input_Tasks[[Skill Required]:[Skill Required]],PART_NUMBER_GENERATOR_TABLE[[#This Row],[Tech]:[Tech]])))</f>
        <v>0</v>
      </c>
      <c r="P35" cm="1">
        <f t="array" ref="P35">IF(P$1&lt;&gt;PART_NUMBER_GENERATOR_TABLE[[#This Row],[Work Role]:[Work Role]],0,
IF(RIGHT(P$30,2)&lt;&gt;PART_NUMBER_GENERATOR_TABLE[[#This Row],[Work Type]:[Work Type]],0,
SUMIFS(Input_Tasks[R4 Business Hours],Input_Tasks[[Skill Required]:[Skill Required]],PART_NUMBER_GENERATOR_TABLE[[#This Row],[Tech]:[Tech]])))</f>
        <v>0</v>
      </c>
      <c r="Q35" cm="1">
        <f t="array" ref="Q35">IF(Q$1&lt;&gt;PART_NUMBER_GENERATOR_TABLE[[#This Row],[Work Role]:[Work Role]],0,
IF(RIGHT(Q$30,2)&lt;&gt;PART_NUMBER_GENERATOR_TABLE[[#This Row],[Work Type]:[Work Type]],0,
SUMIFS(Input_Tasks[R4 After Hours],Input_Tasks[[Skill Required]:[Skill Required]],PART_NUMBER_GENERATOR_TABLE[[#This Row],[Tech]:[Tech]])))</f>
        <v>0</v>
      </c>
      <c r="R35" cm="1">
        <f t="array" ref="R35">IF(R$1&lt;&gt;PART_NUMBER_GENERATOR_TABLE[[#This Row],[Work Role]:[Work Role]],0,
IF(RIGHT(R$30,2)&lt;&gt;PART_NUMBER_GENERATOR_TABLE[[#This Row],[Work Type]:[Work Type]],0,
SUMIFS(Input_Tasks[R5 Business Hours],Input_Tasks[[Skill Required]:[Skill Required]],PART_NUMBER_GENERATOR_TABLE[[#This Row],[Tech]:[Tech]])))</f>
        <v>0</v>
      </c>
      <c r="S35" cm="1">
        <f t="array" ref="S35">IF(S$1&lt;&gt;PART_NUMBER_GENERATOR_TABLE[[#This Row],[Work Role]:[Work Role]],0,
IF(RIGHT(S$30,2)&lt;&gt;PART_NUMBER_GENERATOR_TABLE[[#This Row],[Work Type]:[Work Type]],0,
SUMIFS(Input_Tasks[R5 After Hours],Input_Tasks[[Skill Required]:[Skill Required]],PART_NUMBER_GENERATOR_TABLE[[#This Row],[Tech]:[Tech]])))</f>
        <v>0</v>
      </c>
      <c r="T35" cm="1">
        <f t="array" ref="T35">IF(PART_NUMBER_GENERATOR_TABLE[[#This Row],[Work Role]:[Work Role]]&lt;&gt;T$1,0,
IF(PART_NUMBER_GENERATOR_TABLE[[#This Row],[Work Type]:[Work Type]]&lt;&gt;"BH",0,
SUMIFS(T$9:T$24,$M$9:$M$24,PART_NUMBER_GENERATOR_TABLE[[#This Row],[Tech]:[Tech]])))</f>
        <v>0</v>
      </c>
      <c r="U35" cm="1">
        <f t="array" ref="U35">IF(PART_NUMBER_GENERATOR_TABLE[[#This Row],[Work Role]:[Work Role]]&lt;&gt;U$1,0,
IF(PART_NUMBER_GENERATOR_TABLE[[#This Row],[Work Type]:[Work Type]]&lt;&gt;"BH",0,
SUMIFS(U$9:U$24,$M$9:$M$24,PART_NUMBER_GENERATOR_TABLE[[#This Row],[Tech]:[Tech]])))</f>
        <v>0</v>
      </c>
      <c r="V35" cm="1">
        <f t="array" ref="V35">IF(PART_NUMBER_GENERATOR_TABLE[[#This Row],[Work Role]:[Work Role]]&lt;&gt;V$1,0,
IF(PART_NUMBER_GENERATOR_TABLE[[#This Row],[Work Type]:[Work Type]]&lt;&gt;"BH",0,
SUMIFS(V$9:V$24,$M$9:$M$24,PART_NUMBER_GENERATOR_TABLE[[#This Row],[Tech]:[Tech]])))</f>
        <v>0</v>
      </c>
      <c r="W35" cm="1">
        <f t="array" ref="W35">IF(PART_NUMBER_GENERATOR_TABLE[[#This Row],[Work Role]:[Work Role]]&lt;&gt;W$1,0,
IF(PART_NUMBER_GENERATOR_TABLE[[#This Row],[Work Type]:[Work Type]]&lt;&gt;"BH",0,
SUMIFS(W$9:W$24,$M$9:$M$24,PART_NUMBER_GENERATOR_TABLE[[#This Row],[Tech]:[Tech]])))</f>
        <v>0</v>
      </c>
      <c r="X35" cm="1">
        <f t="array" ref="X35">IF(PART_NUMBER_GENERATOR_TABLE[[#This Row],[Work Role]:[Work Role]]&lt;&gt;X$1,0,
IF(PART_NUMBER_GENERATOR_TABLE[[#This Row],[Work Type]:[Work Type]]&lt;&gt;"BH",0,
SUMIFS(X$9:X$24,$M$9:$M$24,PART_NUMBER_GENERATOR_TABLE[[#This Row],[Tech]:[Tech]])))</f>
        <v>0</v>
      </c>
      <c r="Y35" cm="1">
        <f t="array" ref="Y35">IF(PART_NUMBER_GENERATOR_TABLE[[#This Row],[Work Role]:[Work Role]]&lt;&gt;Y$1,0,
IF(PART_NUMBER_GENERATOR_TABLE[[#This Row],[Work Type]:[Work Type]]&lt;&gt;"BH",0,
SUMIFS(Y$9:Y$24,$M$9:$M$24,PART_NUMBER_GENERATOR_TABLE[[#This Row],[Tech]:[Tech]])))</f>
        <v>0</v>
      </c>
      <c r="Z35" cm="1">
        <f t="array" ref="Z35">IF(PART_NUMBER_GENERATOR_TABLE[[#This Row],[Work Role]:[Work Role]]&lt;&gt;Z$1,0,
IF(PART_NUMBER_GENERATOR_TABLE[[#This Row],[Work Type]:[Work Type]]&lt;&gt;"BH",0,
SUMIFS(Z$9:Z$24,$M$9:$M$24,PART_NUMBER_GENERATOR_TABLE[[#This Row],[Tech]:[Tech]])))</f>
        <v>0</v>
      </c>
      <c r="AA35" cm="1">
        <f t="array" ref="AA35">IF(PART_NUMBER_GENERATOR_TABLE[[#This Row],[Work Role]:[Work Role]]&lt;&gt;AA$1,0,
IF(PART_NUMBER_GENERATOR_TABLE[[#This Row],[Work Type]:[Work Type]]&lt;&gt;"BH",0,
SUMIFS(AA$9:AA$24,$M$9:$M$24,PART_NUMBER_GENERATOR_TABLE[[#This Row],[Tech]:[Tech]])))</f>
        <v>0</v>
      </c>
      <c r="AB35" cm="1">
        <f t="array" ref="AB35">IF(PART_NUMBER_GENERATOR_TABLE[[#This Row],[Work Role]:[Work Role]]&lt;&gt;AB$1,0,
IF(PART_NUMBER_GENERATOR_TABLE[[#This Row],[Work Type]:[Work Type]]&lt;&gt;"BH",0,
SUMIFS(AB$9:AB$24,$M$9:$M$24,PART_NUMBER_GENERATOR_TABLE[[#This Row],[Tech]:[Tech]])))</f>
        <v>0</v>
      </c>
      <c r="AC35" cm="1">
        <f t="array" ref="AC35">IF(PART_NUMBER_GENERATOR_TABLE[[#This Row],[Work Role]:[Work Role]]&lt;&gt;AC$1,0,
IF(PART_NUMBER_GENERATOR_TABLE[[#This Row],[Work Type]:[Work Type]]&lt;&gt;"BH",0,
SUMIFS(AC$9:AC$24,$M$9:$M$24,PART_NUMBER_GENERATOR_TABLE[[#This Row],[Tech]:[Tech]])))</f>
        <v>0</v>
      </c>
      <c r="AD35" cm="1">
        <f t="array" ref="AD35">IF(PART_NUMBER_GENERATOR_TABLE[[#This Row],[Work Role]:[Work Role]]&lt;&gt;AD$1,0,
IF(PART_NUMBER_GENERATOR_TABLE[[#This Row],[Work Type]:[Work Type]]&lt;&gt;"BH",0,
SUMIFS(AD$9:AD$24,$M$9:$M$24,PART_NUMBER_GENERATOR_TABLE[[#This Row],[Tech]:[Tech]])))</f>
        <v>0</v>
      </c>
      <c r="AE35" cm="1">
        <f t="array" ref="AE35">IF(PART_NUMBER_GENERATOR_TABLE[[#This Row],[Work Role]:[Work Role]]&lt;&gt;AE$1,0,
IF(PART_NUMBER_GENERATOR_TABLE[[#This Row],[Work Type]:[Work Type]]&lt;&gt;"BH",0,
SUMIFS(AE$9:AE$24,$M$9:$M$24,PART_NUMBER_GENERATOR_TABLE[[#This Row],[Tech]:[Tech]])))</f>
        <v>0</v>
      </c>
      <c r="AF35" cm="1">
        <f t="array" ref="AF35">IF(PART_NUMBER_GENERATOR_TABLE[[#This Row],[Work Role]:[Work Role]]&lt;&gt;AF$1,0,
IF(PART_NUMBER_GENERATOR_TABLE[[#This Row],[Work Type]:[Work Type]]&lt;&gt;"BH",0,
SUMIFS(AF$9:AF$24,$M$9:$M$24,PART_NUMBER_GENERATOR_TABLE[[#This Row],[Tech]:[Tech]])))</f>
        <v>0</v>
      </c>
      <c r="AG35" cm="1">
        <f t="array" ref="AG35">IF(PART_NUMBER_GENERATOR_TABLE[[#This Row],[Work Role]:[Work Role]]&lt;&gt;AG$1,0,
IF(PART_NUMBER_GENERATOR_TABLE[[#This Row],[Work Type]:[Work Type]]&lt;&gt;"AH",0,
SUMIFS(AG$9:AG$24,$M$9:$M$24,PART_NUMBER_GENERATOR_TABLE[[#This Row],[Tech]:[Tech]])))</f>
        <v>0</v>
      </c>
      <c r="AH35" cm="1">
        <f t="array" ref="AH35">IF(PART_NUMBER_GENERATOR_TABLE[[#This Row],[Work Role]:[Work Role]]&lt;&gt;AH$1,0,
IF(PART_NUMBER_GENERATOR_TABLE[[#This Row],[Work Type]:[Work Type]]&lt;&gt;"BH",0,
SUMIFS(AH$9:AH$24,$M$9:$M$24,PART_NUMBER_GENERATOR_TABLE[[#This Row],[Tech]:[Tech]])))</f>
        <v>0</v>
      </c>
      <c r="AI35" cm="1">
        <f t="array" ref="AI35">IF(PART_NUMBER_GENERATOR_TABLE[[#This Row],[Work Role]:[Work Role]]&lt;&gt;AI$1,0,
IF(PART_NUMBER_GENERATOR_TABLE[[#This Row],[Work Type]:[Work Type]]&lt;&gt;"BH",0,
SUMIFS(AI$9:AI$24,$M$9:$M$24,PART_NUMBER_GENERATOR_TABLE[[#This Row],[Tech]:[Tech]])))</f>
        <v>0</v>
      </c>
      <c r="AJ35" cm="1">
        <f t="array" ref="AJ35">IF(PART_NUMBER_GENERATOR_TABLE[[#This Row],[Work Role]:[Work Role]]&lt;&gt;AJ$1,0,
IF(PART_NUMBER_GENERATOR_TABLE[[#This Row],[Work Type]:[Work Type]]&lt;&gt;"BH",0,
SUMIFS(AJ$9:AJ$24,$M$9:$M$24,PART_NUMBER_GENERATOR_TABLE[[#This Row],[Tech]:[Tech]])))</f>
        <v>0</v>
      </c>
      <c r="AK35" cm="1">
        <f t="array" ref="AK35">IF(PART_NUMBER_GENERATOR_TABLE[[#This Row],[Work Role]:[Work Role]]&lt;&gt;AK$1,0,
IF(PART_NUMBER_GENERATOR_TABLE[[#This Row],[Work Type]:[Work Type]]&lt;&gt;"AH",0,
SUMIFS(AK$9:AK$24,$M$9:$M$24,PART_NUMBER_GENERATOR_TABLE[[#This Row],[Tech]:[Tech]])))</f>
        <v>0</v>
      </c>
      <c r="AL35" cm="1">
        <f t="array" ref="AL35">IF(PART_NUMBER_GENERATOR_TABLE[[#This Row],[Work Role]:[Work Role]]&lt;&gt;AL$1,0,
IF(PART_NUMBER_GENERATOR_TABLE[[#This Row],[Work Type]:[Work Type]]&lt;&gt;"BH",0,
SUMIFS(AL$9:AL$24,$M$9:$M$24,PART_NUMBER_GENERATOR_TABLE[[#This Row],[Tech]:[Tech]])))</f>
        <v>0</v>
      </c>
      <c r="AM35">
        <f>0</f>
        <v>0</v>
      </c>
      <c r="AN35" cm="1">
        <f t="array" ref="AN35">IF(PART_NUMBER_GENERATOR_TABLE[[#This Row],[Work Role]:[Work Role]]&lt;&gt;AN$1,0,
IF(PART_NUMBER_GENERATOR_TABLE[[#This Row],[Work Type]:[Work Type]]&lt;&gt;"BH",0,
SUMIFS(AN$24,$AM$24,PART_NUMBER_GENERATOR_TABLE[[#This Row],[Tech]:[Tech]])))</f>
        <v>0</v>
      </c>
      <c r="AO35" cm="1">
        <f t="array" ref="AO35">IF(PART_NUMBER_GENERATOR_TABLE[[#This Row],[Work Role]:[Work Role]]&lt;&gt;AO$1,0,
IF(PART_NUMBER_GENERATOR_TABLE[[#This Row],[Work Type]:[Work Type]]&lt;&gt;"BH",0,
SUMIFS(AO$24,$AM$24,PART_NUMBER_GENERATOR_TABLE[[#This Row],[Tech]:[Tech]])))</f>
        <v>0</v>
      </c>
      <c r="AP35" cm="1">
        <f t="array" ref="AP35">IF(PART_NUMBER_GENERATOR_TABLE[[#This Row],[Work Role]:[Work Role]]&lt;&gt;AP$1,0,
IF(PART_NUMBER_GENERATOR_TABLE[[#This Row],[Work Type]:[Work Type]]&lt;&gt;"BH",0,
SUMIFS(AP$24,$AM$24,PART_NUMBER_GENERATOR_TABLE[[#This Row],[Tech]:[Tech]])))</f>
        <v>0</v>
      </c>
      <c r="AQ35" cm="1">
        <f t="array" ref="AQ35">IF(PART_NUMBER_GENERATOR_TABLE[[#This Row],[Work Role]:[Work Role]]&lt;&gt;AQ$1,0,
IF(PART_NUMBER_GENERATOR_TABLE[[#This Row],[Work Type]:[Work Type]]&lt;&gt;"BH",0,
SUMIFS(AQ$24,$AM$24,PART_NUMBER_GENERATOR_TABLE[[#This Row],[Tech]:[Tech]])))</f>
        <v>0</v>
      </c>
      <c r="AR35" cm="1">
        <f t="array" ref="AR35">IF(PART_NUMBER_GENERATOR_TABLE[[#This Row],[Work Role]:[Work Role]]&lt;&gt;AR$1,0,
IF(PART_NUMBER_GENERATOR_TABLE[[#This Row],[Work Type]:[Work Type]]&lt;&gt;"BH",0,
SUMIFS(AR$24,$AM$24,PART_NUMBER_GENERATOR_TABLE[[#This Row],[Tech]:[Tech]])))</f>
        <v>0</v>
      </c>
      <c r="AS35" cm="1">
        <f t="array" ref="AS35">IF(PART_NUMBER_GENERATOR_TABLE[[#This Row],[Work Role]:[Work Role]]&lt;&gt;AS$1,0,
IF(PART_NUMBER_GENERATOR_TABLE[[#This Row],[Work Type]:[Work Type]]&lt;&gt;"BH",0,
SUMIFS(AS$24,$AM$24,PART_NUMBER_GENERATOR_TABLE[[#This Row],[Tech]:[Tech]])))</f>
        <v>0</v>
      </c>
      <c r="AT35" cm="1">
        <f t="array" ref="AT35">IF(PART_NUMBER_GENERATOR_TABLE[[#This Row],[Work Role]:[Work Role]]&lt;&gt;AS$1,0,
IF(PART_NUMBER_GENERATOR_TABLE[[#This Row],[Work Type]:[Work Type]]&lt;&gt;"BH",0,
SUMIFS(AT$24,$AM$24,PART_NUMBER_GENERATOR_TABLE[[#This Row],[Tech]:[Tech]])))</f>
        <v>0</v>
      </c>
      <c r="AU35">
        <f>SUM(PART_NUMBER_GENERATOR_TABLE[[#This Row],[Resource 1 BH]:[Resource 5 AH]],PART_NUMBER_GENERATOR_TABLE[[#This Row],[R1 Mandatory Tasks]:[R5 Mandatory Tasks]],PART_NUMBER_GENERATOR_TABLE[[#This Row],[R1 Remainder]:[R5 Remainder]])</f>
        <v>0</v>
      </c>
      <c r="AV35">
        <f>PART_NUMBER_GENERATOR_TABLE[[#This Row],[Professional Engineering Hours]]*PART_NUMBER_GENERATOR_TABLE[[#This Row],[Sell Rate]]</f>
        <v>0</v>
      </c>
      <c r="AW35">
        <f>PART_NUMBER_GENERATOR_TABLE[[#This Row],[Professional Engineering Hours]]*PART_NUMBER_GENERATOR_TABLE[[#This Row],[Cost Rate]]</f>
        <v>0</v>
      </c>
      <c r="AX35">
        <f>SUM(PART_NUMBER_GENERATOR_TABLE[[#This Row],[PM Trips]:[R5 Trips]])</f>
        <v>0</v>
      </c>
      <c r="AY35">
        <f>PART_NUMBER_GENERATOR_TABLE[[#This Row],[Travel &amp; Accommodation Hours]]*PART_NUMBER_GENERATOR_TABLE[[#This Row],[Sell Rate]]</f>
        <v>0</v>
      </c>
      <c r="AZ35">
        <f>PART_NUMBER_GENERATOR_TABLE[[#This Row],[Travel &amp; Accommodation Hours]]*PART_NUMBER_GENERATOR_TABLE[[#This Row],[Cost Rate]]</f>
        <v>0</v>
      </c>
      <c r="BA35">
        <f>PART_NUMBER_GENERATOR_TABLE[[#This Row],[PM Hours]]+PART_NUMBER_GENERATOR_TABLE[[#This Row],[PM Remainder]]</f>
        <v>0</v>
      </c>
      <c r="BB35">
        <f>PART_NUMBER_GENERATOR_TABLE[[#This Row],[Project Management Hours]]*PART_NUMBER_GENERATOR_TABLE[[#This Row],[Sell Rate]]</f>
        <v>0</v>
      </c>
      <c r="BC35">
        <f>PART_NUMBER_GENERATOR_TABLE[[#This Row],[Project Management Hours]]*PART_NUMBER_GENERATOR_TABLE[[#This Row],[Cost Rate]]</f>
        <v>0</v>
      </c>
      <c r="BD35">
        <f>SUM(PART_NUMBER_GENERATOR_TABLE[[#This Row],[SSE RISK BH]:[PM RISK]],PART_NUMBER_GENERATOR_TABLE[[#This Row],[SSE Remainder RISK BH]:[PM Remainder RISK]])</f>
        <v>0</v>
      </c>
      <c r="BE35">
        <f>PART_NUMBER_GENERATOR_TABLE[[#This Row],[Project Risk Service Hours]]*PART_NUMBER_GENERATOR_TABLE[[#This Row],[Sell Rate]]</f>
        <v>0</v>
      </c>
      <c r="BF35">
        <f>PART_NUMBER_GENERATOR_TABLE[[#This Row],[Project Risk Service Hours]]*PART_NUMBER_GENERATOR_TABLE[[#This Row],[Cost Rate]]</f>
        <v>0</v>
      </c>
      <c r="BG35">
        <f>PART_NUMBER_GENERATOR_TABLE[[#This Row],[SSE RISK TRAVEL]]</f>
        <v>0</v>
      </c>
      <c r="BH35">
        <f>PART_NUMBER_GENERATOR_TABLE[[#This Row],[Sell Rate]]*PART_NUMBER_GENERATOR_TABLE[[#This Row],[Project Risk Travel Hours]]</f>
        <v>0</v>
      </c>
      <c r="BI35">
        <f>PART_NUMBER_GENERATOR_TABLE[[#This Row],[Project Risk Travel Hours]]*PART_NUMBER_GENERATOR_TABLE[[#This Row],[Cost Rate]]</f>
        <v>0</v>
      </c>
      <c r="BJ3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3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35">
        <f>IFERROR(-VLOOKUP(INDEX(ENGINEER_ROLES,MATCH(PART_NUMBER_GENERATOR_TABLE[[#This Row],[Work Role]],settings.Table_Engineer.Roles[ID],0),1),Settings_Hidden!$H$359:$K$366,4,FALSE),0)</f>
        <v>0</v>
      </c>
      <c r="BM35" s="680">
        <f>-Summary!$C$66</f>
        <v>0</v>
      </c>
      <c r="BN35" s="465">
        <f>PART_NUMBER_GENERATOR_TABLE[[#This Row],[Total Base Price]]*MIN(PART_NUMBER_GENERATOR_TABLE[[#This Row],[Rate Service Discount]:[Flat Service Discount]])</f>
        <v>0</v>
      </c>
      <c r="BO35" s="451" t="str">
        <f>IF(PART_NUMBER_GENERATOR_TABLE[[#This Row],[Quantity]]&lt;&gt;0,MAX($BO$30:BO34)+1,"")</f>
        <v/>
      </c>
      <c r="BP35" t="str">
        <f>PART_NUMBER_GENERATOR_TABLE[[#This Row],[Part Number]]</f>
        <v>A-PS-P-INTHLT-PM-BH</v>
      </c>
      <c r="BQ35">
        <f>PART_NUMBER_GENERATOR_TABLE[[#This Row],[Total Hours]]</f>
        <v>0</v>
      </c>
      <c r="BR35">
        <f>PART_NUMBER_GENERATOR_TABLE[[#This Row],[Cost Rate]]</f>
        <v>147.55803124436895</v>
      </c>
      <c r="BS35" s="465">
        <f>PART_NUMBER_GENERATOR_TABLE[[#This Row],[Sell Rate]]+(PART_NUMBER_GENERATOR_TABLE[[#This Row],[Sell Rate]]*MIN(PART_NUMBER_GENERATOR_TABLE[[#This Row],[Rate Service Discount]:[Flat Service Discount]]))</f>
        <v>225</v>
      </c>
    </row>
    <row r="36" spans="1:71">
      <c r="A36">
        <v>6</v>
      </c>
      <c r="C36" t="s">
        <v>951</v>
      </c>
      <c r="D36" t="str" cm="1">
        <f t="array" ref="D36">INDEX(Table.Settings_Skill.List[Skill Name],MATCH(INDEX(_xlfn.TEXTSPLIT(C36,"-",,TRUE),4),Table.Settings_Skill.List[Skill Code],0),1)</f>
        <v>Integrated Health</v>
      </c>
      <c r="E36" t="str" cm="1">
        <f t="array" ref="E36">INDEX(_xlfn.TEXTSPLIT(C36,"-",,TRUE),5)</f>
        <v>SPM</v>
      </c>
      <c r="F36" t="str">
        <f>IFERROR(INDEX(settings.Table_Engineer.Roles[Department Code],MATCH(PART_NUMBER_GENERATOR_TABLE[[#This Row],[Work Role]],settings.Table_Engineer.Roles[ID],0),1),"PMO")</f>
        <v>PMO</v>
      </c>
      <c r="G36" t="str" cm="1">
        <f t="array" ref="G36">INDEX(_xlfn.TEXTSPLIT(C36,"-",,TRUE),6)</f>
        <v>BH</v>
      </c>
      <c r="H3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259</v>
      </c>
      <c r="I3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178.54009633394438</v>
      </c>
      <c r="J36" cm="1">
        <f t="array" ref="J36">IF(J$1&lt;&gt;PART_NUMBER_GENERATOR_TABLE[[#This Row],[Work Role]:[Work Role]],0,
IF(RIGHT(J$30,2)&lt;&gt;PART_NUMBER_GENERATOR_TABLE[[#This Row],[Work Type]:[Work Type]],0,
SUMIFS(Input_Tasks[R1 Business Hours],Input_Tasks[[Skill Required]:[Skill Required]],PART_NUMBER_GENERATOR_TABLE[[#This Row],[Tech]:[Tech]])))</f>
        <v>0</v>
      </c>
      <c r="K36" cm="1">
        <f t="array" ref="K36">IF(K$1&lt;&gt;PART_NUMBER_GENERATOR_TABLE[[#This Row],[Work Role]:[Work Role]],0,
IF(RIGHT(K$30,2)&lt;&gt;PART_NUMBER_GENERATOR_TABLE[[#This Row],[Work Type]:[Work Type]],0,
SUMIFS(Input_Tasks[R1 After Hours],Input_Tasks[[Skill Required]:[Skill Required]],PART_NUMBER_GENERATOR_TABLE[[#This Row],[Tech]:[Tech]])))</f>
        <v>0</v>
      </c>
      <c r="L36" cm="1">
        <f t="array" ref="L36">IF(L$1&lt;&gt;PART_NUMBER_GENERATOR_TABLE[[#This Row],[Work Role]:[Work Role]],0,
IF(RIGHT(L$30,2)&lt;&gt;PART_NUMBER_GENERATOR_TABLE[[#This Row],[Work Type]:[Work Type]],0,
SUMIFS(Input_Tasks[R2 Business Hours],Input_Tasks[[Skill Required]:[Skill Required]],PART_NUMBER_GENERATOR_TABLE[[#This Row],[Tech]:[Tech]])))</f>
        <v>0</v>
      </c>
      <c r="M36" cm="1">
        <f t="array" ref="M36">IF(M$1&lt;&gt;PART_NUMBER_GENERATOR_TABLE[[#This Row],[Work Role]:[Work Role]],0,
IF(RIGHT(M$30,2)&lt;&gt;PART_NUMBER_GENERATOR_TABLE[[#This Row],[Work Type]:[Work Type]],0,
SUMIFS(Input_Tasks[R2 After Hours],Input_Tasks[[Skill Required]:[Skill Required]],PART_NUMBER_GENERATOR_TABLE[[#This Row],[Tech]:[Tech]])))</f>
        <v>0</v>
      </c>
      <c r="N36" cm="1">
        <f t="array" ref="N36">IF(N$1&lt;&gt;PART_NUMBER_GENERATOR_TABLE[[#This Row],[Work Role]:[Work Role]],0,
IF(RIGHT(N$30,2)&lt;&gt;PART_NUMBER_GENERATOR_TABLE[[#This Row],[Work Type]:[Work Type]],0,
SUMIFS(Input_Tasks[R3 Business Hours],Input_Tasks[[Skill Required]:[Skill Required]],PART_NUMBER_GENERATOR_TABLE[[#This Row],[Tech]:[Tech]])))</f>
        <v>0</v>
      </c>
      <c r="O36" cm="1">
        <f t="array" ref="O36">IF(O$1&lt;&gt;PART_NUMBER_GENERATOR_TABLE[[#This Row],[Work Role]:[Work Role]],0,
IF(RIGHT(O$30,2)&lt;&gt;PART_NUMBER_GENERATOR_TABLE[[#This Row],[Work Type]:[Work Type]],0,
SUMIFS(Input_Tasks[R3 After Hours],Input_Tasks[[Skill Required]:[Skill Required]],PART_NUMBER_GENERATOR_TABLE[[#This Row],[Tech]:[Tech]])))</f>
        <v>0</v>
      </c>
      <c r="P36" cm="1">
        <f t="array" ref="P36">IF(P$1&lt;&gt;PART_NUMBER_GENERATOR_TABLE[[#This Row],[Work Role]:[Work Role]],0,
IF(RIGHT(P$30,2)&lt;&gt;PART_NUMBER_GENERATOR_TABLE[[#This Row],[Work Type]:[Work Type]],0,
SUMIFS(Input_Tasks[R4 Business Hours],Input_Tasks[[Skill Required]:[Skill Required]],PART_NUMBER_GENERATOR_TABLE[[#This Row],[Tech]:[Tech]])))</f>
        <v>0</v>
      </c>
      <c r="Q36" cm="1">
        <f t="array" ref="Q36">IF(Q$1&lt;&gt;PART_NUMBER_GENERATOR_TABLE[[#This Row],[Work Role]:[Work Role]],0,
IF(RIGHT(Q$30,2)&lt;&gt;PART_NUMBER_GENERATOR_TABLE[[#This Row],[Work Type]:[Work Type]],0,
SUMIFS(Input_Tasks[R4 After Hours],Input_Tasks[[Skill Required]:[Skill Required]],PART_NUMBER_GENERATOR_TABLE[[#This Row],[Tech]:[Tech]])))</f>
        <v>0</v>
      </c>
      <c r="R36" cm="1">
        <f t="array" ref="R36">IF(R$1&lt;&gt;PART_NUMBER_GENERATOR_TABLE[[#This Row],[Work Role]:[Work Role]],0,
IF(RIGHT(R$30,2)&lt;&gt;PART_NUMBER_GENERATOR_TABLE[[#This Row],[Work Type]:[Work Type]],0,
SUMIFS(Input_Tasks[R5 Business Hours],Input_Tasks[[Skill Required]:[Skill Required]],PART_NUMBER_GENERATOR_TABLE[[#This Row],[Tech]:[Tech]])))</f>
        <v>0</v>
      </c>
      <c r="S36" cm="1">
        <f t="array" ref="S36">IF(S$1&lt;&gt;PART_NUMBER_GENERATOR_TABLE[[#This Row],[Work Role]:[Work Role]],0,
IF(RIGHT(S$30,2)&lt;&gt;PART_NUMBER_GENERATOR_TABLE[[#This Row],[Work Type]:[Work Type]],0,
SUMIFS(Input_Tasks[R5 After Hours],Input_Tasks[[Skill Required]:[Skill Required]],PART_NUMBER_GENERATOR_TABLE[[#This Row],[Tech]:[Tech]])))</f>
        <v>0</v>
      </c>
      <c r="T36" cm="1">
        <f t="array" ref="T36">IF(PART_NUMBER_GENERATOR_TABLE[[#This Row],[Work Role]:[Work Role]]&lt;&gt;T$1,0,
IF(PART_NUMBER_GENERATOR_TABLE[[#This Row],[Work Type]:[Work Type]]&lt;&gt;"BH",0,
SUMIFS(T$9:T$24,$M$9:$M$24,PART_NUMBER_GENERATOR_TABLE[[#This Row],[Tech]:[Tech]])))</f>
        <v>0</v>
      </c>
      <c r="U36" cm="1">
        <f t="array" ref="U36">IF(PART_NUMBER_GENERATOR_TABLE[[#This Row],[Work Role]:[Work Role]]&lt;&gt;U$1,0,
IF(PART_NUMBER_GENERATOR_TABLE[[#This Row],[Work Type]:[Work Type]]&lt;&gt;"BH",0,
SUMIFS(U$9:U$24,$M$9:$M$24,PART_NUMBER_GENERATOR_TABLE[[#This Row],[Tech]:[Tech]])))</f>
        <v>0</v>
      </c>
      <c r="V36" cm="1">
        <f t="array" ref="V36">IF(PART_NUMBER_GENERATOR_TABLE[[#This Row],[Work Role]:[Work Role]]&lt;&gt;V$1,0,
IF(PART_NUMBER_GENERATOR_TABLE[[#This Row],[Work Type]:[Work Type]]&lt;&gt;"BH",0,
SUMIFS(V$9:V$24,$M$9:$M$24,PART_NUMBER_GENERATOR_TABLE[[#This Row],[Tech]:[Tech]])))</f>
        <v>0</v>
      </c>
      <c r="W36" cm="1">
        <f t="array" ref="W36">IF(PART_NUMBER_GENERATOR_TABLE[[#This Row],[Work Role]:[Work Role]]&lt;&gt;W$1,0,
IF(PART_NUMBER_GENERATOR_TABLE[[#This Row],[Work Type]:[Work Type]]&lt;&gt;"BH",0,
SUMIFS(W$9:W$24,$M$9:$M$24,PART_NUMBER_GENERATOR_TABLE[[#This Row],[Tech]:[Tech]])))</f>
        <v>0</v>
      </c>
      <c r="X36" cm="1">
        <f t="array" ref="X36">IF(PART_NUMBER_GENERATOR_TABLE[[#This Row],[Work Role]:[Work Role]]&lt;&gt;X$1,0,
IF(PART_NUMBER_GENERATOR_TABLE[[#This Row],[Work Type]:[Work Type]]&lt;&gt;"BH",0,
SUMIFS(X$9:X$24,$M$9:$M$24,PART_NUMBER_GENERATOR_TABLE[[#This Row],[Tech]:[Tech]])))</f>
        <v>0</v>
      </c>
      <c r="Y36" cm="1">
        <f t="array" ref="Y36">IF(PART_NUMBER_GENERATOR_TABLE[[#This Row],[Work Role]:[Work Role]]&lt;&gt;Y$1,0,
IF(PART_NUMBER_GENERATOR_TABLE[[#This Row],[Work Type]:[Work Type]]&lt;&gt;"BH",0,
SUMIFS(Y$9:Y$24,$M$9:$M$24,PART_NUMBER_GENERATOR_TABLE[[#This Row],[Tech]:[Tech]])))</f>
        <v>0</v>
      </c>
      <c r="Z36" cm="1">
        <f t="array" ref="Z36">IF(PART_NUMBER_GENERATOR_TABLE[[#This Row],[Work Role]:[Work Role]]&lt;&gt;Z$1,0,
IF(PART_NUMBER_GENERATOR_TABLE[[#This Row],[Work Type]:[Work Type]]&lt;&gt;"BH",0,
SUMIFS(Z$9:Z$24,$M$9:$M$24,PART_NUMBER_GENERATOR_TABLE[[#This Row],[Tech]:[Tech]])))</f>
        <v>0</v>
      </c>
      <c r="AA36" cm="1">
        <f t="array" ref="AA36">IF(PART_NUMBER_GENERATOR_TABLE[[#This Row],[Work Role]:[Work Role]]&lt;&gt;AA$1,0,
IF(PART_NUMBER_GENERATOR_TABLE[[#This Row],[Work Type]:[Work Type]]&lt;&gt;"BH",0,
SUMIFS(AA$9:AA$24,$M$9:$M$24,PART_NUMBER_GENERATOR_TABLE[[#This Row],[Tech]:[Tech]])))</f>
        <v>0</v>
      </c>
      <c r="AB36" cm="1">
        <f t="array" ref="AB36">IF(PART_NUMBER_GENERATOR_TABLE[[#This Row],[Work Role]:[Work Role]]&lt;&gt;AB$1,0,
IF(PART_NUMBER_GENERATOR_TABLE[[#This Row],[Work Type]:[Work Type]]&lt;&gt;"BH",0,
SUMIFS(AB$9:AB$24,$M$9:$M$24,PART_NUMBER_GENERATOR_TABLE[[#This Row],[Tech]:[Tech]])))</f>
        <v>0</v>
      </c>
      <c r="AC36" cm="1">
        <f t="array" ref="AC36">IF(PART_NUMBER_GENERATOR_TABLE[[#This Row],[Work Role]:[Work Role]]&lt;&gt;AC$1,0,
IF(PART_NUMBER_GENERATOR_TABLE[[#This Row],[Work Type]:[Work Type]]&lt;&gt;"BH",0,
SUMIFS(AC$9:AC$24,$M$9:$M$24,PART_NUMBER_GENERATOR_TABLE[[#This Row],[Tech]:[Tech]])))</f>
        <v>0</v>
      </c>
      <c r="AD36" cm="1">
        <f t="array" ref="AD36">IF(PART_NUMBER_GENERATOR_TABLE[[#This Row],[Work Role]:[Work Role]]&lt;&gt;AD$1,0,
IF(PART_NUMBER_GENERATOR_TABLE[[#This Row],[Work Type]:[Work Type]]&lt;&gt;"BH",0,
SUMIFS(AD$9:AD$24,$M$9:$M$24,PART_NUMBER_GENERATOR_TABLE[[#This Row],[Tech]:[Tech]])))</f>
        <v>0</v>
      </c>
      <c r="AE36" cm="1">
        <f t="array" ref="AE36">IF(PART_NUMBER_GENERATOR_TABLE[[#This Row],[Work Role]:[Work Role]]&lt;&gt;AE$1,0,
IF(PART_NUMBER_GENERATOR_TABLE[[#This Row],[Work Type]:[Work Type]]&lt;&gt;"BH",0,
SUMIFS(AE$9:AE$24,$M$9:$M$24,PART_NUMBER_GENERATOR_TABLE[[#This Row],[Tech]:[Tech]])))</f>
        <v>0</v>
      </c>
      <c r="AF36" cm="1">
        <f t="array" ref="AF36">IF(PART_NUMBER_GENERATOR_TABLE[[#This Row],[Work Role]:[Work Role]]&lt;&gt;AF$1,0,
IF(PART_NUMBER_GENERATOR_TABLE[[#This Row],[Work Type]:[Work Type]]&lt;&gt;"BH",0,
SUMIFS(AF$9:AF$24,$M$9:$M$24,PART_NUMBER_GENERATOR_TABLE[[#This Row],[Tech]:[Tech]])))</f>
        <v>0</v>
      </c>
      <c r="AG36" cm="1">
        <f t="array" ref="AG36">IF(PART_NUMBER_GENERATOR_TABLE[[#This Row],[Work Role]:[Work Role]]&lt;&gt;AG$1,0,
IF(PART_NUMBER_GENERATOR_TABLE[[#This Row],[Work Type]:[Work Type]]&lt;&gt;"AH",0,
SUMIFS(AG$9:AG$24,$M$9:$M$24,PART_NUMBER_GENERATOR_TABLE[[#This Row],[Tech]:[Tech]])))</f>
        <v>0</v>
      </c>
      <c r="AH36" cm="1">
        <f t="array" ref="AH36">IF(PART_NUMBER_GENERATOR_TABLE[[#This Row],[Work Role]:[Work Role]]&lt;&gt;AH$1,0,
IF(PART_NUMBER_GENERATOR_TABLE[[#This Row],[Work Type]:[Work Type]]&lt;&gt;"BH",0,
SUMIFS(AH$9:AH$24,$M$9:$M$24,PART_NUMBER_GENERATOR_TABLE[[#This Row],[Tech]:[Tech]])))</f>
        <v>0</v>
      </c>
      <c r="AI36" cm="1">
        <f t="array" ref="AI36">IF(PART_NUMBER_GENERATOR_TABLE[[#This Row],[Work Role]:[Work Role]]&lt;&gt;AI$1,0,
IF(PART_NUMBER_GENERATOR_TABLE[[#This Row],[Work Type]:[Work Type]]&lt;&gt;"BH",0,
SUMIFS(AI$9:AI$24,$M$9:$M$24,PART_NUMBER_GENERATOR_TABLE[[#This Row],[Tech]:[Tech]])))</f>
        <v>0</v>
      </c>
      <c r="AJ36" cm="1">
        <f t="array" ref="AJ36">IF(PART_NUMBER_GENERATOR_TABLE[[#This Row],[Work Role]:[Work Role]]&lt;&gt;AJ$1,0,
IF(PART_NUMBER_GENERATOR_TABLE[[#This Row],[Work Type]:[Work Type]]&lt;&gt;"BH",0,
SUMIFS(AJ$9:AJ$24,$M$9:$M$24,PART_NUMBER_GENERATOR_TABLE[[#This Row],[Tech]:[Tech]])))</f>
        <v>0</v>
      </c>
      <c r="AK36" cm="1">
        <f t="array" ref="AK36">IF(PART_NUMBER_GENERATOR_TABLE[[#This Row],[Work Role]:[Work Role]]&lt;&gt;AK$1,0,
IF(PART_NUMBER_GENERATOR_TABLE[[#This Row],[Work Type]:[Work Type]]&lt;&gt;"AH",0,
SUMIFS(AK$9:AK$24,$M$9:$M$24,PART_NUMBER_GENERATOR_TABLE[[#This Row],[Tech]:[Tech]])))</f>
        <v>0</v>
      </c>
      <c r="AL36" cm="1">
        <f t="array" ref="AL36">IF(PART_NUMBER_GENERATOR_TABLE[[#This Row],[Work Role]:[Work Role]]&lt;&gt;AL$1,0,
IF(PART_NUMBER_GENERATOR_TABLE[[#This Row],[Work Type]:[Work Type]]&lt;&gt;"BH",0,
SUMIFS(AL$9:AL$24,$M$9:$M$24,PART_NUMBER_GENERATOR_TABLE[[#This Row],[Tech]:[Tech]])))</f>
        <v>0</v>
      </c>
      <c r="AM36">
        <f>0</f>
        <v>0</v>
      </c>
      <c r="AN36" cm="1">
        <f t="array" ref="AN36">IF(PART_NUMBER_GENERATOR_TABLE[[#This Row],[Work Role]:[Work Role]]&lt;&gt;AN$1,0,
IF(PART_NUMBER_GENERATOR_TABLE[[#This Row],[Work Type]:[Work Type]]&lt;&gt;"BH",0,
SUMIFS(AN$24,$AM$24,PART_NUMBER_GENERATOR_TABLE[[#This Row],[Tech]:[Tech]])))</f>
        <v>0</v>
      </c>
      <c r="AO36" cm="1">
        <f t="array" ref="AO36">IF(PART_NUMBER_GENERATOR_TABLE[[#This Row],[Work Role]:[Work Role]]&lt;&gt;AO$1,0,
IF(PART_NUMBER_GENERATOR_TABLE[[#This Row],[Work Type]:[Work Type]]&lt;&gt;"BH",0,
SUMIFS(AO$24,$AM$24,PART_NUMBER_GENERATOR_TABLE[[#This Row],[Tech]:[Tech]])))</f>
        <v>0</v>
      </c>
      <c r="AP36" cm="1">
        <f t="array" ref="AP36">IF(PART_NUMBER_GENERATOR_TABLE[[#This Row],[Work Role]:[Work Role]]&lt;&gt;AP$1,0,
IF(PART_NUMBER_GENERATOR_TABLE[[#This Row],[Work Type]:[Work Type]]&lt;&gt;"BH",0,
SUMIFS(AP$24,$AM$24,PART_NUMBER_GENERATOR_TABLE[[#This Row],[Tech]:[Tech]])))</f>
        <v>0</v>
      </c>
      <c r="AQ36" cm="1">
        <f t="array" ref="AQ36">IF(PART_NUMBER_GENERATOR_TABLE[[#This Row],[Work Role]:[Work Role]]&lt;&gt;AQ$1,0,
IF(PART_NUMBER_GENERATOR_TABLE[[#This Row],[Work Type]:[Work Type]]&lt;&gt;"BH",0,
SUMIFS(AQ$24,$AM$24,PART_NUMBER_GENERATOR_TABLE[[#This Row],[Tech]:[Tech]])))</f>
        <v>0</v>
      </c>
      <c r="AR36" cm="1">
        <f t="array" ref="AR36">IF(PART_NUMBER_GENERATOR_TABLE[[#This Row],[Work Role]:[Work Role]]&lt;&gt;AR$1,0,
IF(PART_NUMBER_GENERATOR_TABLE[[#This Row],[Work Type]:[Work Type]]&lt;&gt;"BH",0,
SUMIFS(AR$24,$AM$24,PART_NUMBER_GENERATOR_TABLE[[#This Row],[Tech]:[Tech]])))</f>
        <v>0</v>
      </c>
      <c r="AS36" cm="1">
        <f t="array" ref="AS36">IF(PART_NUMBER_GENERATOR_TABLE[[#This Row],[Work Role]:[Work Role]]&lt;&gt;AS$1,0,
IF(PART_NUMBER_GENERATOR_TABLE[[#This Row],[Work Type]:[Work Type]]&lt;&gt;"BH",0,
SUMIFS(AS$24,$AM$24,PART_NUMBER_GENERATOR_TABLE[[#This Row],[Tech]:[Tech]])))</f>
        <v>0</v>
      </c>
      <c r="AT36" cm="1">
        <f t="array" ref="AT36">IF(PART_NUMBER_GENERATOR_TABLE[[#This Row],[Work Role]:[Work Role]]&lt;&gt;AS$1,0,
IF(PART_NUMBER_GENERATOR_TABLE[[#This Row],[Work Type]:[Work Type]]&lt;&gt;"BH",0,
SUMIFS(AT$24,$AM$24,PART_NUMBER_GENERATOR_TABLE[[#This Row],[Tech]:[Tech]])))</f>
        <v>0</v>
      </c>
      <c r="AU36">
        <f>SUM(PART_NUMBER_GENERATOR_TABLE[[#This Row],[Resource 1 BH]:[Resource 5 AH]],PART_NUMBER_GENERATOR_TABLE[[#This Row],[R1 Mandatory Tasks]:[R5 Mandatory Tasks]],PART_NUMBER_GENERATOR_TABLE[[#This Row],[R1 Remainder]:[R5 Remainder]])</f>
        <v>0</v>
      </c>
      <c r="AV36">
        <f>PART_NUMBER_GENERATOR_TABLE[[#This Row],[Professional Engineering Hours]]*PART_NUMBER_GENERATOR_TABLE[[#This Row],[Sell Rate]]</f>
        <v>0</v>
      </c>
      <c r="AW36">
        <f>PART_NUMBER_GENERATOR_TABLE[[#This Row],[Professional Engineering Hours]]*PART_NUMBER_GENERATOR_TABLE[[#This Row],[Cost Rate]]</f>
        <v>0</v>
      </c>
      <c r="AX36">
        <f>SUM(PART_NUMBER_GENERATOR_TABLE[[#This Row],[PM Trips]:[R5 Trips]])</f>
        <v>0</v>
      </c>
      <c r="AY36">
        <f>PART_NUMBER_GENERATOR_TABLE[[#This Row],[Travel &amp; Accommodation Hours]]*PART_NUMBER_GENERATOR_TABLE[[#This Row],[Sell Rate]]</f>
        <v>0</v>
      </c>
      <c r="AZ36">
        <f>PART_NUMBER_GENERATOR_TABLE[[#This Row],[Travel &amp; Accommodation Hours]]*PART_NUMBER_GENERATOR_TABLE[[#This Row],[Cost Rate]]</f>
        <v>0</v>
      </c>
      <c r="BA36">
        <f>PART_NUMBER_GENERATOR_TABLE[[#This Row],[PM Hours]]+PART_NUMBER_GENERATOR_TABLE[[#This Row],[PM Remainder]]</f>
        <v>0</v>
      </c>
      <c r="BB36">
        <f>PART_NUMBER_GENERATOR_TABLE[[#This Row],[Project Management Hours]]*PART_NUMBER_GENERATOR_TABLE[[#This Row],[Sell Rate]]</f>
        <v>0</v>
      </c>
      <c r="BC36">
        <f>PART_NUMBER_GENERATOR_TABLE[[#This Row],[Project Management Hours]]*PART_NUMBER_GENERATOR_TABLE[[#This Row],[Cost Rate]]</f>
        <v>0</v>
      </c>
      <c r="BD36">
        <f>SUM(PART_NUMBER_GENERATOR_TABLE[[#This Row],[SSE RISK BH]:[PM RISK]],PART_NUMBER_GENERATOR_TABLE[[#This Row],[SSE Remainder RISK BH]:[PM Remainder RISK]])</f>
        <v>0</v>
      </c>
      <c r="BE36">
        <f>PART_NUMBER_GENERATOR_TABLE[[#This Row],[Project Risk Service Hours]]*PART_NUMBER_GENERATOR_TABLE[[#This Row],[Sell Rate]]</f>
        <v>0</v>
      </c>
      <c r="BF36">
        <f>PART_NUMBER_GENERATOR_TABLE[[#This Row],[Project Risk Service Hours]]*PART_NUMBER_GENERATOR_TABLE[[#This Row],[Cost Rate]]</f>
        <v>0</v>
      </c>
      <c r="BG36">
        <f>PART_NUMBER_GENERATOR_TABLE[[#This Row],[SSE RISK TRAVEL]]</f>
        <v>0</v>
      </c>
      <c r="BH36">
        <f>PART_NUMBER_GENERATOR_TABLE[[#This Row],[Sell Rate]]*PART_NUMBER_GENERATOR_TABLE[[#This Row],[Project Risk Travel Hours]]</f>
        <v>0</v>
      </c>
      <c r="BI36">
        <f>PART_NUMBER_GENERATOR_TABLE[[#This Row],[Project Risk Travel Hours]]*PART_NUMBER_GENERATOR_TABLE[[#This Row],[Cost Rate]]</f>
        <v>0</v>
      </c>
      <c r="BJ3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3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36">
        <f>IFERROR(-VLOOKUP(INDEX(ENGINEER_ROLES,MATCH(PART_NUMBER_GENERATOR_TABLE[[#This Row],[Work Role]],settings.Table_Engineer.Roles[ID],0),1),Settings_Hidden!$H$359:$K$366,4,FALSE),0)</f>
        <v>0</v>
      </c>
      <c r="BM36" s="680">
        <f>-Summary!$C$66</f>
        <v>0</v>
      </c>
      <c r="BN36" s="465">
        <f>PART_NUMBER_GENERATOR_TABLE[[#This Row],[Total Base Price]]*MIN(PART_NUMBER_GENERATOR_TABLE[[#This Row],[Rate Service Discount]:[Flat Service Discount]])</f>
        <v>0</v>
      </c>
      <c r="BO36" s="451" t="str">
        <f>IF(PART_NUMBER_GENERATOR_TABLE[[#This Row],[Quantity]]&lt;&gt;0,MAX($BO$30:BO35)+1,"")</f>
        <v/>
      </c>
      <c r="BP36" t="str">
        <f>PART_NUMBER_GENERATOR_TABLE[[#This Row],[Part Number]]</f>
        <v>A-PS-P-INTHLT-SPM-BH</v>
      </c>
      <c r="BQ36">
        <f>PART_NUMBER_GENERATOR_TABLE[[#This Row],[Total Hours]]</f>
        <v>0</v>
      </c>
      <c r="BR36">
        <f>PART_NUMBER_GENERATOR_TABLE[[#This Row],[Cost Rate]]</f>
        <v>178.54009633394438</v>
      </c>
      <c r="BS36" s="465">
        <f>PART_NUMBER_GENERATOR_TABLE[[#This Row],[Sell Rate]]+(PART_NUMBER_GENERATOR_TABLE[[#This Row],[Sell Rate]]*MIN(PART_NUMBER_GENERATOR_TABLE[[#This Row],[Rate Service Discount]:[Flat Service Discount]]))</f>
        <v>259</v>
      </c>
    </row>
    <row r="37" spans="1:71">
      <c r="A37">
        <v>7</v>
      </c>
      <c r="C37" t="s">
        <v>969</v>
      </c>
      <c r="D37" t="str" cm="1">
        <f t="array" ref="D37">INDEX(Table.Settings_Skill.List[Skill Name],MATCH(INDEX(_xlfn.TEXTSPLIT(C37,"-",,TRUE),4),Table.Settings_Skill.List[Skill Code],0),1)</f>
        <v>Networking</v>
      </c>
      <c r="E37" t="str" cm="1">
        <f t="array" ref="E37">INDEX(_xlfn.TEXTSPLIT(C37,"-",,TRUE),5)</f>
        <v>PM</v>
      </c>
      <c r="F37" t="str">
        <f>IFERROR(INDEX(settings.Table_Engineer.Roles[Department Code],MATCH(PART_NUMBER_GENERATOR_TABLE[[#This Row],[Work Role]],settings.Table_Engineer.Roles[ID],0),1),"PMO")</f>
        <v>PMO</v>
      </c>
      <c r="G37" t="str" cm="1">
        <f t="array" ref="G37">INDEX(_xlfn.TEXTSPLIT(C37,"-",,TRUE),6)</f>
        <v>BH</v>
      </c>
      <c r="H3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225</v>
      </c>
      <c r="I3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147.55803124436895</v>
      </c>
      <c r="J37" cm="1">
        <f t="array" ref="J37">IF(J$1&lt;&gt;PART_NUMBER_GENERATOR_TABLE[[#This Row],[Work Role]:[Work Role]],0,
IF(RIGHT(J$30,2)&lt;&gt;PART_NUMBER_GENERATOR_TABLE[[#This Row],[Work Type]:[Work Type]],0,
SUMIFS(Input_Tasks[R1 Business Hours],Input_Tasks[[Skill Required]:[Skill Required]],PART_NUMBER_GENERATOR_TABLE[[#This Row],[Tech]:[Tech]])))</f>
        <v>0</v>
      </c>
      <c r="K37" cm="1">
        <f t="array" ref="K37">IF(K$1&lt;&gt;PART_NUMBER_GENERATOR_TABLE[[#This Row],[Work Role]:[Work Role]],0,
IF(RIGHT(K$30,2)&lt;&gt;PART_NUMBER_GENERATOR_TABLE[[#This Row],[Work Type]:[Work Type]],0,
SUMIFS(Input_Tasks[R1 After Hours],Input_Tasks[[Skill Required]:[Skill Required]],PART_NUMBER_GENERATOR_TABLE[[#This Row],[Tech]:[Tech]])))</f>
        <v>0</v>
      </c>
      <c r="L37" cm="1">
        <f t="array" ref="L37">IF(L$1&lt;&gt;PART_NUMBER_GENERATOR_TABLE[[#This Row],[Work Role]:[Work Role]],0,
IF(RIGHT(L$30,2)&lt;&gt;PART_NUMBER_GENERATOR_TABLE[[#This Row],[Work Type]:[Work Type]],0,
SUMIFS(Input_Tasks[R2 Business Hours],Input_Tasks[[Skill Required]:[Skill Required]],PART_NUMBER_GENERATOR_TABLE[[#This Row],[Tech]:[Tech]])))</f>
        <v>0</v>
      </c>
      <c r="M37" cm="1">
        <f t="array" ref="M37">IF(M$1&lt;&gt;PART_NUMBER_GENERATOR_TABLE[[#This Row],[Work Role]:[Work Role]],0,
IF(RIGHT(M$30,2)&lt;&gt;PART_NUMBER_GENERATOR_TABLE[[#This Row],[Work Type]:[Work Type]],0,
SUMIFS(Input_Tasks[R2 After Hours],Input_Tasks[[Skill Required]:[Skill Required]],PART_NUMBER_GENERATOR_TABLE[[#This Row],[Tech]:[Tech]])))</f>
        <v>0</v>
      </c>
      <c r="N37" cm="1">
        <f t="array" ref="N37">IF(N$1&lt;&gt;PART_NUMBER_GENERATOR_TABLE[[#This Row],[Work Role]:[Work Role]],0,
IF(RIGHT(N$30,2)&lt;&gt;PART_NUMBER_GENERATOR_TABLE[[#This Row],[Work Type]:[Work Type]],0,
SUMIFS(Input_Tasks[R3 Business Hours],Input_Tasks[[Skill Required]:[Skill Required]],PART_NUMBER_GENERATOR_TABLE[[#This Row],[Tech]:[Tech]])))</f>
        <v>0</v>
      </c>
      <c r="O37" cm="1">
        <f t="array" ref="O37">IF(O$1&lt;&gt;PART_NUMBER_GENERATOR_TABLE[[#This Row],[Work Role]:[Work Role]],0,
IF(RIGHT(O$30,2)&lt;&gt;PART_NUMBER_GENERATOR_TABLE[[#This Row],[Work Type]:[Work Type]],0,
SUMIFS(Input_Tasks[R3 After Hours],Input_Tasks[[Skill Required]:[Skill Required]],PART_NUMBER_GENERATOR_TABLE[[#This Row],[Tech]:[Tech]])))</f>
        <v>0</v>
      </c>
      <c r="P37" cm="1">
        <f t="array" ref="P37">IF(P$1&lt;&gt;PART_NUMBER_GENERATOR_TABLE[[#This Row],[Work Role]:[Work Role]],0,
IF(RIGHT(P$30,2)&lt;&gt;PART_NUMBER_GENERATOR_TABLE[[#This Row],[Work Type]:[Work Type]],0,
SUMIFS(Input_Tasks[R4 Business Hours],Input_Tasks[[Skill Required]:[Skill Required]],PART_NUMBER_GENERATOR_TABLE[[#This Row],[Tech]:[Tech]])))</f>
        <v>0</v>
      </c>
      <c r="Q37" cm="1">
        <f t="array" ref="Q37">IF(Q$1&lt;&gt;PART_NUMBER_GENERATOR_TABLE[[#This Row],[Work Role]:[Work Role]],0,
IF(RIGHT(Q$30,2)&lt;&gt;PART_NUMBER_GENERATOR_TABLE[[#This Row],[Work Type]:[Work Type]],0,
SUMIFS(Input_Tasks[R4 After Hours],Input_Tasks[[Skill Required]:[Skill Required]],PART_NUMBER_GENERATOR_TABLE[[#This Row],[Tech]:[Tech]])))</f>
        <v>0</v>
      </c>
      <c r="R37" cm="1">
        <f t="array" ref="R37">IF(R$1&lt;&gt;PART_NUMBER_GENERATOR_TABLE[[#This Row],[Work Role]:[Work Role]],0,
IF(RIGHT(R$30,2)&lt;&gt;PART_NUMBER_GENERATOR_TABLE[[#This Row],[Work Type]:[Work Type]],0,
SUMIFS(Input_Tasks[R5 Business Hours],Input_Tasks[[Skill Required]:[Skill Required]],PART_NUMBER_GENERATOR_TABLE[[#This Row],[Tech]:[Tech]])))</f>
        <v>0</v>
      </c>
      <c r="S37" cm="1">
        <f t="array" ref="S37">IF(S$1&lt;&gt;PART_NUMBER_GENERATOR_TABLE[[#This Row],[Work Role]:[Work Role]],0,
IF(RIGHT(S$30,2)&lt;&gt;PART_NUMBER_GENERATOR_TABLE[[#This Row],[Work Type]:[Work Type]],0,
SUMIFS(Input_Tasks[R5 After Hours],Input_Tasks[[Skill Required]:[Skill Required]],PART_NUMBER_GENERATOR_TABLE[[#This Row],[Tech]:[Tech]])))</f>
        <v>0</v>
      </c>
      <c r="T37" cm="1">
        <f t="array" ref="T37">IF(PART_NUMBER_GENERATOR_TABLE[[#This Row],[Work Role]:[Work Role]]&lt;&gt;T$1,0,
IF(PART_NUMBER_GENERATOR_TABLE[[#This Row],[Work Type]:[Work Type]]&lt;&gt;"BH",0,
SUMIFS(T$9:T$24,$M$9:$M$24,PART_NUMBER_GENERATOR_TABLE[[#This Row],[Tech]:[Tech]])))</f>
        <v>0</v>
      </c>
      <c r="U37" cm="1">
        <f t="array" ref="U37">IF(PART_NUMBER_GENERATOR_TABLE[[#This Row],[Work Role]:[Work Role]]&lt;&gt;U$1,0,
IF(PART_NUMBER_GENERATOR_TABLE[[#This Row],[Work Type]:[Work Type]]&lt;&gt;"BH",0,
SUMIFS(U$9:U$24,$M$9:$M$24,PART_NUMBER_GENERATOR_TABLE[[#This Row],[Tech]:[Tech]])))</f>
        <v>0</v>
      </c>
      <c r="V37" cm="1">
        <f t="array" ref="V37">IF(PART_NUMBER_GENERATOR_TABLE[[#This Row],[Work Role]:[Work Role]]&lt;&gt;V$1,0,
IF(PART_NUMBER_GENERATOR_TABLE[[#This Row],[Work Type]:[Work Type]]&lt;&gt;"BH",0,
SUMIFS(V$9:V$24,$M$9:$M$24,PART_NUMBER_GENERATOR_TABLE[[#This Row],[Tech]:[Tech]])))</f>
        <v>0</v>
      </c>
      <c r="W37" cm="1">
        <f t="array" ref="W37">IF(PART_NUMBER_GENERATOR_TABLE[[#This Row],[Work Role]:[Work Role]]&lt;&gt;W$1,0,
IF(PART_NUMBER_GENERATOR_TABLE[[#This Row],[Work Type]:[Work Type]]&lt;&gt;"BH",0,
SUMIFS(W$9:W$24,$M$9:$M$24,PART_NUMBER_GENERATOR_TABLE[[#This Row],[Tech]:[Tech]])))</f>
        <v>0</v>
      </c>
      <c r="X37" cm="1">
        <f t="array" ref="X37">IF(PART_NUMBER_GENERATOR_TABLE[[#This Row],[Work Role]:[Work Role]]&lt;&gt;X$1,0,
IF(PART_NUMBER_GENERATOR_TABLE[[#This Row],[Work Type]:[Work Type]]&lt;&gt;"BH",0,
SUMIFS(X$9:X$24,$M$9:$M$24,PART_NUMBER_GENERATOR_TABLE[[#This Row],[Tech]:[Tech]])))</f>
        <v>0</v>
      </c>
      <c r="Y37" cm="1">
        <f t="array" ref="Y37">IF(PART_NUMBER_GENERATOR_TABLE[[#This Row],[Work Role]:[Work Role]]&lt;&gt;Y$1,0,
IF(PART_NUMBER_GENERATOR_TABLE[[#This Row],[Work Type]:[Work Type]]&lt;&gt;"BH",0,
SUMIFS(Y$9:Y$24,$M$9:$M$24,PART_NUMBER_GENERATOR_TABLE[[#This Row],[Tech]:[Tech]])))</f>
        <v>0</v>
      </c>
      <c r="Z37" cm="1">
        <f t="array" ref="Z37">IF(PART_NUMBER_GENERATOR_TABLE[[#This Row],[Work Role]:[Work Role]]&lt;&gt;Z$1,0,
IF(PART_NUMBER_GENERATOR_TABLE[[#This Row],[Work Type]:[Work Type]]&lt;&gt;"BH",0,
SUMIFS(Z$9:Z$24,$M$9:$M$24,PART_NUMBER_GENERATOR_TABLE[[#This Row],[Tech]:[Tech]])))</f>
        <v>0</v>
      </c>
      <c r="AA37" cm="1">
        <f t="array" ref="AA37">IF(PART_NUMBER_GENERATOR_TABLE[[#This Row],[Work Role]:[Work Role]]&lt;&gt;AA$1,0,
IF(PART_NUMBER_GENERATOR_TABLE[[#This Row],[Work Type]:[Work Type]]&lt;&gt;"BH",0,
SUMIFS(AA$9:AA$24,$M$9:$M$24,PART_NUMBER_GENERATOR_TABLE[[#This Row],[Tech]:[Tech]])))</f>
        <v>0</v>
      </c>
      <c r="AB37" cm="1">
        <f t="array" ref="AB37">IF(PART_NUMBER_GENERATOR_TABLE[[#This Row],[Work Role]:[Work Role]]&lt;&gt;AB$1,0,
IF(PART_NUMBER_GENERATOR_TABLE[[#This Row],[Work Type]:[Work Type]]&lt;&gt;"BH",0,
SUMIFS(AB$9:AB$24,$M$9:$M$24,PART_NUMBER_GENERATOR_TABLE[[#This Row],[Tech]:[Tech]])))</f>
        <v>0</v>
      </c>
      <c r="AC37" cm="1">
        <f t="array" ref="AC37">IF(PART_NUMBER_GENERATOR_TABLE[[#This Row],[Work Role]:[Work Role]]&lt;&gt;AC$1,0,
IF(PART_NUMBER_GENERATOR_TABLE[[#This Row],[Work Type]:[Work Type]]&lt;&gt;"BH",0,
SUMIFS(AC$9:AC$24,$M$9:$M$24,PART_NUMBER_GENERATOR_TABLE[[#This Row],[Tech]:[Tech]])))</f>
        <v>0</v>
      </c>
      <c r="AD37" cm="1">
        <f t="array" ref="AD37">IF(PART_NUMBER_GENERATOR_TABLE[[#This Row],[Work Role]:[Work Role]]&lt;&gt;AD$1,0,
IF(PART_NUMBER_GENERATOR_TABLE[[#This Row],[Work Type]:[Work Type]]&lt;&gt;"BH",0,
SUMIFS(AD$9:AD$24,$M$9:$M$24,PART_NUMBER_GENERATOR_TABLE[[#This Row],[Tech]:[Tech]])))</f>
        <v>0</v>
      </c>
      <c r="AE37" cm="1">
        <f t="array" ref="AE37">IF(PART_NUMBER_GENERATOR_TABLE[[#This Row],[Work Role]:[Work Role]]&lt;&gt;AE$1,0,
IF(PART_NUMBER_GENERATOR_TABLE[[#This Row],[Work Type]:[Work Type]]&lt;&gt;"BH",0,
SUMIFS(AE$9:AE$24,$M$9:$M$24,PART_NUMBER_GENERATOR_TABLE[[#This Row],[Tech]:[Tech]])))</f>
        <v>0</v>
      </c>
      <c r="AF37" cm="1">
        <f t="array" ref="AF37">IF(PART_NUMBER_GENERATOR_TABLE[[#This Row],[Work Role]:[Work Role]]&lt;&gt;AF$1,0,
IF(PART_NUMBER_GENERATOR_TABLE[[#This Row],[Work Type]:[Work Type]]&lt;&gt;"BH",0,
SUMIFS(AF$9:AF$24,$M$9:$M$24,PART_NUMBER_GENERATOR_TABLE[[#This Row],[Tech]:[Tech]])))</f>
        <v>0</v>
      </c>
      <c r="AG37" cm="1">
        <f t="array" ref="AG37">IF(PART_NUMBER_GENERATOR_TABLE[[#This Row],[Work Role]:[Work Role]]&lt;&gt;AG$1,0,
IF(PART_NUMBER_GENERATOR_TABLE[[#This Row],[Work Type]:[Work Type]]&lt;&gt;"AH",0,
SUMIFS(AG$9:AG$24,$M$9:$M$24,PART_NUMBER_GENERATOR_TABLE[[#This Row],[Tech]:[Tech]])))</f>
        <v>0</v>
      </c>
      <c r="AH37" cm="1">
        <f t="array" ref="AH37">IF(PART_NUMBER_GENERATOR_TABLE[[#This Row],[Work Role]:[Work Role]]&lt;&gt;AH$1,0,
IF(PART_NUMBER_GENERATOR_TABLE[[#This Row],[Work Type]:[Work Type]]&lt;&gt;"BH",0,
SUMIFS(AH$9:AH$24,$M$9:$M$24,PART_NUMBER_GENERATOR_TABLE[[#This Row],[Tech]:[Tech]])))</f>
        <v>0</v>
      </c>
      <c r="AI37" cm="1">
        <f t="array" ref="AI37">IF(PART_NUMBER_GENERATOR_TABLE[[#This Row],[Work Role]:[Work Role]]&lt;&gt;AI$1,0,
IF(PART_NUMBER_GENERATOR_TABLE[[#This Row],[Work Type]:[Work Type]]&lt;&gt;"BH",0,
SUMIFS(AI$9:AI$24,$M$9:$M$24,PART_NUMBER_GENERATOR_TABLE[[#This Row],[Tech]:[Tech]])))</f>
        <v>0</v>
      </c>
      <c r="AJ37" cm="1">
        <f t="array" ref="AJ37">IF(PART_NUMBER_GENERATOR_TABLE[[#This Row],[Work Role]:[Work Role]]&lt;&gt;AJ$1,0,
IF(PART_NUMBER_GENERATOR_TABLE[[#This Row],[Work Type]:[Work Type]]&lt;&gt;"BH",0,
SUMIFS(AJ$9:AJ$24,$M$9:$M$24,PART_NUMBER_GENERATOR_TABLE[[#This Row],[Tech]:[Tech]])))</f>
        <v>0</v>
      </c>
      <c r="AK37" cm="1">
        <f t="array" ref="AK37">IF(PART_NUMBER_GENERATOR_TABLE[[#This Row],[Work Role]:[Work Role]]&lt;&gt;AK$1,0,
IF(PART_NUMBER_GENERATOR_TABLE[[#This Row],[Work Type]:[Work Type]]&lt;&gt;"AH",0,
SUMIFS(AK$9:AK$24,$M$9:$M$24,PART_NUMBER_GENERATOR_TABLE[[#This Row],[Tech]:[Tech]])))</f>
        <v>0</v>
      </c>
      <c r="AL37" cm="1">
        <f t="array" ref="AL37">IF(PART_NUMBER_GENERATOR_TABLE[[#This Row],[Work Role]:[Work Role]]&lt;&gt;AL$1,0,
IF(PART_NUMBER_GENERATOR_TABLE[[#This Row],[Work Type]:[Work Type]]&lt;&gt;"BH",0,
SUMIFS(AL$9:AL$24,$M$9:$M$24,PART_NUMBER_GENERATOR_TABLE[[#This Row],[Tech]:[Tech]])))</f>
        <v>0</v>
      </c>
      <c r="AM37">
        <f>0</f>
        <v>0</v>
      </c>
      <c r="AN37" cm="1">
        <f t="array" ref="AN37">IF(PART_NUMBER_GENERATOR_TABLE[[#This Row],[Work Role]:[Work Role]]&lt;&gt;AN$1,0,
IF(PART_NUMBER_GENERATOR_TABLE[[#This Row],[Work Type]:[Work Type]]&lt;&gt;"BH",0,
SUMIFS(AN$24,$AM$24,PART_NUMBER_GENERATOR_TABLE[[#This Row],[Tech]:[Tech]])))</f>
        <v>0</v>
      </c>
      <c r="AO37" cm="1">
        <f t="array" ref="AO37">IF(PART_NUMBER_GENERATOR_TABLE[[#This Row],[Work Role]:[Work Role]]&lt;&gt;AO$1,0,
IF(PART_NUMBER_GENERATOR_TABLE[[#This Row],[Work Type]:[Work Type]]&lt;&gt;"BH",0,
SUMIFS(AO$24,$AM$24,PART_NUMBER_GENERATOR_TABLE[[#This Row],[Tech]:[Tech]])))</f>
        <v>0</v>
      </c>
      <c r="AP37" cm="1">
        <f t="array" ref="AP37">IF(PART_NUMBER_GENERATOR_TABLE[[#This Row],[Work Role]:[Work Role]]&lt;&gt;AP$1,0,
IF(PART_NUMBER_GENERATOR_TABLE[[#This Row],[Work Type]:[Work Type]]&lt;&gt;"BH",0,
SUMIFS(AP$24,$AM$24,PART_NUMBER_GENERATOR_TABLE[[#This Row],[Tech]:[Tech]])))</f>
        <v>0</v>
      </c>
      <c r="AQ37" cm="1">
        <f t="array" ref="AQ37">IF(PART_NUMBER_GENERATOR_TABLE[[#This Row],[Work Role]:[Work Role]]&lt;&gt;AQ$1,0,
IF(PART_NUMBER_GENERATOR_TABLE[[#This Row],[Work Type]:[Work Type]]&lt;&gt;"BH",0,
SUMIFS(AQ$24,$AM$24,PART_NUMBER_GENERATOR_TABLE[[#This Row],[Tech]:[Tech]])))</f>
        <v>0</v>
      </c>
      <c r="AR37" cm="1">
        <f t="array" ref="AR37">IF(PART_NUMBER_GENERATOR_TABLE[[#This Row],[Work Role]:[Work Role]]&lt;&gt;AR$1,0,
IF(PART_NUMBER_GENERATOR_TABLE[[#This Row],[Work Type]:[Work Type]]&lt;&gt;"BH",0,
SUMIFS(AR$24,$AM$24,PART_NUMBER_GENERATOR_TABLE[[#This Row],[Tech]:[Tech]])))</f>
        <v>0</v>
      </c>
      <c r="AS37" cm="1">
        <f t="array" ref="AS37">IF(PART_NUMBER_GENERATOR_TABLE[[#This Row],[Work Role]:[Work Role]]&lt;&gt;AS$1,0,
IF(PART_NUMBER_GENERATOR_TABLE[[#This Row],[Work Type]:[Work Type]]&lt;&gt;"BH",0,
SUMIFS(AS$24,$AM$24,PART_NUMBER_GENERATOR_TABLE[[#This Row],[Tech]:[Tech]])))</f>
        <v>0</v>
      </c>
      <c r="AT37" cm="1">
        <f t="array" ref="AT37">IF(PART_NUMBER_GENERATOR_TABLE[[#This Row],[Work Role]:[Work Role]]&lt;&gt;AS$1,0,
IF(PART_NUMBER_GENERATOR_TABLE[[#This Row],[Work Type]:[Work Type]]&lt;&gt;"BH",0,
SUMIFS(AT$24,$AM$24,PART_NUMBER_GENERATOR_TABLE[[#This Row],[Tech]:[Tech]])))</f>
        <v>0</v>
      </c>
      <c r="AU37">
        <f>SUM(PART_NUMBER_GENERATOR_TABLE[[#This Row],[Resource 1 BH]:[Resource 5 AH]],PART_NUMBER_GENERATOR_TABLE[[#This Row],[R1 Mandatory Tasks]:[R5 Mandatory Tasks]],PART_NUMBER_GENERATOR_TABLE[[#This Row],[R1 Remainder]:[R5 Remainder]])</f>
        <v>0</v>
      </c>
      <c r="AV37">
        <f>PART_NUMBER_GENERATOR_TABLE[[#This Row],[Professional Engineering Hours]]*PART_NUMBER_GENERATOR_TABLE[[#This Row],[Sell Rate]]</f>
        <v>0</v>
      </c>
      <c r="AW37">
        <f>PART_NUMBER_GENERATOR_TABLE[[#This Row],[Professional Engineering Hours]]*PART_NUMBER_GENERATOR_TABLE[[#This Row],[Cost Rate]]</f>
        <v>0</v>
      </c>
      <c r="AX37">
        <f>SUM(PART_NUMBER_GENERATOR_TABLE[[#This Row],[PM Trips]:[R5 Trips]])</f>
        <v>0</v>
      </c>
      <c r="AY37">
        <f>PART_NUMBER_GENERATOR_TABLE[[#This Row],[Travel &amp; Accommodation Hours]]*PART_NUMBER_GENERATOR_TABLE[[#This Row],[Sell Rate]]</f>
        <v>0</v>
      </c>
      <c r="AZ37">
        <f>PART_NUMBER_GENERATOR_TABLE[[#This Row],[Travel &amp; Accommodation Hours]]*PART_NUMBER_GENERATOR_TABLE[[#This Row],[Cost Rate]]</f>
        <v>0</v>
      </c>
      <c r="BA37">
        <f>PART_NUMBER_GENERATOR_TABLE[[#This Row],[PM Hours]]+PART_NUMBER_GENERATOR_TABLE[[#This Row],[PM Remainder]]</f>
        <v>0</v>
      </c>
      <c r="BB37">
        <f>PART_NUMBER_GENERATOR_TABLE[[#This Row],[Project Management Hours]]*PART_NUMBER_GENERATOR_TABLE[[#This Row],[Sell Rate]]</f>
        <v>0</v>
      </c>
      <c r="BC37">
        <f>PART_NUMBER_GENERATOR_TABLE[[#This Row],[Project Management Hours]]*PART_NUMBER_GENERATOR_TABLE[[#This Row],[Cost Rate]]</f>
        <v>0</v>
      </c>
      <c r="BD37">
        <f>SUM(PART_NUMBER_GENERATOR_TABLE[[#This Row],[SSE RISK BH]:[PM RISK]],PART_NUMBER_GENERATOR_TABLE[[#This Row],[SSE Remainder RISK BH]:[PM Remainder RISK]])</f>
        <v>0</v>
      </c>
      <c r="BE37">
        <f>PART_NUMBER_GENERATOR_TABLE[[#This Row],[Project Risk Service Hours]]*PART_NUMBER_GENERATOR_TABLE[[#This Row],[Sell Rate]]</f>
        <v>0</v>
      </c>
      <c r="BF37">
        <f>PART_NUMBER_GENERATOR_TABLE[[#This Row],[Project Risk Service Hours]]*PART_NUMBER_GENERATOR_TABLE[[#This Row],[Cost Rate]]</f>
        <v>0</v>
      </c>
      <c r="BG37">
        <f>PART_NUMBER_GENERATOR_TABLE[[#This Row],[SSE RISK TRAVEL]]</f>
        <v>0</v>
      </c>
      <c r="BH37">
        <f>PART_NUMBER_GENERATOR_TABLE[[#This Row],[Sell Rate]]*PART_NUMBER_GENERATOR_TABLE[[#This Row],[Project Risk Travel Hours]]</f>
        <v>0</v>
      </c>
      <c r="BI37">
        <f>PART_NUMBER_GENERATOR_TABLE[[#This Row],[Project Risk Travel Hours]]*PART_NUMBER_GENERATOR_TABLE[[#This Row],[Cost Rate]]</f>
        <v>0</v>
      </c>
      <c r="BJ3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3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37">
        <f>IFERROR(-VLOOKUP(INDEX(ENGINEER_ROLES,MATCH(PART_NUMBER_GENERATOR_TABLE[[#This Row],[Work Role]],settings.Table_Engineer.Roles[ID],0),1),Settings_Hidden!$H$359:$K$366,4,FALSE),0)</f>
        <v>0</v>
      </c>
      <c r="BM37" s="680">
        <f>-Summary!$C$66</f>
        <v>0</v>
      </c>
      <c r="BN37" s="465">
        <f>PART_NUMBER_GENERATOR_TABLE[[#This Row],[Total Base Price]]*MIN(PART_NUMBER_GENERATOR_TABLE[[#This Row],[Rate Service Discount]:[Flat Service Discount]])</f>
        <v>0</v>
      </c>
      <c r="BO37" s="451" t="str">
        <f>IF(PART_NUMBER_GENERATOR_TABLE[[#This Row],[Quantity]]&lt;&gt;0,MAX($BO$30:BO36)+1,"")</f>
        <v/>
      </c>
      <c r="BP37" t="str">
        <f>PART_NUMBER_GENERATOR_TABLE[[#This Row],[Part Number]]</f>
        <v>A-PS-P-NETWRK-PM-BH</v>
      </c>
      <c r="BQ37">
        <f>PART_NUMBER_GENERATOR_TABLE[[#This Row],[Total Hours]]</f>
        <v>0</v>
      </c>
      <c r="BR37">
        <f>PART_NUMBER_GENERATOR_TABLE[[#This Row],[Cost Rate]]</f>
        <v>147.55803124436895</v>
      </c>
      <c r="BS37" s="465">
        <f>PART_NUMBER_GENERATOR_TABLE[[#This Row],[Sell Rate]]+(PART_NUMBER_GENERATOR_TABLE[[#This Row],[Sell Rate]]*MIN(PART_NUMBER_GENERATOR_TABLE[[#This Row],[Rate Service Discount]:[Flat Service Discount]]))</f>
        <v>225</v>
      </c>
    </row>
    <row r="38" spans="1:71">
      <c r="A38">
        <v>8</v>
      </c>
      <c r="C38" t="s">
        <v>977</v>
      </c>
      <c r="D38" t="str" cm="1">
        <f t="array" ref="D38">INDEX(Table.Settings_Skill.List[Skill Name],MATCH(INDEX(_xlfn.TEXTSPLIT(C38,"-",,TRUE),4),Table.Settings_Skill.List[Skill Code],0),1)</f>
        <v>Networking</v>
      </c>
      <c r="E38" t="str" cm="1">
        <f t="array" ref="E38">INDEX(_xlfn.TEXTSPLIT(C38,"-",,TRUE),5)</f>
        <v>SPM</v>
      </c>
      <c r="F38" t="str">
        <f>IFERROR(INDEX(settings.Table_Engineer.Roles[Department Code],MATCH(PART_NUMBER_GENERATOR_TABLE[[#This Row],[Work Role]],settings.Table_Engineer.Roles[ID],0),1),"PMO")</f>
        <v>PMO</v>
      </c>
      <c r="G38" t="str" cm="1">
        <f t="array" ref="G38">INDEX(_xlfn.TEXTSPLIT(C38,"-",,TRUE),6)</f>
        <v>BH</v>
      </c>
      <c r="H3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259</v>
      </c>
      <c r="I3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178.54009633394438</v>
      </c>
      <c r="J38" cm="1">
        <f t="array" ref="J38">IF(J$1&lt;&gt;PART_NUMBER_GENERATOR_TABLE[[#This Row],[Work Role]:[Work Role]],0,
IF(RIGHT(J$30,2)&lt;&gt;PART_NUMBER_GENERATOR_TABLE[[#This Row],[Work Type]:[Work Type]],0,
SUMIFS(Input_Tasks[R1 Business Hours],Input_Tasks[[Skill Required]:[Skill Required]],PART_NUMBER_GENERATOR_TABLE[[#This Row],[Tech]:[Tech]])))</f>
        <v>0</v>
      </c>
      <c r="K38" cm="1">
        <f t="array" ref="K38">IF(K$1&lt;&gt;PART_NUMBER_GENERATOR_TABLE[[#This Row],[Work Role]:[Work Role]],0,
IF(RIGHT(K$30,2)&lt;&gt;PART_NUMBER_GENERATOR_TABLE[[#This Row],[Work Type]:[Work Type]],0,
SUMIFS(Input_Tasks[R1 After Hours],Input_Tasks[[Skill Required]:[Skill Required]],PART_NUMBER_GENERATOR_TABLE[[#This Row],[Tech]:[Tech]])))</f>
        <v>0</v>
      </c>
      <c r="L38" cm="1">
        <f t="array" ref="L38">IF(L$1&lt;&gt;PART_NUMBER_GENERATOR_TABLE[[#This Row],[Work Role]:[Work Role]],0,
IF(RIGHT(L$30,2)&lt;&gt;PART_NUMBER_GENERATOR_TABLE[[#This Row],[Work Type]:[Work Type]],0,
SUMIFS(Input_Tasks[R2 Business Hours],Input_Tasks[[Skill Required]:[Skill Required]],PART_NUMBER_GENERATOR_TABLE[[#This Row],[Tech]:[Tech]])))</f>
        <v>0</v>
      </c>
      <c r="M38" cm="1">
        <f t="array" ref="M38">IF(M$1&lt;&gt;PART_NUMBER_GENERATOR_TABLE[[#This Row],[Work Role]:[Work Role]],0,
IF(RIGHT(M$30,2)&lt;&gt;PART_NUMBER_GENERATOR_TABLE[[#This Row],[Work Type]:[Work Type]],0,
SUMIFS(Input_Tasks[R2 After Hours],Input_Tasks[[Skill Required]:[Skill Required]],PART_NUMBER_GENERATOR_TABLE[[#This Row],[Tech]:[Tech]])))</f>
        <v>0</v>
      </c>
      <c r="N38" cm="1">
        <f t="array" ref="N38">IF(N$1&lt;&gt;PART_NUMBER_GENERATOR_TABLE[[#This Row],[Work Role]:[Work Role]],0,
IF(RIGHT(N$30,2)&lt;&gt;PART_NUMBER_GENERATOR_TABLE[[#This Row],[Work Type]:[Work Type]],0,
SUMIFS(Input_Tasks[R3 Business Hours],Input_Tasks[[Skill Required]:[Skill Required]],PART_NUMBER_GENERATOR_TABLE[[#This Row],[Tech]:[Tech]])))</f>
        <v>0</v>
      </c>
      <c r="O38" cm="1">
        <f t="array" ref="O38">IF(O$1&lt;&gt;PART_NUMBER_GENERATOR_TABLE[[#This Row],[Work Role]:[Work Role]],0,
IF(RIGHT(O$30,2)&lt;&gt;PART_NUMBER_GENERATOR_TABLE[[#This Row],[Work Type]:[Work Type]],0,
SUMIFS(Input_Tasks[R3 After Hours],Input_Tasks[[Skill Required]:[Skill Required]],PART_NUMBER_GENERATOR_TABLE[[#This Row],[Tech]:[Tech]])))</f>
        <v>0</v>
      </c>
      <c r="P38" cm="1">
        <f t="array" ref="P38">IF(P$1&lt;&gt;PART_NUMBER_GENERATOR_TABLE[[#This Row],[Work Role]:[Work Role]],0,
IF(RIGHT(P$30,2)&lt;&gt;PART_NUMBER_GENERATOR_TABLE[[#This Row],[Work Type]:[Work Type]],0,
SUMIFS(Input_Tasks[R4 Business Hours],Input_Tasks[[Skill Required]:[Skill Required]],PART_NUMBER_GENERATOR_TABLE[[#This Row],[Tech]:[Tech]])))</f>
        <v>0</v>
      </c>
      <c r="Q38" cm="1">
        <f t="array" ref="Q38">IF(Q$1&lt;&gt;PART_NUMBER_GENERATOR_TABLE[[#This Row],[Work Role]:[Work Role]],0,
IF(RIGHT(Q$30,2)&lt;&gt;PART_NUMBER_GENERATOR_TABLE[[#This Row],[Work Type]:[Work Type]],0,
SUMIFS(Input_Tasks[R4 After Hours],Input_Tasks[[Skill Required]:[Skill Required]],PART_NUMBER_GENERATOR_TABLE[[#This Row],[Tech]:[Tech]])))</f>
        <v>0</v>
      </c>
      <c r="R38" cm="1">
        <f t="array" ref="R38">IF(R$1&lt;&gt;PART_NUMBER_GENERATOR_TABLE[[#This Row],[Work Role]:[Work Role]],0,
IF(RIGHT(R$30,2)&lt;&gt;PART_NUMBER_GENERATOR_TABLE[[#This Row],[Work Type]:[Work Type]],0,
SUMIFS(Input_Tasks[R5 Business Hours],Input_Tasks[[Skill Required]:[Skill Required]],PART_NUMBER_GENERATOR_TABLE[[#This Row],[Tech]:[Tech]])))</f>
        <v>0</v>
      </c>
      <c r="S38" cm="1">
        <f t="array" ref="S38">IF(S$1&lt;&gt;PART_NUMBER_GENERATOR_TABLE[[#This Row],[Work Role]:[Work Role]],0,
IF(RIGHT(S$30,2)&lt;&gt;PART_NUMBER_GENERATOR_TABLE[[#This Row],[Work Type]:[Work Type]],0,
SUMIFS(Input_Tasks[R5 After Hours],Input_Tasks[[Skill Required]:[Skill Required]],PART_NUMBER_GENERATOR_TABLE[[#This Row],[Tech]:[Tech]])))</f>
        <v>0</v>
      </c>
      <c r="T38" cm="1">
        <f t="array" ref="T38">IF(PART_NUMBER_GENERATOR_TABLE[[#This Row],[Work Role]:[Work Role]]&lt;&gt;T$1,0,
IF(PART_NUMBER_GENERATOR_TABLE[[#This Row],[Work Type]:[Work Type]]&lt;&gt;"BH",0,
SUMIFS(T$9:T$24,$M$9:$M$24,PART_NUMBER_GENERATOR_TABLE[[#This Row],[Tech]:[Tech]])))</f>
        <v>0</v>
      </c>
      <c r="U38" cm="1">
        <f t="array" ref="U38">IF(PART_NUMBER_GENERATOR_TABLE[[#This Row],[Work Role]:[Work Role]]&lt;&gt;U$1,0,
IF(PART_NUMBER_GENERATOR_TABLE[[#This Row],[Work Type]:[Work Type]]&lt;&gt;"BH",0,
SUMIFS(U$9:U$24,$M$9:$M$24,PART_NUMBER_GENERATOR_TABLE[[#This Row],[Tech]:[Tech]])))</f>
        <v>0</v>
      </c>
      <c r="V38" cm="1">
        <f t="array" ref="V38">IF(PART_NUMBER_GENERATOR_TABLE[[#This Row],[Work Role]:[Work Role]]&lt;&gt;V$1,0,
IF(PART_NUMBER_GENERATOR_TABLE[[#This Row],[Work Type]:[Work Type]]&lt;&gt;"BH",0,
SUMIFS(V$9:V$24,$M$9:$M$24,PART_NUMBER_GENERATOR_TABLE[[#This Row],[Tech]:[Tech]])))</f>
        <v>0</v>
      </c>
      <c r="W38" cm="1">
        <f t="array" ref="W38">IF(PART_NUMBER_GENERATOR_TABLE[[#This Row],[Work Role]:[Work Role]]&lt;&gt;W$1,0,
IF(PART_NUMBER_GENERATOR_TABLE[[#This Row],[Work Type]:[Work Type]]&lt;&gt;"BH",0,
SUMIFS(W$9:W$24,$M$9:$M$24,PART_NUMBER_GENERATOR_TABLE[[#This Row],[Tech]:[Tech]])))</f>
        <v>0</v>
      </c>
      <c r="X38" cm="1">
        <f t="array" ref="X38">IF(PART_NUMBER_GENERATOR_TABLE[[#This Row],[Work Role]:[Work Role]]&lt;&gt;X$1,0,
IF(PART_NUMBER_GENERATOR_TABLE[[#This Row],[Work Type]:[Work Type]]&lt;&gt;"BH",0,
SUMIFS(X$9:X$24,$M$9:$M$24,PART_NUMBER_GENERATOR_TABLE[[#This Row],[Tech]:[Tech]])))</f>
        <v>0</v>
      </c>
      <c r="Y38" cm="1">
        <f t="array" ref="Y38">IF(PART_NUMBER_GENERATOR_TABLE[[#This Row],[Work Role]:[Work Role]]&lt;&gt;Y$1,0,
IF(PART_NUMBER_GENERATOR_TABLE[[#This Row],[Work Type]:[Work Type]]&lt;&gt;"BH",0,
SUMIFS(Y$9:Y$24,$M$9:$M$24,PART_NUMBER_GENERATOR_TABLE[[#This Row],[Tech]:[Tech]])))</f>
        <v>0</v>
      </c>
      <c r="Z38" cm="1">
        <f t="array" ref="Z38">IF(PART_NUMBER_GENERATOR_TABLE[[#This Row],[Work Role]:[Work Role]]&lt;&gt;Z$1,0,
IF(PART_NUMBER_GENERATOR_TABLE[[#This Row],[Work Type]:[Work Type]]&lt;&gt;"BH",0,
SUMIFS(Z$9:Z$24,$M$9:$M$24,PART_NUMBER_GENERATOR_TABLE[[#This Row],[Tech]:[Tech]])))</f>
        <v>0</v>
      </c>
      <c r="AA38" cm="1">
        <f t="array" ref="AA38">IF(PART_NUMBER_GENERATOR_TABLE[[#This Row],[Work Role]:[Work Role]]&lt;&gt;AA$1,0,
IF(PART_NUMBER_GENERATOR_TABLE[[#This Row],[Work Type]:[Work Type]]&lt;&gt;"BH",0,
SUMIFS(AA$9:AA$24,$M$9:$M$24,PART_NUMBER_GENERATOR_TABLE[[#This Row],[Tech]:[Tech]])))</f>
        <v>0</v>
      </c>
      <c r="AB38" cm="1">
        <f t="array" ref="AB38">IF(PART_NUMBER_GENERATOR_TABLE[[#This Row],[Work Role]:[Work Role]]&lt;&gt;AB$1,0,
IF(PART_NUMBER_GENERATOR_TABLE[[#This Row],[Work Type]:[Work Type]]&lt;&gt;"BH",0,
SUMIFS(AB$9:AB$24,$M$9:$M$24,PART_NUMBER_GENERATOR_TABLE[[#This Row],[Tech]:[Tech]])))</f>
        <v>0</v>
      </c>
      <c r="AC38" cm="1">
        <f t="array" ref="AC38">IF(PART_NUMBER_GENERATOR_TABLE[[#This Row],[Work Role]:[Work Role]]&lt;&gt;AC$1,0,
IF(PART_NUMBER_GENERATOR_TABLE[[#This Row],[Work Type]:[Work Type]]&lt;&gt;"BH",0,
SUMIFS(AC$9:AC$24,$M$9:$M$24,PART_NUMBER_GENERATOR_TABLE[[#This Row],[Tech]:[Tech]])))</f>
        <v>0</v>
      </c>
      <c r="AD38" cm="1">
        <f t="array" ref="AD38">IF(PART_NUMBER_GENERATOR_TABLE[[#This Row],[Work Role]:[Work Role]]&lt;&gt;AD$1,0,
IF(PART_NUMBER_GENERATOR_TABLE[[#This Row],[Work Type]:[Work Type]]&lt;&gt;"BH",0,
SUMIFS(AD$9:AD$24,$M$9:$M$24,PART_NUMBER_GENERATOR_TABLE[[#This Row],[Tech]:[Tech]])))</f>
        <v>0</v>
      </c>
      <c r="AE38" cm="1">
        <f t="array" ref="AE38">IF(PART_NUMBER_GENERATOR_TABLE[[#This Row],[Work Role]:[Work Role]]&lt;&gt;AE$1,0,
IF(PART_NUMBER_GENERATOR_TABLE[[#This Row],[Work Type]:[Work Type]]&lt;&gt;"BH",0,
SUMIFS(AE$9:AE$24,$M$9:$M$24,PART_NUMBER_GENERATOR_TABLE[[#This Row],[Tech]:[Tech]])))</f>
        <v>0</v>
      </c>
      <c r="AF38" cm="1">
        <f t="array" ref="AF38">IF(PART_NUMBER_GENERATOR_TABLE[[#This Row],[Work Role]:[Work Role]]&lt;&gt;AF$1,0,
IF(PART_NUMBER_GENERATOR_TABLE[[#This Row],[Work Type]:[Work Type]]&lt;&gt;"BH",0,
SUMIFS(AF$9:AF$24,$M$9:$M$24,PART_NUMBER_GENERATOR_TABLE[[#This Row],[Tech]:[Tech]])))</f>
        <v>0</v>
      </c>
      <c r="AG38" cm="1">
        <f t="array" ref="AG38">IF(PART_NUMBER_GENERATOR_TABLE[[#This Row],[Work Role]:[Work Role]]&lt;&gt;AG$1,0,
IF(PART_NUMBER_GENERATOR_TABLE[[#This Row],[Work Type]:[Work Type]]&lt;&gt;"AH",0,
SUMIFS(AG$9:AG$24,$M$9:$M$24,PART_NUMBER_GENERATOR_TABLE[[#This Row],[Tech]:[Tech]])))</f>
        <v>0</v>
      </c>
      <c r="AH38" cm="1">
        <f t="array" ref="AH38">IF(PART_NUMBER_GENERATOR_TABLE[[#This Row],[Work Role]:[Work Role]]&lt;&gt;AH$1,0,
IF(PART_NUMBER_GENERATOR_TABLE[[#This Row],[Work Type]:[Work Type]]&lt;&gt;"BH",0,
SUMIFS(AH$9:AH$24,$M$9:$M$24,PART_NUMBER_GENERATOR_TABLE[[#This Row],[Tech]:[Tech]])))</f>
        <v>0</v>
      </c>
      <c r="AI38" cm="1">
        <f t="array" ref="AI38">IF(PART_NUMBER_GENERATOR_TABLE[[#This Row],[Work Role]:[Work Role]]&lt;&gt;AI$1,0,
IF(PART_NUMBER_GENERATOR_TABLE[[#This Row],[Work Type]:[Work Type]]&lt;&gt;"BH",0,
SUMIFS(AI$9:AI$24,$M$9:$M$24,PART_NUMBER_GENERATOR_TABLE[[#This Row],[Tech]:[Tech]])))</f>
        <v>0</v>
      </c>
      <c r="AJ38" cm="1">
        <f t="array" ref="AJ38">IF(PART_NUMBER_GENERATOR_TABLE[[#This Row],[Work Role]:[Work Role]]&lt;&gt;AJ$1,0,
IF(PART_NUMBER_GENERATOR_TABLE[[#This Row],[Work Type]:[Work Type]]&lt;&gt;"BH",0,
SUMIFS(AJ$9:AJ$24,$M$9:$M$24,PART_NUMBER_GENERATOR_TABLE[[#This Row],[Tech]:[Tech]])))</f>
        <v>0</v>
      </c>
      <c r="AK38" cm="1">
        <f t="array" ref="AK38">IF(PART_NUMBER_GENERATOR_TABLE[[#This Row],[Work Role]:[Work Role]]&lt;&gt;AK$1,0,
IF(PART_NUMBER_GENERATOR_TABLE[[#This Row],[Work Type]:[Work Type]]&lt;&gt;"AH",0,
SUMIFS(AK$9:AK$24,$M$9:$M$24,PART_NUMBER_GENERATOR_TABLE[[#This Row],[Tech]:[Tech]])))</f>
        <v>0</v>
      </c>
      <c r="AL38" cm="1">
        <f t="array" ref="AL38">IF(PART_NUMBER_GENERATOR_TABLE[[#This Row],[Work Role]:[Work Role]]&lt;&gt;AL$1,0,
IF(PART_NUMBER_GENERATOR_TABLE[[#This Row],[Work Type]:[Work Type]]&lt;&gt;"BH",0,
SUMIFS(AL$9:AL$24,$M$9:$M$24,PART_NUMBER_GENERATOR_TABLE[[#This Row],[Tech]:[Tech]])))</f>
        <v>0</v>
      </c>
      <c r="AM38">
        <f>0</f>
        <v>0</v>
      </c>
      <c r="AN38" cm="1">
        <f t="array" ref="AN38">IF(PART_NUMBER_GENERATOR_TABLE[[#This Row],[Work Role]:[Work Role]]&lt;&gt;AN$1,0,
IF(PART_NUMBER_GENERATOR_TABLE[[#This Row],[Work Type]:[Work Type]]&lt;&gt;"BH",0,
SUMIFS(AN$24,$AM$24,PART_NUMBER_GENERATOR_TABLE[[#This Row],[Tech]:[Tech]])))</f>
        <v>0</v>
      </c>
      <c r="AO38" cm="1">
        <f t="array" ref="AO38">IF(PART_NUMBER_GENERATOR_TABLE[[#This Row],[Work Role]:[Work Role]]&lt;&gt;AO$1,0,
IF(PART_NUMBER_GENERATOR_TABLE[[#This Row],[Work Type]:[Work Type]]&lt;&gt;"BH",0,
SUMIFS(AO$24,$AM$24,PART_NUMBER_GENERATOR_TABLE[[#This Row],[Tech]:[Tech]])))</f>
        <v>0</v>
      </c>
      <c r="AP38" cm="1">
        <f t="array" ref="AP38">IF(PART_NUMBER_GENERATOR_TABLE[[#This Row],[Work Role]:[Work Role]]&lt;&gt;AP$1,0,
IF(PART_NUMBER_GENERATOR_TABLE[[#This Row],[Work Type]:[Work Type]]&lt;&gt;"BH",0,
SUMIFS(AP$24,$AM$24,PART_NUMBER_GENERATOR_TABLE[[#This Row],[Tech]:[Tech]])))</f>
        <v>0</v>
      </c>
      <c r="AQ38" cm="1">
        <f t="array" ref="AQ38">IF(PART_NUMBER_GENERATOR_TABLE[[#This Row],[Work Role]:[Work Role]]&lt;&gt;AQ$1,0,
IF(PART_NUMBER_GENERATOR_TABLE[[#This Row],[Work Type]:[Work Type]]&lt;&gt;"BH",0,
SUMIFS(AQ$24,$AM$24,PART_NUMBER_GENERATOR_TABLE[[#This Row],[Tech]:[Tech]])))</f>
        <v>0</v>
      </c>
      <c r="AR38" cm="1">
        <f t="array" ref="AR38">IF(PART_NUMBER_GENERATOR_TABLE[[#This Row],[Work Role]:[Work Role]]&lt;&gt;AR$1,0,
IF(PART_NUMBER_GENERATOR_TABLE[[#This Row],[Work Type]:[Work Type]]&lt;&gt;"BH",0,
SUMIFS(AR$24,$AM$24,PART_NUMBER_GENERATOR_TABLE[[#This Row],[Tech]:[Tech]])))</f>
        <v>0</v>
      </c>
      <c r="AS38" cm="1">
        <f t="array" ref="AS38">IF(PART_NUMBER_GENERATOR_TABLE[[#This Row],[Work Role]:[Work Role]]&lt;&gt;AS$1,0,
IF(PART_NUMBER_GENERATOR_TABLE[[#This Row],[Work Type]:[Work Type]]&lt;&gt;"BH",0,
SUMIFS(AS$24,$AM$24,PART_NUMBER_GENERATOR_TABLE[[#This Row],[Tech]:[Tech]])))</f>
        <v>0</v>
      </c>
      <c r="AT38" cm="1">
        <f t="array" ref="AT38">IF(PART_NUMBER_GENERATOR_TABLE[[#This Row],[Work Role]:[Work Role]]&lt;&gt;AS$1,0,
IF(PART_NUMBER_GENERATOR_TABLE[[#This Row],[Work Type]:[Work Type]]&lt;&gt;"BH",0,
SUMIFS(AT$24,$AM$24,PART_NUMBER_GENERATOR_TABLE[[#This Row],[Tech]:[Tech]])))</f>
        <v>0</v>
      </c>
      <c r="AU38">
        <f>SUM(PART_NUMBER_GENERATOR_TABLE[[#This Row],[Resource 1 BH]:[Resource 5 AH]],PART_NUMBER_GENERATOR_TABLE[[#This Row],[R1 Mandatory Tasks]:[R5 Mandatory Tasks]],PART_NUMBER_GENERATOR_TABLE[[#This Row],[R1 Remainder]:[R5 Remainder]])</f>
        <v>0</v>
      </c>
      <c r="AV38">
        <f>PART_NUMBER_GENERATOR_TABLE[[#This Row],[Professional Engineering Hours]]*PART_NUMBER_GENERATOR_TABLE[[#This Row],[Sell Rate]]</f>
        <v>0</v>
      </c>
      <c r="AW38">
        <f>PART_NUMBER_GENERATOR_TABLE[[#This Row],[Professional Engineering Hours]]*PART_NUMBER_GENERATOR_TABLE[[#This Row],[Cost Rate]]</f>
        <v>0</v>
      </c>
      <c r="AX38">
        <f>SUM(PART_NUMBER_GENERATOR_TABLE[[#This Row],[PM Trips]:[R5 Trips]])</f>
        <v>0</v>
      </c>
      <c r="AY38">
        <f>PART_NUMBER_GENERATOR_TABLE[[#This Row],[Travel &amp; Accommodation Hours]]*PART_NUMBER_GENERATOR_TABLE[[#This Row],[Sell Rate]]</f>
        <v>0</v>
      </c>
      <c r="AZ38">
        <f>PART_NUMBER_GENERATOR_TABLE[[#This Row],[Travel &amp; Accommodation Hours]]*PART_NUMBER_GENERATOR_TABLE[[#This Row],[Cost Rate]]</f>
        <v>0</v>
      </c>
      <c r="BA38">
        <f>PART_NUMBER_GENERATOR_TABLE[[#This Row],[PM Hours]]+PART_NUMBER_GENERATOR_TABLE[[#This Row],[PM Remainder]]</f>
        <v>0</v>
      </c>
      <c r="BB38">
        <f>PART_NUMBER_GENERATOR_TABLE[[#This Row],[Project Management Hours]]*PART_NUMBER_GENERATOR_TABLE[[#This Row],[Sell Rate]]</f>
        <v>0</v>
      </c>
      <c r="BC38">
        <f>PART_NUMBER_GENERATOR_TABLE[[#This Row],[Project Management Hours]]*PART_NUMBER_GENERATOR_TABLE[[#This Row],[Cost Rate]]</f>
        <v>0</v>
      </c>
      <c r="BD38">
        <f>SUM(PART_NUMBER_GENERATOR_TABLE[[#This Row],[SSE RISK BH]:[PM RISK]],PART_NUMBER_GENERATOR_TABLE[[#This Row],[SSE Remainder RISK BH]:[PM Remainder RISK]])</f>
        <v>0</v>
      </c>
      <c r="BE38">
        <f>PART_NUMBER_GENERATOR_TABLE[[#This Row],[Project Risk Service Hours]]*PART_NUMBER_GENERATOR_TABLE[[#This Row],[Sell Rate]]</f>
        <v>0</v>
      </c>
      <c r="BF38">
        <f>PART_NUMBER_GENERATOR_TABLE[[#This Row],[Project Risk Service Hours]]*PART_NUMBER_GENERATOR_TABLE[[#This Row],[Cost Rate]]</f>
        <v>0</v>
      </c>
      <c r="BG38">
        <f>PART_NUMBER_GENERATOR_TABLE[[#This Row],[SSE RISK TRAVEL]]</f>
        <v>0</v>
      </c>
      <c r="BH38">
        <f>PART_NUMBER_GENERATOR_TABLE[[#This Row],[Sell Rate]]*PART_NUMBER_GENERATOR_TABLE[[#This Row],[Project Risk Travel Hours]]</f>
        <v>0</v>
      </c>
      <c r="BI38">
        <f>PART_NUMBER_GENERATOR_TABLE[[#This Row],[Project Risk Travel Hours]]*PART_NUMBER_GENERATOR_TABLE[[#This Row],[Cost Rate]]</f>
        <v>0</v>
      </c>
      <c r="BJ3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3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38">
        <f>IFERROR(-VLOOKUP(INDEX(ENGINEER_ROLES,MATCH(PART_NUMBER_GENERATOR_TABLE[[#This Row],[Work Role]],settings.Table_Engineer.Roles[ID],0),1),Settings_Hidden!$H$359:$K$366,4,FALSE),0)</f>
        <v>0</v>
      </c>
      <c r="BM38" s="680">
        <f>-Summary!$C$66</f>
        <v>0</v>
      </c>
      <c r="BN38" s="465">
        <f>PART_NUMBER_GENERATOR_TABLE[[#This Row],[Total Base Price]]*MIN(PART_NUMBER_GENERATOR_TABLE[[#This Row],[Rate Service Discount]:[Flat Service Discount]])</f>
        <v>0</v>
      </c>
      <c r="BO38" s="451" t="str">
        <f>IF(PART_NUMBER_GENERATOR_TABLE[[#This Row],[Quantity]]&lt;&gt;0,MAX($BO$30:BO37)+1,"")</f>
        <v/>
      </c>
      <c r="BP38" t="str">
        <f>PART_NUMBER_GENERATOR_TABLE[[#This Row],[Part Number]]</f>
        <v>A-PS-P-NETWRK-SPM-BH</v>
      </c>
      <c r="BQ38">
        <f>PART_NUMBER_GENERATOR_TABLE[[#This Row],[Total Hours]]</f>
        <v>0</v>
      </c>
      <c r="BR38">
        <f>PART_NUMBER_GENERATOR_TABLE[[#This Row],[Cost Rate]]</f>
        <v>178.54009633394438</v>
      </c>
      <c r="BS38" s="465">
        <f>PART_NUMBER_GENERATOR_TABLE[[#This Row],[Sell Rate]]+(PART_NUMBER_GENERATOR_TABLE[[#This Row],[Sell Rate]]*MIN(PART_NUMBER_GENERATOR_TABLE[[#This Row],[Rate Service Discount]:[Flat Service Discount]]))</f>
        <v>259</v>
      </c>
    </row>
    <row r="39" spans="1:71">
      <c r="A39">
        <v>9</v>
      </c>
      <c r="C39" t="s">
        <v>995</v>
      </c>
      <c r="D39" t="str" cm="1">
        <f t="array" ref="D39">INDEX(Table.Settings_Skill.List[Skill Name],MATCH(INDEX(_xlfn.TEXTSPLIT(C39,"-",,TRUE),4),Table.Settings_Skill.List[Skill Code],0),1)</f>
        <v>Operational Technology</v>
      </c>
      <c r="E39" t="str" cm="1">
        <f t="array" ref="E39">INDEX(_xlfn.TEXTSPLIT(C39,"-",,TRUE),5)</f>
        <v>PM</v>
      </c>
      <c r="F39" t="str">
        <f>IFERROR(INDEX(settings.Table_Engineer.Roles[Department Code],MATCH(PART_NUMBER_GENERATOR_TABLE[[#This Row],[Work Role]],settings.Table_Engineer.Roles[ID],0),1),"PMO")</f>
        <v>PMO</v>
      </c>
      <c r="G39" t="str" cm="1">
        <f t="array" ref="G39">INDEX(_xlfn.TEXTSPLIT(C39,"-",,TRUE),6)</f>
        <v>BH</v>
      </c>
      <c r="H3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225</v>
      </c>
      <c r="I3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147.55803124436895</v>
      </c>
      <c r="J39" cm="1">
        <f t="array" ref="J39">IF(J$1&lt;&gt;PART_NUMBER_GENERATOR_TABLE[[#This Row],[Work Role]:[Work Role]],0,
IF(RIGHT(J$30,2)&lt;&gt;PART_NUMBER_GENERATOR_TABLE[[#This Row],[Work Type]:[Work Type]],0,
SUMIFS(Input_Tasks[R1 Business Hours],Input_Tasks[[Skill Required]:[Skill Required]],PART_NUMBER_GENERATOR_TABLE[[#This Row],[Tech]:[Tech]])))</f>
        <v>0</v>
      </c>
      <c r="K39" cm="1">
        <f t="array" ref="K39">IF(K$1&lt;&gt;PART_NUMBER_GENERATOR_TABLE[[#This Row],[Work Role]:[Work Role]],0,
IF(RIGHT(K$30,2)&lt;&gt;PART_NUMBER_GENERATOR_TABLE[[#This Row],[Work Type]:[Work Type]],0,
SUMIFS(Input_Tasks[R1 After Hours],Input_Tasks[[Skill Required]:[Skill Required]],PART_NUMBER_GENERATOR_TABLE[[#This Row],[Tech]:[Tech]])))</f>
        <v>0</v>
      </c>
      <c r="L39" cm="1">
        <f t="array" ref="L39">IF(L$1&lt;&gt;PART_NUMBER_GENERATOR_TABLE[[#This Row],[Work Role]:[Work Role]],0,
IF(RIGHT(L$30,2)&lt;&gt;PART_NUMBER_GENERATOR_TABLE[[#This Row],[Work Type]:[Work Type]],0,
SUMIFS(Input_Tasks[R2 Business Hours],Input_Tasks[[Skill Required]:[Skill Required]],PART_NUMBER_GENERATOR_TABLE[[#This Row],[Tech]:[Tech]])))</f>
        <v>0</v>
      </c>
      <c r="M39" cm="1">
        <f t="array" ref="M39">IF(M$1&lt;&gt;PART_NUMBER_GENERATOR_TABLE[[#This Row],[Work Role]:[Work Role]],0,
IF(RIGHT(M$30,2)&lt;&gt;PART_NUMBER_GENERATOR_TABLE[[#This Row],[Work Type]:[Work Type]],0,
SUMIFS(Input_Tasks[R2 After Hours],Input_Tasks[[Skill Required]:[Skill Required]],PART_NUMBER_GENERATOR_TABLE[[#This Row],[Tech]:[Tech]])))</f>
        <v>0</v>
      </c>
      <c r="N39" cm="1">
        <f t="array" ref="N39">IF(N$1&lt;&gt;PART_NUMBER_GENERATOR_TABLE[[#This Row],[Work Role]:[Work Role]],0,
IF(RIGHT(N$30,2)&lt;&gt;PART_NUMBER_GENERATOR_TABLE[[#This Row],[Work Type]:[Work Type]],0,
SUMIFS(Input_Tasks[R3 Business Hours],Input_Tasks[[Skill Required]:[Skill Required]],PART_NUMBER_GENERATOR_TABLE[[#This Row],[Tech]:[Tech]])))</f>
        <v>0</v>
      </c>
      <c r="O39" cm="1">
        <f t="array" ref="O39">IF(O$1&lt;&gt;PART_NUMBER_GENERATOR_TABLE[[#This Row],[Work Role]:[Work Role]],0,
IF(RIGHT(O$30,2)&lt;&gt;PART_NUMBER_GENERATOR_TABLE[[#This Row],[Work Type]:[Work Type]],0,
SUMIFS(Input_Tasks[R3 After Hours],Input_Tasks[[Skill Required]:[Skill Required]],PART_NUMBER_GENERATOR_TABLE[[#This Row],[Tech]:[Tech]])))</f>
        <v>0</v>
      </c>
      <c r="P39" cm="1">
        <f t="array" ref="P39">IF(P$1&lt;&gt;PART_NUMBER_GENERATOR_TABLE[[#This Row],[Work Role]:[Work Role]],0,
IF(RIGHT(P$30,2)&lt;&gt;PART_NUMBER_GENERATOR_TABLE[[#This Row],[Work Type]:[Work Type]],0,
SUMIFS(Input_Tasks[R4 Business Hours],Input_Tasks[[Skill Required]:[Skill Required]],PART_NUMBER_GENERATOR_TABLE[[#This Row],[Tech]:[Tech]])))</f>
        <v>0</v>
      </c>
      <c r="Q39" cm="1">
        <f t="array" ref="Q39">IF(Q$1&lt;&gt;PART_NUMBER_GENERATOR_TABLE[[#This Row],[Work Role]:[Work Role]],0,
IF(RIGHT(Q$30,2)&lt;&gt;PART_NUMBER_GENERATOR_TABLE[[#This Row],[Work Type]:[Work Type]],0,
SUMIFS(Input_Tasks[R4 After Hours],Input_Tasks[[Skill Required]:[Skill Required]],PART_NUMBER_GENERATOR_TABLE[[#This Row],[Tech]:[Tech]])))</f>
        <v>0</v>
      </c>
      <c r="R39" cm="1">
        <f t="array" ref="R39">IF(R$1&lt;&gt;PART_NUMBER_GENERATOR_TABLE[[#This Row],[Work Role]:[Work Role]],0,
IF(RIGHT(R$30,2)&lt;&gt;PART_NUMBER_GENERATOR_TABLE[[#This Row],[Work Type]:[Work Type]],0,
SUMIFS(Input_Tasks[R5 Business Hours],Input_Tasks[[Skill Required]:[Skill Required]],PART_NUMBER_GENERATOR_TABLE[[#This Row],[Tech]:[Tech]])))</f>
        <v>0</v>
      </c>
      <c r="S39" cm="1">
        <f t="array" ref="S39">IF(S$1&lt;&gt;PART_NUMBER_GENERATOR_TABLE[[#This Row],[Work Role]:[Work Role]],0,
IF(RIGHT(S$30,2)&lt;&gt;PART_NUMBER_GENERATOR_TABLE[[#This Row],[Work Type]:[Work Type]],0,
SUMIFS(Input_Tasks[R5 After Hours],Input_Tasks[[Skill Required]:[Skill Required]],PART_NUMBER_GENERATOR_TABLE[[#This Row],[Tech]:[Tech]])))</f>
        <v>0</v>
      </c>
      <c r="T39" cm="1">
        <f t="array" ref="T39">IF(PART_NUMBER_GENERATOR_TABLE[[#This Row],[Work Role]:[Work Role]]&lt;&gt;T$1,0,
IF(PART_NUMBER_GENERATOR_TABLE[[#This Row],[Work Type]:[Work Type]]&lt;&gt;"BH",0,
SUMIFS(T$9:T$24,$M$9:$M$24,PART_NUMBER_GENERATOR_TABLE[[#This Row],[Tech]:[Tech]])))</f>
        <v>0</v>
      </c>
      <c r="U39" cm="1">
        <f t="array" ref="U39">IF(PART_NUMBER_GENERATOR_TABLE[[#This Row],[Work Role]:[Work Role]]&lt;&gt;U$1,0,
IF(PART_NUMBER_GENERATOR_TABLE[[#This Row],[Work Type]:[Work Type]]&lt;&gt;"BH",0,
SUMIFS(U$9:U$24,$M$9:$M$24,PART_NUMBER_GENERATOR_TABLE[[#This Row],[Tech]:[Tech]])))</f>
        <v>0</v>
      </c>
      <c r="V39" cm="1">
        <f t="array" ref="V39">IF(PART_NUMBER_GENERATOR_TABLE[[#This Row],[Work Role]:[Work Role]]&lt;&gt;V$1,0,
IF(PART_NUMBER_GENERATOR_TABLE[[#This Row],[Work Type]:[Work Type]]&lt;&gt;"BH",0,
SUMIFS(V$9:V$24,$M$9:$M$24,PART_NUMBER_GENERATOR_TABLE[[#This Row],[Tech]:[Tech]])))</f>
        <v>0</v>
      </c>
      <c r="W39" cm="1">
        <f t="array" ref="W39">IF(PART_NUMBER_GENERATOR_TABLE[[#This Row],[Work Role]:[Work Role]]&lt;&gt;W$1,0,
IF(PART_NUMBER_GENERATOR_TABLE[[#This Row],[Work Type]:[Work Type]]&lt;&gt;"BH",0,
SUMIFS(W$9:W$24,$M$9:$M$24,PART_NUMBER_GENERATOR_TABLE[[#This Row],[Tech]:[Tech]])))</f>
        <v>0</v>
      </c>
      <c r="X39" cm="1">
        <f t="array" ref="X39">IF(PART_NUMBER_GENERATOR_TABLE[[#This Row],[Work Role]:[Work Role]]&lt;&gt;X$1,0,
IF(PART_NUMBER_GENERATOR_TABLE[[#This Row],[Work Type]:[Work Type]]&lt;&gt;"BH",0,
SUMIFS(X$9:X$24,$M$9:$M$24,PART_NUMBER_GENERATOR_TABLE[[#This Row],[Tech]:[Tech]])))</f>
        <v>0</v>
      </c>
      <c r="Y39" cm="1">
        <f t="array" ref="Y39">IF(PART_NUMBER_GENERATOR_TABLE[[#This Row],[Work Role]:[Work Role]]&lt;&gt;Y$1,0,
IF(PART_NUMBER_GENERATOR_TABLE[[#This Row],[Work Type]:[Work Type]]&lt;&gt;"BH",0,
SUMIFS(Y$9:Y$24,$M$9:$M$24,PART_NUMBER_GENERATOR_TABLE[[#This Row],[Tech]:[Tech]])))</f>
        <v>0</v>
      </c>
      <c r="Z39" cm="1">
        <f t="array" ref="Z39">IF(PART_NUMBER_GENERATOR_TABLE[[#This Row],[Work Role]:[Work Role]]&lt;&gt;Z$1,0,
IF(PART_NUMBER_GENERATOR_TABLE[[#This Row],[Work Type]:[Work Type]]&lt;&gt;"BH",0,
SUMIFS(Z$9:Z$24,$M$9:$M$24,PART_NUMBER_GENERATOR_TABLE[[#This Row],[Tech]:[Tech]])))</f>
        <v>0</v>
      </c>
      <c r="AA39" cm="1">
        <f t="array" ref="AA39">IF(PART_NUMBER_GENERATOR_TABLE[[#This Row],[Work Role]:[Work Role]]&lt;&gt;AA$1,0,
IF(PART_NUMBER_GENERATOR_TABLE[[#This Row],[Work Type]:[Work Type]]&lt;&gt;"BH",0,
SUMIFS(AA$9:AA$24,$M$9:$M$24,PART_NUMBER_GENERATOR_TABLE[[#This Row],[Tech]:[Tech]])))</f>
        <v>0</v>
      </c>
      <c r="AB39" cm="1">
        <f t="array" ref="AB39">IF(PART_NUMBER_GENERATOR_TABLE[[#This Row],[Work Role]:[Work Role]]&lt;&gt;AB$1,0,
IF(PART_NUMBER_GENERATOR_TABLE[[#This Row],[Work Type]:[Work Type]]&lt;&gt;"BH",0,
SUMIFS(AB$9:AB$24,$M$9:$M$24,PART_NUMBER_GENERATOR_TABLE[[#This Row],[Tech]:[Tech]])))</f>
        <v>0</v>
      </c>
      <c r="AC39" cm="1">
        <f t="array" ref="AC39">IF(PART_NUMBER_GENERATOR_TABLE[[#This Row],[Work Role]:[Work Role]]&lt;&gt;AC$1,0,
IF(PART_NUMBER_GENERATOR_TABLE[[#This Row],[Work Type]:[Work Type]]&lt;&gt;"BH",0,
SUMIFS(AC$9:AC$24,$M$9:$M$24,PART_NUMBER_GENERATOR_TABLE[[#This Row],[Tech]:[Tech]])))</f>
        <v>0</v>
      </c>
      <c r="AD39" cm="1">
        <f t="array" ref="AD39">IF(PART_NUMBER_GENERATOR_TABLE[[#This Row],[Work Role]:[Work Role]]&lt;&gt;AD$1,0,
IF(PART_NUMBER_GENERATOR_TABLE[[#This Row],[Work Type]:[Work Type]]&lt;&gt;"BH",0,
SUMIFS(AD$9:AD$24,$M$9:$M$24,PART_NUMBER_GENERATOR_TABLE[[#This Row],[Tech]:[Tech]])))</f>
        <v>0</v>
      </c>
      <c r="AE39" cm="1">
        <f t="array" ref="AE39">IF(PART_NUMBER_GENERATOR_TABLE[[#This Row],[Work Role]:[Work Role]]&lt;&gt;AE$1,0,
IF(PART_NUMBER_GENERATOR_TABLE[[#This Row],[Work Type]:[Work Type]]&lt;&gt;"BH",0,
SUMIFS(AE$9:AE$24,$M$9:$M$24,PART_NUMBER_GENERATOR_TABLE[[#This Row],[Tech]:[Tech]])))</f>
        <v>0</v>
      </c>
      <c r="AF39" cm="1">
        <f t="array" ref="AF39">IF(PART_NUMBER_GENERATOR_TABLE[[#This Row],[Work Role]:[Work Role]]&lt;&gt;AF$1,0,
IF(PART_NUMBER_GENERATOR_TABLE[[#This Row],[Work Type]:[Work Type]]&lt;&gt;"BH",0,
SUMIFS(AF$9:AF$24,$M$9:$M$24,PART_NUMBER_GENERATOR_TABLE[[#This Row],[Tech]:[Tech]])))</f>
        <v>0</v>
      </c>
      <c r="AG39" cm="1">
        <f t="array" ref="AG39">IF(PART_NUMBER_GENERATOR_TABLE[[#This Row],[Work Role]:[Work Role]]&lt;&gt;AG$1,0,
IF(PART_NUMBER_GENERATOR_TABLE[[#This Row],[Work Type]:[Work Type]]&lt;&gt;"AH",0,
SUMIFS(AG$9:AG$24,$M$9:$M$24,PART_NUMBER_GENERATOR_TABLE[[#This Row],[Tech]:[Tech]])))</f>
        <v>0</v>
      </c>
      <c r="AH39" cm="1">
        <f t="array" ref="AH39">IF(PART_NUMBER_GENERATOR_TABLE[[#This Row],[Work Role]:[Work Role]]&lt;&gt;AH$1,0,
IF(PART_NUMBER_GENERATOR_TABLE[[#This Row],[Work Type]:[Work Type]]&lt;&gt;"BH",0,
SUMIFS(AH$9:AH$24,$M$9:$M$24,PART_NUMBER_GENERATOR_TABLE[[#This Row],[Tech]:[Tech]])))</f>
        <v>0</v>
      </c>
      <c r="AI39" cm="1">
        <f t="array" ref="AI39">IF(PART_NUMBER_GENERATOR_TABLE[[#This Row],[Work Role]:[Work Role]]&lt;&gt;AI$1,0,
IF(PART_NUMBER_GENERATOR_TABLE[[#This Row],[Work Type]:[Work Type]]&lt;&gt;"BH",0,
SUMIFS(AI$9:AI$24,$M$9:$M$24,PART_NUMBER_GENERATOR_TABLE[[#This Row],[Tech]:[Tech]])))</f>
        <v>0</v>
      </c>
      <c r="AJ39" cm="1">
        <f t="array" ref="AJ39">IF(PART_NUMBER_GENERATOR_TABLE[[#This Row],[Work Role]:[Work Role]]&lt;&gt;AJ$1,0,
IF(PART_NUMBER_GENERATOR_TABLE[[#This Row],[Work Type]:[Work Type]]&lt;&gt;"BH",0,
SUMIFS(AJ$9:AJ$24,$M$9:$M$24,PART_NUMBER_GENERATOR_TABLE[[#This Row],[Tech]:[Tech]])))</f>
        <v>0</v>
      </c>
      <c r="AK39" cm="1">
        <f t="array" ref="AK39">IF(PART_NUMBER_GENERATOR_TABLE[[#This Row],[Work Role]:[Work Role]]&lt;&gt;AK$1,0,
IF(PART_NUMBER_GENERATOR_TABLE[[#This Row],[Work Type]:[Work Type]]&lt;&gt;"AH",0,
SUMIFS(AK$9:AK$24,$M$9:$M$24,PART_NUMBER_GENERATOR_TABLE[[#This Row],[Tech]:[Tech]])))</f>
        <v>0</v>
      </c>
      <c r="AL39" cm="1">
        <f t="array" ref="AL39">IF(PART_NUMBER_GENERATOR_TABLE[[#This Row],[Work Role]:[Work Role]]&lt;&gt;AL$1,0,
IF(PART_NUMBER_GENERATOR_TABLE[[#This Row],[Work Type]:[Work Type]]&lt;&gt;"BH",0,
SUMIFS(AL$9:AL$24,$M$9:$M$24,PART_NUMBER_GENERATOR_TABLE[[#This Row],[Tech]:[Tech]])))</f>
        <v>0</v>
      </c>
      <c r="AM39">
        <f>0</f>
        <v>0</v>
      </c>
      <c r="AN39" cm="1">
        <f t="array" ref="AN39">IF(PART_NUMBER_GENERATOR_TABLE[[#This Row],[Work Role]:[Work Role]]&lt;&gt;AN$1,0,
IF(PART_NUMBER_GENERATOR_TABLE[[#This Row],[Work Type]:[Work Type]]&lt;&gt;"BH",0,
SUMIFS(AN$24,$AM$24,PART_NUMBER_GENERATOR_TABLE[[#This Row],[Tech]:[Tech]])))</f>
        <v>0</v>
      </c>
      <c r="AO39" cm="1">
        <f t="array" ref="AO39">IF(PART_NUMBER_GENERATOR_TABLE[[#This Row],[Work Role]:[Work Role]]&lt;&gt;AO$1,0,
IF(PART_NUMBER_GENERATOR_TABLE[[#This Row],[Work Type]:[Work Type]]&lt;&gt;"BH",0,
SUMIFS(AO$24,$AM$24,PART_NUMBER_GENERATOR_TABLE[[#This Row],[Tech]:[Tech]])))</f>
        <v>0</v>
      </c>
      <c r="AP39" cm="1">
        <f t="array" ref="AP39">IF(PART_NUMBER_GENERATOR_TABLE[[#This Row],[Work Role]:[Work Role]]&lt;&gt;AP$1,0,
IF(PART_NUMBER_GENERATOR_TABLE[[#This Row],[Work Type]:[Work Type]]&lt;&gt;"BH",0,
SUMIFS(AP$24,$AM$24,PART_NUMBER_GENERATOR_TABLE[[#This Row],[Tech]:[Tech]])))</f>
        <v>0</v>
      </c>
      <c r="AQ39" cm="1">
        <f t="array" ref="AQ39">IF(PART_NUMBER_GENERATOR_TABLE[[#This Row],[Work Role]:[Work Role]]&lt;&gt;AQ$1,0,
IF(PART_NUMBER_GENERATOR_TABLE[[#This Row],[Work Type]:[Work Type]]&lt;&gt;"BH",0,
SUMIFS(AQ$24,$AM$24,PART_NUMBER_GENERATOR_TABLE[[#This Row],[Tech]:[Tech]])))</f>
        <v>0</v>
      </c>
      <c r="AR39" cm="1">
        <f t="array" ref="AR39">IF(PART_NUMBER_GENERATOR_TABLE[[#This Row],[Work Role]:[Work Role]]&lt;&gt;AR$1,0,
IF(PART_NUMBER_GENERATOR_TABLE[[#This Row],[Work Type]:[Work Type]]&lt;&gt;"BH",0,
SUMIFS(AR$24,$AM$24,PART_NUMBER_GENERATOR_TABLE[[#This Row],[Tech]:[Tech]])))</f>
        <v>0</v>
      </c>
      <c r="AS39" cm="1">
        <f t="array" ref="AS39">IF(PART_NUMBER_GENERATOR_TABLE[[#This Row],[Work Role]:[Work Role]]&lt;&gt;AS$1,0,
IF(PART_NUMBER_GENERATOR_TABLE[[#This Row],[Work Type]:[Work Type]]&lt;&gt;"BH",0,
SUMIFS(AS$24,$AM$24,PART_NUMBER_GENERATOR_TABLE[[#This Row],[Tech]:[Tech]])))</f>
        <v>0</v>
      </c>
      <c r="AT39" cm="1">
        <f t="array" ref="AT39">IF(PART_NUMBER_GENERATOR_TABLE[[#This Row],[Work Role]:[Work Role]]&lt;&gt;AS$1,0,
IF(PART_NUMBER_GENERATOR_TABLE[[#This Row],[Work Type]:[Work Type]]&lt;&gt;"BH",0,
SUMIFS(AT$24,$AM$24,PART_NUMBER_GENERATOR_TABLE[[#This Row],[Tech]:[Tech]])))</f>
        <v>0</v>
      </c>
      <c r="AU39">
        <f>SUM(PART_NUMBER_GENERATOR_TABLE[[#This Row],[Resource 1 BH]:[Resource 5 AH]],PART_NUMBER_GENERATOR_TABLE[[#This Row],[R1 Mandatory Tasks]:[R5 Mandatory Tasks]],PART_NUMBER_GENERATOR_TABLE[[#This Row],[R1 Remainder]:[R5 Remainder]])</f>
        <v>0</v>
      </c>
      <c r="AV39">
        <f>PART_NUMBER_GENERATOR_TABLE[[#This Row],[Professional Engineering Hours]]*PART_NUMBER_GENERATOR_TABLE[[#This Row],[Sell Rate]]</f>
        <v>0</v>
      </c>
      <c r="AW39">
        <f>PART_NUMBER_GENERATOR_TABLE[[#This Row],[Professional Engineering Hours]]*PART_NUMBER_GENERATOR_TABLE[[#This Row],[Cost Rate]]</f>
        <v>0</v>
      </c>
      <c r="AX39">
        <f>SUM(PART_NUMBER_GENERATOR_TABLE[[#This Row],[PM Trips]:[R5 Trips]])</f>
        <v>0</v>
      </c>
      <c r="AY39">
        <f>PART_NUMBER_GENERATOR_TABLE[[#This Row],[Travel &amp; Accommodation Hours]]*PART_NUMBER_GENERATOR_TABLE[[#This Row],[Sell Rate]]</f>
        <v>0</v>
      </c>
      <c r="AZ39">
        <f>PART_NUMBER_GENERATOR_TABLE[[#This Row],[Travel &amp; Accommodation Hours]]*PART_NUMBER_GENERATOR_TABLE[[#This Row],[Cost Rate]]</f>
        <v>0</v>
      </c>
      <c r="BA39">
        <f>PART_NUMBER_GENERATOR_TABLE[[#This Row],[PM Hours]]+PART_NUMBER_GENERATOR_TABLE[[#This Row],[PM Remainder]]</f>
        <v>0</v>
      </c>
      <c r="BB39">
        <f>PART_NUMBER_GENERATOR_TABLE[[#This Row],[Project Management Hours]]*PART_NUMBER_GENERATOR_TABLE[[#This Row],[Sell Rate]]</f>
        <v>0</v>
      </c>
      <c r="BC39">
        <f>PART_NUMBER_GENERATOR_TABLE[[#This Row],[Project Management Hours]]*PART_NUMBER_GENERATOR_TABLE[[#This Row],[Cost Rate]]</f>
        <v>0</v>
      </c>
      <c r="BD39">
        <f>SUM(PART_NUMBER_GENERATOR_TABLE[[#This Row],[SSE RISK BH]:[PM RISK]],PART_NUMBER_GENERATOR_TABLE[[#This Row],[SSE Remainder RISK BH]:[PM Remainder RISK]])</f>
        <v>0</v>
      </c>
      <c r="BE39">
        <f>PART_NUMBER_GENERATOR_TABLE[[#This Row],[Project Risk Service Hours]]*PART_NUMBER_GENERATOR_TABLE[[#This Row],[Sell Rate]]</f>
        <v>0</v>
      </c>
      <c r="BF39">
        <f>PART_NUMBER_GENERATOR_TABLE[[#This Row],[Project Risk Service Hours]]*PART_NUMBER_GENERATOR_TABLE[[#This Row],[Cost Rate]]</f>
        <v>0</v>
      </c>
      <c r="BG39">
        <f>PART_NUMBER_GENERATOR_TABLE[[#This Row],[SSE RISK TRAVEL]]</f>
        <v>0</v>
      </c>
      <c r="BH39">
        <f>PART_NUMBER_GENERATOR_TABLE[[#This Row],[Sell Rate]]*PART_NUMBER_GENERATOR_TABLE[[#This Row],[Project Risk Travel Hours]]</f>
        <v>0</v>
      </c>
      <c r="BI39">
        <f>PART_NUMBER_GENERATOR_TABLE[[#This Row],[Project Risk Travel Hours]]*PART_NUMBER_GENERATOR_TABLE[[#This Row],[Cost Rate]]</f>
        <v>0</v>
      </c>
      <c r="BJ3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3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39">
        <f>IFERROR(-VLOOKUP(INDEX(ENGINEER_ROLES,MATCH(PART_NUMBER_GENERATOR_TABLE[[#This Row],[Work Role]],settings.Table_Engineer.Roles[ID],0),1),Settings_Hidden!$H$359:$K$366,4,FALSE),0)</f>
        <v>0</v>
      </c>
      <c r="BM39" s="680">
        <f>-Summary!$C$66</f>
        <v>0</v>
      </c>
      <c r="BN39" s="465">
        <f>PART_NUMBER_GENERATOR_TABLE[[#This Row],[Total Base Price]]*MIN(PART_NUMBER_GENERATOR_TABLE[[#This Row],[Rate Service Discount]:[Flat Service Discount]])</f>
        <v>0</v>
      </c>
      <c r="BO39" s="451" t="str">
        <f>IF(PART_NUMBER_GENERATOR_TABLE[[#This Row],[Quantity]]&lt;&gt;0,MAX($BO$30:BO38)+1,"")</f>
        <v/>
      </c>
      <c r="BP39" t="str">
        <f>PART_NUMBER_GENERATOR_TABLE[[#This Row],[Part Number]]</f>
        <v>A-PS-P-OPPTEC-PM-BH</v>
      </c>
      <c r="BQ39">
        <f>PART_NUMBER_GENERATOR_TABLE[[#This Row],[Total Hours]]</f>
        <v>0</v>
      </c>
      <c r="BR39">
        <f>PART_NUMBER_GENERATOR_TABLE[[#This Row],[Cost Rate]]</f>
        <v>147.55803124436895</v>
      </c>
      <c r="BS39" s="465">
        <f>PART_NUMBER_GENERATOR_TABLE[[#This Row],[Sell Rate]]+(PART_NUMBER_GENERATOR_TABLE[[#This Row],[Sell Rate]]*MIN(PART_NUMBER_GENERATOR_TABLE[[#This Row],[Rate Service Discount]:[Flat Service Discount]]))</f>
        <v>225</v>
      </c>
    </row>
    <row r="40" spans="1:71">
      <c r="A40">
        <v>10</v>
      </c>
      <c r="C40" t="s">
        <v>1003</v>
      </c>
      <c r="D40" t="str" cm="1">
        <f t="array" ref="D40">INDEX(Table.Settings_Skill.List[Skill Name],MATCH(INDEX(_xlfn.TEXTSPLIT(C40,"-",,TRUE),4),Table.Settings_Skill.List[Skill Code],0),1)</f>
        <v>Operational Technology</v>
      </c>
      <c r="E40" t="str" cm="1">
        <f t="array" ref="E40">INDEX(_xlfn.TEXTSPLIT(C40,"-",,TRUE),5)</f>
        <v>SPM</v>
      </c>
      <c r="F40" t="str">
        <f>IFERROR(INDEX(settings.Table_Engineer.Roles[Department Code],MATCH(PART_NUMBER_GENERATOR_TABLE[[#This Row],[Work Role]],settings.Table_Engineer.Roles[ID],0),1),"PMO")</f>
        <v>PMO</v>
      </c>
      <c r="G40" t="str" cm="1">
        <f t="array" ref="G40">INDEX(_xlfn.TEXTSPLIT(C40,"-",,TRUE),6)</f>
        <v>BH</v>
      </c>
      <c r="H4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259</v>
      </c>
      <c r="I4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178.54009633394438</v>
      </c>
      <c r="J40" cm="1">
        <f t="array" ref="J40">IF(J$1&lt;&gt;PART_NUMBER_GENERATOR_TABLE[[#This Row],[Work Role]:[Work Role]],0,
IF(RIGHT(J$30,2)&lt;&gt;PART_NUMBER_GENERATOR_TABLE[[#This Row],[Work Type]:[Work Type]],0,
SUMIFS(Input_Tasks[R1 Business Hours],Input_Tasks[[Skill Required]:[Skill Required]],PART_NUMBER_GENERATOR_TABLE[[#This Row],[Tech]:[Tech]])))</f>
        <v>0</v>
      </c>
      <c r="K40" cm="1">
        <f t="array" ref="K40">IF(K$1&lt;&gt;PART_NUMBER_GENERATOR_TABLE[[#This Row],[Work Role]:[Work Role]],0,
IF(RIGHT(K$30,2)&lt;&gt;PART_NUMBER_GENERATOR_TABLE[[#This Row],[Work Type]:[Work Type]],0,
SUMIFS(Input_Tasks[R1 After Hours],Input_Tasks[[Skill Required]:[Skill Required]],PART_NUMBER_GENERATOR_TABLE[[#This Row],[Tech]:[Tech]])))</f>
        <v>0</v>
      </c>
      <c r="L40" cm="1">
        <f t="array" ref="L40">IF(L$1&lt;&gt;PART_NUMBER_GENERATOR_TABLE[[#This Row],[Work Role]:[Work Role]],0,
IF(RIGHT(L$30,2)&lt;&gt;PART_NUMBER_GENERATOR_TABLE[[#This Row],[Work Type]:[Work Type]],0,
SUMIFS(Input_Tasks[R2 Business Hours],Input_Tasks[[Skill Required]:[Skill Required]],PART_NUMBER_GENERATOR_TABLE[[#This Row],[Tech]:[Tech]])))</f>
        <v>0</v>
      </c>
      <c r="M40" cm="1">
        <f t="array" ref="M40">IF(M$1&lt;&gt;PART_NUMBER_GENERATOR_TABLE[[#This Row],[Work Role]:[Work Role]],0,
IF(RIGHT(M$30,2)&lt;&gt;PART_NUMBER_GENERATOR_TABLE[[#This Row],[Work Type]:[Work Type]],0,
SUMIFS(Input_Tasks[R2 After Hours],Input_Tasks[[Skill Required]:[Skill Required]],PART_NUMBER_GENERATOR_TABLE[[#This Row],[Tech]:[Tech]])))</f>
        <v>0</v>
      </c>
      <c r="N40" cm="1">
        <f t="array" ref="N40">IF(N$1&lt;&gt;PART_NUMBER_GENERATOR_TABLE[[#This Row],[Work Role]:[Work Role]],0,
IF(RIGHT(N$30,2)&lt;&gt;PART_NUMBER_GENERATOR_TABLE[[#This Row],[Work Type]:[Work Type]],0,
SUMIFS(Input_Tasks[R3 Business Hours],Input_Tasks[[Skill Required]:[Skill Required]],PART_NUMBER_GENERATOR_TABLE[[#This Row],[Tech]:[Tech]])))</f>
        <v>0</v>
      </c>
      <c r="O40" cm="1">
        <f t="array" ref="O40">IF(O$1&lt;&gt;PART_NUMBER_GENERATOR_TABLE[[#This Row],[Work Role]:[Work Role]],0,
IF(RIGHT(O$30,2)&lt;&gt;PART_NUMBER_GENERATOR_TABLE[[#This Row],[Work Type]:[Work Type]],0,
SUMIFS(Input_Tasks[R3 After Hours],Input_Tasks[[Skill Required]:[Skill Required]],PART_NUMBER_GENERATOR_TABLE[[#This Row],[Tech]:[Tech]])))</f>
        <v>0</v>
      </c>
      <c r="P40" cm="1">
        <f t="array" ref="P40">IF(P$1&lt;&gt;PART_NUMBER_GENERATOR_TABLE[[#This Row],[Work Role]:[Work Role]],0,
IF(RIGHT(P$30,2)&lt;&gt;PART_NUMBER_GENERATOR_TABLE[[#This Row],[Work Type]:[Work Type]],0,
SUMIFS(Input_Tasks[R4 Business Hours],Input_Tasks[[Skill Required]:[Skill Required]],PART_NUMBER_GENERATOR_TABLE[[#This Row],[Tech]:[Tech]])))</f>
        <v>0</v>
      </c>
      <c r="Q40" cm="1">
        <f t="array" ref="Q40">IF(Q$1&lt;&gt;PART_NUMBER_GENERATOR_TABLE[[#This Row],[Work Role]:[Work Role]],0,
IF(RIGHT(Q$30,2)&lt;&gt;PART_NUMBER_GENERATOR_TABLE[[#This Row],[Work Type]:[Work Type]],0,
SUMIFS(Input_Tasks[R4 After Hours],Input_Tasks[[Skill Required]:[Skill Required]],PART_NUMBER_GENERATOR_TABLE[[#This Row],[Tech]:[Tech]])))</f>
        <v>0</v>
      </c>
      <c r="R40" cm="1">
        <f t="array" ref="R40">IF(R$1&lt;&gt;PART_NUMBER_GENERATOR_TABLE[[#This Row],[Work Role]:[Work Role]],0,
IF(RIGHT(R$30,2)&lt;&gt;PART_NUMBER_GENERATOR_TABLE[[#This Row],[Work Type]:[Work Type]],0,
SUMIFS(Input_Tasks[R5 Business Hours],Input_Tasks[[Skill Required]:[Skill Required]],PART_NUMBER_GENERATOR_TABLE[[#This Row],[Tech]:[Tech]])))</f>
        <v>0</v>
      </c>
      <c r="S40" cm="1">
        <f t="array" ref="S40">IF(S$1&lt;&gt;PART_NUMBER_GENERATOR_TABLE[[#This Row],[Work Role]:[Work Role]],0,
IF(RIGHT(S$30,2)&lt;&gt;PART_NUMBER_GENERATOR_TABLE[[#This Row],[Work Type]:[Work Type]],0,
SUMIFS(Input_Tasks[R5 After Hours],Input_Tasks[[Skill Required]:[Skill Required]],PART_NUMBER_GENERATOR_TABLE[[#This Row],[Tech]:[Tech]])))</f>
        <v>0</v>
      </c>
      <c r="T40" cm="1">
        <f t="array" ref="T40">IF(PART_NUMBER_GENERATOR_TABLE[[#This Row],[Work Role]:[Work Role]]&lt;&gt;T$1,0,
IF(PART_NUMBER_GENERATOR_TABLE[[#This Row],[Work Type]:[Work Type]]&lt;&gt;"BH",0,
SUMIFS(T$9:T$24,$M$9:$M$24,PART_NUMBER_GENERATOR_TABLE[[#This Row],[Tech]:[Tech]])))</f>
        <v>0</v>
      </c>
      <c r="U40" cm="1">
        <f t="array" ref="U40">IF(PART_NUMBER_GENERATOR_TABLE[[#This Row],[Work Role]:[Work Role]]&lt;&gt;U$1,0,
IF(PART_NUMBER_GENERATOR_TABLE[[#This Row],[Work Type]:[Work Type]]&lt;&gt;"BH",0,
SUMIFS(U$9:U$24,$M$9:$M$24,PART_NUMBER_GENERATOR_TABLE[[#This Row],[Tech]:[Tech]])))</f>
        <v>0</v>
      </c>
      <c r="V40" cm="1">
        <f t="array" ref="V40">IF(PART_NUMBER_GENERATOR_TABLE[[#This Row],[Work Role]:[Work Role]]&lt;&gt;V$1,0,
IF(PART_NUMBER_GENERATOR_TABLE[[#This Row],[Work Type]:[Work Type]]&lt;&gt;"BH",0,
SUMIFS(V$9:V$24,$M$9:$M$24,PART_NUMBER_GENERATOR_TABLE[[#This Row],[Tech]:[Tech]])))</f>
        <v>0</v>
      </c>
      <c r="W40" cm="1">
        <f t="array" ref="W40">IF(PART_NUMBER_GENERATOR_TABLE[[#This Row],[Work Role]:[Work Role]]&lt;&gt;W$1,0,
IF(PART_NUMBER_GENERATOR_TABLE[[#This Row],[Work Type]:[Work Type]]&lt;&gt;"BH",0,
SUMIFS(W$9:W$24,$M$9:$M$24,PART_NUMBER_GENERATOR_TABLE[[#This Row],[Tech]:[Tech]])))</f>
        <v>0</v>
      </c>
      <c r="X40" cm="1">
        <f t="array" ref="X40">IF(PART_NUMBER_GENERATOR_TABLE[[#This Row],[Work Role]:[Work Role]]&lt;&gt;X$1,0,
IF(PART_NUMBER_GENERATOR_TABLE[[#This Row],[Work Type]:[Work Type]]&lt;&gt;"BH",0,
SUMIFS(X$9:X$24,$M$9:$M$24,PART_NUMBER_GENERATOR_TABLE[[#This Row],[Tech]:[Tech]])))</f>
        <v>0</v>
      </c>
      <c r="Y40" cm="1">
        <f t="array" ref="Y40">IF(PART_NUMBER_GENERATOR_TABLE[[#This Row],[Work Role]:[Work Role]]&lt;&gt;Y$1,0,
IF(PART_NUMBER_GENERATOR_TABLE[[#This Row],[Work Type]:[Work Type]]&lt;&gt;"BH",0,
SUMIFS(Y$9:Y$24,$M$9:$M$24,PART_NUMBER_GENERATOR_TABLE[[#This Row],[Tech]:[Tech]])))</f>
        <v>0</v>
      </c>
      <c r="Z40" cm="1">
        <f t="array" ref="Z40">IF(PART_NUMBER_GENERATOR_TABLE[[#This Row],[Work Role]:[Work Role]]&lt;&gt;Z$1,0,
IF(PART_NUMBER_GENERATOR_TABLE[[#This Row],[Work Type]:[Work Type]]&lt;&gt;"BH",0,
SUMIFS(Z$9:Z$24,$M$9:$M$24,PART_NUMBER_GENERATOR_TABLE[[#This Row],[Tech]:[Tech]])))</f>
        <v>0</v>
      </c>
      <c r="AA40" cm="1">
        <f t="array" ref="AA40">IF(PART_NUMBER_GENERATOR_TABLE[[#This Row],[Work Role]:[Work Role]]&lt;&gt;AA$1,0,
IF(PART_NUMBER_GENERATOR_TABLE[[#This Row],[Work Type]:[Work Type]]&lt;&gt;"BH",0,
SUMIFS(AA$9:AA$24,$M$9:$M$24,PART_NUMBER_GENERATOR_TABLE[[#This Row],[Tech]:[Tech]])))</f>
        <v>0</v>
      </c>
      <c r="AB40" cm="1">
        <f t="array" ref="AB40">IF(PART_NUMBER_GENERATOR_TABLE[[#This Row],[Work Role]:[Work Role]]&lt;&gt;AB$1,0,
IF(PART_NUMBER_GENERATOR_TABLE[[#This Row],[Work Type]:[Work Type]]&lt;&gt;"BH",0,
SUMIFS(AB$9:AB$24,$M$9:$M$24,PART_NUMBER_GENERATOR_TABLE[[#This Row],[Tech]:[Tech]])))</f>
        <v>0</v>
      </c>
      <c r="AC40" cm="1">
        <f t="array" ref="AC40">IF(PART_NUMBER_GENERATOR_TABLE[[#This Row],[Work Role]:[Work Role]]&lt;&gt;AC$1,0,
IF(PART_NUMBER_GENERATOR_TABLE[[#This Row],[Work Type]:[Work Type]]&lt;&gt;"BH",0,
SUMIFS(AC$9:AC$24,$M$9:$M$24,PART_NUMBER_GENERATOR_TABLE[[#This Row],[Tech]:[Tech]])))</f>
        <v>0</v>
      </c>
      <c r="AD40" cm="1">
        <f t="array" ref="AD40">IF(PART_NUMBER_GENERATOR_TABLE[[#This Row],[Work Role]:[Work Role]]&lt;&gt;AD$1,0,
IF(PART_NUMBER_GENERATOR_TABLE[[#This Row],[Work Type]:[Work Type]]&lt;&gt;"BH",0,
SUMIFS(AD$9:AD$24,$M$9:$M$24,PART_NUMBER_GENERATOR_TABLE[[#This Row],[Tech]:[Tech]])))</f>
        <v>0</v>
      </c>
      <c r="AE40" cm="1">
        <f t="array" ref="AE40">IF(PART_NUMBER_GENERATOR_TABLE[[#This Row],[Work Role]:[Work Role]]&lt;&gt;AE$1,0,
IF(PART_NUMBER_GENERATOR_TABLE[[#This Row],[Work Type]:[Work Type]]&lt;&gt;"BH",0,
SUMIFS(AE$9:AE$24,$M$9:$M$24,PART_NUMBER_GENERATOR_TABLE[[#This Row],[Tech]:[Tech]])))</f>
        <v>0</v>
      </c>
      <c r="AF40" cm="1">
        <f t="array" ref="AF40">IF(PART_NUMBER_GENERATOR_TABLE[[#This Row],[Work Role]:[Work Role]]&lt;&gt;AF$1,0,
IF(PART_NUMBER_GENERATOR_TABLE[[#This Row],[Work Type]:[Work Type]]&lt;&gt;"BH",0,
SUMIFS(AF$9:AF$24,$M$9:$M$24,PART_NUMBER_GENERATOR_TABLE[[#This Row],[Tech]:[Tech]])))</f>
        <v>0</v>
      </c>
      <c r="AG40" cm="1">
        <f t="array" ref="AG40">IF(PART_NUMBER_GENERATOR_TABLE[[#This Row],[Work Role]:[Work Role]]&lt;&gt;AG$1,0,
IF(PART_NUMBER_GENERATOR_TABLE[[#This Row],[Work Type]:[Work Type]]&lt;&gt;"AH",0,
SUMIFS(AG$9:AG$24,$M$9:$M$24,PART_NUMBER_GENERATOR_TABLE[[#This Row],[Tech]:[Tech]])))</f>
        <v>0</v>
      </c>
      <c r="AH40" cm="1">
        <f t="array" ref="AH40">IF(PART_NUMBER_GENERATOR_TABLE[[#This Row],[Work Role]:[Work Role]]&lt;&gt;AH$1,0,
IF(PART_NUMBER_GENERATOR_TABLE[[#This Row],[Work Type]:[Work Type]]&lt;&gt;"BH",0,
SUMIFS(AH$9:AH$24,$M$9:$M$24,PART_NUMBER_GENERATOR_TABLE[[#This Row],[Tech]:[Tech]])))</f>
        <v>0</v>
      </c>
      <c r="AI40" cm="1">
        <f t="array" ref="AI40">IF(PART_NUMBER_GENERATOR_TABLE[[#This Row],[Work Role]:[Work Role]]&lt;&gt;AI$1,0,
IF(PART_NUMBER_GENERATOR_TABLE[[#This Row],[Work Type]:[Work Type]]&lt;&gt;"BH",0,
SUMIFS(AI$9:AI$24,$M$9:$M$24,PART_NUMBER_GENERATOR_TABLE[[#This Row],[Tech]:[Tech]])))</f>
        <v>0</v>
      </c>
      <c r="AJ40" cm="1">
        <f t="array" ref="AJ40">IF(PART_NUMBER_GENERATOR_TABLE[[#This Row],[Work Role]:[Work Role]]&lt;&gt;AJ$1,0,
IF(PART_NUMBER_GENERATOR_TABLE[[#This Row],[Work Type]:[Work Type]]&lt;&gt;"BH",0,
SUMIFS(AJ$9:AJ$24,$M$9:$M$24,PART_NUMBER_GENERATOR_TABLE[[#This Row],[Tech]:[Tech]])))</f>
        <v>0</v>
      </c>
      <c r="AK40" cm="1">
        <f t="array" ref="AK40">IF(PART_NUMBER_GENERATOR_TABLE[[#This Row],[Work Role]:[Work Role]]&lt;&gt;AK$1,0,
IF(PART_NUMBER_GENERATOR_TABLE[[#This Row],[Work Type]:[Work Type]]&lt;&gt;"AH",0,
SUMIFS(AK$9:AK$24,$M$9:$M$24,PART_NUMBER_GENERATOR_TABLE[[#This Row],[Tech]:[Tech]])))</f>
        <v>0</v>
      </c>
      <c r="AL40" cm="1">
        <f t="array" ref="AL40">IF(PART_NUMBER_GENERATOR_TABLE[[#This Row],[Work Role]:[Work Role]]&lt;&gt;AL$1,0,
IF(PART_NUMBER_GENERATOR_TABLE[[#This Row],[Work Type]:[Work Type]]&lt;&gt;"BH",0,
SUMIFS(AL$9:AL$24,$M$9:$M$24,PART_NUMBER_GENERATOR_TABLE[[#This Row],[Tech]:[Tech]])))</f>
        <v>0</v>
      </c>
      <c r="AM40">
        <f>0</f>
        <v>0</v>
      </c>
      <c r="AN40" cm="1">
        <f t="array" ref="AN40">IF(PART_NUMBER_GENERATOR_TABLE[[#This Row],[Work Role]:[Work Role]]&lt;&gt;AN$1,0,
IF(PART_NUMBER_GENERATOR_TABLE[[#This Row],[Work Type]:[Work Type]]&lt;&gt;"BH",0,
SUMIFS(AN$24,$AM$24,PART_NUMBER_GENERATOR_TABLE[[#This Row],[Tech]:[Tech]])))</f>
        <v>0</v>
      </c>
      <c r="AO40" cm="1">
        <f t="array" ref="AO40">IF(PART_NUMBER_GENERATOR_TABLE[[#This Row],[Work Role]:[Work Role]]&lt;&gt;AO$1,0,
IF(PART_NUMBER_GENERATOR_TABLE[[#This Row],[Work Type]:[Work Type]]&lt;&gt;"BH",0,
SUMIFS(AO$24,$AM$24,PART_NUMBER_GENERATOR_TABLE[[#This Row],[Tech]:[Tech]])))</f>
        <v>0</v>
      </c>
      <c r="AP40" cm="1">
        <f t="array" ref="AP40">IF(PART_NUMBER_GENERATOR_TABLE[[#This Row],[Work Role]:[Work Role]]&lt;&gt;AP$1,0,
IF(PART_NUMBER_GENERATOR_TABLE[[#This Row],[Work Type]:[Work Type]]&lt;&gt;"BH",0,
SUMIFS(AP$24,$AM$24,PART_NUMBER_GENERATOR_TABLE[[#This Row],[Tech]:[Tech]])))</f>
        <v>0</v>
      </c>
      <c r="AQ40" cm="1">
        <f t="array" ref="AQ40">IF(PART_NUMBER_GENERATOR_TABLE[[#This Row],[Work Role]:[Work Role]]&lt;&gt;AQ$1,0,
IF(PART_NUMBER_GENERATOR_TABLE[[#This Row],[Work Type]:[Work Type]]&lt;&gt;"BH",0,
SUMIFS(AQ$24,$AM$24,PART_NUMBER_GENERATOR_TABLE[[#This Row],[Tech]:[Tech]])))</f>
        <v>0</v>
      </c>
      <c r="AR40" cm="1">
        <f t="array" ref="AR40">IF(PART_NUMBER_GENERATOR_TABLE[[#This Row],[Work Role]:[Work Role]]&lt;&gt;AR$1,0,
IF(PART_NUMBER_GENERATOR_TABLE[[#This Row],[Work Type]:[Work Type]]&lt;&gt;"BH",0,
SUMIFS(AR$24,$AM$24,PART_NUMBER_GENERATOR_TABLE[[#This Row],[Tech]:[Tech]])))</f>
        <v>0</v>
      </c>
      <c r="AS40" cm="1">
        <f t="array" ref="AS40">IF(PART_NUMBER_GENERATOR_TABLE[[#This Row],[Work Role]:[Work Role]]&lt;&gt;AS$1,0,
IF(PART_NUMBER_GENERATOR_TABLE[[#This Row],[Work Type]:[Work Type]]&lt;&gt;"BH",0,
SUMIFS(AS$24,$AM$24,PART_NUMBER_GENERATOR_TABLE[[#This Row],[Tech]:[Tech]])))</f>
        <v>0</v>
      </c>
      <c r="AT40" cm="1">
        <f t="array" ref="AT40">IF(PART_NUMBER_GENERATOR_TABLE[[#This Row],[Work Role]:[Work Role]]&lt;&gt;AS$1,0,
IF(PART_NUMBER_GENERATOR_TABLE[[#This Row],[Work Type]:[Work Type]]&lt;&gt;"BH",0,
SUMIFS(AT$24,$AM$24,PART_NUMBER_GENERATOR_TABLE[[#This Row],[Tech]:[Tech]])))</f>
        <v>0</v>
      </c>
      <c r="AU40">
        <f>SUM(PART_NUMBER_GENERATOR_TABLE[[#This Row],[Resource 1 BH]:[Resource 5 AH]],PART_NUMBER_GENERATOR_TABLE[[#This Row],[R1 Mandatory Tasks]:[R5 Mandatory Tasks]],PART_NUMBER_GENERATOR_TABLE[[#This Row],[R1 Remainder]:[R5 Remainder]])</f>
        <v>0</v>
      </c>
      <c r="AV40">
        <f>PART_NUMBER_GENERATOR_TABLE[[#This Row],[Professional Engineering Hours]]*PART_NUMBER_GENERATOR_TABLE[[#This Row],[Sell Rate]]</f>
        <v>0</v>
      </c>
      <c r="AW40">
        <f>PART_NUMBER_GENERATOR_TABLE[[#This Row],[Professional Engineering Hours]]*PART_NUMBER_GENERATOR_TABLE[[#This Row],[Cost Rate]]</f>
        <v>0</v>
      </c>
      <c r="AX40">
        <f>SUM(PART_NUMBER_GENERATOR_TABLE[[#This Row],[PM Trips]:[R5 Trips]])</f>
        <v>0</v>
      </c>
      <c r="AY40">
        <f>PART_NUMBER_GENERATOR_TABLE[[#This Row],[Travel &amp; Accommodation Hours]]*PART_NUMBER_GENERATOR_TABLE[[#This Row],[Sell Rate]]</f>
        <v>0</v>
      </c>
      <c r="AZ40">
        <f>PART_NUMBER_GENERATOR_TABLE[[#This Row],[Travel &amp; Accommodation Hours]]*PART_NUMBER_GENERATOR_TABLE[[#This Row],[Cost Rate]]</f>
        <v>0</v>
      </c>
      <c r="BA40">
        <f>PART_NUMBER_GENERATOR_TABLE[[#This Row],[PM Hours]]+PART_NUMBER_GENERATOR_TABLE[[#This Row],[PM Remainder]]</f>
        <v>0</v>
      </c>
      <c r="BB40">
        <f>PART_NUMBER_GENERATOR_TABLE[[#This Row],[Project Management Hours]]*PART_NUMBER_GENERATOR_TABLE[[#This Row],[Sell Rate]]</f>
        <v>0</v>
      </c>
      <c r="BC40">
        <f>PART_NUMBER_GENERATOR_TABLE[[#This Row],[Project Management Hours]]*PART_NUMBER_GENERATOR_TABLE[[#This Row],[Cost Rate]]</f>
        <v>0</v>
      </c>
      <c r="BD40">
        <f>SUM(PART_NUMBER_GENERATOR_TABLE[[#This Row],[SSE RISK BH]:[PM RISK]],PART_NUMBER_GENERATOR_TABLE[[#This Row],[SSE Remainder RISK BH]:[PM Remainder RISK]])</f>
        <v>0</v>
      </c>
      <c r="BE40">
        <f>PART_NUMBER_GENERATOR_TABLE[[#This Row],[Project Risk Service Hours]]*PART_NUMBER_GENERATOR_TABLE[[#This Row],[Sell Rate]]</f>
        <v>0</v>
      </c>
      <c r="BF40">
        <f>PART_NUMBER_GENERATOR_TABLE[[#This Row],[Project Risk Service Hours]]*PART_NUMBER_GENERATOR_TABLE[[#This Row],[Cost Rate]]</f>
        <v>0</v>
      </c>
      <c r="BG40">
        <f>PART_NUMBER_GENERATOR_TABLE[[#This Row],[SSE RISK TRAVEL]]</f>
        <v>0</v>
      </c>
      <c r="BH40">
        <f>PART_NUMBER_GENERATOR_TABLE[[#This Row],[Sell Rate]]*PART_NUMBER_GENERATOR_TABLE[[#This Row],[Project Risk Travel Hours]]</f>
        <v>0</v>
      </c>
      <c r="BI40">
        <f>PART_NUMBER_GENERATOR_TABLE[[#This Row],[Project Risk Travel Hours]]*PART_NUMBER_GENERATOR_TABLE[[#This Row],[Cost Rate]]</f>
        <v>0</v>
      </c>
      <c r="BJ4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4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40">
        <f>IFERROR(-VLOOKUP(INDEX(ENGINEER_ROLES,MATCH(PART_NUMBER_GENERATOR_TABLE[[#This Row],[Work Role]],settings.Table_Engineer.Roles[ID],0),1),Settings_Hidden!$H$359:$K$366,4,FALSE),0)</f>
        <v>0</v>
      </c>
      <c r="BM40" s="680">
        <f>-Summary!$C$66</f>
        <v>0</v>
      </c>
      <c r="BN40" s="465">
        <f>PART_NUMBER_GENERATOR_TABLE[[#This Row],[Total Base Price]]*MIN(PART_NUMBER_GENERATOR_TABLE[[#This Row],[Rate Service Discount]:[Flat Service Discount]])</f>
        <v>0</v>
      </c>
      <c r="BO40" s="451" t="str">
        <f>IF(PART_NUMBER_GENERATOR_TABLE[[#This Row],[Quantity]]&lt;&gt;0,MAX($BO$30:BO39)+1,"")</f>
        <v/>
      </c>
      <c r="BP40" t="str">
        <f>PART_NUMBER_GENERATOR_TABLE[[#This Row],[Part Number]]</f>
        <v>A-PS-P-OPPTEC-SPM-BH</v>
      </c>
      <c r="BQ40">
        <f>PART_NUMBER_GENERATOR_TABLE[[#This Row],[Total Hours]]</f>
        <v>0</v>
      </c>
      <c r="BR40">
        <f>PART_NUMBER_GENERATOR_TABLE[[#This Row],[Cost Rate]]</f>
        <v>178.54009633394438</v>
      </c>
      <c r="BS40" s="465">
        <f>PART_NUMBER_GENERATOR_TABLE[[#This Row],[Sell Rate]]+(PART_NUMBER_GENERATOR_TABLE[[#This Row],[Sell Rate]]*MIN(PART_NUMBER_GENERATOR_TABLE[[#This Row],[Rate Service Discount]:[Flat Service Discount]]))</f>
        <v>259</v>
      </c>
    </row>
    <row r="41" spans="1:71">
      <c r="A41">
        <v>11</v>
      </c>
      <c r="C41" t="s">
        <v>1107</v>
      </c>
      <c r="D41" t="str" cm="1">
        <f t="array" ref="D41">INDEX(Table.Settings_Skill.List[Skill Name],MATCH(INDEX(_xlfn.TEXTSPLIT(C41,"-",,TRUE),4),Table.Settings_Skill.List[Skill Code],0),1)</f>
        <v>Secure Networking</v>
      </c>
      <c r="E41" t="str" cm="1">
        <f t="array" ref="E41">INDEX(_xlfn.TEXTSPLIT(C41,"-",,TRUE),5)</f>
        <v>PM</v>
      </c>
      <c r="F41" t="str">
        <f>IFERROR(INDEX(settings.Table_Engineer.Roles[Department Code],MATCH(PART_NUMBER_GENERATOR_TABLE[[#This Row],[Work Role]],settings.Table_Engineer.Roles[ID],0),1),"PMO")</f>
        <v>PMO</v>
      </c>
      <c r="G41" t="str" cm="1">
        <f t="array" ref="G41">INDEX(_xlfn.TEXTSPLIT(C41,"-",,TRUE),6)</f>
        <v>BH</v>
      </c>
      <c r="H4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225</v>
      </c>
      <c r="I4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147.55803124436895</v>
      </c>
      <c r="J41" cm="1">
        <f t="array" ref="J41">IF(J$1&lt;&gt;PART_NUMBER_GENERATOR_TABLE[[#This Row],[Work Role]:[Work Role]],0,
IF(RIGHT(J$30,2)&lt;&gt;PART_NUMBER_GENERATOR_TABLE[[#This Row],[Work Type]:[Work Type]],0,
SUMIFS(Input_Tasks[R1 Business Hours],Input_Tasks[[Skill Required]:[Skill Required]],PART_NUMBER_GENERATOR_TABLE[[#This Row],[Tech]:[Tech]])))</f>
        <v>0</v>
      </c>
      <c r="K41" cm="1">
        <f t="array" ref="K41">IF(K$1&lt;&gt;PART_NUMBER_GENERATOR_TABLE[[#This Row],[Work Role]:[Work Role]],0,
IF(RIGHT(K$30,2)&lt;&gt;PART_NUMBER_GENERATOR_TABLE[[#This Row],[Work Type]:[Work Type]],0,
SUMIFS(Input_Tasks[R1 After Hours],Input_Tasks[[Skill Required]:[Skill Required]],PART_NUMBER_GENERATOR_TABLE[[#This Row],[Tech]:[Tech]])))</f>
        <v>0</v>
      </c>
      <c r="L41" cm="1">
        <f t="array" ref="L41">IF(L$1&lt;&gt;PART_NUMBER_GENERATOR_TABLE[[#This Row],[Work Role]:[Work Role]],0,
IF(RIGHT(L$30,2)&lt;&gt;PART_NUMBER_GENERATOR_TABLE[[#This Row],[Work Type]:[Work Type]],0,
SUMIFS(Input_Tasks[R2 Business Hours],Input_Tasks[[Skill Required]:[Skill Required]],PART_NUMBER_GENERATOR_TABLE[[#This Row],[Tech]:[Tech]])))</f>
        <v>0</v>
      </c>
      <c r="M41" cm="1">
        <f t="array" ref="M41">IF(M$1&lt;&gt;PART_NUMBER_GENERATOR_TABLE[[#This Row],[Work Role]:[Work Role]],0,
IF(RIGHT(M$30,2)&lt;&gt;PART_NUMBER_GENERATOR_TABLE[[#This Row],[Work Type]:[Work Type]],0,
SUMIFS(Input_Tasks[R2 After Hours],Input_Tasks[[Skill Required]:[Skill Required]],PART_NUMBER_GENERATOR_TABLE[[#This Row],[Tech]:[Tech]])))</f>
        <v>0</v>
      </c>
      <c r="N41" cm="1">
        <f t="array" ref="N41">IF(N$1&lt;&gt;PART_NUMBER_GENERATOR_TABLE[[#This Row],[Work Role]:[Work Role]],0,
IF(RIGHT(N$30,2)&lt;&gt;PART_NUMBER_GENERATOR_TABLE[[#This Row],[Work Type]:[Work Type]],0,
SUMIFS(Input_Tasks[R3 Business Hours],Input_Tasks[[Skill Required]:[Skill Required]],PART_NUMBER_GENERATOR_TABLE[[#This Row],[Tech]:[Tech]])))</f>
        <v>0</v>
      </c>
      <c r="O41" cm="1">
        <f t="array" ref="O41">IF(O$1&lt;&gt;PART_NUMBER_GENERATOR_TABLE[[#This Row],[Work Role]:[Work Role]],0,
IF(RIGHT(O$30,2)&lt;&gt;PART_NUMBER_GENERATOR_TABLE[[#This Row],[Work Type]:[Work Type]],0,
SUMIFS(Input_Tasks[R3 After Hours],Input_Tasks[[Skill Required]:[Skill Required]],PART_NUMBER_GENERATOR_TABLE[[#This Row],[Tech]:[Tech]])))</f>
        <v>0</v>
      </c>
      <c r="P41" cm="1">
        <f t="array" ref="P41">IF(P$1&lt;&gt;PART_NUMBER_GENERATOR_TABLE[[#This Row],[Work Role]:[Work Role]],0,
IF(RIGHT(P$30,2)&lt;&gt;PART_NUMBER_GENERATOR_TABLE[[#This Row],[Work Type]:[Work Type]],0,
SUMIFS(Input_Tasks[R4 Business Hours],Input_Tasks[[Skill Required]:[Skill Required]],PART_NUMBER_GENERATOR_TABLE[[#This Row],[Tech]:[Tech]])))</f>
        <v>0</v>
      </c>
      <c r="Q41" cm="1">
        <f t="array" ref="Q41">IF(Q$1&lt;&gt;PART_NUMBER_GENERATOR_TABLE[[#This Row],[Work Role]:[Work Role]],0,
IF(RIGHT(Q$30,2)&lt;&gt;PART_NUMBER_GENERATOR_TABLE[[#This Row],[Work Type]:[Work Type]],0,
SUMIFS(Input_Tasks[R4 After Hours],Input_Tasks[[Skill Required]:[Skill Required]],PART_NUMBER_GENERATOR_TABLE[[#This Row],[Tech]:[Tech]])))</f>
        <v>0</v>
      </c>
      <c r="R41" cm="1">
        <f t="array" ref="R41">IF(R$1&lt;&gt;PART_NUMBER_GENERATOR_TABLE[[#This Row],[Work Role]:[Work Role]],0,
IF(RIGHT(R$30,2)&lt;&gt;PART_NUMBER_GENERATOR_TABLE[[#This Row],[Work Type]:[Work Type]],0,
SUMIFS(Input_Tasks[R5 Business Hours],Input_Tasks[[Skill Required]:[Skill Required]],PART_NUMBER_GENERATOR_TABLE[[#This Row],[Tech]:[Tech]])))</f>
        <v>0</v>
      </c>
      <c r="S41" cm="1">
        <f t="array" ref="S41">IF(S$1&lt;&gt;PART_NUMBER_GENERATOR_TABLE[[#This Row],[Work Role]:[Work Role]],0,
IF(RIGHT(S$30,2)&lt;&gt;PART_NUMBER_GENERATOR_TABLE[[#This Row],[Work Type]:[Work Type]],0,
SUMIFS(Input_Tasks[R5 After Hours],Input_Tasks[[Skill Required]:[Skill Required]],PART_NUMBER_GENERATOR_TABLE[[#This Row],[Tech]:[Tech]])))</f>
        <v>0</v>
      </c>
      <c r="T41" cm="1">
        <f t="array" ref="T41">IF(PART_NUMBER_GENERATOR_TABLE[[#This Row],[Work Role]:[Work Role]]&lt;&gt;T$1,0,
IF(PART_NUMBER_GENERATOR_TABLE[[#This Row],[Work Type]:[Work Type]]&lt;&gt;"BH",0,
SUMIFS(T$9:T$24,$M$9:$M$24,PART_NUMBER_GENERATOR_TABLE[[#This Row],[Tech]:[Tech]])))</f>
        <v>0</v>
      </c>
      <c r="U41" cm="1">
        <f t="array" ref="U41">IF(PART_NUMBER_GENERATOR_TABLE[[#This Row],[Work Role]:[Work Role]]&lt;&gt;U$1,0,
IF(PART_NUMBER_GENERATOR_TABLE[[#This Row],[Work Type]:[Work Type]]&lt;&gt;"BH",0,
SUMIFS(U$9:U$24,$M$9:$M$24,PART_NUMBER_GENERATOR_TABLE[[#This Row],[Tech]:[Tech]])))</f>
        <v>0</v>
      </c>
      <c r="V41" cm="1">
        <f t="array" ref="V41">IF(PART_NUMBER_GENERATOR_TABLE[[#This Row],[Work Role]:[Work Role]]&lt;&gt;V$1,0,
IF(PART_NUMBER_GENERATOR_TABLE[[#This Row],[Work Type]:[Work Type]]&lt;&gt;"BH",0,
SUMIFS(V$9:V$24,$M$9:$M$24,PART_NUMBER_GENERATOR_TABLE[[#This Row],[Tech]:[Tech]])))</f>
        <v>0</v>
      </c>
      <c r="W41" cm="1">
        <f t="array" ref="W41">IF(PART_NUMBER_GENERATOR_TABLE[[#This Row],[Work Role]:[Work Role]]&lt;&gt;W$1,0,
IF(PART_NUMBER_GENERATOR_TABLE[[#This Row],[Work Type]:[Work Type]]&lt;&gt;"BH",0,
SUMIFS(W$9:W$24,$M$9:$M$24,PART_NUMBER_GENERATOR_TABLE[[#This Row],[Tech]:[Tech]])))</f>
        <v>0</v>
      </c>
      <c r="X41" cm="1">
        <f t="array" ref="X41">IF(PART_NUMBER_GENERATOR_TABLE[[#This Row],[Work Role]:[Work Role]]&lt;&gt;X$1,0,
IF(PART_NUMBER_GENERATOR_TABLE[[#This Row],[Work Type]:[Work Type]]&lt;&gt;"BH",0,
SUMIFS(X$9:X$24,$M$9:$M$24,PART_NUMBER_GENERATOR_TABLE[[#This Row],[Tech]:[Tech]])))</f>
        <v>0</v>
      </c>
      <c r="Y41" cm="1">
        <f t="array" ref="Y41">IF(PART_NUMBER_GENERATOR_TABLE[[#This Row],[Work Role]:[Work Role]]&lt;&gt;Y$1,0,
IF(PART_NUMBER_GENERATOR_TABLE[[#This Row],[Work Type]:[Work Type]]&lt;&gt;"BH",0,
SUMIFS(Y$9:Y$24,$M$9:$M$24,PART_NUMBER_GENERATOR_TABLE[[#This Row],[Tech]:[Tech]])))</f>
        <v>0</v>
      </c>
      <c r="Z41" cm="1">
        <f t="array" ref="Z41">IF(PART_NUMBER_GENERATOR_TABLE[[#This Row],[Work Role]:[Work Role]]&lt;&gt;Z$1,0,
IF(PART_NUMBER_GENERATOR_TABLE[[#This Row],[Work Type]:[Work Type]]&lt;&gt;"BH",0,
SUMIFS(Z$9:Z$24,$M$9:$M$24,PART_NUMBER_GENERATOR_TABLE[[#This Row],[Tech]:[Tech]])))</f>
        <v>0</v>
      </c>
      <c r="AA41" cm="1">
        <f t="array" ref="AA41">IF(PART_NUMBER_GENERATOR_TABLE[[#This Row],[Work Role]:[Work Role]]&lt;&gt;AA$1,0,
IF(PART_NUMBER_GENERATOR_TABLE[[#This Row],[Work Type]:[Work Type]]&lt;&gt;"BH",0,
SUMIFS(AA$9:AA$24,$M$9:$M$24,PART_NUMBER_GENERATOR_TABLE[[#This Row],[Tech]:[Tech]])))</f>
        <v>0</v>
      </c>
      <c r="AB41" cm="1">
        <f t="array" ref="AB41">IF(PART_NUMBER_GENERATOR_TABLE[[#This Row],[Work Role]:[Work Role]]&lt;&gt;AB$1,0,
IF(PART_NUMBER_GENERATOR_TABLE[[#This Row],[Work Type]:[Work Type]]&lt;&gt;"BH",0,
SUMIFS(AB$9:AB$24,$M$9:$M$24,PART_NUMBER_GENERATOR_TABLE[[#This Row],[Tech]:[Tech]])))</f>
        <v>0</v>
      </c>
      <c r="AC41" cm="1">
        <f t="array" ref="AC41">IF(PART_NUMBER_GENERATOR_TABLE[[#This Row],[Work Role]:[Work Role]]&lt;&gt;AC$1,0,
IF(PART_NUMBER_GENERATOR_TABLE[[#This Row],[Work Type]:[Work Type]]&lt;&gt;"BH",0,
SUMIFS(AC$9:AC$24,$M$9:$M$24,PART_NUMBER_GENERATOR_TABLE[[#This Row],[Tech]:[Tech]])))</f>
        <v>0</v>
      </c>
      <c r="AD41" cm="1">
        <f t="array" ref="AD41">IF(PART_NUMBER_GENERATOR_TABLE[[#This Row],[Work Role]:[Work Role]]&lt;&gt;AD$1,0,
IF(PART_NUMBER_GENERATOR_TABLE[[#This Row],[Work Type]:[Work Type]]&lt;&gt;"BH",0,
SUMIFS(AD$9:AD$24,$M$9:$M$24,PART_NUMBER_GENERATOR_TABLE[[#This Row],[Tech]:[Tech]])))</f>
        <v>0</v>
      </c>
      <c r="AE41" cm="1">
        <f t="array" ref="AE41">IF(PART_NUMBER_GENERATOR_TABLE[[#This Row],[Work Role]:[Work Role]]&lt;&gt;AE$1,0,
IF(PART_NUMBER_GENERATOR_TABLE[[#This Row],[Work Type]:[Work Type]]&lt;&gt;"BH",0,
SUMIFS(AE$9:AE$24,$M$9:$M$24,PART_NUMBER_GENERATOR_TABLE[[#This Row],[Tech]:[Tech]])))</f>
        <v>0</v>
      </c>
      <c r="AF41" cm="1">
        <f t="array" ref="AF41">IF(PART_NUMBER_GENERATOR_TABLE[[#This Row],[Work Role]:[Work Role]]&lt;&gt;AF$1,0,
IF(PART_NUMBER_GENERATOR_TABLE[[#This Row],[Work Type]:[Work Type]]&lt;&gt;"BH",0,
SUMIFS(AF$9:AF$24,$M$9:$M$24,PART_NUMBER_GENERATOR_TABLE[[#This Row],[Tech]:[Tech]])))</f>
        <v>0</v>
      </c>
      <c r="AG41" cm="1">
        <f t="array" ref="AG41">IF(PART_NUMBER_GENERATOR_TABLE[[#This Row],[Work Role]:[Work Role]]&lt;&gt;AG$1,0,
IF(PART_NUMBER_GENERATOR_TABLE[[#This Row],[Work Type]:[Work Type]]&lt;&gt;"AH",0,
SUMIFS(AG$9:AG$24,$M$9:$M$24,PART_NUMBER_GENERATOR_TABLE[[#This Row],[Tech]:[Tech]])))</f>
        <v>0</v>
      </c>
      <c r="AH41" cm="1">
        <f t="array" ref="AH41">IF(PART_NUMBER_GENERATOR_TABLE[[#This Row],[Work Role]:[Work Role]]&lt;&gt;AH$1,0,
IF(PART_NUMBER_GENERATOR_TABLE[[#This Row],[Work Type]:[Work Type]]&lt;&gt;"BH",0,
SUMIFS(AH$9:AH$24,$M$9:$M$24,PART_NUMBER_GENERATOR_TABLE[[#This Row],[Tech]:[Tech]])))</f>
        <v>0</v>
      </c>
      <c r="AI41" cm="1">
        <f t="array" ref="AI41">IF(PART_NUMBER_GENERATOR_TABLE[[#This Row],[Work Role]:[Work Role]]&lt;&gt;AI$1,0,
IF(PART_NUMBER_GENERATOR_TABLE[[#This Row],[Work Type]:[Work Type]]&lt;&gt;"BH",0,
SUMIFS(AI$9:AI$24,$M$9:$M$24,PART_NUMBER_GENERATOR_TABLE[[#This Row],[Tech]:[Tech]])))</f>
        <v>0</v>
      </c>
      <c r="AJ41" cm="1">
        <f t="array" ref="AJ41">IF(PART_NUMBER_GENERATOR_TABLE[[#This Row],[Work Role]:[Work Role]]&lt;&gt;AJ$1,0,
IF(PART_NUMBER_GENERATOR_TABLE[[#This Row],[Work Type]:[Work Type]]&lt;&gt;"BH",0,
SUMIFS(AJ$9:AJ$24,$M$9:$M$24,PART_NUMBER_GENERATOR_TABLE[[#This Row],[Tech]:[Tech]])))</f>
        <v>0</v>
      </c>
      <c r="AK41" cm="1">
        <f t="array" ref="AK41">IF(PART_NUMBER_GENERATOR_TABLE[[#This Row],[Work Role]:[Work Role]]&lt;&gt;AK$1,0,
IF(PART_NUMBER_GENERATOR_TABLE[[#This Row],[Work Type]:[Work Type]]&lt;&gt;"AH",0,
SUMIFS(AK$9:AK$24,$M$9:$M$24,PART_NUMBER_GENERATOR_TABLE[[#This Row],[Tech]:[Tech]])))</f>
        <v>0</v>
      </c>
      <c r="AL41" cm="1">
        <f t="array" ref="AL41">IF(PART_NUMBER_GENERATOR_TABLE[[#This Row],[Work Role]:[Work Role]]&lt;&gt;AL$1,0,
IF(PART_NUMBER_GENERATOR_TABLE[[#This Row],[Work Type]:[Work Type]]&lt;&gt;"BH",0,
SUMIFS(AL$9:AL$24,$M$9:$M$24,PART_NUMBER_GENERATOR_TABLE[[#This Row],[Tech]:[Tech]])))</f>
        <v>0</v>
      </c>
      <c r="AM41">
        <f>0</f>
        <v>0</v>
      </c>
      <c r="AN41" cm="1">
        <f t="array" ref="AN41">IF(PART_NUMBER_GENERATOR_TABLE[[#This Row],[Work Role]:[Work Role]]&lt;&gt;AN$1,0,
IF(PART_NUMBER_GENERATOR_TABLE[[#This Row],[Work Type]:[Work Type]]&lt;&gt;"BH",0,
SUMIFS(AN$24,$AM$24,PART_NUMBER_GENERATOR_TABLE[[#This Row],[Tech]:[Tech]])))</f>
        <v>0</v>
      </c>
      <c r="AO41" cm="1">
        <f t="array" ref="AO41">IF(PART_NUMBER_GENERATOR_TABLE[[#This Row],[Work Role]:[Work Role]]&lt;&gt;AO$1,0,
IF(PART_NUMBER_GENERATOR_TABLE[[#This Row],[Work Type]:[Work Type]]&lt;&gt;"BH",0,
SUMIFS(AO$24,$AM$24,PART_NUMBER_GENERATOR_TABLE[[#This Row],[Tech]:[Tech]])))</f>
        <v>0</v>
      </c>
      <c r="AP41" cm="1">
        <f t="array" ref="AP41">IF(PART_NUMBER_GENERATOR_TABLE[[#This Row],[Work Role]:[Work Role]]&lt;&gt;AP$1,0,
IF(PART_NUMBER_GENERATOR_TABLE[[#This Row],[Work Type]:[Work Type]]&lt;&gt;"BH",0,
SUMIFS(AP$24,$AM$24,PART_NUMBER_GENERATOR_TABLE[[#This Row],[Tech]:[Tech]])))</f>
        <v>0</v>
      </c>
      <c r="AQ41" cm="1">
        <f t="array" ref="AQ41">IF(PART_NUMBER_GENERATOR_TABLE[[#This Row],[Work Role]:[Work Role]]&lt;&gt;AQ$1,0,
IF(PART_NUMBER_GENERATOR_TABLE[[#This Row],[Work Type]:[Work Type]]&lt;&gt;"BH",0,
SUMIFS(AQ$24,$AM$24,PART_NUMBER_GENERATOR_TABLE[[#This Row],[Tech]:[Tech]])))</f>
        <v>0</v>
      </c>
      <c r="AR41" cm="1">
        <f t="array" ref="AR41">IF(PART_NUMBER_GENERATOR_TABLE[[#This Row],[Work Role]:[Work Role]]&lt;&gt;AR$1,0,
IF(PART_NUMBER_GENERATOR_TABLE[[#This Row],[Work Type]:[Work Type]]&lt;&gt;"BH",0,
SUMIFS(AR$24,$AM$24,PART_NUMBER_GENERATOR_TABLE[[#This Row],[Tech]:[Tech]])))</f>
        <v>0</v>
      </c>
      <c r="AS41" cm="1">
        <f t="array" ref="AS41">IF(PART_NUMBER_GENERATOR_TABLE[[#This Row],[Work Role]:[Work Role]]&lt;&gt;AS$1,0,
IF(PART_NUMBER_GENERATOR_TABLE[[#This Row],[Work Type]:[Work Type]]&lt;&gt;"BH",0,
SUMIFS(AS$24,$AM$24,PART_NUMBER_GENERATOR_TABLE[[#This Row],[Tech]:[Tech]])))</f>
        <v>0</v>
      </c>
      <c r="AT41" cm="1">
        <f t="array" ref="AT41">IF(PART_NUMBER_GENERATOR_TABLE[[#This Row],[Work Role]:[Work Role]]&lt;&gt;AS$1,0,
IF(PART_NUMBER_GENERATOR_TABLE[[#This Row],[Work Type]:[Work Type]]&lt;&gt;"BH",0,
SUMIFS(AT$24,$AM$24,PART_NUMBER_GENERATOR_TABLE[[#This Row],[Tech]:[Tech]])))</f>
        <v>0</v>
      </c>
      <c r="AU41">
        <f>SUM(PART_NUMBER_GENERATOR_TABLE[[#This Row],[Resource 1 BH]:[Resource 5 AH]],PART_NUMBER_GENERATOR_TABLE[[#This Row],[R1 Mandatory Tasks]:[R5 Mandatory Tasks]],PART_NUMBER_GENERATOR_TABLE[[#This Row],[R1 Remainder]:[R5 Remainder]])</f>
        <v>0</v>
      </c>
      <c r="AV41">
        <f>PART_NUMBER_GENERATOR_TABLE[[#This Row],[Professional Engineering Hours]]*PART_NUMBER_GENERATOR_TABLE[[#This Row],[Sell Rate]]</f>
        <v>0</v>
      </c>
      <c r="AW41">
        <f>PART_NUMBER_GENERATOR_TABLE[[#This Row],[Professional Engineering Hours]]*PART_NUMBER_GENERATOR_TABLE[[#This Row],[Cost Rate]]</f>
        <v>0</v>
      </c>
      <c r="AX41">
        <f>SUM(PART_NUMBER_GENERATOR_TABLE[[#This Row],[PM Trips]:[R5 Trips]])</f>
        <v>0</v>
      </c>
      <c r="AY41">
        <f>PART_NUMBER_GENERATOR_TABLE[[#This Row],[Travel &amp; Accommodation Hours]]*PART_NUMBER_GENERATOR_TABLE[[#This Row],[Sell Rate]]</f>
        <v>0</v>
      </c>
      <c r="AZ41">
        <f>PART_NUMBER_GENERATOR_TABLE[[#This Row],[Travel &amp; Accommodation Hours]]*PART_NUMBER_GENERATOR_TABLE[[#This Row],[Cost Rate]]</f>
        <v>0</v>
      </c>
      <c r="BA41">
        <f>PART_NUMBER_GENERATOR_TABLE[[#This Row],[PM Hours]]+PART_NUMBER_GENERATOR_TABLE[[#This Row],[PM Remainder]]</f>
        <v>0</v>
      </c>
      <c r="BB41">
        <f>PART_NUMBER_GENERATOR_TABLE[[#This Row],[Project Management Hours]]*PART_NUMBER_GENERATOR_TABLE[[#This Row],[Sell Rate]]</f>
        <v>0</v>
      </c>
      <c r="BC41">
        <f>PART_NUMBER_GENERATOR_TABLE[[#This Row],[Project Management Hours]]*PART_NUMBER_GENERATOR_TABLE[[#This Row],[Cost Rate]]</f>
        <v>0</v>
      </c>
      <c r="BD41">
        <f>SUM(PART_NUMBER_GENERATOR_TABLE[[#This Row],[SSE RISK BH]:[PM RISK]],PART_NUMBER_GENERATOR_TABLE[[#This Row],[SSE Remainder RISK BH]:[PM Remainder RISK]])</f>
        <v>0</v>
      </c>
      <c r="BE41">
        <f>PART_NUMBER_GENERATOR_TABLE[[#This Row],[Project Risk Service Hours]]*PART_NUMBER_GENERATOR_TABLE[[#This Row],[Sell Rate]]</f>
        <v>0</v>
      </c>
      <c r="BF41">
        <f>PART_NUMBER_GENERATOR_TABLE[[#This Row],[Project Risk Service Hours]]*PART_NUMBER_GENERATOR_TABLE[[#This Row],[Cost Rate]]</f>
        <v>0</v>
      </c>
      <c r="BG41">
        <f>PART_NUMBER_GENERATOR_TABLE[[#This Row],[SSE RISK TRAVEL]]</f>
        <v>0</v>
      </c>
      <c r="BH41">
        <f>PART_NUMBER_GENERATOR_TABLE[[#This Row],[Sell Rate]]*PART_NUMBER_GENERATOR_TABLE[[#This Row],[Project Risk Travel Hours]]</f>
        <v>0</v>
      </c>
      <c r="BI41">
        <f>PART_NUMBER_GENERATOR_TABLE[[#This Row],[Project Risk Travel Hours]]*PART_NUMBER_GENERATOR_TABLE[[#This Row],[Cost Rate]]</f>
        <v>0</v>
      </c>
      <c r="BJ4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4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41">
        <f>IFERROR(-VLOOKUP(INDEX(ENGINEER_ROLES,MATCH(PART_NUMBER_GENERATOR_TABLE[[#This Row],[Work Role]],settings.Table_Engineer.Roles[ID],0),1),Settings_Hidden!$H$359:$K$366,4,FALSE),0)</f>
        <v>0</v>
      </c>
      <c r="BM41" s="680">
        <f>-Summary!$C$66</f>
        <v>0</v>
      </c>
      <c r="BN41" s="465">
        <f>PART_NUMBER_GENERATOR_TABLE[[#This Row],[Total Base Price]]*MIN(PART_NUMBER_GENERATOR_TABLE[[#This Row],[Rate Service Discount]:[Flat Service Discount]])</f>
        <v>0</v>
      </c>
      <c r="BO41" s="451" t="str">
        <f>IF(PART_NUMBER_GENERATOR_TABLE[[#This Row],[Quantity]]&lt;&gt;0,MAX($BO$30:BO40)+1,"")</f>
        <v/>
      </c>
      <c r="BP41" t="str">
        <f>PART_NUMBER_GENERATOR_TABLE[[#This Row],[Part Number]]</f>
        <v>A-PS-P-SECURE-PM-BH</v>
      </c>
      <c r="BQ41">
        <f>PART_NUMBER_GENERATOR_TABLE[[#This Row],[Total Hours]]</f>
        <v>0</v>
      </c>
      <c r="BR41">
        <f>PART_NUMBER_GENERATOR_TABLE[[#This Row],[Cost Rate]]</f>
        <v>147.55803124436895</v>
      </c>
      <c r="BS41" s="465">
        <f>PART_NUMBER_GENERATOR_TABLE[[#This Row],[Sell Rate]]+(PART_NUMBER_GENERATOR_TABLE[[#This Row],[Sell Rate]]*MIN(PART_NUMBER_GENERATOR_TABLE[[#This Row],[Rate Service Discount]:[Flat Service Discount]]))</f>
        <v>225</v>
      </c>
    </row>
    <row r="42" spans="1:71">
      <c r="A42">
        <v>12</v>
      </c>
      <c r="C42" t="s">
        <v>1115</v>
      </c>
      <c r="D42" t="str" cm="1">
        <f t="array" ref="D42">INDEX(Table.Settings_Skill.List[Skill Name],MATCH(INDEX(_xlfn.TEXTSPLIT(C42,"-",,TRUE),4),Table.Settings_Skill.List[Skill Code],0),1)</f>
        <v>Secure Networking</v>
      </c>
      <c r="E42" t="str" cm="1">
        <f t="array" ref="E42">INDEX(_xlfn.TEXTSPLIT(C42,"-",,TRUE),5)</f>
        <v>SPM</v>
      </c>
      <c r="F42" t="str">
        <f>IFERROR(INDEX(settings.Table_Engineer.Roles[Department Code],MATCH(PART_NUMBER_GENERATOR_TABLE[[#This Row],[Work Role]],settings.Table_Engineer.Roles[ID],0),1),"PMO")</f>
        <v>PMO</v>
      </c>
      <c r="G42" t="str" cm="1">
        <f t="array" ref="G42">INDEX(_xlfn.TEXTSPLIT(C42,"-",,TRUE),6)</f>
        <v>BH</v>
      </c>
      <c r="H4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259</v>
      </c>
      <c r="I4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178.54009633394438</v>
      </c>
      <c r="J42" cm="1">
        <f t="array" ref="J42">IF(J$1&lt;&gt;PART_NUMBER_GENERATOR_TABLE[[#This Row],[Work Role]:[Work Role]],0,
IF(RIGHT(J$30,2)&lt;&gt;PART_NUMBER_GENERATOR_TABLE[[#This Row],[Work Type]:[Work Type]],0,
SUMIFS(Input_Tasks[R1 Business Hours],Input_Tasks[[Skill Required]:[Skill Required]],PART_NUMBER_GENERATOR_TABLE[[#This Row],[Tech]:[Tech]])))</f>
        <v>0</v>
      </c>
      <c r="K42" cm="1">
        <f t="array" ref="K42">IF(K$1&lt;&gt;PART_NUMBER_GENERATOR_TABLE[[#This Row],[Work Role]:[Work Role]],0,
IF(RIGHT(K$30,2)&lt;&gt;PART_NUMBER_GENERATOR_TABLE[[#This Row],[Work Type]:[Work Type]],0,
SUMIFS(Input_Tasks[R1 After Hours],Input_Tasks[[Skill Required]:[Skill Required]],PART_NUMBER_GENERATOR_TABLE[[#This Row],[Tech]:[Tech]])))</f>
        <v>0</v>
      </c>
      <c r="L42" cm="1">
        <f t="array" ref="L42">IF(L$1&lt;&gt;PART_NUMBER_GENERATOR_TABLE[[#This Row],[Work Role]:[Work Role]],0,
IF(RIGHT(L$30,2)&lt;&gt;PART_NUMBER_GENERATOR_TABLE[[#This Row],[Work Type]:[Work Type]],0,
SUMIFS(Input_Tasks[R2 Business Hours],Input_Tasks[[Skill Required]:[Skill Required]],PART_NUMBER_GENERATOR_TABLE[[#This Row],[Tech]:[Tech]])))</f>
        <v>0</v>
      </c>
      <c r="M42" cm="1">
        <f t="array" ref="M42">IF(M$1&lt;&gt;PART_NUMBER_GENERATOR_TABLE[[#This Row],[Work Role]:[Work Role]],0,
IF(RIGHT(M$30,2)&lt;&gt;PART_NUMBER_GENERATOR_TABLE[[#This Row],[Work Type]:[Work Type]],0,
SUMIFS(Input_Tasks[R2 After Hours],Input_Tasks[[Skill Required]:[Skill Required]],PART_NUMBER_GENERATOR_TABLE[[#This Row],[Tech]:[Tech]])))</f>
        <v>0</v>
      </c>
      <c r="N42" cm="1">
        <f t="array" ref="N42">IF(N$1&lt;&gt;PART_NUMBER_GENERATOR_TABLE[[#This Row],[Work Role]:[Work Role]],0,
IF(RIGHT(N$30,2)&lt;&gt;PART_NUMBER_GENERATOR_TABLE[[#This Row],[Work Type]:[Work Type]],0,
SUMIFS(Input_Tasks[R3 Business Hours],Input_Tasks[[Skill Required]:[Skill Required]],PART_NUMBER_GENERATOR_TABLE[[#This Row],[Tech]:[Tech]])))</f>
        <v>0</v>
      </c>
      <c r="O42" cm="1">
        <f t="array" ref="O42">IF(O$1&lt;&gt;PART_NUMBER_GENERATOR_TABLE[[#This Row],[Work Role]:[Work Role]],0,
IF(RIGHT(O$30,2)&lt;&gt;PART_NUMBER_GENERATOR_TABLE[[#This Row],[Work Type]:[Work Type]],0,
SUMIFS(Input_Tasks[R3 After Hours],Input_Tasks[[Skill Required]:[Skill Required]],PART_NUMBER_GENERATOR_TABLE[[#This Row],[Tech]:[Tech]])))</f>
        <v>0</v>
      </c>
      <c r="P42" cm="1">
        <f t="array" ref="P42">IF(P$1&lt;&gt;PART_NUMBER_GENERATOR_TABLE[[#This Row],[Work Role]:[Work Role]],0,
IF(RIGHT(P$30,2)&lt;&gt;PART_NUMBER_GENERATOR_TABLE[[#This Row],[Work Type]:[Work Type]],0,
SUMIFS(Input_Tasks[R4 Business Hours],Input_Tasks[[Skill Required]:[Skill Required]],PART_NUMBER_GENERATOR_TABLE[[#This Row],[Tech]:[Tech]])))</f>
        <v>0</v>
      </c>
      <c r="Q42" cm="1">
        <f t="array" ref="Q42">IF(Q$1&lt;&gt;PART_NUMBER_GENERATOR_TABLE[[#This Row],[Work Role]:[Work Role]],0,
IF(RIGHT(Q$30,2)&lt;&gt;PART_NUMBER_GENERATOR_TABLE[[#This Row],[Work Type]:[Work Type]],0,
SUMIFS(Input_Tasks[R4 After Hours],Input_Tasks[[Skill Required]:[Skill Required]],PART_NUMBER_GENERATOR_TABLE[[#This Row],[Tech]:[Tech]])))</f>
        <v>0</v>
      </c>
      <c r="R42" cm="1">
        <f t="array" ref="R42">IF(R$1&lt;&gt;PART_NUMBER_GENERATOR_TABLE[[#This Row],[Work Role]:[Work Role]],0,
IF(RIGHT(R$30,2)&lt;&gt;PART_NUMBER_GENERATOR_TABLE[[#This Row],[Work Type]:[Work Type]],0,
SUMIFS(Input_Tasks[R5 Business Hours],Input_Tasks[[Skill Required]:[Skill Required]],PART_NUMBER_GENERATOR_TABLE[[#This Row],[Tech]:[Tech]])))</f>
        <v>0</v>
      </c>
      <c r="S42" cm="1">
        <f t="array" ref="S42">IF(S$1&lt;&gt;PART_NUMBER_GENERATOR_TABLE[[#This Row],[Work Role]:[Work Role]],0,
IF(RIGHT(S$30,2)&lt;&gt;PART_NUMBER_GENERATOR_TABLE[[#This Row],[Work Type]:[Work Type]],0,
SUMIFS(Input_Tasks[R5 After Hours],Input_Tasks[[Skill Required]:[Skill Required]],PART_NUMBER_GENERATOR_TABLE[[#This Row],[Tech]:[Tech]])))</f>
        <v>0</v>
      </c>
      <c r="T42" cm="1">
        <f t="array" ref="T42">IF(PART_NUMBER_GENERATOR_TABLE[[#This Row],[Work Role]:[Work Role]]&lt;&gt;T$1,0,
IF(PART_NUMBER_GENERATOR_TABLE[[#This Row],[Work Type]:[Work Type]]&lt;&gt;"BH",0,
SUMIFS(T$9:T$24,$M$9:$M$24,PART_NUMBER_GENERATOR_TABLE[[#This Row],[Tech]:[Tech]])))</f>
        <v>0</v>
      </c>
      <c r="U42" cm="1">
        <f t="array" ref="U42">IF(PART_NUMBER_GENERATOR_TABLE[[#This Row],[Work Role]:[Work Role]]&lt;&gt;U$1,0,
IF(PART_NUMBER_GENERATOR_TABLE[[#This Row],[Work Type]:[Work Type]]&lt;&gt;"BH",0,
SUMIFS(U$9:U$24,$M$9:$M$24,PART_NUMBER_GENERATOR_TABLE[[#This Row],[Tech]:[Tech]])))</f>
        <v>0</v>
      </c>
      <c r="V42" cm="1">
        <f t="array" ref="V42">IF(PART_NUMBER_GENERATOR_TABLE[[#This Row],[Work Role]:[Work Role]]&lt;&gt;V$1,0,
IF(PART_NUMBER_GENERATOR_TABLE[[#This Row],[Work Type]:[Work Type]]&lt;&gt;"BH",0,
SUMIFS(V$9:V$24,$M$9:$M$24,PART_NUMBER_GENERATOR_TABLE[[#This Row],[Tech]:[Tech]])))</f>
        <v>0</v>
      </c>
      <c r="W42" cm="1">
        <f t="array" ref="W42">IF(PART_NUMBER_GENERATOR_TABLE[[#This Row],[Work Role]:[Work Role]]&lt;&gt;W$1,0,
IF(PART_NUMBER_GENERATOR_TABLE[[#This Row],[Work Type]:[Work Type]]&lt;&gt;"BH",0,
SUMIFS(W$9:W$24,$M$9:$M$24,PART_NUMBER_GENERATOR_TABLE[[#This Row],[Tech]:[Tech]])))</f>
        <v>0</v>
      </c>
      <c r="X42" cm="1">
        <f t="array" ref="X42">IF(PART_NUMBER_GENERATOR_TABLE[[#This Row],[Work Role]:[Work Role]]&lt;&gt;X$1,0,
IF(PART_NUMBER_GENERATOR_TABLE[[#This Row],[Work Type]:[Work Type]]&lt;&gt;"BH",0,
SUMIFS(X$9:X$24,$M$9:$M$24,PART_NUMBER_GENERATOR_TABLE[[#This Row],[Tech]:[Tech]])))</f>
        <v>0</v>
      </c>
      <c r="Y42" cm="1">
        <f t="array" ref="Y42">IF(PART_NUMBER_GENERATOR_TABLE[[#This Row],[Work Role]:[Work Role]]&lt;&gt;Y$1,0,
IF(PART_NUMBER_GENERATOR_TABLE[[#This Row],[Work Type]:[Work Type]]&lt;&gt;"BH",0,
SUMIFS(Y$9:Y$24,$M$9:$M$24,PART_NUMBER_GENERATOR_TABLE[[#This Row],[Tech]:[Tech]])))</f>
        <v>0</v>
      </c>
      <c r="Z42" cm="1">
        <f t="array" ref="Z42">IF(PART_NUMBER_GENERATOR_TABLE[[#This Row],[Work Role]:[Work Role]]&lt;&gt;Z$1,0,
IF(PART_NUMBER_GENERATOR_TABLE[[#This Row],[Work Type]:[Work Type]]&lt;&gt;"BH",0,
SUMIFS(Z$9:Z$24,$M$9:$M$24,PART_NUMBER_GENERATOR_TABLE[[#This Row],[Tech]:[Tech]])))</f>
        <v>0</v>
      </c>
      <c r="AA42" cm="1">
        <f t="array" ref="AA42">IF(PART_NUMBER_GENERATOR_TABLE[[#This Row],[Work Role]:[Work Role]]&lt;&gt;AA$1,0,
IF(PART_NUMBER_GENERATOR_TABLE[[#This Row],[Work Type]:[Work Type]]&lt;&gt;"BH",0,
SUMIFS(AA$9:AA$24,$M$9:$M$24,PART_NUMBER_GENERATOR_TABLE[[#This Row],[Tech]:[Tech]])))</f>
        <v>0</v>
      </c>
      <c r="AB42" cm="1">
        <f t="array" ref="AB42">IF(PART_NUMBER_GENERATOR_TABLE[[#This Row],[Work Role]:[Work Role]]&lt;&gt;AB$1,0,
IF(PART_NUMBER_GENERATOR_TABLE[[#This Row],[Work Type]:[Work Type]]&lt;&gt;"BH",0,
SUMIFS(AB$9:AB$24,$M$9:$M$24,PART_NUMBER_GENERATOR_TABLE[[#This Row],[Tech]:[Tech]])))</f>
        <v>0</v>
      </c>
      <c r="AC42" cm="1">
        <f t="array" ref="AC42">IF(PART_NUMBER_GENERATOR_TABLE[[#This Row],[Work Role]:[Work Role]]&lt;&gt;AC$1,0,
IF(PART_NUMBER_GENERATOR_TABLE[[#This Row],[Work Type]:[Work Type]]&lt;&gt;"BH",0,
SUMIFS(AC$9:AC$24,$M$9:$M$24,PART_NUMBER_GENERATOR_TABLE[[#This Row],[Tech]:[Tech]])))</f>
        <v>0</v>
      </c>
      <c r="AD42" cm="1">
        <f t="array" ref="AD42">IF(PART_NUMBER_GENERATOR_TABLE[[#This Row],[Work Role]:[Work Role]]&lt;&gt;AD$1,0,
IF(PART_NUMBER_GENERATOR_TABLE[[#This Row],[Work Type]:[Work Type]]&lt;&gt;"BH",0,
SUMIFS(AD$9:AD$24,$M$9:$M$24,PART_NUMBER_GENERATOR_TABLE[[#This Row],[Tech]:[Tech]])))</f>
        <v>0</v>
      </c>
      <c r="AE42" cm="1">
        <f t="array" ref="AE42">IF(PART_NUMBER_GENERATOR_TABLE[[#This Row],[Work Role]:[Work Role]]&lt;&gt;AE$1,0,
IF(PART_NUMBER_GENERATOR_TABLE[[#This Row],[Work Type]:[Work Type]]&lt;&gt;"BH",0,
SUMIFS(AE$9:AE$24,$M$9:$M$24,PART_NUMBER_GENERATOR_TABLE[[#This Row],[Tech]:[Tech]])))</f>
        <v>0</v>
      </c>
      <c r="AF42" cm="1">
        <f t="array" ref="AF42">IF(PART_NUMBER_GENERATOR_TABLE[[#This Row],[Work Role]:[Work Role]]&lt;&gt;AF$1,0,
IF(PART_NUMBER_GENERATOR_TABLE[[#This Row],[Work Type]:[Work Type]]&lt;&gt;"BH",0,
SUMIFS(AF$9:AF$24,$M$9:$M$24,PART_NUMBER_GENERATOR_TABLE[[#This Row],[Tech]:[Tech]])))</f>
        <v>0</v>
      </c>
      <c r="AG42" cm="1">
        <f t="array" ref="AG42">IF(PART_NUMBER_GENERATOR_TABLE[[#This Row],[Work Role]:[Work Role]]&lt;&gt;AG$1,0,
IF(PART_NUMBER_GENERATOR_TABLE[[#This Row],[Work Type]:[Work Type]]&lt;&gt;"AH",0,
SUMIFS(AG$9:AG$24,$M$9:$M$24,PART_NUMBER_GENERATOR_TABLE[[#This Row],[Tech]:[Tech]])))</f>
        <v>0</v>
      </c>
      <c r="AH42" cm="1">
        <f t="array" ref="AH42">IF(PART_NUMBER_GENERATOR_TABLE[[#This Row],[Work Role]:[Work Role]]&lt;&gt;AH$1,0,
IF(PART_NUMBER_GENERATOR_TABLE[[#This Row],[Work Type]:[Work Type]]&lt;&gt;"BH",0,
SUMIFS(AH$9:AH$24,$M$9:$M$24,PART_NUMBER_GENERATOR_TABLE[[#This Row],[Tech]:[Tech]])))</f>
        <v>0</v>
      </c>
      <c r="AI42" cm="1">
        <f t="array" ref="AI42">IF(PART_NUMBER_GENERATOR_TABLE[[#This Row],[Work Role]:[Work Role]]&lt;&gt;AI$1,0,
IF(PART_NUMBER_GENERATOR_TABLE[[#This Row],[Work Type]:[Work Type]]&lt;&gt;"BH",0,
SUMIFS(AI$9:AI$24,$M$9:$M$24,PART_NUMBER_GENERATOR_TABLE[[#This Row],[Tech]:[Tech]])))</f>
        <v>0</v>
      </c>
      <c r="AJ42" cm="1">
        <f t="array" ref="AJ42">IF(PART_NUMBER_GENERATOR_TABLE[[#This Row],[Work Role]:[Work Role]]&lt;&gt;AJ$1,0,
IF(PART_NUMBER_GENERATOR_TABLE[[#This Row],[Work Type]:[Work Type]]&lt;&gt;"BH",0,
SUMIFS(AJ$9:AJ$24,$M$9:$M$24,PART_NUMBER_GENERATOR_TABLE[[#This Row],[Tech]:[Tech]])))</f>
        <v>0</v>
      </c>
      <c r="AK42" cm="1">
        <f t="array" ref="AK42">IF(PART_NUMBER_GENERATOR_TABLE[[#This Row],[Work Role]:[Work Role]]&lt;&gt;AK$1,0,
IF(PART_NUMBER_GENERATOR_TABLE[[#This Row],[Work Type]:[Work Type]]&lt;&gt;"AH",0,
SUMIFS(AK$9:AK$24,$M$9:$M$24,PART_NUMBER_GENERATOR_TABLE[[#This Row],[Tech]:[Tech]])))</f>
        <v>0</v>
      </c>
      <c r="AL42" cm="1">
        <f t="array" ref="AL42">IF(PART_NUMBER_GENERATOR_TABLE[[#This Row],[Work Role]:[Work Role]]&lt;&gt;AL$1,0,
IF(PART_NUMBER_GENERATOR_TABLE[[#This Row],[Work Type]:[Work Type]]&lt;&gt;"BH",0,
SUMIFS(AL$9:AL$24,$M$9:$M$24,PART_NUMBER_GENERATOR_TABLE[[#This Row],[Tech]:[Tech]])))</f>
        <v>0</v>
      </c>
      <c r="AM42">
        <f>0</f>
        <v>0</v>
      </c>
      <c r="AN42" cm="1">
        <f t="array" ref="AN42">IF(PART_NUMBER_GENERATOR_TABLE[[#This Row],[Work Role]:[Work Role]]&lt;&gt;AN$1,0,
IF(PART_NUMBER_GENERATOR_TABLE[[#This Row],[Work Type]:[Work Type]]&lt;&gt;"BH",0,
SUMIFS(AN$24,$AM$24,PART_NUMBER_GENERATOR_TABLE[[#This Row],[Tech]:[Tech]])))</f>
        <v>0</v>
      </c>
      <c r="AO42" cm="1">
        <f t="array" ref="AO42">IF(PART_NUMBER_GENERATOR_TABLE[[#This Row],[Work Role]:[Work Role]]&lt;&gt;AO$1,0,
IF(PART_NUMBER_GENERATOR_TABLE[[#This Row],[Work Type]:[Work Type]]&lt;&gt;"BH",0,
SUMIFS(AO$24,$AM$24,PART_NUMBER_GENERATOR_TABLE[[#This Row],[Tech]:[Tech]])))</f>
        <v>0</v>
      </c>
      <c r="AP42" cm="1">
        <f t="array" ref="AP42">IF(PART_NUMBER_GENERATOR_TABLE[[#This Row],[Work Role]:[Work Role]]&lt;&gt;AP$1,0,
IF(PART_NUMBER_GENERATOR_TABLE[[#This Row],[Work Type]:[Work Type]]&lt;&gt;"BH",0,
SUMIFS(AP$24,$AM$24,PART_NUMBER_GENERATOR_TABLE[[#This Row],[Tech]:[Tech]])))</f>
        <v>0</v>
      </c>
      <c r="AQ42" cm="1">
        <f t="array" ref="AQ42">IF(PART_NUMBER_GENERATOR_TABLE[[#This Row],[Work Role]:[Work Role]]&lt;&gt;AQ$1,0,
IF(PART_NUMBER_GENERATOR_TABLE[[#This Row],[Work Type]:[Work Type]]&lt;&gt;"BH",0,
SUMIFS(AQ$24,$AM$24,PART_NUMBER_GENERATOR_TABLE[[#This Row],[Tech]:[Tech]])))</f>
        <v>0</v>
      </c>
      <c r="AR42" cm="1">
        <f t="array" ref="AR42">IF(PART_NUMBER_GENERATOR_TABLE[[#This Row],[Work Role]:[Work Role]]&lt;&gt;AR$1,0,
IF(PART_NUMBER_GENERATOR_TABLE[[#This Row],[Work Type]:[Work Type]]&lt;&gt;"BH",0,
SUMIFS(AR$24,$AM$24,PART_NUMBER_GENERATOR_TABLE[[#This Row],[Tech]:[Tech]])))</f>
        <v>0</v>
      </c>
      <c r="AS42" cm="1">
        <f t="array" ref="AS42">IF(PART_NUMBER_GENERATOR_TABLE[[#This Row],[Work Role]:[Work Role]]&lt;&gt;AS$1,0,
IF(PART_NUMBER_GENERATOR_TABLE[[#This Row],[Work Type]:[Work Type]]&lt;&gt;"BH",0,
SUMIFS(AS$24,$AM$24,PART_NUMBER_GENERATOR_TABLE[[#This Row],[Tech]:[Tech]])))</f>
        <v>0</v>
      </c>
      <c r="AT42" cm="1">
        <f t="array" ref="AT42">IF(PART_NUMBER_GENERATOR_TABLE[[#This Row],[Work Role]:[Work Role]]&lt;&gt;AS$1,0,
IF(PART_NUMBER_GENERATOR_TABLE[[#This Row],[Work Type]:[Work Type]]&lt;&gt;"BH",0,
SUMIFS(AT$24,$AM$24,PART_NUMBER_GENERATOR_TABLE[[#This Row],[Tech]:[Tech]])))</f>
        <v>0</v>
      </c>
      <c r="AU42">
        <f>SUM(PART_NUMBER_GENERATOR_TABLE[[#This Row],[Resource 1 BH]:[Resource 5 AH]],PART_NUMBER_GENERATOR_TABLE[[#This Row],[R1 Mandatory Tasks]:[R5 Mandatory Tasks]],PART_NUMBER_GENERATOR_TABLE[[#This Row],[R1 Remainder]:[R5 Remainder]])</f>
        <v>0</v>
      </c>
      <c r="AV42">
        <f>PART_NUMBER_GENERATOR_TABLE[[#This Row],[Professional Engineering Hours]]*PART_NUMBER_GENERATOR_TABLE[[#This Row],[Sell Rate]]</f>
        <v>0</v>
      </c>
      <c r="AW42">
        <f>PART_NUMBER_GENERATOR_TABLE[[#This Row],[Professional Engineering Hours]]*PART_NUMBER_GENERATOR_TABLE[[#This Row],[Cost Rate]]</f>
        <v>0</v>
      </c>
      <c r="AX42">
        <f>SUM(PART_NUMBER_GENERATOR_TABLE[[#This Row],[PM Trips]:[R5 Trips]])</f>
        <v>0</v>
      </c>
      <c r="AY42">
        <f>PART_NUMBER_GENERATOR_TABLE[[#This Row],[Travel &amp; Accommodation Hours]]*PART_NUMBER_GENERATOR_TABLE[[#This Row],[Sell Rate]]</f>
        <v>0</v>
      </c>
      <c r="AZ42">
        <f>PART_NUMBER_GENERATOR_TABLE[[#This Row],[Travel &amp; Accommodation Hours]]*PART_NUMBER_GENERATOR_TABLE[[#This Row],[Cost Rate]]</f>
        <v>0</v>
      </c>
      <c r="BA42">
        <f>PART_NUMBER_GENERATOR_TABLE[[#This Row],[PM Hours]]+PART_NUMBER_GENERATOR_TABLE[[#This Row],[PM Remainder]]</f>
        <v>0</v>
      </c>
      <c r="BB42">
        <f>PART_NUMBER_GENERATOR_TABLE[[#This Row],[Project Management Hours]]*PART_NUMBER_GENERATOR_TABLE[[#This Row],[Sell Rate]]</f>
        <v>0</v>
      </c>
      <c r="BC42">
        <f>PART_NUMBER_GENERATOR_TABLE[[#This Row],[Project Management Hours]]*PART_NUMBER_GENERATOR_TABLE[[#This Row],[Cost Rate]]</f>
        <v>0</v>
      </c>
      <c r="BD42">
        <f>SUM(PART_NUMBER_GENERATOR_TABLE[[#This Row],[SSE RISK BH]:[PM RISK]],PART_NUMBER_GENERATOR_TABLE[[#This Row],[SSE Remainder RISK BH]:[PM Remainder RISK]])</f>
        <v>0</v>
      </c>
      <c r="BE42">
        <f>PART_NUMBER_GENERATOR_TABLE[[#This Row],[Project Risk Service Hours]]*PART_NUMBER_GENERATOR_TABLE[[#This Row],[Sell Rate]]</f>
        <v>0</v>
      </c>
      <c r="BF42">
        <f>PART_NUMBER_GENERATOR_TABLE[[#This Row],[Project Risk Service Hours]]*PART_NUMBER_GENERATOR_TABLE[[#This Row],[Cost Rate]]</f>
        <v>0</v>
      </c>
      <c r="BG42">
        <f>PART_NUMBER_GENERATOR_TABLE[[#This Row],[SSE RISK TRAVEL]]</f>
        <v>0</v>
      </c>
      <c r="BH42">
        <f>PART_NUMBER_GENERATOR_TABLE[[#This Row],[Sell Rate]]*PART_NUMBER_GENERATOR_TABLE[[#This Row],[Project Risk Travel Hours]]</f>
        <v>0</v>
      </c>
      <c r="BI42">
        <f>PART_NUMBER_GENERATOR_TABLE[[#This Row],[Project Risk Travel Hours]]*PART_NUMBER_GENERATOR_TABLE[[#This Row],[Cost Rate]]</f>
        <v>0</v>
      </c>
      <c r="BJ4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4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42">
        <f>IFERROR(-VLOOKUP(INDEX(ENGINEER_ROLES,MATCH(PART_NUMBER_GENERATOR_TABLE[[#This Row],[Work Role]],settings.Table_Engineer.Roles[ID],0),1),Settings_Hidden!$H$359:$K$366,4,FALSE),0)</f>
        <v>0</v>
      </c>
      <c r="BM42" s="680">
        <f>-Summary!$C$66</f>
        <v>0</v>
      </c>
      <c r="BN42" s="465">
        <f>PART_NUMBER_GENERATOR_TABLE[[#This Row],[Total Base Price]]*MIN(PART_NUMBER_GENERATOR_TABLE[[#This Row],[Rate Service Discount]:[Flat Service Discount]])</f>
        <v>0</v>
      </c>
      <c r="BO42" s="451" t="str">
        <f>IF(PART_NUMBER_GENERATOR_TABLE[[#This Row],[Quantity]]&lt;&gt;0,MAX($BO$30:BO41)+1,"")</f>
        <v/>
      </c>
      <c r="BP42" t="str">
        <f>PART_NUMBER_GENERATOR_TABLE[[#This Row],[Part Number]]</f>
        <v>A-PS-P-SECURE-SPM-BH</v>
      </c>
      <c r="BQ42">
        <f>PART_NUMBER_GENERATOR_TABLE[[#This Row],[Total Hours]]</f>
        <v>0</v>
      </c>
      <c r="BR42">
        <f>PART_NUMBER_GENERATOR_TABLE[[#This Row],[Cost Rate]]</f>
        <v>178.54009633394438</v>
      </c>
      <c r="BS42" s="465">
        <f>PART_NUMBER_GENERATOR_TABLE[[#This Row],[Sell Rate]]+(PART_NUMBER_GENERATOR_TABLE[[#This Row],[Sell Rate]]*MIN(PART_NUMBER_GENERATOR_TABLE[[#This Row],[Rate Service Discount]:[Flat Service Discount]]))</f>
        <v>259</v>
      </c>
    </row>
    <row r="43" spans="1:71">
      <c r="A43">
        <v>13</v>
      </c>
      <c r="C43" t="s">
        <v>1081</v>
      </c>
      <c r="D43" t="str" cm="1">
        <f t="array" ref="D43">INDEX(Table.Settings_Skill.List[Skill Name],MATCH(INDEX(_xlfn.TEXTSPLIT(C43,"-",,TRUE),4),Table.Settings_Skill.List[Skill Code],0),1)</f>
        <v>Security</v>
      </c>
      <c r="E43" t="str" cm="1">
        <f t="array" ref="E43">INDEX(_xlfn.TEXTSPLIT(C43,"-",,TRUE),5)</f>
        <v>PM</v>
      </c>
      <c r="F43" t="str">
        <f>IFERROR(INDEX(settings.Table_Engineer.Roles[Department Code],MATCH(PART_NUMBER_GENERATOR_TABLE[[#This Row],[Work Role]],settings.Table_Engineer.Roles[ID],0),1),"PMO")</f>
        <v>PMO</v>
      </c>
      <c r="G43" t="str" cm="1">
        <f t="array" ref="G43">INDEX(_xlfn.TEXTSPLIT(C43,"-",,TRUE),6)</f>
        <v>BH</v>
      </c>
      <c r="H4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225</v>
      </c>
      <c r="I4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147.55803124436895</v>
      </c>
      <c r="J43" cm="1">
        <f t="array" ref="J43">IF(J$1&lt;&gt;PART_NUMBER_GENERATOR_TABLE[[#This Row],[Work Role]:[Work Role]],0,
IF(RIGHT(J$30,2)&lt;&gt;PART_NUMBER_GENERATOR_TABLE[[#This Row],[Work Type]:[Work Type]],0,
SUMIFS(Input_Tasks[R1 Business Hours],Input_Tasks[[Skill Required]:[Skill Required]],PART_NUMBER_GENERATOR_TABLE[[#This Row],[Tech]:[Tech]])))</f>
        <v>0</v>
      </c>
      <c r="K43" cm="1">
        <f t="array" ref="K43">IF(K$1&lt;&gt;PART_NUMBER_GENERATOR_TABLE[[#This Row],[Work Role]:[Work Role]],0,
IF(RIGHT(K$30,2)&lt;&gt;PART_NUMBER_GENERATOR_TABLE[[#This Row],[Work Type]:[Work Type]],0,
SUMIFS(Input_Tasks[R1 After Hours],Input_Tasks[[Skill Required]:[Skill Required]],PART_NUMBER_GENERATOR_TABLE[[#This Row],[Tech]:[Tech]])))</f>
        <v>0</v>
      </c>
      <c r="L43" cm="1">
        <f t="array" ref="L43">IF(L$1&lt;&gt;PART_NUMBER_GENERATOR_TABLE[[#This Row],[Work Role]:[Work Role]],0,
IF(RIGHT(L$30,2)&lt;&gt;PART_NUMBER_GENERATOR_TABLE[[#This Row],[Work Type]:[Work Type]],0,
SUMIFS(Input_Tasks[R2 Business Hours],Input_Tasks[[Skill Required]:[Skill Required]],PART_NUMBER_GENERATOR_TABLE[[#This Row],[Tech]:[Tech]])))</f>
        <v>0</v>
      </c>
      <c r="M43" cm="1">
        <f t="array" ref="M43">IF(M$1&lt;&gt;PART_NUMBER_GENERATOR_TABLE[[#This Row],[Work Role]:[Work Role]],0,
IF(RIGHT(M$30,2)&lt;&gt;PART_NUMBER_GENERATOR_TABLE[[#This Row],[Work Type]:[Work Type]],0,
SUMIFS(Input_Tasks[R2 After Hours],Input_Tasks[[Skill Required]:[Skill Required]],PART_NUMBER_GENERATOR_TABLE[[#This Row],[Tech]:[Tech]])))</f>
        <v>0</v>
      </c>
      <c r="N43" cm="1">
        <f t="array" ref="N43">IF(N$1&lt;&gt;PART_NUMBER_GENERATOR_TABLE[[#This Row],[Work Role]:[Work Role]],0,
IF(RIGHT(N$30,2)&lt;&gt;PART_NUMBER_GENERATOR_TABLE[[#This Row],[Work Type]:[Work Type]],0,
SUMIFS(Input_Tasks[R3 Business Hours],Input_Tasks[[Skill Required]:[Skill Required]],PART_NUMBER_GENERATOR_TABLE[[#This Row],[Tech]:[Tech]])))</f>
        <v>0</v>
      </c>
      <c r="O43" cm="1">
        <f t="array" ref="O43">IF(O$1&lt;&gt;PART_NUMBER_GENERATOR_TABLE[[#This Row],[Work Role]:[Work Role]],0,
IF(RIGHT(O$30,2)&lt;&gt;PART_NUMBER_GENERATOR_TABLE[[#This Row],[Work Type]:[Work Type]],0,
SUMIFS(Input_Tasks[R3 After Hours],Input_Tasks[[Skill Required]:[Skill Required]],PART_NUMBER_GENERATOR_TABLE[[#This Row],[Tech]:[Tech]])))</f>
        <v>0</v>
      </c>
      <c r="P43" cm="1">
        <f t="array" ref="P43">IF(P$1&lt;&gt;PART_NUMBER_GENERATOR_TABLE[[#This Row],[Work Role]:[Work Role]],0,
IF(RIGHT(P$30,2)&lt;&gt;PART_NUMBER_GENERATOR_TABLE[[#This Row],[Work Type]:[Work Type]],0,
SUMIFS(Input_Tasks[R4 Business Hours],Input_Tasks[[Skill Required]:[Skill Required]],PART_NUMBER_GENERATOR_TABLE[[#This Row],[Tech]:[Tech]])))</f>
        <v>0</v>
      </c>
      <c r="Q43" cm="1">
        <f t="array" ref="Q43">IF(Q$1&lt;&gt;PART_NUMBER_GENERATOR_TABLE[[#This Row],[Work Role]:[Work Role]],0,
IF(RIGHT(Q$30,2)&lt;&gt;PART_NUMBER_GENERATOR_TABLE[[#This Row],[Work Type]:[Work Type]],0,
SUMIFS(Input_Tasks[R4 After Hours],Input_Tasks[[Skill Required]:[Skill Required]],PART_NUMBER_GENERATOR_TABLE[[#This Row],[Tech]:[Tech]])))</f>
        <v>0</v>
      </c>
      <c r="R43" cm="1">
        <f t="array" ref="R43">IF(R$1&lt;&gt;PART_NUMBER_GENERATOR_TABLE[[#This Row],[Work Role]:[Work Role]],0,
IF(RIGHT(R$30,2)&lt;&gt;PART_NUMBER_GENERATOR_TABLE[[#This Row],[Work Type]:[Work Type]],0,
SUMIFS(Input_Tasks[R5 Business Hours],Input_Tasks[[Skill Required]:[Skill Required]],PART_NUMBER_GENERATOR_TABLE[[#This Row],[Tech]:[Tech]])))</f>
        <v>0</v>
      </c>
      <c r="S43" cm="1">
        <f t="array" ref="S43">IF(S$1&lt;&gt;PART_NUMBER_GENERATOR_TABLE[[#This Row],[Work Role]:[Work Role]],0,
IF(RIGHT(S$30,2)&lt;&gt;PART_NUMBER_GENERATOR_TABLE[[#This Row],[Work Type]:[Work Type]],0,
SUMIFS(Input_Tasks[R5 After Hours],Input_Tasks[[Skill Required]:[Skill Required]],PART_NUMBER_GENERATOR_TABLE[[#This Row],[Tech]:[Tech]])))</f>
        <v>0</v>
      </c>
      <c r="T43" cm="1">
        <f t="array" ref="T43">IF(PART_NUMBER_GENERATOR_TABLE[[#This Row],[Work Role]:[Work Role]]&lt;&gt;T$1,0,
IF(PART_NUMBER_GENERATOR_TABLE[[#This Row],[Work Type]:[Work Type]]&lt;&gt;"BH",0,
SUMIFS(T$9:T$24,$M$9:$M$24,PART_NUMBER_GENERATOR_TABLE[[#This Row],[Tech]:[Tech]])))</f>
        <v>0</v>
      </c>
      <c r="U43" cm="1">
        <f t="array" ref="U43">IF(PART_NUMBER_GENERATOR_TABLE[[#This Row],[Work Role]:[Work Role]]&lt;&gt;U$1,0,
IF(PART_NUMBER_GENERATOR_TABLE[[#This Row],[Work Type]:[Work Type]]&lt;&gt;"BH",0,
SUMIFS(U$9:U$24,$M$9:$M$24,PART_NUMBER_GENERATOR_TABLE[[#This Row],[Tech]:[Tech]])))</f>
        <v>0</v>
      </c>
      <c r="V43" cm="1">
        <f t="array" ref="V43">IF(PART_NUMBER_GENERATOR_TABLE[[#This Row],[Work Role]:[Work Role]]&lt;&gt;V$1,0,
IF(PART_NUMBER_GENERATOR_TABLE[[#This Row],[Work Type]:[Work Type]]&lt;&gt;"BH",0,
SUMIFS(V$9:V$24,$M$9:$M$24,PART_NUMBER_GENERATOR_TABLE[[#This Row],[Tech]:[Tech]])))</f>
        <v>0</v>
      </c>
      <c r="W43" cm="1">
        <f t="array" ref="W43">IF(PART_NUMBER_GENERATOR_TABLE[[#This Row],[Work Role]:[Work Role]]&lt;&gt;W$1,0,
IF(PART_NUMBER_GENERATOR_TABLE[[#This Row],[Work Type]:[Work Type]]&lt;&gt;"BH",0,
SUMIFS(W$9:W$24,$M$9:$M$24,PART_NUMBER_GENERATOR_TABLE[[#This Row],[Tech]:[Tech]])))</f>
        <v>0</v>
      </c>
      <c r="X43" cm="1">
        <f t="array" ref="X43">IF(PART_NUMBER_GENERATOR_TABLE[[#This Row],[Work Role]:[Work Role]]&lt;&gt;X$1,0,
IF(PART_NUMBER_GENERATOR_TABLE[[#This Row],[Work Type]:[Work Type]]&lt;&gt;"BH",0,
SUMIFS(X$9:X$24,$M$9:$M$24,PART_NUMBER_GENERATOR_TABLE[[#This Row],[Tech]:[Tech]])))</f>
        <v>0</v>
      </c>
      <c r="Y43" cm="1">
        <f t="array" ref="Y43">IF(PART_NUMBER_GENERATOR_TABLE[[#This Row],[Work Role]:[Work Role]]&lt;&gt;Y$1,0,
IF(PART_NUMBER_GENERATOR_TABLE[[#This Row],[Work Type]:[Work Type]]&lt;&gt;"BH",0,
SUMIFS(Y$9:Y$24,$M$9:$M$24,PART_NUMBER_GENERATOR_TABLE[[#This Row],[Tech]:[Tech]])))</f>
        <v>0</v>
      </c>
      <c r="Z43" cm="1">
        <f t="array" ref="Z43">IF(PART_NUMBER_GENERATOR_TABLE[[#This Row],[Work Role]:[Work Role]]&lt;&gt;Z$1,0,
IF(PART_NUMBER_GENERATOR_TABLE[[#This Row],[Work Type]:[Work Type]]&lt;&gt;"BH",0,
SUMIFS(Z$9:Z$24,$M$9:$M$24,PART_NUMBER_GENERATOR_TABLE[[#This Row],[Tech]:[Tech]])))</f>
        <v>0</v>
      </c>
      <c r="AA43" cm="1">
        <f t="array" ref="AA43">IF(PART_NUMBER_GENERATOR_TABLE[[#This Row],[Work Role]:[Work Role]]&lt;&gt;AA$1,0,
IF(PART_NUMBER_GENERATOR_TABLE[[#This Row],[Work Type]:[Work Type]]&lt;&gt;"BH",0,
SUMIFS(AA$9:AA$24,$M$9:$M$24,PART_NUMBER_GENERATOR_TABLE[[#This Row],[Tech]:[Tech]])))</f>
        <v>0</v>
      </c>
      <c r="AB43" cm="1">
        <f t="array" ref="AB43">IF(PART_NUMBER_GENERATOR_TABLE[[#This Row],[Work Role]:[Work Role]]&lt;&gt;AB$1,0,
IF(PART_NUMBER_GENERATOR_TABLE[[#This Row],[Work Type]:[Work Type]]&lt;&gt;"BH",0,
SUMIFS(AB$9:AB$24,$M$9:$M$24,PART_NUMBER_GENERATOR_TABLE[[#This Row],[Tech]:[Tech]])))</f>
        <v>0</v>
      </c>
      <c r="AC43" cm="1">
        <f t="array" ref="AC43">IF(PART_NUMBER_GENERATOR_TABLE[[#This Row],[Work Role]:[Work Role]]&lt;&gt;AC$1,0,
IF(PART_NUMBER_GENERATOR_TABLE[[#This Row],[Work Type]:[Work Type]]&lt;&gt;"BH",0,
SUMIFS(AC$9:AC$24,$M$9:$M$24,PART_NUMBER_GENERATOR_TABLE[[#This Row],[Tech]:[Tech]])))</f>
        <v>0</v>
      </c>
      <c r="AD43" cm="1">
        <f t="array" ref="AD43">IF(PART_NUMBER_GENERATOR_TABLE[[#This Row],[Work Role]:[Work Role]]&lt;&gt;AD$1,0,
IF(PART_NUMBER_GENERATOR_TABLE[[#This Row],[Work Type]:[Work Type]]&lt;&gt;"BH",0,
SUMIFS(AD$9:AD$24,$M$9:$M$24,PART_NUMBER_GENERATOR_TABLE[[#This Row],[Tech]:[Tech]])))</f>
        <v>0</v>
      </c>
      <c r="AE43" cm="1">
        <f t="array" ref="AE43">IF(PART_NUMBER_GENERATOR_TABLE[[#This Row],[Work Role]:[Work Role]]&lt;&gt;AE$1,0,
IF(PART_NUMBER_GENERATOR_TABLE[[#This Row],[Work Type]:[Work Type]]&lt;&gt;"BH",0,
SUMIFS(AE$9:AE$24,$M$9:$M$24,PART_NUMBER_GENERATOR_TABLE[[#This Row],[Tech]:[Tech]])))</f>
        <v>0</v>
      </c>
      <c r="AF43" cm="1">
        <f t="array" ref="AF43">IF(PART_NUMBER_GENERATOR_TABLE[[#This Row],[Work Role]:[Work Role]]&lt;&gt;AF$1,0,
IF(PART_NUMBER_GENERATOR_TABLE[[#This Row],[Work Type]:[Work Type]]&lt;&gt;"BH",0,
SUMIFS(AF$9:AF$24,$M$9:$M$24,PART_NUMBER_GENERATOR_TABLE[[#This Row],[Tech]:[Tech]])))</f>
        <v>0</v>
      </c>
      <c r="AG43" cm="1">
        <f t="array" ref="AG43">IF(PART_NUMBER_GENERATOR_TABLE[[#This Row],[Work Role]:[Work Role]]&lt;&gt;AG$1,0,
IF(PART_NUMBER_GENERATOR_TABLE[[#This Row],[Work Type]:[Work Type]]&lt;&gt;"AH",0,
SUMIFS(AG$9:AG$24,$M$9:$M$24,PART_NUMBER_GENERATOR_TABLE[[#This Row],[Tech]:[Tech]])))</f>
        <v>0</v>
      </c>
      <c r="AH43" cm="1">
        <f t="array" ref="AH43">IF(PART_NUMBER_GENERATOR_TABLE[[#This Row],[Work Role]:[Work Role]]&lt;&gt;AH$1,0,
IF(PART_NUMBER_GENERATOR_TABLE[[#This Row],[Work Type]:[Work Type]]&lt;&gt;"BH",0,
SUMIFS(AH$9:AH$24,$M$9:$M$24,PART_NUMBER_GENERATOR_TABLE[[#This Row],[Tech]:[Tech]])))</f>
        <v>0</v>
      </c>
      <c r="AI43" cm="1">
        <f t="array" ref="AI43">IF(PART_NUMBER_GENERATOR_TABLE[[#This Row],[Work Role]:[Work Role]]&lt;&gt;AI$1,0,
IF(PART_NUMBER_GENERATOR_TABLE[[#This Row],[Work Type]:[Work Type]]&lt;&gt;"BH",0,
SUMIFS(AI$9:AI$24,$M$9:$M$24,PART_NUMBER_GENERATOR_TABLE[[#This Row],[Tech]:[Tech]])))</f>
        <v>0</v>
      </c>
      <c r="AJ43" cm="1">
        <f t="array" ref="AJ43">IF(PART_NUMBER_GENERATOR_TABLE[[#This Row],[Work Role]:[Work Role]]&lt;&gt;AJ$1,0,
IF(PART_NUMBER_GENERATOR_TABLE[[#This Row],[Work Type]:[Work Type]]&lt;&gt;"BH",0,
SUMIFS(AJ$9:AJ$24,$M$9:$M$24,PART_NUMBER_GENERATOR_TABLE[[#This Row],[Tech]:[Tech]])))</f>
        <v>0</v>
      </c>
      <c r="AK43" cm="1">
        <f t="array" ref="AK43">IF(PART_NUMBER_GENERATOR_TABLE[[#This Row],[Work Role]:[Work Role]]&lt;&gt;AK$1,0,
IF(PART_NUMBER_GENERATOR_TABLE[[#This Row],[Work Type]:[Work Type]]&lt;&gt;"AH",0,
SUMIFS(AK$9:AK$24,$M$9:$M$24,PART_NUMBER_GENERATOR_TABLE[[#This Row],[Tech]:[Tech]])))</f>
        <v>0</v>
      </c>
      <c r="AL43" cm="1">
        <f t="array" ref="AL43">IF(PART_NUMBER_GENERATOR_TABLE[[#This Row],[Work Role]:[Work Role]]&lt;&gt;AL$1,0,
IF(PART_NUMBER_GENERATOR_TABLE[[#This Row],[Work Type]:[Work Type]]&lt;&gt;"BH",0,
SUMIFS(AL$9:AL$24,$M$9:$M$24,PART_NUMBER_GENERATOR_TABLE[[#This Row],[Tech]:[Tech]])))</f>
        <v>0</v>
      </c>
      <c r="AM43">
        <f>0</f>
        <v>0</v>
      </c>
      <c r="AN43" cm="1">
        <f t="array" ref="AN43">IF(PART_NUMBER_GENERATOR_TABLE[[#This Row],[Work Role]:[Work Role]]&lt;&gt;AN$1,0,
IF(PART_NUMBER_GENERATOR_TABLE[[#This Row],[Work Type]:[Work Type]]&lt;&gt;"BH",0,
SUMIFS(AN$24,$AM$24,PART_NUMBER_GENERATOR_TABLE[[#This Row],[Tech]:[Tech]])))</f>
        <v>0</v>
      </c>
      <c r="AO43" cm="1">
        <f t="array" ref="AO43">IF(PART_NUMBER_GENERATOR_TABLE[[#This Row],[Work Role]:[Work Role]]&lt;&gt;AO$1,0,
IF(PART_NUMBER_GENERATOR_TABLE[[#This Row],[Work Type]:[Work Type]]&lt;&gt;"BH",0,
SUMIFS(AO$24,$AM$24,PART_NUMBER_GENERATOR_TABLE[[#This Row],[Tech]:[Tech]])))</f>
        <v>0</v>
      </c>
      <c r="AP43" cm="1">
        <f t="array" ref="AP43">IF(PART_NUMBER_GENERATOR_TABLE[[#This Row],[Work Role]:[Work Role]]&lt;&gt;AP$1,0,
IF(PART_NUMBER_GENERATOR_TABLE[[#This Row],[Work Type]:[Work Type]]&lt;&gt;"BH",0,
SUMIFS(AP$24,$AM$24,PART_NUMBER_GENERATOR_TABLE[[#This Row],[Tech]:[Tech]])))</f>
        <v>0</v>
      </c>
      <c r="AQ43" cm="1">
        <f t="array" ref="AQ43">IF(PART_NUMBER_GENERATOR_TABLE[[#This Row],[Work Role]:[Work Role]]&lt;&gt;AQ$1,0,
IF(PART_NUMBER_GENERATOR_TABLE[[#This Row],[Work Type]:[Work Type]]&lt;&gt;"BH",0,
SUMIFS(AQ$24,$AM$24,PART_NUMBER_GENERATOR_TABLE[[#This Row],[Tech]:[Tech]])))</f>
        <v>0</v>
      </c>
      <c r="AR43" cm="1">
        <f t="array" ref="AR43">IF(PART_NUMBER_GENERATOR_TABLE[[#This Row],[Work Role]:[Work Role]]&lt;&gt;AR$1,0,
IF(PART_NUMBER_GENERATOR_TABLE[[#This Row],[Work Type]:[Work Type]]&lt;&gt;"BH",0,
SUMIFS(AR$24,$AM$24,PART_NUMBER_GENERATOR_TABLE[[#This Row],[Tech]:[Tech]])))</f>
        <v>0</v>
      </c>
      <c r="AS43" cm="1">
        <f t="array" ref="AS43">IF(PART_NUMBER_GENERATOR_TABLE[[#This Row],[Work Role]:[Work Role]]&lt;&gt;AS$1,0,
IF(PART_NUMBER_GENERATOR_TABLE[[#This Row],[Work Type]:[Work Type]]&lt;&gt;"BH",0,
SUMIFS(AS$24,$AM$24,PART_NUMBER_GENERATOR_TABLE[[#This Row],[Tech]:[Tech]])))</f>
        <v>0</v>
      </c>
      <c r="AT43" cm="1">
        <f t="array" ref="AT43">IF(PART_NUMBER_GENERATOR_TABLE[[#This Row],[Work Role]:[Work Role]]&lt;&gt;AS$1,0,
IF(PART_NUMBER_GENERATOR_TABLE[[#This Row],[Work Type]:[Work Type]]&lt;&gt;"BH",0,
SUMIFS(AT$24,$AM$24,PART_NUMBER_GENERATOR_TABLE[[#This Row],[Tech]:[Tech]])))</f>
        <v>0</v>
      </c>
      <c r="AU43">
        <f>SUM(PART_NUMBER_GENERATOR_TABLE[[#This Row],[Resource 1 BH]:[Resource 5 AH]],PART_NUMBER_GENERATOR_TABLE[[#This Row],[R1 Mandatory Tasks]:[R5 Mandatory Tasks]],PART_NUMBER_GENERATOR_TABLE[[#This Row],[R1 Remainder]:[R5 Remainder]])</f>
        <v>0</v>
      </c>
      <c r="AV43">
        <f>PART_NUMBER_GENERATOR_TABLE[[#This Row],[Professional Engineering Hours]]*PART_NUMBER_GENERATOR_TABLE[[#This Row],[Sell Rate]]</f>
        <v>0</v>
      </c>
      <c r="AW43">
        <f>PART_NUMBER_GENERATOR_TABLE[[#This Row],[Professional Engineering Hours]]*PART_NUMBER_GENERATOR_TABLE[[#This Row],[Cost Rate]]</f>
        <v>0</v>
      </c>
      <c r="AX43">
        <f>SUM(PART_NUMBER_GENERATOR_TABLE[[#This Row],[PM Trips]:[R5 Trips]])</f>
        <v>0</v>
      </c>
      <c r="AY43">
        <f>PART_NUMBER_GENERATOR_TABLE[[#This Row],[Travel &amp; Accommodation Hours]]*PART_NUMBER_GENERATOR_TABLE[[#This Row],[Sell Rate]]</f>
        <v>0</v>
      </c>
      <c r="AZ43">
        <f>PART_NUMBER_GENERATOR_TABLE[[#This Row],[Travel &amp; Accommodation Hours]]*PART_NUMBER_GENERATOR_TABLE[[#This Row],[Cost Rate]]</f>
        <v>0</v>
      </c>
      <c r="BA43">
        <f>PART_NUMBER_GENERATOR_TABLE[[#This Row],[PM Hours]]+PART_NUMBER_GENERATOR_TABLE[[#This Row],[PM Remainder]]</f>
        <v>0</v>
      </c>
      <c r="BB43">
        <f>PART_NUMBER_GENERATOR_TABLE[[#This Row],[Project Management Hours]]*PART_NUMBER_GENERATOR_TABLE[[#This Row],[Sell Rate]]</f>
        <v>0</v>
      </c>
      <c r="BC43">
        <f>PART_NUMBER_GENERATOR_TABLE[[#This Row],[Project Management Hours]]*PART_NUMBER_GENERATOR_TABLE[[#This Row],[Cost Rate]]</f>
        <v>0</v>
      </c>
      <c r="BD43">
        <f>SUM(PART_NUMBER_GENERATOR_TABLE[[#This Row],[SSE RISK BH]:[PM RISK]],PART_NUMBER_GENERATOR_TABLE[[#This Row],[SSE Remainder RISK BH]:[PM Remainder RISK]])</f>
        <v>0</v>
      </c>
      <c r="BE43">
        <f>PART_NUMBER_GENERATOR_TABLE[[#This Row],[Project Risk Service Hours]]*PART_NUMBER_GENERATOR_TABLE[[#This Row],[Sell Rate]]</f>
        <v>0</v>
      </c>
      <c r="BF43">
        <f>PART_NUMBER_GENERATOR_TABLE[[#This Row],[Project Risk Service Hours]]*PART_NUMBER_GENERATOR_TABLE[[#This Row],[Cost Rate]]</f>
        <v>0</v>
      </c>
      <c r="BG43">
        <f>PART_NUMBER_GENERATOR_TABLE[[#This Row],[SSE RISK TRAVEL]]</f>
        <v>0</v>
      </c>
      <c r="BH43">
        <f>PART_NUMBER_GENERATOR_TABLE[[#This Row],[Sell Rate]]*PART_NUMBER_GENERATOR_TABLE[[#This Row],[Project Risk Travel Hours]]</f>
        <v>0</v>
      </c>
      <c r="BI43">
        <f>PART_NUMBER_GENERATOR_TABLE[[#This Row],[Project Risk Travel Hours]]*PART_NUMBER_GENERATOR_TABLE[[#This Row],[Cost Rate]]</f>
        <v>0</v>
      </c>
      <c r="BJ4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4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43">
        <f>IFERROR(-VLOOKUP(INDEX(ENGINEER_ROLES,MATCH(PART_NUMBER_GENERATOR_TABLE[[#This Row],[Work Role]],settings.Table_Engineer.Roles[ID],0),1),Settings_Hidden!$H$359:$K$366,4,FALSE),0)</f>
        <v>0</v>
      </c>
      <c r="BM43" s="680">
        <f>-Summary!$C$66</f>
        <v>0</v>
      </c>
      <c r="BN43" s="465">
        <f>PART_NUMBER_GENERATOR_TABLE[[#This Row],[Total Base Price]]*MIN(PART_NUMBER_GENERATOR_TABLE[[#This Row],[Rate Service Discount]:[Flat Service Discount]])</f>
        <v>0</v>
      </c>
      <c r="BO43" s="451" t="str">
        <f>IF(PART_NUMBER_GENERATOR_TABLE[[#This Row],[Quantity]]&lt;&gt;0,MAX($BO$30:BO42)+1,"")</f>
        <v/>
      </c>
      <c r="BP43" t="str">
        <f>PART_NUMBER_GENERATOR_TABLE[[#This Row],[Part Number]]</f>
        <v>A-PS-P-SECNET-PM-BH</v>
      </c>
      <c r="BQ43">
        <f>PART_NUMBER_GENERATOR_TABLE[[#This Row],[Total Hours]]</f>
        <v>0</v>
      </c>
      <c r="BR43">
        <f>PART_NUMBER_GENERATOR_TABLE[[#This Row],[Cost Rate]]</f>
        <v>147.55803124436895</v>
      </c>
      <c r="BS43" s="465">
        <f>PART_NUMBER_GENERATOR_TABLE[[#This Row],[Sell Rate]]+(PART_NUMBER_GENERATOR_TABLE[[#This Row],[Sell Rate]]*MIN(PART_NUMBER_GENERATOR_TABLE[[#This Row],[Rate Service Discount]:[Flat Service Discount]]))</f>
        <v>225</v>
      </c>
    </row>
    <row r="44" spans="1:71">
      <c r="A44">
        <v>14</v>
      </c>
      <c r="C44" t="s">
        <v>1089</v>
      </c>
      <c r="D44" t="str" cm="1">
        <f t="array" ref="D44">INDEX(Table.Settings_Skill.List[Skill Name],MATCH(INDEX(_xlfn.TEXTSPLIT(C44,"-",,TRUE),4),Table.Settings_Skill.List[Skill Code],0),1)</f>
        <v>Security</v>
      </c>
      <c r="E44" t="str" cm="1">
        <f t="array" ref="E44">INDEX(_xlfn.TEXTSPLIT(C44,"-",,TRUE),5)</f>
        <v>SPM</v>
      </c>
      <c r="F44" t="str">
        <f>IFERROR(INDEX(settings.Table_Engineer.Roles[Department Code],MATCH(PART_NUMBER_GENERATOR_TABLE[[#This Row],[Work Role]],settings.Table_Engineer.Roles[ID],0),1),"PMO")</f>
        <v>PMO</v>
      </c>
      <c r="G44" t="str" cm="1">
        <f t="array" ref="G44">INDEX(_xlfn.TEXTSPLIT(C44,"-",,TRUE),6)</f>
        <v>BH</v>
      </c>
      <c r="H4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259</v>
      </c>
      <c r="I4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178.54009633394438</v>
      </c>
      <c r="J44" cm="1">
        <f t="array" ref="J44">IF(J$1&lt;&gt;PART_NUMBER_GENERATOR_TABLE[[#This Row],[Work Role]:[Work Role]],0,
IF(RIGHT(J$30,2)&lt;&gt;PART_NUMBER_GENERATOR_TABLE[[#This Row],[Work Type]:[Work Type]],0,
SUMIFS(Input_Tasks[R1 Business Hours],Input_Tasks[[Skill Required]:[Skill Required]],PART_NUMBER_GENERATOR_TABLE[[#This Row],[Tech]:[Tech]])))</f>
        <v>0</v>
      </c>
      <c r="K44" cm="1">
        <f t="array" ref="K44">IF(K$1&lt;&gt;PART_NUMBER_GENERATOR_TABLE[[#This Row],[Work Role]:[Work Role]],0,
IF(RIGHT(K$30,2)&lt;&gt;PART_NUMBER_GENERATOR_TABLE[[#This Row],[Work Type]:[Work Type]],0,
SUMIFS(Input_Tasks[R1 After Hours],Input_Tasks[[Skill Required]:[Skill Required]],PART_NUMBER_GENERATOR_TABLE[[#This Row],[Tech]:[Tech]])))</f>
        <v>0</v>
      </c>
      <c r="L44" cm="1">
        <f t="array" ref="L44">IF(L$1&lt;&gt;PART_NUMBER_GENERATOR_TABLE[[#This Row],[Work Role]:[Work Role]],0,
IF(RIGHT(L$30,2)&lt;&gt;PART_NUMBER_GENERATOR_TABLE[[#This Row],[Work Type]:[Work Type]],0,
SUMIFS(Input_Tasks[R2 Business Hours],Input_Tasks[[Skill Required]:[Skill Required]],PART_NUMBER_GENERATOR_TABLE[[#This Row],[Tech]:[Tech]])))</f>
        <v>0</v>
      </c>
      <c r="M44" cm="1">
        <f t="array" ref="M44">IF(M$1&lt;&gt;PART_NUMBER_GENERATOR_TABLE[[#This Row],[Work Role]:[Work Role]],0,
IF(RIGHT(M$30,2)&lt;&gt;PART_NUMBER_GENERATOR_TABLE[[#This Row],[Work Type]:[Work Type]],0,
SUMIFS(Input_Tasks[R2 After Hours],Input_Tasks[[Skill Required]:[Skill Required]],PART_NUMBER_GENERATOR_TABLE[[#This Row],[Tech]:[Tech]])))</f>
        <v>0</v>
      </c>
      <c r="N44" cm="1">
        <f t="array" ref="N44">IF(N$1&lt;&gt;PART_NUMBER_GENERATOR_TABLE[[#This Row],[Work Role]:[Work Role]],0,
IF(RIGHT(N$30,2)&lt;&gt;PART_NUMBER_GENERATOR_TABLE[[#This Row],[Work Type]:[Work Type]],0,
SUMIFS(Input_Tasks[R3 Business Hours],Input_Tasks[[Skill Required]:[Skill Required]],PART_NUMBER_GENERATOR_TABLE[[#This Row],[Tech]:[Tech]])))</f>
        <v>0</v>
      </c>
      <c r="O44" cm="1">
        <f t="array" ref="O44">IF(O$1&lt;&gt;PART_NUMBER_GENERATOR_TABLE[[#This Row],[Work Role]:[Work Role]],0,
IF(RIGHT(O$30,2)&lt;&gt;PART_NUMBER_GENERATOR_TABLE[[#This Row],[Work Type]:[Work Type]],0,
SUMIFS(Input_Tasks[R3 After Hours],Input_Tasks[[Skill Required]:[Skill Required]],PART_NUMBER_GENERATOR_TABLE[[#This Row],[Tech]:[Tech]])))</f>
        <v>0</v>
      </c>
      <c r="P44" cm="1">
        <f t="array" ref="P44">IF(P$1&lt;&gt;PART_NUMBER_GENERATOR_TABLE[[#This Row],[Work Role]:[Work Role]],0,
IF(RIGHT(P$30,2)&lt;&gt;PART_NUMBER_GENERATOR_TABLE[[#This Row],[Work Type]:[Work Type]],0,
SUMIFS(Input_Tasks[R4 Business Hours],Input_Tasks[[Skill Required]:[Skill Required]],PART_NUMBER_GENERATOR_TABLE[[#This Row],[Tech]:[Tech]])))</f>
        <v>0</v>
      </c>
      <c r="Q44" cm="1">
        <f t="array" ref="Q44">IF(Q$1&lt;&gt;PART_NUMBER_GENERATOR_TABLE[[#This Row],[Work Role]:[Work Role]],0,
IF(RIGHT(Q$30,2)&lt;&gt;PART_NUMBER_GENERATOR_TABLE[[#This Row],[Work Type]:[Work Type]],0,
SUMIFS(Input_Tasks[R4 After Hours],Input_Tasks[[Skill Required]:[Skill Required]],PART_NUMBER_GENERATOR_TABLE[[#This Row],[Tech]:[Tech]])))</f>
        <v>0</v>
      </c>
      <c r="R44" cm="1">
        <f t="array" ref="R44">IF(R$1&lt;&gt;PART_NUMBER_GENERATOR_TABLE[[#This Row],[Work Role]:[Work Role]],0,
IF(RIGHT(R$30,2)&lt;&gt;PART_NUMBER_GENERATOR_TABLE[[#This Row],[Work Type]:[Work Type]],0,
SUMIFS(Input_Tasks[R5 Business Hours],Input_Tasks[[Skill Required]:[Skill Required]],PART_NUMBER_GENERATOR_TABLE[[#This Row],[Tech]:[Tech]])))</f>
        <v>0</v>
      </c>
      <c r="S44" cm="1">
        <f t="array" ref="S44">IF(S$1&lt;&gt;PART_NUMBER_GENERATOR_TABLE[[#This Row],[Work Role]:[Work Role]],0,
IF(RIGHT(S$30,2)&lt;&gt;PART_NUMBER_GENERATOR_TABLE[[#This Row],[Work Type]:[Work Type]],0,
SUMIFS(Input_Tasks[R5 After Hours],Input_Tasks[[Skill Required]:[Skill Required]],PART_NUMBER_GENERATOR_TABLE[[#This Row],[Tech]:[Tech]])))</f>
        <v>0</v>
      </c>
      <c r="T44" cm="1">
        <f t="array" ref="T44">IF(PART_NUMBER_GENERATOR_TABLE[[#This Row],[Work Role]:[Work Role]]&lt;&gt;T$1,0,
IF(PART_NUMBER_GENERATOR_TABLE[[#This Row],[Work Type]:[Work Type]]&lt;&gt;"BH",0,
SUMIFS(T$9:T$24,$M$9:$M$24,PART_NUMBER_GENERATOR_TABLE[[#This Row],[Tech]:[Tech]])))</f>
        <v>0</v>
      </c>
      <c r="U44" cm="1">
        <f t="array" ref="U44">IF(PART_NUMBER_GENERATOR_TABLE[[#This Row],[Work Role]:[Work Role]]&lt;&gt;U$1,0,
IF(PART_NUMBER_GENERATOR_TABLE[[#This Row],[Work Type]:[Work Type]]&lt;&gt;"BH",0,
SUMIFS(U$9:U$24,$M$9:$M$24,PART_NUMBER_GENERATOR_TABLE[[#This Row],[Tech]:[Tech]])))</f>
        <v>0</v>
      </c>
      <c r="V44" cm="1">
        <f t="array" ref="V44">IF(PART_NUMBER_GENERATOR_TABLE[[#This Row],[Work Role]:[Work Role]]&lt;&gt;V$1,0,
IF(PART_NUMBER_GENERATOR_TABLE[[#This Row],[Work Type]:[Work Type]]&lt;&gt;"BH",0,
SUMIFS(V$9:V$24,$M$9:$M$24,PART_NUMBER_GENERATOR_TABLE[[#This Row],[Tech]:[Tech]])))</f>
        <v>0</v>
      </c>
      <c r="W44" cm="1">
        <f t="array" ref="W44">IF(PART_NUMBER_GENERATOR_TABLE[[#This Row],[Work Role]:[Work Role]]&lt;&gt;W$1,0,
IF(PART_NUMBER_GENERATOR_TABLE[[#This Row],[Work Type]:[Work Type]]&lt;&gt;"BH",0,
SUMIFS(W$9:W$24,$M$9:$M$24,PART_NUMBER_GENERATOR_TABLE[[#This Row],[Tech]:[Tech]])))</f>
        <v>0</v>
      </c>
      <c r="X44" cm="1">
        <f t="array" ref="X44">IF(PART_NUMBER_GENERATOR_TABLE[[#This Row],[Work Role]:[Work Role]]&lt;&gt;X$1,0,
IF(PART_NUMBER_GENERATOR_TABLE[[#This Row],[Work Type]:[Work Type]]&lt;&gt;"BH",0,
SUMIFS(X$9:X$24,$M$9:$M$24,PART_NUMBER_GENERATOR_TABLE[[#This Row],[Tech]:[Tech]])))</f>
        <v>0</v>
      </c>
      <c r="Y44" cm="1">
        <f t="array" ref="Y44">IF(PART_NUMBER_GENERATOR_TABLE[[#This Row],[Work Role]:[Work Role]]&lt;&gt;Y$1,0,
IF(PART_NUMBER_GENERATOR_TABLE[[#This Row],[Work Type]:[Work Type]]&lt;&gt;"BH",0,
SUMIFS(Y$9:Y$24,$M$9:$M$24,PART_NUMBER_GENERATOR_TABLE[[#This Row],[Tech]:[Tech]])))</f>
        <v>0</v>
      </c>
      <c r="Z44" cm="1">
        <f t="array" ref="Z44">IF(PART_NUMBER_GENERATOR_TABLE[[#This Row],[Work Role]:[Work Role]]&lt;&gt;Z$1,0,
IF(PART_NUMBER_GENERATOR_TABLE[[#This Row],[Work Type]:[Work Type]]&lt;&gt;"BH",0,
SUMIFS(Z$9:Z$24,$M$9:$M$24,PART_NUMBER_GENERATOR_TABLE[[#This Row],[Tech]:[Tech]])))</f>
        <v>0</v>
      </c>
      <c r="AA44" cm="1">
        <f t="array" ref="AA44">IF(PART_NUMBER_GENERATOR_TABLE[[#This Row],[Work Role]:[Work Role]]&lt;&gt;AA$1,0,
IF(PART_NUMBER_GENERATOR_TABLE[[#This Row],[Work Type]:[Work Type]]&lt;&gt;"BH",0,
SUMIFS(AA$9:AA$24,$M$9:$M$24,PART_NUMBER_GENERATOR_TABLE[[#This Row],[Tech]:[Tech]])))</f>
        <v>0</v>
      </c>
      <c r="AB44" cm="1">
        <f t="array" ref="AB44">IF(PART_NUMBER_GENERATOR_TABLE[[#This Row],[Work Role]:[Work Role]]&lt;&gt;AB$1,0,
IF(PART_NUMBER_GENERATOR_TABLE[[#This Row],[Work Type]:[Work Type]]&lt;&gt;"BH",0,
SUMIFS(AB$9:AB$24,$M$9:$M$24,PART_NUMBER_GENERATOR_TABLE[[#This Row],[Tech]:[Tech]])))</f>
        <v>0</v>
      </c>
      <c r="AC44" cm="1">
        <f t="array" ref="AC44">IF(PART_NUMBER_GENERATOR_TABLE[[#This Row],[Work Role]:[Work Role]]&lt;&gt;AC$1,0,
IF(PART_NUMBER_GENERATOR_TABLE[[#This Row],[Work Type]:[Work Type]]&lt;&gt;"BH",0,
SUMIFS(AC$9:AC$24,$M$9:$M$24,PART_NUMBER_GENERATOR_TABLE[[#This Row],[Tech]:[Tech]])))</f>
        <v>0</v>
      </c>
      <c r="AD44" cm="1">
        <f t="array" ref="AD44">IF(PART_NUMBER_GENERATOR_TABLE[[#This Row],[Work Role]:[Work Role]]&lt;&gt;AD$1,0,
IF(PART_NUMBER_GENERATOR_TABLE[[#This Row],[Work Type]:[Work Type]]&lt;&gt;"BH",0,
SUMIFS(AD$9:AD$24,$M$9:$M$24,PART_NUMBER_GENERATOR_TABLE[[#This Row],[Tech]:[Tech]])))</f>
        <v>0</v>
      </c>
      <c r="AE44" cm="1">
        <f t="array" ref="AE44">IF(PART_NUMBER_GENERATOR_TABLE[[#This Row],[Work Role]:[Work Role]]&lt;&gt;AE$1,0,
IF(PART_NUMBER_GENERATOR_TABLE[[#This Row],[Work Type]:[Work Type]]&lt;&gt;"BH",0,
SUMIFS(AE$9:AE$24,$M$9:$M$24,PART_NUMBER_GENERATOR_TABLE[[#This Row],[Tech]:[Tech]])))</f>
        <v>0</v>
      </c>
      <c r="AF44" cm="1">
        <f t="array" ref="AF44">IF(PART_NUMBER_GENERATOR_TABLE[[#This Row],[Work Role]:[Work Role]]&lt;&gt;AF$1,0,
IF(PART_NUMBER_GENERATOR_TABLE[[#This Row],[Work Type]:[Work Type]]&lt;&gt;"BH",0,
SUMIFS(AF$9:AF$24,$M$9:$M$24,PART_NUMBER_GENERATOR_TABLE[[#This Row],[Tech]:[Tech]])))</f>
        <v>0</v>
      </c>
      <c r="AG44" cm="1">
        <f t="array" ref="AG44">IF(PART_NUMBER_GENERATOR_TABLE[[#This Row],[Work Role]:[Work Role]]&lt;&gt;AG$1,0,
IF(PART_NUMBER_GENERATOR_TABLE[[#This Row],[Work Type]:[Work Type]]&lt;&gt;"AH",0,
SUMIFS(AG$9:AG$24,$M$9:$M$24,PART_NUMBER_GENERATOR_TABLE[[#This Row],[Tech]:[Tech]])))</f>
        <v>0</v>
      </c>
      <c r="AH44" cm="1">
        <f t="array" ref="AH44">IF(PART_NUMBER_GENERATOR_TABLE[[#This Row],[Work Role]:[Work Role]]&lt;&gt;AH$1,0,
IF(PART_NUMBER_GENERATOR_TABLE[[#This Row],[Work Type]:[Work Type]]&lt;&gt;"BH",0,
SUMIFS(AH$9:AH$24,$M$9:$M$24,PART_NUMBER_GENERATOR_TABLE[[#This Row],[Tech]:[Tech]])))</f>
        <v>0</v>
      </c>
      <c r="AI44" cm="1">
        <f t="array" ref="AI44">IF(PART_NUMBER_GENERATOR_TABLE[[#This Row],[Work Role]:[Work Role]]&lt;&gt;AI$1,0,
IF(PART_NUMBER_GENERATOR_TABLE[[#This Row],[Work Type]:[Work Type]]&lt;&gt;"BH",0,
SUMIFS(AI$9:AI$24,$M$9:$M$24,PART_NUMBER_GENERATOR_TABLE[[#This Row],[Tech]:[Tech]])))</f>
        <v>0</v>
      </c>
      <c r="AJ44" cm="1">
        <f t="array" ref="AJ44">IF(PART_NUMBER_GENERATOR_TABLE[[#This Row],[Work Role]:[Work Role]]&lt;&gt;AJ$1,0,
IF(PART_NUMBER_GENERATOR_TABLE[[#This Row],[Work Type]:[Work Type]]&lt;&gt;"BH",0,
SUMIFS(AJ$9:AJ$24,$M$9:$M$24,PART_NUMBER_GENERATOR_TABLE[[#This Row],[Tech]:[Tech]])))</f>
        <v>0</v>
      </c>
      <c r="AK44" cm="1">
        <f t="array" ref="AK44">IF(PART_NUMBER_GENERATOR_TABLE[[#This Row],[Work Role]:[Work Role]]&lt;&gt;AK$1,0,
IF(PART_NUMBER_GENERATOR_TABLE[[#This Row],[Work Type]:[Work Type]]&lt;&gt;"AH",0,
SUMIFS(AK$9:AK$24,$M$9:$M$24,PART_NUMBER_GENERATOR_TABLE[[#This Row],[Tech]:[Tech]])))</f>
        <v>0</v>
      </c>
      <c r="AL44" cm="1">
        <f t="array" ref="AL44">IF(PART_NUMBER_GENERATOR_TABLE[[#This Row],[Work Role]:[Work Role]]&lt;&gt;AL$1,0,
IF(PART_NUMBER_GENERATOR_TABLE[[#This Row],[Work Type]:[Work Type]]&lt;&gt;"BH",0,
SUMIFS(AL$9:AL$24,$M$9:$M$24,PART_NUMBER_GENERATOR_TABLE[[#This Row],[Tech]:[Tech]])))</f>
        <v>0</v>
      </c>
      <c r="AM44">
        <f>0</f>
        <v>0</v>
      </c>
      <c r="AN44" cm="1">
        <f t="array" ref="AN44">IF(PART_NUMBER_GENERATOR_TABLE[[#This Row],[Work Role]:[Work Role]]&lt;&gt;AN$1,0,
IF(PART_NUMBER_GENERATOR_TABLE[[#This Row],[Work Type]:[Work Type]]&lt;&gt;"BH",0,
SUMIFS(AN$24,$AM$24,PART_NUMBER_GENERATOR_TABLE[[#This Row],[Tech]:[Tech]])))</f>
        <v>0</v>
      </c>
      <c r="AO44" cm="1">
        <f t="array" ref="AO44">IF(PART_NUMBER_GENERATOR_TABLE[[#This Row],[Work Role]:[Work Role]]&lt;&gt;AO$1,0,
IF(PART_NUMBER_GENERATOR_TABLE[[#This Row],[Work Type]:[Work Type]]&lt;&gt;"BH",0,
SUMIFS(AO$24,$AM$24,PART_NUMBER_GENERATOR_TABLE[[#This Row],[Tech]:[Tech]])))</f>
        <v>0</v>
      </c>
      <c r="AP44" cm="1">
        <f t="array" ref="AP44">IF(PART_NUMBER_GENERATOR_TABLE[[#This Row],[Work Role]:[Work Role]]&lt;&gt;AP$1,0,
IF(PART_NUMBER_GENERATOR_TABLE[[#This Row],[Work Type]:[Work Type]]&lt;&gt;"BH",0,
SUMIFS(AP$24,$AM$24,PART_NUMBER_GENERATOR_TABLE[[#This Row],[Tech]:[Tech]])))</f>
        <v>0</v>
      </c>
      <c r="AQ44" cm="1">
        <f t="array" ref="AQ44">IF(PART_NUMBER_GENERATOR_TABLE[[#This Row],[Work Role]:[Work Role]]&lt;&gt;AQ$1,0,
IF(PART_NUMBER_GENERATOR_TABLE[[#This Row],[Work Type]:[Work Type]]&lt;&gt;"BH",0,
SUMIFS(AQ$24,$AM$24,PART_NUMBER_GENERATOR_TABLE[[#This Row],[Tech]:[Tech]])))</f>
        <v>0</v>
      </c>
      <c r="AR44" cm="1">
        <f t="array" ref="AR44">IF(PART_NUMBER_GENERATOR_TABLE[[#This Row],[Work Role]:[Work Role]]&lt;&gt;AR$1,0,
IF(PART_NUMBER_GENERATOR_TABLE[[#This Row],[Work Type]:[Work Type]]&lt;&gt;"BH",0,
SUMIFS(AR$24,$AM$24,PART_NUMBER_GENERATOR_TABLE[[#This Row],[Tech]:[Tech]])))</f>
        <v>0</v>
      </c>
      <c r="AS44" cm="1">
        <f t="array" ref="AS44">IF(PART_NUMBER_GENERATOR_TABLE[[#This Row],[Work Role]:[Work Role]]&lt;&gt;AS$1,0,
IF(PART_NUMBER_GENERATOR_TABLE[[#This Row],[Work Type]:[Work Type]]&lt;&gt;"BH",0,
SUMIFS(AS$24,$AM$24,PART_NUMBER_GENERATOR_TABLE[[#This Row],[Tech]:[Tech]])))</f>
        <v>0</v>
      </c>
      <c r="AT44" cm="1">
        <f t="array" ref="AT44">IF(PART_NUMBER_GENERATOR_TABLE[[#This Row],[Work Role]:[Work Role]]&lt;&gt;AS$1,0,
IF(PART_NUMBER_GENERATOR_TABLE[[#This Row],[Work Type]:[Work Type]]&lt;&gt;"BH",0,
SUMIFS(AT$24,$AM$24,PART_NUMBER_GENERATOR_TABLE[[#This Row],[Tech]:[Tech]])))</f>
        <v>0</v>
      </c>
      <c r="AU44">
        <f>SUM(PART_NUMBER_GENERATOR_TABLE[[#This Row],[Resource 1 BH]:[Resource 5 AH]],PART_NUMBER_GENERATOR_TABLE[[#This Row],[R1 Mandatory Tasks]:[R5 Mandatory Tasks]],PART_NUMBER_GENERATOR_TABLE[[#This Row],[R1 Remainder]:[R5 Remainder]])</f>
        <v>0</v>
      </c>
      <c r="AV44">
        <f>PART_NUMBER_GENERATOR_TABLE[[#This Row],[Professional Engineering Hours]]*PART_NUMBER_GENERATOR_TABLE[[#This Row],[Sell Rate]]</f>
        <v>0</v>
      </c>
      <c r="AW44">
        <f>PART_NUMBER_GENERATOR_TABLE[[#This Row],[Professional Engineering Hours]]*PART_NUMBER_GENERATOR_TABLE[[#This Row],[Cost Rate]]</f>
        <v>0</v>
      </c>
      <c r="AX44">
        <f>SUM(PART_NUMBER_GENERATOR_TABLE[[#This Row],[PM Trips]:[R5 Trips]])</f>
        <v>0</v>
      </c>
      <c r="AY44">
        <f>PART_NUMBER_GENERATOR_TABLE[[#This Row],[Travel &amp; Accommodation Hours]]*PART_NUMBER_GENERATOR_TABLE[[#This Row],[Sell Rate]]</f>
        <v>0</v>
      </c>
      <c r="AZ44">
        <f>PART_NUMBER_GENERATOR_TABLE[[#This Row],[Travel &amp; Accommodation Hours]]*PART_NUMBER_GENERATOR_TABLE[[#This Row],[Cost Rate]]</f>
        <v>0</v>
      </c>
      <c r="BA44">
        <f>PART_NUMBER_GENERATOR_TABLE[[#This Row],[PM Hours]]+PART_NUMBER_GENERATOR_TABLE[[#This Row],[PM Remainder]]</f>
        <v>0</v>
      </c>
      <c r="BB44">
        <f>PART_NUMBER_GENERATOR_TABLE[[#This Row],[Project Management Hours]]*PART_NUMBER_GENERATOR_TABLE[[#This Row],[Sell Rate]]</f>
        <v>0</v>
      </c>
      <c r="BC44">
        <f>PART_NUMBER_GENERATOR_TABLE[[#This Row],[Project Management Hours]]*PART_NUMBER_GENERATOR_TABLE[[#This Row],[Cost Rate]]</f>
        <v>0</v>
      </c>
      <c r="BD44">
        <f>SUM(PART_NUMBER_GENERATOR_TABLE[[#This Row],[SSE RISK BH]:[PM RISK]],PART_NUMBER_GENERATOR_TABLE[[#This Row],[SSE Remainder RISK BH]:[PM Remainder RISK]])</f>
        <v>0</v>
      </c>
      <c r="BE44">
        <f>PART_NUMBER_GENERATOR_TABLE[[#This Row],[Project Risk Service Hours]]*PART_NUMBER_GENERATOR_TABLE[[#This Row],[Sell Rate]]</f>
        <v>0</v>
      </c>
      <c r="BF44">
        <f>PART_NUMBER_GENERATOR_TABLE[[#This Row],[Project Risk Service Hours]]*PART_NUMBER_GENERATOR_TABLE[[#This Row],[Cost Rate]]</f>
        <v>0</v>
      </c>
      <c r="BG44">
        <f>PART_NUMBER_GENERATOR_TABLE[[#This Row],[SSE RISK TRAVEL]]</f>
        <v>0</v>
      </c>
      <c r="BH44">
        <f>PART_NUMBER_GENERATOR_TABLE[[#This Row],[Sell Rate]]*PART_NUMBER_GENERATOR_TABLE[[#This Row],[Project Risk Travel Hours]]</f>
        <v>0</v>
      </c>
      <c r="BI44">
        <f>PART_NUMBER_GENERATOR_TABLE[[#This Row],[Project Risk Travel Hours]]*PART_NUMBER_GENERATOR_TABLE[[#This Row],[Cost Rate]]</f>
        <v>0</v>
      </c>
      <c r="BJ4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4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44">
        <f>IFERROR(-VLOOKUP(INDEX(ENGINEER_ROLES,MATCH(PART_NUMBER_GENERATOR_TABLE[[#This Row],[Work Role]],settings.Table_Engineer.Roles[ID],0),1),Settings_Hidden!$H$359:$K$366,4,FALSE),0)</f>
        <v>0</v>
      </c>
      <c r="BM44" s="680">
        <f>-Summary!$C$66</f>
        <v>0</v>
      </c>
      <c r="BN44" s="465">
        <f>PART_NUMBER_GENERATOR_TABLE[[#This Row],[Total Base Price]]*MIN(PART_NUMBER_GENERATOR_TABLE[[#This Row],[Rate Service Discount]:[Flat Service Discount]])</f>
        <v>0</v>
      </c>
      <c r="BO44" s="451" t="str">
        <f>IF(PART_NUMBER_GENERATOR_TABLE[[#This Row],[Quantity]]&lt;&gt;0,MAX($BO$30:BO43)+1,"")</f>
        <v/>
      </c>
      <c r="BP44" t="str">
        <f>PART_NUMBER_GENERATOR_TABLE[[#This Row],[Part Number]]</f>
        <v>A-PS-P-SECNET-SPM-BH</v>
      </c>
      <c r="BQ44">
        <f>PART_NUMBER_GENERATOR_TABLE[[#This Row],[Total Hours]]</f>
        <v>0</v>
      </c>
      <c r="BR44">
        <f>PART_NUMBER_GENERATOR_TABLE[[#This Row],[Cost Rate]]</f>
        <v>178.54009633394438</v>
      </c>
      <c r="BS44" s="465">
        <f>PART_NUMBER_GENERATOR_TABLE[[#This Row],[Sell Rate]]+(PART_NUMBER_GENERATOR_TABLE[[#This Row],[Sell Rate]]*MIN(PART_NUMBER_GENERATOR_TABLE[[#This Row],[Rate Service Discount]:[Flat Service Discount]]))</f>
        <v>259</v>
      </c>
    </row>
    <row r="45" spans="1:71">
      <c r="A45">
        <v>15</v>
      </c>
      <c r="C45" t="s">
        <v>1131</v>
      </c>
      <c r="D45" t="str" cm="1">
        <f t="array" ref="D45">INDEX(Table.Settings_Skill.List[Skill Name],MATCH(INDEX(_xlfn.TEXTSPLIT(C45,"-",,TRUE),4),Table.Settings_Skill.List[Skill Code],0),1)</f>
        <v>Travel</v>
      </c>
      <c r="E45" t="str" cm="1">
        <f t="array" ref="E45">INDEX(_xlfn.TEXTSPLIT(C45,"-",,TRUE),5)</f>
        <v>PM</v>
      </c>
      <c r="F45" t="str">
        <f>IFERROR(INDEX(settings.Table_Engineer.Roles[Department Code],MATCH(PART_NUMBER_GENERATOR_TABLE[[#This Row],[Work Role]],settings.Table_Engineer.Roles[ID],0),1),"PMO")</f>
        <v>PMO</v>
      </c>
      <c r="G45" t="str" cm="1">
        <f t="array" ref="G45">INDEX(_xlfn.TEXTSPLIT(C45,"-",,TRUE),6)</f>
        <v>BH</v>
      </c>
      <c r="H4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4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45" cm="1">
        <f t="array" ref="J45">IF(J$1&lt;&gt;PART_NUMBER_GENERATOR_TABLE[[#This Row],[Work Role]:[Work Role]],0,
IF(RIGHT(J$30,2)&lt;&gt;PART_NUMBER_GENERATOR_TABLE[[#This Row],[Work Type]:[Work Type]],0,
SUMIFS(Input_Tasks[R1 Business Hours],Input_Tasks[[Skill Required]:[Skill Required]],PART_NUMBER_GENERATOR_TABLE[[#This Row],[Tech]:[Tech]])))</f>
        <v>0</v>
      </c>
      <c r="K45" cm="1">
        <f t="array" ref="K45">IF(K$1&lt;&gt;PART_NUMBER_GENERATOR_TABLE[[#This Row],[Work Role]:[Work Role]],0,
IF(RIGHT(K$30,2)&lt;&gt;PART_NUMBER_GENERATOR_TABLE[[#This Row],[Work Type]:[Work Type]],0,
SUMIFS(Input_Tasks[R1 After Hours],Input_Tasks[[Skill Required]:[Skill Required]],PART_NUMBER_GENERATOR_TABLE[[#This Row],[Tech]:[Tech]])))</f>
        <v>0</v>
      </c>
      <c r="L45" cm="1">
        <f t="array" ref="L45">IF(L$1&lt;&gt;PART_NUMBER_GENERATOR_TABLE[[#This Row],[Work Role]:[Work Role]],0,
IF(RIGHT(L$30,2)&lt;&gt;PART_NUMBER_GENERATOR_TABLE[[#This Row],[Work Type]:[Work Type]],0,
SUMIFS(Input_Tasks[R2 Business Hours],Input_Tasks[[Skill Required]:[Skill Required]],PART_NUMBER_GENERATOR_TABLE[[#This Row],[Tech]:[Tech]])))</f>
        <v>0</v>
      </c>
      <c r="M45" cm="1">
        <f t="array" ref="M45">IF(M$1&lt;&gt;PART_NUMBER_GENERATOR_TABLE[[#This Row],[Work Role]:[Work Role]],0,
IF(RIGHT(M$30,2)&lt;&gt;PART_NUMBER_GENERATOR_TABLE[[#This Row],[Work Type]:[Work Type]],0,
SUMIFS(Input_Tasks[R2 After Hours],Input_Tasks[[Skill Required]:[Skill Required]],PART_NUMBER_GENERATOR_TABLE[[#This Row],[Tech]:[Tech]])))</f>
        <v>0</v>
      </c>
      <c r="N45" cm="1">
        <f t="array" ref="N45">IF(N$1&lt;&gt;PART_NUMBER_GENERATOR_TABLE[[#This Row],[Work Role]:[Work Role]],0,
IF(RIGHT(N$30,2)&lt;&gt;PART_NUMBER_GENERATOR_TABLE[[#This Row],[Work Type]:[Work Type]],0,
SUMIFS(Input_Tasks[R3 Business Hours],Input_Tasks[[Skill Required]:[Skill Required]],PART_NUMBER_GENERATOR_TABLE[[#This Row],[Tech]:[Tech]])))</f>
        <v>0</v>
      </c>
      <c r="O45" cm="1">
        <f t="array" ref="O45">IF(O$1&lt;&gt;PART_NUMBER_GENERATOR_TABLE[[#This Row],[Work Role]:[Work Role]],0,
IF(RIGHT(O$30,2)&lt;&gt;PART_NUMBER_GENERATOR_TABLE[[#This Row],[Work Type]:[Work Type]],0,
SUMIFS(Input_Tasks[R3 After Hours],Input_Tasks[[Skill Required]:[Skill Required]],PART_NUMBER_GENERATOR_TABLE[[#This Row],[Tech]:[Tech]])))</f>
        <v>0</v>
      </c>
      <c r="P45" cm="1">
        <f t="array" ref="P45">IF(P$1&lt;&gt;PART_NUMBER_GENERATOR_TABLE[[#This Row],[Work Role]:[Work Role]],0,
IF(RIGHT(P$30,2)&lt;&gt;PART_NUMBER_GENERATOR_TABLE[[#This Row],[Work Type]:[Work Type]],0,
SUMIFS(Input_Tasks[R4 Business Hours],Input_Tasks[[Skill Required]:[Skill Required]],PART_NUMBER_GENERATOR_TABLE[[#This Row],[Tech]:[Tech]])))</f>
        <v>0</v>
      </c>
      <c r="Q45" cm="1">
        <f t="array" ref="Q45">IF(Q$1&lt;&gt;PART_NUMBER_GENERATOR_TABLE[[#This Row],[Work Role]:[Work Role]],0,
IF(RIGHT(Q$30,2)&lt;&gt;PART_NUMBER_GENERATOR_TABLE[[#This Row],[Work Type]:[Work Type]],0,
SUMIFS(Input_Tasks[R4 After Hours],Input_Tasks[[Skill Required]:[Skill Required]],PART_NUMBER_GENERATOR_TABLE[[#This Row],[Tech]:[Tech]])))</f>
        <v>0</v>
      </c>
      <c r="R45" cm="1">
        <f t="array" ref="R45">IF(R$1&lt;&gt;PART_NUMBER_GENERATOR_TABLE[[#This Row],[Work Role]:[Work Role]],0,
IF(RIGHT(R$30,2)&lt;&gt;PART_NUMBER_GENERATOR_TABLE[[#This Row],[Work Type]:[Work Type]],0,
SUMIFS(Input_Tasks[R5 Business Hours],Input_Tasks[[Skill Required]:[Skill Required]],PART_NUMBER_GENERATOR_TABLE[[#This Row],[Tech]:[Tech]])))</f>
        <v>0</v>
      </c>
      <c r="S45" cm="1">
        <f t="array" ref="S45">IF(S$1&lt;&gt;PART_NUMBER_GENERATOR_TABLE[[#This Row],[Work Role]:[Work Role]],0,
IF(RIGHT(S$30,2)&lt;&gt;PART_NUMBER_GENERATOR_TABLE[[#This Row],[Work Type]:[Work Type]],0,
SUMIFS(Input_Tasks[R5 After Hours],Input_Tasks[[Skill Required]:[Skill Required]],PART_NUMBER_GENERATOR_TABLE[[#This Row],[Tech]:[Tech]])))</f>
        <v>0</v>
      </c>
      <c r="T45" cm="1">
        <f t="array" ref="T45">IF(PART_NUMBER_GENERATOR_TABLE[[#This Row],[Work Role]:[Work Role]]&lt;&gt;T$1,0,
IF(PART_NUMBER_GENERATOR_TABLE[[#This Row],[Work Type]:[Work Type]]&lt;&gt;"BH",0,
SUMIFS(T$9:T$24,$M$9:$M$24,PART_NUMBER_GENERATOR_TABLE[[#This Row],[Tech]:[Tech]])))</f>
        <v>0</v>
      </c>
      <c r="U45" cm="1">
        <f t="array" ref="U45">IF(PART_NUMBER_GENERATOR_TABLE[[#This Row],[Work Role]:[Work Role]]&lt;&gt;U$1,0,
IF(PART_NUMBER_GENERATOR_TABLE[[#This Row],[Work Type]:[Work Type]]&lt;&gt;"BH",0,
SUMIFS(U$9:U$24,$M$9:$M$24,PART_NUMBER_GENERATOR_TABLE[[#This Row],[Tech]:[Tech]])))</f>
        <v>0</v>
      </c>
      <c r="V45" cm="1">
        <f t="array" ref="V45">IF(PART_NUMBER_GENERATOR_TABLE[[#This Row],[Work Role]:[Work Role]]&lt;&gt;V$1,0,
IF(PART_NUMBER_GENERATOR_TABLE[[#This Row],[Work Type]:[Work Type]]&lt;&gt;"BH",0,
SUMIFS(V$9:V$24,$M$9:$M$24,PART_NUMBER_GENERATOR_TABLE[[#This Row],[Tech]:[Tech]])))</f>
        <v>0</v>
      </c>
      <c r="W45" cm="1">
        <f t="array" ref="W45">IF(PART_NUMBER_GENERATOR_TABLE[[#This Row],[Work Role]:[Work Role]]&lt;&gt;W$1,0,
IF(PART_NUMBER_GENERATOR_TABLE[[#This Row],[Work Type]:[Work Type]]&lt;&gt;"BH",0,
SUMIFS(W$9:W$24,$M$9:$M$24,PART_NUMBER_GENERATOR_TABLE[[#This Row],[Tech]:[Tech]])))</f>
        <v>0</v>
      </c>
      <c r="X45" cm="1">
        <f t="array" ref="X45">IF(PART_NUMBER_GENERATOR_TABLE[[#This Row],[Work Role]:[Work Role]]&lt;&gt;X$1,0,
IF(PART_NUMBER_GENERATOR_TABLE[[#This Row],[Work Type]:[Work Type]]&lt;&gt;"BH",0,
SUMIFS(X$9:X$24,$M$9:$M$24,PART_NUMBER_GENERATOR_TABLE[[#This Row],[Tech]:[Tech]])))</f>
        <v>0</v>
      </c>
      <c r="Y45" cm="1">
        <f t="array" ref="Y45">IF(PART_NUMBER_GENERATOR_TABLE[[#This Row],[Work Role]:[Work Role]]&lt;&gt;Y$1,0,
IF(PART_NUMBER_GENERATOR_TABLE[[#This Row],[Work Type]:[Work Type]]&lt;&gt;"BH",0,
SUMIFS(Y$9:Y$24,$M$9:$M$24,PART_NUMBER_GENERATOR_TABLE[[#This Row],[Tech]:[Tech]])))</f>
        <v>0</v>
      </c>
      <c r="Z45" cm="1">
        <f t="array" ref="Z45">IF(PART_NUMBER_GENERATOR_TABLE[[#This Row],[Work Role]:[Work Role]]&lt;&gt;Z$1,0,
IF(PART_NUMBER_GENERATOR_TABLE[[#This Row],[Work Type]:[Work Type]]&lt;&gt;"BH",0,
SUMIFS(Z$9:Z$24,$M$9:$M$24,PART_NUMBER_GENERATOR_TABLE[[#This Row],[Tech]:[Tech]])))</f>
        <v>0</v>
      </c>
      <c r="AA45" cm="1">
        <f t="array" ref="AA45">IF(PART_NUMBER_GENERATOR_TABLE[[#This Row],[Work Role]:[Work Role]]&lt;&gt;AA$1,0,
IF(PART_NUMBER_GENERATOR_TABLE[[#This Row],[Work Type]:[Work Type]]&lt;&gt;"BH",0,
SUMIFS(AA$9:AA$24,$M$9:$M$24,PART_NUMBER_GENERATOR_TABLE[[#This Row],[Tech]:[Tech]])))</f>
        <v>0</v>
      </c>
      <c r="AB45" cm="1">
        <f t="array" ref="AB45">IF(PART_NUMBER_GENERATOR_TABLE[[#This Row],[Work Role]:[Work Role]]&lt;&gt;AB$1,0,
IF(PART_NUMBER_GENERATOR_TABLE[[#This Row],[Work Type]:[Work Type]]&lt;&gt;"BH",0,
SUMIFS(AB$9:AB$24,$M$9:$M$24,PART_NUMBER_GENERATOR_TABLE[[#This Row],[Tech]:[Tech]])))</f>
        <v>0</v>
      </c>
      <c r="AC45" cm="1">
        <f t="array" ref="AC45">IF(PART_NUMBER_GENERATOR_TABLE[[#This Row],[Work Role]:[Work Role]]&lt;&gt;AC$1,0,
IF(PART_NUMBER_GENERATOR_TABLE[[#This Row],[Work Type]:[Work Type]]&lt;&gt;"BH",0,
SUMIFS(AC$9:AC$24,$M$9:$M$24,PART_NUMBER_GENERATOR_TABLE[[#This Row],[Tech]:[Tech]])))</f>
        <v>0</v>
      </c>
      <c r="AD45" cm="1">
        <f t="array" ref="AD45">IF(PART_NUMBER_GENERATOR_TABLE[[#This Row],[Work Role]:[Work Role]]&lt;&gt;AD$1,0,
IF(PART_NUMBER_GENERATOR_TABLE[[#This Row],[Work Type]:[Work Type]]&lt;&gt;"BH",0,
SUMIFS(AD$9:AD$24,$M$9:$M$24,PART_NUMBER_GENERATOR_TABLE[[#This Row],[Tech]:[Tech]])))</f>
        <v>0</v>
      </c>
      <c r="AE45" cm="1">
        <f t="array" ref="AE45">IF(PART_NUMBER_GENERATOR_TABLE[[#This Row],[Work Role]:[Work Role]]&lt;&gt;AE$1,0,
IF(PART_NUMBER_GENERATOR_TABLE[[#This Row],[Work Type]:[Work Type]]&lt;&gt;"BH",0,
SUMIFS(AE$9:AE$24,$M$9:$M$24,PART_NUMBER_GENERATOR_TABLE[[#This Row],[Tech]:[Tech]])))</f>
        <v>0</v>
      </c>
      <c r="AF45" cm="1">
        <f t="array" ref="AF45">IF(PART_NUMBER_GENERATOR_TABLE[[#This Row],[Work Role]:[Work Role]]&lt;&gt;AF$1,0,
IF(PART_NUMBER_GENERATOR_TABLE[[#This Row],[Work Type]:[Work Type]]&lt;&gt;"BH",0,
SUMIFS(AF$9:AF$24,$M$9:$M$24,PART_NUMBER_GENERATOR_TABLE[[#This Row],[Tech]:[Tech]])))</f>
        <v>0</v>
      </c>
      <c r="AG45" cm="1">
        <f t="array" ref="AG45">IF(PART_NUMBER_GENERATOR_TABLE[[#This Row],[Work Role]:[Work Role]]&lt;&gt;AG$1,0,
IF(PART_NUMBER_GENERATOR_TABLE[[#This Row],[Work Type]:[Work Type]]&lt;&gt;"AH",0,
SUMIFS(AG$9:AG$24,$M$9:$M$24,PART_NUMBER_GENERATOR_TABLE[[#This Row],[Tech]:[Tech]])))</f>
        <v>0</v>
      </c>
      <c r="AH45" cm="1">
        <f t="array" ref="AH45">IF(PART_NUMBER_GENERATOR_TABLE[[#This Row],[Work Role]:[Work Role]]&lt;&gt;AH$1,0,
IF(PART_NUMBER_GENERATOR_TABLE[[#This Row],[Work Type]:[Work Type]]&lt;&gt;"BH",0,
SUMIFS(AH$9:AH$24,$M$9:$M$24,PART_NUMBER_GENERATOR_TABLE[[#This Row],[Tech]:[Tech]])))</f>
        <v>0</v>
      </c>
      <c r="AI45" cm="1">
        <f t="array" ref="AI45">IF(PART_NUMBER_GENERATOR_TABLE[[#This Row],[Work Role]:[Work Role]]&lt;&gt;AI$1,0,
IF(PART_NUMBER_GENERATOR_TABLE[[#This Row],[Work Type]:[Work Type]]&lt;&gt;"BH",0,
SUMIFS(AI$9:AI$24,$M$9:$M$24,PART_NUMBER_GENERATOR_TABLE[[#This Row],[Tech]:[Tech]])))</f>
        <v>0</v>
      </c>
      <c r="AJ45" cm="1">
        <f t="array" ref="AJ45">IF(PART_NUMBER_GENERATOR_TABLE[[#This Row],[Work Role]:[Work Role]]&lt;&gt;AJ$1,0,
IF(PART_NUMBER_GENERATOR_TABLE[[#This Row],[Work Type]:[Work Type]]&lt;&gt;"BH",0,
SUMIFS(AJ$9:AJ$24,$M$9:$M$24,PART_NUMBER_GENERATOR_TABLE[[#This Row],[Tech]:[Tech]])))</f>
        <v>0</v>
      </c>
      <c r="AK45" cm="1">
        <f t="array" ref="AK45">IF(PART_NUMBER_GENERATOR_TABLE[[#This Row],[Work Role]:[Work Role]]&lt;&gt;AK$1,0,
IF(PART_NUMBER_GENERATOR_TABLE[[#This Row],[Work Type]:[Work Type]]&lt;&gt;"AH",0,
SUMIFS(AK$9:AK$24,$M$9:$M$24,PART_NUMBER_GENERATOR_TABLE[[#This Row],[Tech]:[Tech]])))</f>
        <v>0</v>
      </c>
      <c r="AL45" cm="1">
        <f t="array" ref="AL45">IF(PART_NUMBER_GENERATOR_TABLE[[#This Row],[Work Role]:[Work Role]]&lt;&gt;AL$1,0,
IF(PART_NUMBER_GENERATOR_TABLE[[#This Row],[Work Type]:[Work Type]]&lt;&gt;"BH",0,
SUMIFS(AL$9:AL$24,$M$9:$M$24,PART_NUMBER_GENERATOR_TABLE[[#This Row],[Tech]:[Tech]])))</f>
        <v>0</v>
      </c>
      <c r="AM45">
        <f>0</f>
        <v>0</v>
      </c>
      <c r="AN45" cm="1">
        <f t="array" ref="AN45">IF(PART_NUMBER_GENERATOR_TABLE[[#This Row],[Work Role]:[Work Role]]&lt;&gt;AN$1,0,
IF(PART_NUMBER_GENERATOR_TABLE[[#This Row],[Work Type]:[Work Type]]&lt;&gt;"BH",0,
SUMIFS(AN$24,$AM$24,PART_NUMBER_GENERATOR_TABLE[[#This Row],[Tech]:[Tech]])))</f>
        <v>0</v>
      </c>
      <c r="AO45" cm="1">
        <f t="array" ref="AO45">IF(PART_NUMBER_GENERATOR_TABLE[[#This Row],[Work Role]:[Work Role]]&lt;&gt;AO$1,0,
IF(PART_NUMBER_GENERATOR_TABLE[[#This Row],[Work Type]:[Work Type]]&lt;&gt;"BH",0,
SUMIFS(AO$24,$AM$24,PART_NUMBER_GENERATOR_TABLE[[#This Row],[Tech]:[Tech]])))</f>
        <v>0</v>
      </c>
      <c r="AP45" cm="1">
        <f t="array" ref="AP45">IF(PART_NUMBER_GENERATOR_TABLE[[#This Row],[Work Role]:[Work Role]]&lt;&gt;AP$1,0,
IF(PART_NUMBER_GENERATOR_TABLE[[#This Row],[Work Type]:[Work Type]]&lt;&gt;"BH",0,
SUMIFS(AP$24,$AM$24,PART_NUMBER_GENERATOR_TABLE[[#This Row],[Tech]:[Tech]])))</f>
        <v>0</v>
      </c>
      <c r="AQ45" cm="1">
        <f t="array" ref="AQ45">IF(PART_NUMBER_GENERATOR_TABLE[[#This Row],[Work Role]:[Work Role]]&lt;&gt;AQ$1,0,
IF(PART_NUMBER_GENERATOR_TABLE[[#This Row],[Work Type]:[Work Type]]&lt;&gt;"BH",0,
SUMIFS(AQ$24,$AM$24,PART_NUMBER_GENERATOR_TABLE[[#This Row],[Tech]:[Tech]])))</f>
        <v>0</v>
      </c>
      <c r="AR45" cm="1">
        <f t="array" ref="AR45">IF(PART_NUMBER_GENERATOR_TABLE[[#This Row],[Work Role]:[Work Role]]&lt;&gt;AR$1,0,
IF(PART_NUMBER_GENERATOR_TABLE[[#This Row],[Work Type]:[Work Type]]&lt;&gt;"BH",0,
SUMIFS(AR$24,$AM$24,PART_NUMBER_GENERATOR_TABLE[[#This Row],[Tech]:[Tech]])))</f>
        <v>0</v>
      </c>
      <c r="AS45" cm="1">
        <f t="array" ref="AS45">IF(PART_NUMBER_GENERATOR_TABLE[[#This Row],[Work Role]:[Work Role]]&lt;&gt;AS$1,0,
IF(PART_NUMBER_GENERATOR_TABLE[[#This Row],[Work Type]:[Work Type]]&lt;&gt;"BH",0,
SUMIFS(AS$24,$AM$24,PART_NUMBER_GENERATOR_TABLE[[#This Row],[Tech]:[Tech]])))</f>
        <v>0</v>
      </c>
      <c r="AT45" cm="1">
        <f t="array" ref="AT45">IF(PART_NUMBER_GENERATOR_TABLE[[#This Row],[Work Role]:[Work Role]]&lt;&gt;AS$1,0,
IF(PART_NUMBER_GENERATOR_TABLE[[#This Row],[Work Type]:[Work Type]]&lt;&gt;"BH",0,
SUMIFS(AT$24,$AM$24,PART_NUMBER_GENERATOR_TABLE[[#This Row],[Tech]:[Tech]])))</f>
        <v>0</v>
      </c>
      <c r="AU45">
        <f>SUM(PART_NUMBER_GENERATOR_TABLE[[#This Row],[Resource 1 BH]:[Resource 5 AH]],PART_NUMBER_GENERATOR_TABLE[[#This Row],[R1 Mandatory Tasks]:[R5 Mandatory Tasks]],PART_NUMBER_GENERATOR_TABLE[[#This Row],[R1 Remainder]:[R5 Remainder]])</f>
        <v>0</v>
      </c>
      <c r="AV45">
        <f>PART_NUMBER_GENERATOR_TABLE[[#This Row],[Professional Engineering Hours]]*PART_NUMBER_GENERATOR_TABLE[[#This Row],[Sell Rate]]</f>
        <v>0</v>
      </c>
      <c r="AW45">
        <f>PART_NUMBER_GENERATOR_TABLE[[#This Row],[Professional Engineering Hours]]*PART_NUMBER_GENERATOR_TABLE[[#This Row],[Cost Rate]]</f>
        <v>0</v>
      </c>
      <c r="AX45">
        <f>SUM(PART_NUMBER_GENERATOR_TABLE[[#This Row],[PM Trips]:[R5 Trips]])</f>
        <v>0</v>
      </c>
      <c r="AY45">
        <f>PART_NUMBER_GENERATOR_TABLE[[#This Row],[Travel &amp; Accommodation Hours]]*PART_NUMBER_GENERATOR_TABLE[[#This Row],[Sell Rate]]</f>
        <v>0</v>
      </c>
      <c r="AZ45">
        <f>PART_NUMBER_GENERATOR_TABLE[[#This Row],[Travel &amp; Accommodation Hours]]*PART_NUMBER_GENERATOR_TABLE[[#This Row],[Cost Rate]]</f>
        <v>0</v>
      </c>
      <c r="BA45">
        <f>PART_NUMBER_GENERATOR_TABLE[[#This Row],[PM Hours]]+PART_NUMBER_GENERATOR_TABLE[[#This Row],[PM Remainder]]</f>
        <v>0</v>
      </c>
      <c r="BB45">
        <f>PART_NUMBER_GENERATOR_TABLE[[#This Row],[Project Management Hours]]*PART_NUMBER_GENERATOR_TABLE[[#This Row],[Sell Rate]]</f>
        <v>0</v>
      </c>
      <c r="BC45">
        <f>PART_NUMBER_GENERATOR_TABLE[[#This Row],[Project Management Hours]]*PART_NUMBER_GENERATOR_TABLE[[#This Row],[Cost Rate]]</f>
        <v>0</v>
      </c>
      <c r="BD45">
        <f>SUM(PART_NUMBER_GENERATOR_TABLE[[#This Row],[SSE RISK BH]:[PM RISK]],PART_NUMBER_GENERATOR_TABLE[[#This Row],[SSE Remainder RISK BH]:[PM Remainder RISK]])</f>
        <v>0</v>
      </c>
      <c r="BE45">
        <f>PART_NUMBER_GENERATOR_TABLE[[#This Row],[Project Risk Service Hours]]*PART_NUMBER_GENERATOR_TABLE[[#This Row],[Sell Rate]]</f>
        <v>0</v>
      </c>
      <c r="BF45">
        <f>PART_NUMBER_GENERATOR_TABLE[[#This Row],[Project Risk Service Hours]]*PART_NUMBER_GENERATOR_TABLE[[#This Row],[Cost Rate]]</f>
        <v>0</v>
      </c>
      <c r="BG45">
        <f>PART_NUMBER_GENERATOR_TABLE[[#This Row],[SSE RISK TRAVEL]]</f>
        <v>0</v>
      </c>
      <c r="BH45">
        <f>PART_NUMBER_GENERATOR_TABLE[[#This Row],[Sell Rate]]*PART_NUMBER_GENERATOR_TABLE[[#This Row],[Project Risk Travel Hours]]</f>
        <v>0</v>
      </c>
      <c r="BI45">
        <f>PART_NUMBER_GENERATOR_TABLE[[#This Row],[Project Risk Travel Hours]]*PART_NUMBER_GENERATOR_TABLE[[#This Row],[Cost Rate]]</f>
        <v>0</v>
      </c>
      <c r="BJ4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4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45">
        <f>IFERROR(-VLOOKUP(INDEX(ENGINEER_ROLES,MATCH(PART_NUMBER_GENERATOR_TABLE[[#This Row],[Work Role]],settings.Table_Engineer.Roles[ID],0),1),Settings_Hidden!$H$359:$K$366,4,FALSE),0)</f>
        <v>0</v>
      </c>
      <c r="BM45" s="680">
        <f>-Summary!$C$66</f>
        <v>0</v>
      </c>
      <c r="BN45" s="465">
        <f>PART_NUMBER_GENERATOR_TABLE[[#This Row],[Total Base Price]]*MIN(PART_NUMBER_GENERATOR_TABLE[[#This Row],[Rate Service Discount]:[Flat Service Discount]])</f>
        <v>0</v>
      </c>
      <c r="BO45" s="451" t="str">
        <f>IF(PART_NUMBER_GENERATOR_TABLE[[#This Row],[Quantity]]&lt;&gt;0,MAX($BO$30:BO44)+1,"")</f>
        <v/>
      </c>
      <c r="BP45" t="str">
        <f>PART_NUMBER_GENERATOR_TABLE[[#This Row],[Part Number]]</f>
        <v>A-PS-P-TRAVEL-PM-BH</v>
      </c>
      <c r="BQ45">
        <f>PART_NUMBER_GENERATOR_TABLE[[#This Row],[Total Hours]]</f>
        <v>0</v>
      </c>
      <c r="BR45">
        <f>PART_NUMBER_GENERATOR_TABLE[[#This Row],[Cost Rate]]</f>
        <v>126.11855927829811</v>
      </c>
      <c r="BS45" s="465">
        <f>PART_NUMBER_GENERATOR_TABLE[[#This Row],[Sell Rate]]+(PART_NUMBER_GENERATOR_TABLE[[#This Row],[Sell Rate]]*MIN(PART_NUMBER_GENERATOR_TABLE[[#This Row],[Rate Service Discount]:[Flat Service Discount]]))</f>
        <v>235</v>
      </c>
    </row>
    <row r="46" spans="1:71">
      <c r="A46">
        <v>16</v>
      </c>
      <c r="C46" t="s">
        <v>1134</v>
      </c>
      <c r="D46" t="str" cm="1">
        <f t="array" ref="D46">INDEX(Table.Settings_Skill.List[Skill Name],MATCH(INDEX(_xlfn.TEXTSPLIT(C46,"-",,TRUE),4),Table.Settings_Skill.List[Skill Code],0),1)</f>
        <v>Travel</v>
      </c>
      <c r="E46" t="str" cm="1">
        <f t="array" ref="E46">INDEX(_xlfn.TEXTSPLIT(C46,"-",,TRUE),5)</f>
        <v>SPM</v>
      </c>
      <c r="F46" t="str">
        <f>IFERROR(INDEX(settings.Table_Engineer.Roles[Department Code],MATCH(PART_NUMBER_GENERATOR_TABLE[[#This Row],[Work Role]],settings.Table_Engineer.Roles[ID],0),1),"PMO")</f>
        <v>PMO</v>
      </c>
      <c r="G46" t="str" cm="1">
        <f t="array" ref="G46">INDEX(_xlfn.TEXTSPLIT(C46,"-",,TRUE),6)</f>
        <v>BH</v>
      </c>
      <c r="H4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4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46" cm="1">
        <f t="array" ref="J46">IF(J$1&lt;&gt;PART_NUMBER_GENERATOR_TABLE[[#This Row],[Work Role]:[Work Role]],0,
IF(RIGHT(J$30,2)&lt;&gt;PART_NUMBER_GENERATOR_TABLE[[#This Row],[Work Type]:[Work Type]],0,
SUMIFS(Input_Tasks[R1 Business Hours],Input_Tasks[[Skill Required]:[Skill Required]],PART_NUMBER_GENERATOR_TABLE[[#This Row],[Tech]:[Tech]])))</f>
        <v>0</v>
      </c>
      <c r="K46" cm="1">
        <f t="array" ref="K46">IF(K$1&lt;&gt;PART_NUMBER_GENERATOR_TABLE[[#This Row],[Work Role]:[Work Role]],0,
IF(RIGHT(K$30,2)&lt;&gt;PART_NUMBER_GENERATOR_TABLE[[#This Row],[Work Type]:[Work Type]],0,
SUMIFS(Input_Tasks[R1 After Hours],Input_Tasks[[Skill Required]:[Skill Required]],PART_NUMBER_GENERATOR_TABLE[[#This Row],[Tech]:[Tech]])))</f>
        <v>0</v>
      </c>
      <c r="L46" cm="1">
        <f t="array" ref="L46">IF(L$1&lt;&gt;PART_NUMBER_GENERATOR_TABLE[[#This Row],[Work Role]:[Work Role]],0,
IF(RIGHT(L$30,2)&lt;&gt;PART_NUMBER_GENERATOR_TABLE[[#This Row],[Work Type]:[Work Type]],0,
SUMIFS(Input_Tasks[R2 Business Hours],Input_Tasks[[Skill Required]:[Skill Required]],PART_NUMBER_GENERATOR_TABLE[[#This Row],[Tech]:[Tech]])))</f>
        <v>0</v>
      </c>
      <c r="M46" cm="1">
        <f t="array" ref="M46">IF(M$1&lt;&gt;PART_NUMBER_GENERATOR_TABLE[[#This Row],[Work Role]:[Work Role]],0,
IF(RIGHT(M$30,2)&lt;&gt;PART_NUMBER_GENERATOR_TABLE[[#This Row],[Work Type]:[Work Type]],0,
SUMIFS(Input_Tasks[R2 After Hours],Input_Tasks[[Skill Required]:[Skill Required]],PART_NUMBER_GENERATOR_TABLE[[#This Row],[Tech]:[Tech]])))</f>
        <v>0</v>
      </c>
      <c r="N46" cm="1">
        <f t="array" ref="N46">IF(N$1&lt;&gt;PART_NUMBER_GENERATOR_TABLE[[#This Row],[Work Role]:[Work Role]],0,
IF(RIGHT(N$30,2)&lt;&gt;PART_NUMBER_GENERATOR_TABLE[[#This Row],[Work Type]:[Work Type]],0,
SUMIFS(Input_Tasks[R3 Business Hours],Input_Tasks[[Skill Required]:[Skill Required]],PART_NUMBER_GENERATOR_TABLE[[#This Row],[Tech]:[Tech]])))</f>
        <v>0</v>
      </c>
      <c r="O46" cm="1">
        <f t="array" ref="O46">IF(O$1&lt;&gt;PART_NUMBER_GENERATOR_TABLE[[#This Row],[Work Role]:[Work Role]],0,
IF(RIGHT(O$30,2)&lt;&gt;PART_NUMBER_GENERATOR_TABLE[[#This Row],[Work Type]:[Work Type]],0,
SUMIFS(Input_Tasks[R3 After Hours],Input_Tasks[[Skill Required]:[Skill Required]],PART_NUMBER_GENERATOR_TABLE[[#This Row],[Tech]:[Tech]])))</f>
        <v>0</v>
      </c>
      <c r="P46" cm="1">
        <f t="array" ref="P46">IF(P$1&lt;&gt;PART_NUMBER_GENERATOR_TABLE[[#This Row],[Work Role]:[Work Role]],0,
IF(RIGHT(P$30,2)&lt;&gt;PART_NUMBER_GENERATOR_TABLE[[#This Row],[Work Type]:[Work Type]],0,
SUMIFS(Input_Tasks[R4 Business Hours],Input_Tasks[[Skill Required]:[Skill Required]],PART_NUMBER_GENERATOR_TABLE[[#This Row],[Tech]:[Tech]])))</f>
        <v>0</v>
      </c>
      <c r="Q46" cm="1">
        <f t="array" ref="Q46">IF(Q$1&lt;&gt;PART_NUMBER_GENERATOR_TABLE[[#This Row],[Work Role]:[Work Role]],0,
IF(RIGHT(Q$30,2)&lt;&gt;PART_NUMBER_GENERATOR_TABLE[[#This Row],[Work Type]:[Work Type]],0,
SUMIFS(Input_Tasks[R4 After Hours],Input_Tasks[[Skill Required]:[Skill Required]],PART_NUMBER_GENERATOR_TABLE[[#This Row],[Tech]:[Tech]])))</f>
        <v>0</v>
      </c>
      <c r="R46" cm="1">
        <f t="array" ref="R46">IF(R$1&lt;&gt;PART_NUMBER_GENERATOR_TABLE[[#This Row],[Work Role]:[Work Role]],0,
IF(RIGHT(R$30,2)&lt;&gt;PART_NUMBER_GENERATOR_TABLE[[#This Row],[Work Type]:[Work Type]],0,
SUMIFS(Input_Tasks[R5 Business Hours],Input_Tasks[[Skill Required]:[Skill Required]],PART_NUMBER_GENERATOR_TABLE[[#This Row],[Tech]:[Tech]])))</f>
        <v>0</v>
      </c>
      <c r="S46" cm="1">
        <f t="array" ref="S46">IF(S$1&lt;&gt;PART_NUMBER_GENERATOR_TABLE[[#This Row],[Work Role]:[Work Role]],0,
IF(RIGHT(S$30,2)&lt;&gt;PART_NUMBER_GENERATOR_TABLE[[#This Row],[Work Type]:[Work Type]],0,
SUMIFS(Input_Tasks[R5 After Hours],Input_Tasks[[Skill Required]:[Skill Required]],PART_NUMBER_GENERATOR_TABLE[[#This Row],[Tech]:[Tech]])))</f>
        <v>0</v>
      </c>
      <c r="T46" cm="1">
        <f t="array" ref="T46">IF(PART_NUMBER_GENERATOR_TABLE[[#This Row],[Work Role]:[Work Role]]&lt;&gt;T$1,0,
IF(PART_NUMBER_GENERATOR_TABLE[[#This Row],[Work Type]:[Work Type]]&lt;&gt;"BH",0,
SUMIFS(T$9:T$24,$M$9:$M$24,PART_NUMBER_GENERATOR_TABLE[[#This Row],[Tech]:[Tech]])))</f>
        <v>0</v>
      </c>
      <c r="U46" cm="1">
        <f t="array" ref="U46">IF(PART_NUMBER_GENERATOR_TABLE[[#This Row],[Work Role]:[Work Role]]&lt;&gt;U$1,0,
IF(PART_NUMBER_GENERATOR_TABLE[[#This Row],[Work Type]:[Work Type]]&lt;&gt;"BH",0,
SUMIFS(U$9:U$24,$M$9:$M$24,PART_NUMBER_GENERATOR_TABLE[[#This Row],[Tech]:[Tech]])))</f>
        <v>0</v>
      </c>
      <c r="V46" cm="1">
        <f t="array" ref="V46">IF(PART_NUMBER_GENERATOR_TABLE[[#This Row],[Work Role]:[Work Role]]&lt;&gt;V$1,0,
IF(PART_NUMBER_GENERATOR_TABLE[[#This Row],[Work Type]:[Work Type]]&lt;&gt;"BH",0,
SUMIFS(V$9:V$24,$M$9:$M$24,PART_NUMBER_GENERATOR_TABLE[[#This Row],[Tech]:[Tech]])))</f>
        <v>0</v>
      </c>
      <c r="W46" cm="1">
        <f t="array" ref="W46">IF(PART_NUMBER_GENERATOR_TABLE[[#This Row],[Work Role]:[Work Role]]&lt;&gt;W$1,0,
IF(PART_NUMBER_GENERATOR_TABLE[[#This Row],[Work Type]:[Work Type]]&lt;&gt;"BH",0,
SUMIFS(W$9:W$24,$M$9:$M$24,PART_NUMBER_GENERATOR_TABLE[[#This Row],[Tech]:[Tech]])))</f>
        <v>0</v>
      </c>
      <c r="X46" cm="1">
        <f t="array" ref="X46">IF(PART_NUMBER_GENERATOR_TABLE[[#This Row],[Work Role]:[Work Role]]&lt;&gt;X$1,0,
IF(PART_NUMBER_GENERATOR_TABLE[[#This Row],[Work Type]:[Work Type]]&lt;&gt;"BH",0,
SUMIFS(X$9:X$24,$M$9:$M$24,PART_NUMBER_GENERATOR_TABLE[[#This Row],[Tech]:[Tech]])))</f>
        <v>0</v>
      </c>
      <c r="Y46" cm="1">
        <f t="array" ref="Y46">IF(PART_NUMBER_GENERATOR_TABLE[[#This Row],[Work Role]:[Work Role]]&lt;&gt;Y$1,0,
IF(PART_NUMBER_GENERATOR_TABLE[[#This Row],[Work Type]:[Work Type]]&lt;&gt;"BH",0,
SUMIFS(Y$9:Y$24,$M$9:$M$24,PART_NUMBER_GENERATOR_TABLE[[#This Row],[Tech]:[Tech]])))</f>
        <v>0</v>
      </c>
      <c r="Z46" cm="1">
        <f t="array" ref="Z46">IF(PART_NUMBER_GENERATOR_TABLE[[#This Row],[Work Role]:[Work Role]]&lt;&gt;Z$1,0,
IF(PART_NUMBER_GENERATOR_TABLE[[#This Row],[Work Type]:[Work Type]]&lt;&gt;"BH",0,
SUMIFS(Z$9:Z$24,$M$9:$M$24,PART_NUMBER_GENERATOR_TABLE[[#This Row],[Tech]:[Tech]])))</f>
        <v>0</v>
      </c>
      <c r="AA46" cm="1">
        <f t="array" ref="AA46">IF(PART_NUMBER_GENERATOR_TABLE[[#This Row],[Work Role]:[Work Role]]&lt;&gt;AA$1,0,
IF(PART_NUMBER_GENERATOR_TABLE[[#This Row],[Work Type]:[Work Type]]&lt;&gt;"BH",0,
SUMIFS(AA$9:AA$24,$M$9:$M$24,PART_NUMBER_GENERATOR_TABLE[[#This Row],[Tech]:[Tech]])))</f>
        <v>0</v>
      </c>
      <c r="AB46" cm="1">
        <f t="array" ref="AB46">IF(PART_NUMBER_GENERATOR_TABLE[[#This Row],[Work Role]:[Work Role]]&lt;&gt;AB$1,0,
IF(PART_NUMBER_GENERATOR_TABLE[[#This Row],[Work Type]:[Work Type]]&lt;&gt;"BH",0,
SUMIFS(AB$9:AB$24,$M$9:$M$24,PART_NUMBER_GENERATOR_TABLE[[#This Row],[Tech]:[Tech]])))</f>
        <v>0</v>
      </c>
      <c r="AC46" cm="1">
        <f t="array" ref="AC46">IF(PART_NUMBER_GENERATOR_TABLE[[#This Row],[Work Role]:[Work Role]]&lt;&gt;AC$1,0,
IF(PART_NUMBER_GENERATOR_TABLE[[#This Row],[Work Type]:[Work Type]]&lt;&gt;"BH",0,
SUMIFS(AC$9:AC$24,$M$9:$M$24,PART_NUMBER_GENERATOR_TABLE[[#This Row],[Tech]:[Tech]])))</f>
        <v>0</v>
      </c>
      <c r="AD46" cm="1">
        <f t="array" ref="AD46">IF(PART_NUMBER_GENERATOR_TABLE[[#This Row],[Work Role]:[Work Role]]&lt;&gt;AD$1,0,
IF(PART_NUMBER_GENERATOR_TABLE[[#This Row],[Work Type]:[Work Type]]&lt;&gt;"BH",0,
SUMIFS(AD$9:AD$24,$M$9:$M$24,PART_NUMBER_GENERATOR_TABLE[[#This Row],[Tech]:[Tech]])))</f>
        <v>0</v>
      </c>
      <c r="AE46" cm="1">
        <f t="array" ref="AE46">IF(PART_NUMBER_GENERATOR_TABLE[[#This Row],[Work Role]:[Work Role]]&lt;&gt;AE$1,0,
IF(PART_NUMBER_GENERATOR_TABLE[[#This Row],[Work Type]:[Work Type]]&lt;&gt;"BH",0,
SUMIFS(AE$9:AE$24,$M$9:$M$24,PART_NUMBER_GENERATOR_TABLE[[#This Row],[Tech]:[Tech]])))</f>
        <v>0</v>
      </c>
      <c r="AF46" cm="1">
        <f t="array" ref="AF46">IF(PART_NUMBER_GENERATOR_TABLE[[#This Row],[Work Role]:[Work Role]]&lt;&gt;AF$1,0,
IF(PART_NUMBER_GENERATOR_TABLE[[#This Row],[Work Type]:[Work Type]]&lt;&gt;"BH",0,
SUMIFS(AF$9:AF$24,$M$9:$M$24,PART_NUMBER_GENERATOR_TABLE[[#This Row],[Tech]:[Tech]])))</f>
        <v>0</v>
      </c>
      <c r="AG46" cm="1">
        <f t="array" ref="AG46">IF(PART_NUMBER_GENERATOR_TABLE[[#This Row],[Work Role]:[Work Role]]&lt;&gt;AG$1,0,
IF(PART_NUMBER_GENERATOR_TABLE[[#This Row],[Work Type]:[Work Type]]&lt;&gt;"AH",0,
SUMIFS(AG$9:AG$24,$M$9:$M$24,PART_NUMBER_GENERATOR_TABLE[[#This Row],[Tech]:[Tech]])))</f>
        <v>0</v>
      </c>
      <c r="AH46" cm="1">
        <f t="array" ref="AH46">IF(PART_NUMBER_GENERATOR_TABLE[[#This Row],[Work Role]:[Work Role]]&lt;&gt;AH$1,0,
IF(PART_NUMBER_GENERATOR_TABLE[[#This Row],[Work Type]:[Work Type]]&lt;&gt;"BH",0,
SUMIFS(AH$9:AH$24,$M$9:$M$24,PART_NUMBER_GENERATOR_TABLE[[#This Row],[Tech]:[Tech]])))</f>
        <v>0</v>
      </c>
      <c r="AI46" cm="1">
        <f t="array" ref="AI46">IF(PART_NUMBER_GENERATOR_TABLE[[#This Row],[Work Role]:[Work Role]]&lt;&gt;AI$1,0,
IF(PART_NUMBER_GENERATOR_TABLE[[#This Row],[Work Type]:[Work Type]]&lt;&gt;"BH",0,
SUMIFS(AI$9:AI$24,$M$9:$M$24,PART_NUMBER_GENERATOR_TABLE[[#This Row],[Tech]:[Tech]])))</f>
        <v>0</v>
      </c>
      <c r="AJ46" cm="1">
        <f t="array" ref="AJ46">IF(PART_NUMBER_GENERATOR_TABLE[[#This Row],[Work Role]:[Work Role]]&lt;&gt;AJ$1,0,
IF(PART_NUMBER_GENERATOR_TABLE[[#This Row],[Work Type]:[Work Type]]&lt;&gt;"BH",0,
SUMIFS(AJ$9:AJ$24,$M$9:$M$24,PART_NUMBER_GENERATOR_TABLE[[#This Row],[Tech]:[Tech]])))</f>
        <v>0</v>
      </c>
      <c r="AK46" cm="1">
        <f t="array" ref="AK46">IF(PART_NUMBER_GENERATOR_TABLE[[#This Row],[Work Role]:[Work Role]]&lt;&gt;AK$1,0,
IF(PART_NUMBER_GENERATOR_TABLE[[#This Row],[Work Type]:[Work Type]]&lt;&gt;"AH",0,
SUMIFS(AK$9:AK$24,$M$9:$M$24,PART_NUMBER_GENERATOR_TABLE[[#This Row],[Tech]:[Tech]])))</f>
        <v>0</v>
      </c>
      <c r="AL46" cm="1">
        <f t="array" ref="AL46">IF(PART_NUMBER_GENERATOR_TABLE[[#This Row],[Work Role]:[Work Role]]&lt;&gt;AL$1,0,
IF(PART_NUMBER_GENERATOR_TABLE[[#This Row],[Work Type]:[Work Type]]&lt;&gt;"BH",0,
SUMIFS(AL$9:AL$24,$M$9:$M$24,PART_NUMBER_GENERATOR_TABLE[[#This Row],[Tech]:[Tech]])))</f>
        <v>0</v>
      </c>
      <c r="AM46">
        <f>0</f>
        <v>0</v>
      </c>
      <c r="AN46" cm="1">
        <f t="array" ref="AN46">IF(PART_NUMBER_GENERATOR_TABLE[[#This Row],[Work Role]:[Work Role]]&lt;&gt;AN$1,0,
IF(PART_NUMBER_GENERATOR_TABLE[[#This Row],[Work Type]:[Work Type]]&lt;&gt;"BH",0,
SUMIFS(AN$24,$AM$24,PART_NUMBER_GENERATOR_TABLE[[#This Row],[Tech]:[Tech]])))</f>
        <v>0</v>
      </c>
      <c r="AO46" cm="1">
        <f t="array" ref="AO46">IF(PART_NUMBER_GENERATOR_TABLE[[#This Row],[Work Role]:[Work Role]]&lt;&gt;AO$1,0,
IF(PART_NUMBER_GENERATOR_TABLE[[#This Row],[Work Type]:[Work Type]]&lt;&gt;"BH",0,
SUMIFS(AO$24,$AM$24,PART_NUMBER_GENERATOR_TABLE[[#This Row],[Tech]:[Tech]])))</f>
        <v>0</v>
      </c>
      <c r="AP46" cm="1">
        <f t="array" ref="AP46">IF(PART_NUMBER_GENERATOR_TABLE[[#This Row],[Work Role]:[Work Role]]&lt;&gt;AP$1,0,
IF(PART_NUMBER_GENERATOR_TABLE[[#This Row],[Work Type]:[Work Type]]&lt;&gt;"BH",0,
SUMIFS(AP$24,$AM$24,PART_NUMBER_GENERATOR_TABLE[[#This Row],[Tech]:[Tech]])))</f>
        <v>0</v>
      </c>
      <c r="AQ46" cm="1">
        <f t="array" ref="AQ46">IF(PART_NUMBER_GENERATOR_TABLE[[#This Row],[Work Role]:[Work Role]]&lt;&gt;AQ$1,0,
IF(PART_NUMBER_GENERATOR_TABLE[[#This Row],[Work Type]:[Work Type]]&lt;&gt;"BH",0,
SUMIFS(AQ$24,$AM$24,PART_NUMBER_GENERATOR_TABLE[[#This Row],[Tech]:[Tech]])))</f>
        <v>0</v>
      </c>
      <c r="AR46" cm="1">
        <f t="array" ref="AR46">IF(PART_NUMBER_GENERATOR_TABLE[[#This Row],[Work Role]:[Work Role]]&lt;&gt;AR$1,0,
IF(PART_NUMBER_GENERATOR_TABLE[[#This Row],[Work Type]:[Work Type]]&lt;&gt;"BH",0,
SUMIFS(AR$24,$AM$24,PART_NUMBER_GENERATOR_TABLE[[#This Row],[Tech]:[Tech]])))</f>
        <v>0</v>
      </c>
      <c r="AS46" cm="1">
        <f t="array" ref="AS46">IF(PART_NUMBER_GENERATOR_TABLE[[#This Row],[Work Role]:[Work Role]]&lt;&gt;AS$1,0,
IF(PART_NUMBER_GENERATOR_TABLE[[#This Row],[Work Type]:[Work Type]]&lt;&gt;"BH",0,
SUMIFS(AS$24,$AM$24,PART_NUMBER_GENERATOR_TABLE[[#This Row],[Tech]:[Tech]])))</f>
        <v>0</v>
      </c>
      <c r="AT46" cm="1">
        <f t="array" ref="AT46">IF(PART_NUMBER_GENERATOR_TABLE[[#This Row],[Work Role]:[Work Role]]&lt;&gt;AS$1,0,
IF(PART_NUMBER_GENERATOR_TABLE[[#This Row],[Work Type]:[Work Type]]&lt;&gt;"BH",0,
SUMIFS(AT$24,$AM$24,PART_NUMBER_GENERATOR_TABLE[[#This Row],[Tech]:[Tech]])))</f>
        <v>0</v>
      </c>
      <c r="AU46">
        <f>SUM(PART_NUMBER_GENERATOR_TABLE[[#This Row],[Resource 1 BH]:[Resource 5 AH]],PART_NUMBER_GENERATOR_TABLE[[#This Row],[R1 Mandatory Tasks]:[R5 Mandatory Tasks]],PART_NUMBER_GENERATOR_TABLE[[#This Row],[R1 Remainder]:[R5 Remainder]])</f>
        <v>0</v>
      </c>
      <c r="AV46">
        <f>PART_NUMBER_GENERATOR_TABLE[[#This Row],[Professional Engineering Hours]]*PART_NUMBER_GENERATOR_TABLE[[#This Row],[Sell Rate]]</f>
        <v>0</v>
      </c>
      <c r="AW46">
        <f>PART_NUMBER_GENERATOR_TABLE[[#This Row],[Professional Engineering Hours]]*PART_NUMBER_GENERATOR_TABLE[[#This Row],[Cost Rate]]</f>
        <v>0</v>
      </c>
      <c r="AX46">
        <f>SUM(PART_NUMBER_GENERATOR_TABLE[[#This Row],[PM Trips]:[R5 Trips]])</f>
        <v>0</v>
      </c>
      <c r="AY46">
        <f>PART_NUMBER_GENERATOR_TABLE[[#This Row],[Travel &amp; Accommodation Hours]]*PART_NUMBER_GENERATOR_TABLE[[#This Row],[Sell Rate]]</f>
        <v>0</v>
      </c>
      <c r="AZ46">
        <f>PART_NUMBER_GENERATOR_TABLE[[#This Row],[Travel &amp; Accommodation Hours]]*PART_NUMBER_GENERATOR_TABLE[[#This Row],[Cost Rate]]</f>
        <v>0</v>
      </c>
      <c r="BA46">
        <f>PART_NUMBER_GENERATOR_TABLE[[#This Row],[PM Hours]]+PART_NUMBER_GENERATOR_TABLE[[#This Row],[PM Remainder]]</f>
        <v>0</v>
      </c>
      <c r="BB46">
        <f>PART_NUMBER_GENERATOR_TABLE[[#This Row],[Project Management Hours]]*PART_NUMBER_GENERATOR_TABLE[[#This Row],[Sell Rate]]</f>
        <v>0</v>
      </c>
      <c r="BC46">
        <f>PART_NUMBER_GENERATOR_TABLE[[#This Row],[Project Management Hours]]*PART_NUMBER_GENERATOR_TABLE[[#This Row],[Cost Rate]]</f>
        <v>0</v>
      </c>
      <c r="BD46">
        <f>SUM(PART_NUMBER_GENERATOR_TABLE[[#This Row],[SSE RISK BH]:[PM RISK]],PART_NUMBER_GENERATOR_TABLE[[#This Row],[SSE Remainder RISK BH]:[PM Remainder RISK]])</f>
        <v>0</v>
      </c>
      <c r="BE46">
        <f>PART_NUMBER_GENERATOR_TABLE[[#This Row],[Project Risk Service Hours]]*PART_NUMBER_GENERATOR_TABLE[[#This Row],[Sell Rate]]</f>
        <v>0</v>
      </c>
      <c r="BF46">
        <f>PART_NUMBER_GENERATOR_TABLE[[#This Row],[Project Risk Service Hours]]*PART_NUMBER_GENERATOR_TABLE[[#This Row],[Cost Rate]]</f>
        <v>0</v>
      </c>
      <c r="BG46">
        <f>PART_NUMBER_GENERATOR_TABLE[[#This Row],[SSE RISK TRAVEL]]</f>
        <v>0</v>
      </c>
      <c r="BH46">
        <f>PART_NUMBER_GENERATOR_TABLE[[#This Row],[Sell Rate]]*PART_NUMBER_GENERATOR_TABLE[[#This Row],[Project Risk Travel Hours]]</f>
        <v>0</v>
      </c>
      <c r="BI46">
        <f>PART_NUMBER_GENERATOR_TABLE[[#This Row],[Project Risk Travel Hours]]*PART_NUMBER_GENERATOR_TABLE[[#This Row],[Cost Rate]]</f>
        <v>0</v>
      </c>
      <c r="BJ4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4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46">
        <f>IFERROR(-VLOOKUP(INDEX(ENGINEER_ROLES,MATCH(PART_NUMBER_GENERATOR_TABLE[[#This Row],[Work Role]],settings.Table_Engineer.Roles[ID],0),1),Settings_Hidden!$H$359:$K$366,4,FALSE),0)</f>
        <v>0</v>
      </c>
      <c r="BM46" s="680">
        <f>-Summary!$C$66</f>
        <v>0</v>
      </c>
      <c r="BN46" s="465">
        <f>PART_NUMBER_GENERATOR_TABLE[[#This Row],[Total Base Price]]*MIN(PART_NUMBER_GENERATOR_TABLE[[#This Row],[Rate Service Discount]:[Flat Service Discount]])</f>
        <v>0</v>
      </c>
      <c r="BO46" s="451" t="str">
        <f>IF(PART_NUMBER_GENERATOR_TABLE[[#This Row],[Quantity]]&lt;&gt;0,MAX($BO$30:BO45)+1,"")</f>
        <v/>
      </c>
      <c r="BP46" t="str">
        <f>PART_NUMBER_GENERATOR_TABLE[[#This Row],[Part Number]]</f>
        <v>A-PS-P-TRAVEL-SPM-BH</v>
      </c>
      <c r="BQ46">
        <f>PART_NUMBER_GENERATOR_TABLE[[#This Row],[Total Hours]]</f>
        <v>0</v>
      </c>
      <c r="BR46">
        <f>PART_NUMBER_GENERATOR_TABLE[[#This Row],[Cost Rate]]</f>
        <v>126.11855927829811</v>
      </c>
      <c r="BS46" s="465">
        <f>PART_NUMBER_GENERATOR_TABLE[[#This Row],[Sell Rate]]+(PART_NUMBER_GENERATOR_TABLE[[#This Row],[Sell Rate]]*MIN(PART_NUMBER_GENERATOR_TABLE[[#This Row],[Rate Service Discount]:[Flat Service Discount]]))</f>
        <v>235</v>
      </c>
    </row>
    <row r="47" spans="1:71">
      <c r="A47">
        <v>17</v>
      </c>
      <c r="C47" t="s">
        <v>890</v>
      </c>
      <c r="D47" t="str" cm="1">
        <f t="array" ref="D47">INDEX(Table.Settings_Skill.List[Skill Name],MATCH(INDEX(_xlfn.TEXTSPLIT(C47,"-",,TRUE),4),Table.Settings_Skill.List[Skill Code],0),1)</f>
        <v>Collaboration</v>
      </c>
      <c r="E47" t="str" cm="1">
        <f t="array" ref="E47">INDEX(_xlfn.TEXTSPLIT(C47,"-",,TRUE),5)</f>
        <v>PM</v>
      </c>
      <c r="F47" t="str">
        <f>IFERROR(INDEX(settings.Table_Engineer.Roles[Department Code],MATCH(PART_NUMBER_GENERATOR_TABLE[[#This Row],[Work Role]],settings.Table_Engineer.Roles[ID],0),1),"PMO")</f>
        <v>PMO</v>
      </c>
      <c r="G47" t="str" cm="1">
        <f t="array" ref="G47">INDEX(_xlfn.TEXTSPLIT(C47,"-",,TRUE),6)</f>
        <v>AH</v>
      </c>
      <c r="H4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337.5</v>
      </c>
      <c r="I4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221.33704686655341</v>
      </c>
      <c r="J47" cm="1">
        <f t="array" ref="J47">IF(J$1&lt;&gt;PART_NUMBER_GENERATOR_TABLE[[#This Row],[Work Role]:[Work Role]],0,
IF(RIGHT(J$30,2)&lt;&gt;PART_NUMBER_GENERATOR_TABLE[[#This Row],[Work Type]:[Work Type]],0,
SUMIFS(Input_Tasks[R1 Business Hours],Input_Tasks[[Skill Required]:[Skill Required]],PART_NUMBER_GENERATOR_TABLE[[#This Row],[Tech]:[Tech]])))</f>
        <v>0</v>
      </c>
      <c r="K47" cm="1">
        <f t="array" ref="K47">IF(K$1&lt;&gt;PART_NUMBER_GENERATOR_TABLE[[#This Row],[Work Role]:[Work Role]],0,
IF(RIGHT(K$30,2)&lt;&gt;PART_NUMBER_GENERATOR_TABLE[[#This Row],[Work Type]:[Work Type]],0,
SUMIFS(Input_Tasks[R1 After Hours],Input_Tasks[[Skill Required]:[Skill Required]],PART_NUMBER_GENERATOR_TABLE[[#This Row],[Tech]:[Tech]])))</f>
        <v>0</v>
      </c>
      <c r="L47" cm="1">
        <f t="array" ref="L47">IF(L$1&lt;&gt;PART_NUMBER_GENERATOR_TABLE[[#This Row],[Work Role]:[Work Role]],0,
IF(RIGHT(L$30,2)&lt;&gt;PART_NUMBER_GENERATOR_TABLE[[#This Row],[Work Type]:[Work Type]],0,
SUMIFS(Input_Tasks[R2 Business Hours],Input_Tasks[[Skill Required]:[Skill Required]],PART_NUMBER_GENERATOR_TABLE[[#This Row],[Tech]:[Tech]])))</f>
        <v>0</v>
      </c>
      <c r="M47" cm="1">
        <f t="array" ref="M47">IF(M$1&lt;&gt;PART_NUMBER_GENERATOR_TABLE[[#This Row],[Work Role]:[Work Role]],0,
IF(RIGHT(M$30,2)&lt;&gt;PART_NUMBER_GENERATOR_TABLE[[#This Row],[Work Type]:[Work Type]],0,
SUMIFS(Input_Tasks[R2 After Hours],Input_Tasks[[Skill Required]:[Skill Required]],PART_NUMBER_GENERATOR_TABLE[[#This Row],[Tech]:[Tech]])))</f>
        <v>0</v>
      </c>
      <c r="N47" cm="1">
        <f t="array" ref="N47">IF(N$1&lt;&gt;PART_NUMBER_GENERATOR_TABLE[[#This Row],[Work Role]:[Work Role]],0,
IF(RIGHT(N$30,2)&lt;&gt;PART_NUMBER_GENERATOR_TABLE[[#This Row],[Work Type]:[Work Type]],0,
SUMIFS(Input_Tasks[R3 Business Hours],Input_Tasks[[Skill Required]:[Skill Required]],PART_NUMBER_GENERATOR_TABLE[[#This Row],[Tech]:[Tech]])))</f>
        <v>0</v>
      </c>
      <c r="O47" cm="1">
        <f t="array" ref="O47">IF(O$1&lt;&gt;PART_NUMBER_GENERATOR_TABLE[[#This Row],[Work Role]:[Work Role]],0,
IF(RIGHT(O$30,2)&lt;&gt;PART_NUMBER_GENERATOR_TABLE[[#This Row],[Work Type]:[Work Type]],0,
SUMIFS(Input_Tasks[R3 After Hours],Input_Tasks[[Skill Required]:[Skill Required]],PART_NUMBER_GENERATOR_TABLE[[#This Row],[Tech]:[Tech]])))</f>
        <v>0</v>
      </c>
      <c r="P47" cm="1">
        <f t="array" ref="P47">IF(P$1&lt;&gt;PART_NUMBER_GENERATOR_TABLE[[#This Row],[Work Role]:[Work Role]],0,
IF(RIGHT(P$30,2)&lt;&gt;PART_NUMBER_GENERATOR_TABLE[[#This Row],[Work Type]:[Work Type]],0,
SUMIFS(Input_Tasks[R4 Business Hours],Input_Tasks[[Skill Required]:[Skill Required]],PART_NUMBER_GENERATOR_TABLE[[#This Row],[Tech]:[Tech]])))</f>
        <v>0</v>
      </c>
      <c r="Q47" cm="1">
        <f t="array" ref="Q47">IF(Q$1&lt;&gt;PART_NUMBER_GENERATOR_TABLE[[#This Row],[Work Role]:[Work Role]],0,
IF(RIGHT(Q$30,2)&lt;&gt;PART_NUMBER_GENERATOR_TABLE[[#This Row],[Work Type]:[Work Type]],0,
SUMIFS(Input_Tasks[R4 After Hours],Input_Tasks[[Skill Required]:[Skill Required]],PART_NUMBER_GENERATOR_TABLE[[#This Row],[Tech]:[Tech]])))</f>
        <v>0</v>
      </c>
      <c r="R47" cm="1">
        <f t="array" ref="R47">IF(R$1&lt;&gt;PART_NUMBER_GENERATOR_TABLE[[#This Row],[Work Role]:[Work Role]],0,
IF(RIGHT(R$30,2)&lt;&gt;PART_NUMBER_GENERATOR_TABLE[[#This Row],[Work Type]:[Work Type]],0,
SUMIFS(Input_Tasks[R5 Business Hours],Input_Tasks[[Skill Required]:[Skill Required]],PART_NUMBER_GENERATOR_TABLE[[#This Row],[Tech]:[Tech]])))</f>
        <v>0</v>
      </c>
      <c r="S47" cm="1">
        <f t="array" ref="S47">IF(S$1&lt;&gt;PART_NUMBER_GENERATOR_TABLE[[#This Row],[Work Role]:[Work Role]],0,
IF(RIGHT(S$30,2)&lt;&gt;PART_NUMBER_GENERATOR_TABLE[[#This Row],[Work Type]:[Work Type]],0,
SUMIFS(Input_Tasks[R5 After Hours],Input_Tasks[[Skill Required]:[Skill Required]],PART_NUMBER_GENERATOR_TABLE[[#This Row],[Tech]:[Tech]])))</f>
        <v>0</v>
      </c>
      <c r="T47" cm="1">
        <f t="array" ref="T47">IF(PART_NUMBER_GENERATOR_TABLE[[#This Row],[Work Role]:[Work Role]]&lt;&gt;T$1,0,
IF(PART_NUMBER_GENERATOR_TABLE[[#This Row],[Work Type]:[Work Type]]&lt;&gt;"BH",0,
SUMIFS(T$9:T$24,$M$9:$M$24,PART_NUMBER_GENERATOR_TABLE[[#This Row],[Tech]:[Tech]])))</f>
        <v>0</v>
      </c>
      <c r="U47" cm="1">
        <f t="array" ref="U47">IF(PART_NUMBER_GENERATOR_TABLE[[#This Row],[Work Role]:[Work Role]]&lt;&gt;U$1,0,
IF(PART_NUMBER_GENERATOR_TABLE[[#This Row],[Work Type]:[Work Type]]&lt;&gt;"BH",0,
SUMIFS(U$9:U$24,$M$9:$M$24,PART_NUMBER_GENERATOR_TABLE[[#This Row],[Tech]:[Tech]])))</f>
        <v>0</v>
      </c>
      <c r="V47" cm="1">
        <f t="array" ref="V47">IF(PART_NUMBER_GENERATOR_TABLE[[#This Row],[Work Role]:[Work Role]]&lt;&gt;V$1,0,
IF(PART_NUMBER_GENERATOR_TABLE[[#This Row],[Work Type]:[Work Type]]&lt;&gt;"BH",0,
SUMIFS(V$9:V$24,$M$9:$M$24,PART_NUMBER_GENERATOR_TABLE[[#This Row],[Tech]:[Tech]])))</f>
        <v>0</v>
      </c>
      <c r="W47" cm="1">
        <f t="array" ref="W47">IF(PART_NUMBER_GENERATOR_TABLE[[#This Row],[Work Role]:[Work Role]]&lt;&gt;W$1,0,
IF(PART_NUMBER_GENERATOR_TABLE[[#This Row],[Work Type]:[Work Type]]&lt;&gt;"BH",0,
SUMIFS(W$9:W$24,$M$9:$M$24,PART_NUMBER_GENERATOR_TABLE[[#This Row],[Tech]:[Tech]])))</f>
        <v>0</v>
      </c>
      <c r="X47" cm="1">
        <f t="array" ref="X47">IF(PART_NUMBER_GENERATOR_TABLE[[#This Row],[Work Role]:[Work Role]]&lt;&gt;X$1,0,
IF(PART_NUMBER_GENERATOR_TABLE[[#This Row],[Work Type]:[Work Type]]&lt;&gt;"BH",0,
SUMIFS(X$9:X$24,$M$9:$M$24,PART_NUMBER_GENERATOR_TABLE[[#This Row],[Tech]:[Tech]])))</f>
        <v>0</v>
      </c>
      <c r="Y47" cm="1">
        <f t="array" ref="Y47">IF(PART_NUMBER_GENERATOR_TABLE[[#This Row],[Work Role]:[Work Role]]&lt;&gt;Y$1,0,
IF(PART_NUMBER_GENERATOR_TABLE[[#This Row],[Work Type]:[Work Type]]&lt;&gt;"BH",0,
SUMIFS(Y$9:Y$24,$M$9:$M$24,PART_NUMBER_GENERATOR_TABLE[[#This Row],[Tech]:[Tech]])))</f>
        <v>0</v>
      </c>
      <c r="Z47" cm="1">
        <f t="array" ref="Z47">IF(PART_NUMBER_GENERATOR_TABLE[[#This Row],[Work Role]:[Work Role]]&lt;&gt;Z$1,0,
IF(PART_NUMBER_GENERATOR_TABLE[[#This Row],[Work Type]:[Work Type]]&lt;&gt;"BH",0,
SUMIFS(Z$9:Z$24,$M$9:$M$24,PART_NUMBER_GENERATOR_TABLE[[#This Row],[Tech]:[Tech]])))</f>
        <v>0</v>
      </c>
      <c r="AA47" cm="1">
        <f t="array" ref="AA47">IF(PART_NUMBER_GENERATOR_TABLE[[#This Row],[Work Role]:[Work Role]]&lt;&gt;AA$1,0,
IF(PART_NUMBER_GENERATOR_TABLE[[#This Row],[Work Type]:[Work Type]]&lt;&gt;"BH",0,
SUMIFS(AA$9:AA$24,$M$9:$M$24,PART_NUMBER_GENERATOR_TABLE[[#This Row],[Tech]:[Tech]])))</f>
        <v>0</v>
      </c>
      <c r="AB47" cm="1">
        <f t="array" ref="AB47">IF(PART_NUMBER_GENERATOR_TABLE[[#This Row],[Work Role]:[Work Role]]&lt;&gt;AB$1,0,
IF(PART_NUMBER_GENERATOR_TABLE[[#This Row],[Work Type]:[Work Type]]&lt;&gt;"BH",0,
SUMIFS(AB$9:AB$24,$M$9:$M$24,PART_NUMBER_GENERATOR_TABLE[[#This Row],[Tech]:[Tech]])))</f>
        <v>0</v>
      </c>
      <c r="AC47" cm="1">
        <f t="array" ref="AC47">IF(PART_NUMBER_GENERATOR_TABLE[[#This Row],[Work Role]:[Work Role]]&lt;&gt;AC$1,0,
IF(PART_NUMBER_GENERATOR_TABLE[[#This Row],[Work Type]:[Work Type]]&lt;&gt;"BH",0,
SUMIFS(AC$9:AC$24,$M$9:$M$24,PART_NUMBER_GENERATOR_TABLE[[#This Row],[Tech]:[Tech]])))</f>
        <v>0</v>
      </c>
      <c r="AD47" cm="1">
        <f t="array" ref="AD47">IF(PART_NUMBER_GENERATOR_TABLE[[#This Row],[Work Role]:[Work Role]]&lt;&gt;AD$1,0,
IF(PART_NUMBER_GENERATOR_TABLE[[#This Row],[Work Type]:[Work Type]]&lt;&gt;"BH",0,
SUMIFS(AD$9:AD$24,$M$9:$M$24,PART_NUMBER_GENERATOR_TABLE[[#This Row],[Tech]:[Tech]])))</f>
        <v>0</v>
      </c>
      <c r="AE47" cm="1">
        <f t="array" ref="AE47">IF(PART_NUMBER_GENERATOR_TABLE[[#This Row],[Work Role]:[Work Role]]&lt;&gt;AE$1,0,
IF(PART_NUMBER_GENERATOR_TABLE[[#This Row],[Work Type]:[Work Type]]&lt;&gt;"BH",0,
SUMIFS(AE$9:AE$24,$M$9:$M$24,PART_NUMBER_GENERATOR_TABLE[[#This Row],[Tech]:[Tech]])))</f>
        <v>0</v>
      </c>
      <c r="AF47" cm="1">
        <f t="array" ref="AF47">IF(PART_NUMBER_GENERATOR_TABLE[[#This Row],[Work Role]:[Work Role]]&lt;&gt;AF$1,0,
IF(PART_NUMBER_GENERATOR_TABLE[[#This Row],[Work Type]:[Work Type]]&lt;&gt;"BH",0,
SUMIFS(AF$9:AF$24,$M$9:$M$24,PART_NUMBER_GENERATOR_TABLE[[#This Row],[Tech]:[Tech]])))</f>
        <v>0</v>
      </c>
      <c r="AG47" cm="1">
        <f t="array" ref="AG47">IF(PART_NUMBER_GENERATOR_TABLE[[#This Row],[Work Role]:[Work Role]]&lt;&gt;AG$1,0,
IF(PART_NUMBER_GENERATOR_TABLE[[#This Row],[Work Type]:[Work Type]]&lt;&gt;"AH",0,
SUMIFS(AG$9:AG$24,$M$9:$M$24,PART_NUMBER_GENERATOR_TABLE[[#This Row],[Tech]:[Tech]])))</f>
        <v>0</v>
      </c>
      <c r="AH47" cm="1">
        <f t="array" ref="AH47">IF(PART_NUMBER_GENERATOR_TABLE[[#This Row],[Work Role]:[Work Role]]&lt;&gt;AH$1,0,
IF(PART_NUMBER_GENERATOR_TABLE[[#This Row],[Work Type]:[Work Type]]&lt;&gt;"BH",0,
SUMIFS(AH$9:AH$24,$M$9:$M$24,PART_NUMBER_GENERATOR_TABLE[[#This Row],[Tech]:[Tech]])))</f>
        <v>0</v>
      </c>
      <c r="AI47" cm="1">
        <f t="array" ref="AI47">IF(PART_NUMBER_GENERATOR_TABLE[[#This Row],[Work Role]:[Work Role]]&lt;&gt;AI$1,0,
IF(PART_NUMBER_GENERATOR_TABLE[[#This Row],[Work Type]:[Work Type]]&lt;&gt;"BH",0,
SUMIFS(AI$9:AI$24,$M$9:$M$24,PART_NUMBER_GENERATOR_TABLE[[#This Row],[Tech]:[Tech]])))</f>
        <v>0</v>
      </c>
      <c r="AJ47" cm="1">
        <f t="array" ref="AJ47">IF(PART_NUMBER_GENERATOR_TABLE[[#This Row],[Work Role]:[Work Role]]&lt;&gt;AJ$1,0,
IF(PART_NUMBER_GENERATOR_TABLE[[#This Row],[Work Type]:[Work Type]]&lt;&gt;"BH",0,
SUMIFS(AJ$9:AJ$24,$M$9:$M$24,PART_NUMBER_GENERATOR_TABLE[[#This Row],[Tech]:[Tech]])))</f>
        <v>0</v>
      </c>
      <c r="AK47" cm="1">
        <f t="array" ref="AK47">IF(PART_NUMBER_GENERATOR_TABLE[[#This Row],[Work Role]:[Work Role]]&lt;&gt;AK$1,0,
IF(PART_NUMBER_GENERATOR_TABLE[[#This Row],[Work Type]:[Work Type]]&lt;&gt;"AH",0,
SUMIFS(AK$9:AK$24,$M$9:$M$24,PART_NUMBER_GENERATOR_TABLE[[#This Row],[Tech]:[Tech]])))</f>
        <v>0</v>
      </c>
      <c r="AL47" cm="1">
        <f t="array" ref="AL47">IF(PART_NUMBER_GENERATOR_TABLE[[#This Row],[Work Role]:[Work Role]]&lt;&gt;AL$1,0,
IF(PART_NUMBER_GENERATOR_TABLE[[#This Row],[Work Type]:[Work Type]]&lt;&gt;"BH",0,
SUMIFS(AL$9:AL$24,$M$9:$M$24,PART_NUMBER_GENERATOR_TABLE[[#This Row],[Tech]:[Tech]])))</f>
        <v>0</v>
      </c>
      <c r="AM47">
        <f>0</f>
        <v>0</v>
      </c>
      <c r="AN47" cm="1">
        <f t="array" ref="AN47">IF(PART_NUMBER_GENERATOR_TABLE[[#This Row],[Work Role]:[Work Role]]&lt;&gt;AN$1,0,
IF(PART_NUMBER_GENERATOR_TABLE[[#This Row],[Work Type]:[Work Type]]&lt;&gt;"BH",0,
SUMIFS(AN$24,$AM$24,PART_NUMBER_GENERATOR_TABLE[[#This Row],[Tech]:[Tech]])))</f>
        <v>0</v>
      </c>
      <c r="AO47" cm="1">
        <f t="array" ref="AO47">IF(PART_NUMBER_GENERATOR_TABLE[[#This Row],[Work Role]:[Work Role]]&lt;&gt;AO$1,0,
IF(PART_NUMBER_GENERATOR_TABLE[[#This Row],[Work Type]:[Work Type]]&lt;&gt;"BH",0,
SUMIFS(AO$24,$AM$24,PART_NUMBER_GENERATOR_TABLE[[#This Row],[Tech]:[Tech]])))</f>
        <v>0</v>
      </c>
      <c r="AP47" cm="1">
        <f t="array" ref="AP47">IF(PART_NUMBER_GENERATOR_TABLE[[#This Row],[Work Role]:[Work Role]]&lt;&gt;AP$1,0,
IF(PART_NUMBER_GENERATOR_TABLE[[#This Row],[Work Type]:[Work Type]]&lt;&gt;"BH",0,
SUMIFS(AP$24,$AM$24,PART_NUMBER_GENERATOR_TABLE[[#This Row],[Tech]:[Tech]])))</f>
        <v>0</v>
      </c>
      <c r="AQ47" cm="1">
        <f t="array" ref="AQ47">IF(PART_NUMBER_GENERATOR_TABLE[[#This Row],[Work Role]:[Work Role]]&lt;&gt;AQ$1,0,
IF(PART_NUMBER_GENERATOR_TABLE[[#This Row],[Work Type]:[Work Type]]&lt;&gt;"BH",0,
SUMIFS(AQ$24,$AM$24,PART_NUMBER_GENERATOR_TABLE[[#This Row],[Tech]:[Tech]])))</f>
        <v>0</v>
      </c>
      <c r="AR47" cm="1">
        <f t="array" ref="AR47">IF(PART_NUMBER_GENERATOR_TABLE[[#This Row],[Work Role]:[Work Role]]&lt;&gt;AR$1,0,
IF(PART_NUMBER_GENERATOR_TABLE[[#This Row],[Work Type]:[Work Type]]&lt;&gt;"BH",0,
SUMIFS(AR$24,$AM$24,PART_NUMBER_GENERATOR_TABLE[[#This Row],[Tech]:[Tech]])))</f>
        <v>0</v>
      </c>
      <c r="AS47" cm="1">
        <f t="array" ref="AS47">IF(PART_NUMBER_GENERATOR_TABLE[[#This Row],[Work Role]:[Work Role]]&lt;&gt;AS$1,0,
IF(PART_NUMBER_GENERATOR_TABLE[[#This Row],[Work Type]:[Work Type]]&lt;&gt;"BH",0,
SUMIFS(AS$24,$AM$24,PART_NUMBER_GENERATOR_TABLE[[#This Row],[Tech]:[Tech]])))</f>
        <v>0</v>
      </c>
      <c r="AT47" cm="1">
        <f t="array" ref="AT47">IF(PART_NUMBER_GENERATOR_TABLE[[#This Row],[Work Role]:[Work Role]]&lt;&gt;AS$1,0,
IF(PART_NUMBER_GENERATOR_TABLE[[#This Row],[Work Type]:[Work Type]]&lt;&gt;"BH",0,
SUMIFS(AT$24,$AM$24,PART_NUMBER_GENERATOR_TABLE[[#This Row],[Tech]:[Tech]])))</f>
        <v>0</v>
      </c>
      <c r="AU47">
        <f>SUM(PART_NUMBER_GENERATOR_TABLE[[#This Row],[Resource 1 BH]:[Resource 5 AH]],PART_NUMBER_GENERATOR_TABLE[[#This Row],[R1 Mandatory Tasks]:[R5 Mandatory Tasks]],PART_NUMBER_GENERATOR_TABLE[[#This Row],[R1 Remainder]:[R5 Remainder]])</f>
        <v>0</v>
      </c>
      <c r="AV47">
        <f>PART_NUMBER_GENERATOR_TABLE[[#This Row],[Professional Engineering Hours]]*PART_NUMBER_GENERATOR_TABLE[[#This Row],[Sell Rate]]</f>
        <v>0</v>
      </c>
      <c r="AW47">
        <f>PART_NUMBER_GENERATOR_TABLE[[#This Row],[Professional Engineering Hours]]*PART_NUMBER_GENERATOR_TABLE[[#This Row],[Cost Rate]]</f>
        <v>0</v>
      </c>
      <c r="AX47">
        <f>SUM(PART_NUMBER_GENERATOR_TABLE[[#This Row],[PM Trips]:[R5 Trips]])</f>
        <v>0</v>
      </c>
      <c r="AY47">
        <f>PART_NUMBER_GENERATOR_TABLE[[#This Row],[Travel &amp; Accommodation Hours]]*PART_NUMBER_GENERATOR_TABLE[[#This Row],[Sell Rate]]</f>
        <v>0</v>
      </c>
      <c r="AZ47">
        <f>PART_NUMBER_GENERATOR_TABLE[[#This Row],[Travel &amp; Accommodation Hours]]*PART_NUMBER_GENERATOR_TABLE[[#This Row],[Cost Rate]]</f>
        <v>0</v>
      </c>
      <c r="BA47">
        <f>PART_NUMBER_GENERATOR_TABLE[[#This Row],[PM Hours]]+PART_NUMBER_GENERATOR_TABLE[[#This Row],[PM Remainder]]</f>
        <v>0</v>
      </c>
      <c r="BB47">
        <f>PART_NUMBER_GENERATOR_TABLE[[#This Row],[Project Management Hours]]*PART_NUMBER_GENERATOR_TABLE[[#This Row],[Sell Rate]]</f>
        <v>0</v>
      </c>
      <c r="BC47">
        <f>PART_NUMBER_GENERATOR_TABLE[[#This Row],[Project Management Hours]]*PART_NUMBER_GENERATOR_TABLE[[#This Row],[Cost Rate]]</f>
        <v>0</v>
      </c>
      <c r="BD47">
        <f>SUM(PART_NUMBER_GENERATOR_TABLE[[#This Row],[SSE RISK BH]:[PM RISK]],PART_NUMBER_GENERATOR_TABLE[[#This Row],[SSE Remainder RISK BH]:[PM Remainder RISK]])</f>
        <v>0</v>
      </c>
      <c r="BE47">
        <f>PART_NUMBER_GENERATOR_TABLE[[#This Row],[Project Risk Service Hours]]*PART_NUMBER_GENERATOR_TABLE[[#This Row],[Sell Rate]]</f>
        <v>0</v>
      </c>
      <c r="BF47">
        <f>PART_NUMBER_GENERATOR_TABLE[[#This Row],[Project Risk Service Hours]]*PART_NUMBER_GENERATOR_TABLE[[#This Row],[Cost Rate]]</f>
        <v>0</v>
      </c>
      <c r="BG47">
        <f>PART_NUMBER_GENERATOR_TABLE[[#This Row],[SSE RISK TRAVEL]]</f>
        <v>0</v>
      </c>
      <c r="BH47">
        <f>PART_NUMBER_GENERATOR_TABLE[[#This Row],[Sell Rate]]*PART_NUMBER_GENERATOR_TABLE[[#This Row],[Project Risk Travel Hours]]</f>
        <v>0</v>
      </c>
      <c r="BI47">
        <f>PART_NUMBER_GENERATOR_TABLE[[#This Row],[Project Risk Travel Hours]]*PART_NUMBER_GENERATOR_TABLE[[#This Row],[Cost Rate]]</f>
        <v>0</v>
      </c>
      <c r="BJ4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4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47">
        <f>IFERROR(-VLOOKUP(INDEX(ENGINEER_ROLES,MATCH(PART_NUMBER_GENERATOR_TABLE[[#This Row],[Work Role]],settings.Table_Engineer.Roles[ID],0),1),Settings_Hidden!$H$359:$K$366,4,FALSE),0)</f>
        <v>0</v>
      </c>
      <c r="BM47" s="680">
        <f>-Summary!$C$66</f>
        <v>0</v>
      </c>
      <c r="BN47" s="465">
        <f>PART_NUMBER_GENERATOR_TABLE[[#This Row],[Total Base Price]]*MIN(PART_NUMBER_GENERATOR_TABLE[[#This Row],[Rate Service Discount]:[Flat Service Discount]])</f>
        <v>0</v>
      </c>
      <c r="BO47" s="451" t="str">
        <f>IF(PART_NUMBER_GENERATOR_TABLE[[#This Row],[Quantity]]&lt;&gt;0,MAX($BO$30:BO46)+1,"")</f>
        <v/>
      </c>
      <c r="BP47" t="str">
        <f>PART_NUMBER_GENERATOR_TABLE[[#This Row],[Part Number]]</f>
        <v>A-PS-P-COLLAB-PM-AH</v>
      </c>
      <c r="BQ47">
        <f>PART_NUMBER_GENERATOR_TABLE[[#This Row],[Total Hours]]</f>
        <v>0</v>
      </c>
      <c r="BR47">
        <f>PART_NUMBER_GENERATOR_TABLE[[#This Row],[Cost Rate]]</f>
        <v>221.33704686655341</v>
      </c>
      <c r="BS47" s="465">
        <f>PART_NUMBER_GENERATOR_TABLE[[#This Row],[Sell Rate]]+(PART_NUMBER_GENERATOR_TABLE[[#This Row],[Sell Rate]]*MIN(PART_NUMBER_GENERATOR_TABLE[[#This Row],[Rate Service Discount]:[Flat Service Discount]]))</f>
        <v>337.5</v>
      </c>
    </row>
    <row r="48" spans="1:71">
      <c r="A48">
        <v>18</v>
      </c>
      <c r="C48" t="s">
        <v>898</v>
      </c>
      <c r="D48" t="str" cm="1">
        <f t="array" ref="D48">INDEX(Table.Settings_Skill.List[Skill Name],MATCH(INDEX(_xlfn.TEXTSPLIT(C48,"-",,TRUE),4),Table.Settings_Skill.List[Skill Code],0),1)</f>
        <v>Collaboration</v>
      </c>
      <c r="E48" t="str" cm="1">
        <f t="array" ref="E48">INDEX(_xlfn.TEXTSPLIT(C48,"-",,TRUE),5)</f>
        <v>SPM</v>
      </c>
      <c r="F48" t="str">
        <f>IFERROR(INDEX(settings.Table_Engineer.Roles[Department Code],MATCH(PART_NUMBER_GENERATOR_TABLE[[#This Row],[Work Role]],settings.Table_Engineer.Roles[ID],0),1),"PMO")</f>
        <v>PMO</v>
      </c>
      <c r="G48" t="str" cm="1">
        <f t="array" ref="G48">INDEX(_xlfn.TEXTSPLIT(C48,"-",,TRUE),6)</f>
        <v>AH</v>
      </c>
      <c r="H4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388.5</v>
      </c>
      <c r="I4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267.81014450091658</v>
      </c>
      <c r="J48" cm="1">
        <f t="array" ref="J48">IF(J$1&lt;&gt;PART_NUMBER_GENERATOR_TABLE[[#This Row],[Work Role]:[Work Role]],0,
IF(RIGHT(J$30,2)&lt;&gt;PART_NUMBER_GENERATOR_TABLE[[#This Row],[Work Type]:[Work Type]],0,
SUMIFS(Input_Tasks[R1 Business Hours],Input_Tasks[[Skill Required]:[Skill Required]],PART_NUMBER_GENERATOR_TABLE[[#This Row],[Tech]:[Tech]])))</f>
        <v>0</v>
      </c>
      <c r="K48" cm="1">
        <f t="array" ref="K48">IF(K$1&lt;&gt;PART_NUMBER_GENERATOR_TABLE[[#This Row],[Work Role]:[Work Role]],0,
IF(RIGHT(K$30,2)&lt;&gt;PART_NUMBER_GENERATOR_TABLE[[#This Row],[Work Type]:[Work Type]],0,
SUMIFS(Input_Tasks[R1 After Hours],Input_Tasks[[Skill Required]:[Skill Required]],PART_NUMBER_GENERATOR_TABLE[[#This Row],[Tech]:[Tech]])))</f>
        <v>0</v>
      </c>
      <c r="L48" cm="1">
        <f t="array" ref="L48">IF(L$1&lt;&gt;PART_NUMBER_GENERATOR_TABLE[[#This Row],[Work Role]:[Work Role]],0,
IF(RIGHT(L$30,2)&lt;&gt;PART_NUMBER_GENERATOR_TABLE[[#This Row],[Work Type]:[Work Type]],0,
SUMIFS(Input_Tasks[R2 Business Hours],Input_Tasks[[Skill Required]:[Skill Required]],PART_NUMBER_GENERATOR_TABLE[[#This Row],[Tech]:[Tech]])))</f>
        <v>0</v>
      </c>
      <c r="M48" cm="1">
        <f t="array" ref="M48">IF(M$1&lt;&gt;PART_NUMBER_GENERATOR_TABLE[[#This Row],[Work Role]:[Work Role]],0,
IF(RIGHT(M$30,2)&lt;&gt;PART_NUMBER_GENERATOR_TABLE[[#This Row],[Work Type]:[Work Type]],0,
SUMIFS(Input_Tasks[R2 After Hours],Input_Tasks[[Skill Required]:[Skill Required]],PART_NUMBER_GENERATOR_TABLE[[#This Row],[Tech]:[Tech]])))</f>
        <v>0</v>
      </c>
      <c r="N48" cm="1">
        <f t="array" ref="N48">IF(N$1&lt;&gt;PART_NUMBER_GENERATOR_TABLE[[#This Row],[Work Role]:[Work Role]],0,
IF(RIGHT(N$30,2)&lt;&gt;PART_NUMBER_GENERATOR_TABLE[[#This Row],[Work Type]:[Work Type]],0,
SUMIFS(Input_Tasks[R3 Business Hours],Input_Tasks[[Skill Required]:[Skill Required]],PART_NUMBER_GENERATOR_TABLE[[#This Row],[Tech]:[Tech]])))</f>
        <v>0</v>
      </c>
      <c r="O48" cm="1">
        <f t="array" ref="O48">IF(O$1&lt;&gt;PART_NUMBER_GENERATOR_TABLE[[#This Row],[Work Role]:[Work Role]],0,
IF(RIGHT(O$30,2)&lt;&gt;PART_NUMBER_GENERATOR_TABLE[[#This Row],[Work Type]:[Work Type]],0,
SUMIFS(Input_Tasks[R3 After Hours],Input_Tasks[[Skill Required]:[Skill Required]],PART_NUMBER_GENERATOR_TABLE[[#This Row],[Tech]:[Tech]])))</f>
        <v>0</v>
      </c>
      <c r="P48" cm="1">
        <f t="array" ref="P48">IF(P$1&lt;&gt;PART_NUMBER_GENERATOR_TABLE[[#This Row],[Work Role]:[Work Role]],0,
IF(RIGHT(P$30,2)&lt;&gt;PART_NUMBER_GENERATOR_TABLE[[#This Row],[Work Type]:[Work Type]],0,
SUMIFS(Input_Tasks[R4 Business Hours],Input_Tasks[[Skill Required]:[Skill Required]],PART_NUMBER_GENERATOR_TABLE[[#This Row],[Tech]:[Tech]])))</f>
        <v>0</v>
      </c>
      <c r="Q48" cm="1">
        <f t="array" ref="Q48">IF(Q$1&lt;&gt;PART_NUMBER_GENERATOR_TABLE[[#This Row],[Work Role]:[Work Role]],0,
IF(RIGHT(Q$30,2)&lt;&gt;PART_NUMBER_GENERATOR_TABLE[[#This Row],[Work Type]:[Work Type]],0,
SUMIFS(Input_Tasks[R4 After Hours],Input_Tasks[[Skill Required]:[Skill Required]],PART_NUMBER_GENERATOR_TABLE[[#This Row],[Tech]:[Tech]])))</f>
        <v>0</v>
      </c>
      <c r="R48" cm="1">
        <f t="array" ref="R48">IF(R$1&lt;&gt;PART_NUMBER_GENERATOR_TABLE[[#This Row],[Work Role]:[Work Role]],0,
IF(RIGHT(R$30,2)&lt;&gt;PART_NUMBER_GENERATOR_TABLE[[#This Row],[Work Type]:[Work Type]],0,
SUMIFS(Input_Tasks[R5 Business Hours],Input_Tasks[[Skill Required]:[Skill Required]],PART_NUMBER_GENERATOR_TABLE[[#This Row],[Tech]:[Tech]])))</f>
        <v>0</v>
      </c>
      <c r="S48" cm="1">
        <f t="array" ref="S48">IF(S$1&lt;&gt;PART_NUMBER_GENERATOR_TABLE[[#This Row],[Work Role]:[Work Role]],0,
IF(RIGHT(S$30,2)&lt;&gt;PART_NUMBER_GENERATOR_TABLE[[#This Row],[Work Type]:[Work Type]],0,
SUMIFS(Input_Tasks[R5 After Hours],Input_Tasks[[Skill Required]:[Skill Required]],PART_NUMBER_GENERATOR_TABLE[[#This Row],[Tech]:[Tech]])))</f>
        <v>0</v>
      </c>
      <c r="T48" cm="1">
        <f t="array" ref="T48">IF(PART_NUMBER_GENERATOR_TABLE[[#This Row],[Work Role]:[Work Role]]&lt;&gt;T$1,0,
IF(PART_NUMBER_GENERATOR_TABLE[[#This Row],[Work Type]:[Work Type]]&lt;&gt;"BH",0,
SUMIFS(T$9:T$24,$M$9:$M$24,PART_NUMBER_GENERATOR_TABLE[[#This Row],[Tech]:[Tech]])))</f>
        <v>0</v>
      </c>
      <c r="U48" cm="1">
        <f t="array" ref="U48">IF(PART_NUMBER_GENERATOR_TABLE[[#This Row],[Work Role]:[Work Role]]&lt;&gt;U$1,0,
IF(PART_NUMBER_GENERATOR_TABLE[[#This Row],[Work Type]:[Work Type]]&lt;&gt;"BH",0,
SUMIFS(U$9:U$24,$M$9:$M$24,PART_NUMBER_GENERATOR_TABLE[[#This Row],[Tech]:[Tech]])))</f>
        <v>0</v>
      </c>
      <c r="V48" cm="1">
        <f t="array" ref="V48">IF(PART_NUMBER_GENERATOR_TABLE[[#This Row],[Work Role]:[Work Role]]&lt;&gt;V$1,0,
IF(PART_NUMBER_GENERATOR_TABLE[[#This Row],[Work Type]:[Work Type]]&lt;&gt;"BH",0,
SUMIFS(V$9:V$24,$M$9:$M$24,PART_NUMBER_GENERATOR_TABLE[[#This Row],[Tech]:[Tech]])))</f>
        <v>0</v>
      </c>
      <c r="W48" cm="1">
        <f t="array" ref="W48">IF(PART_NUMBER_GENERATOR_TABLE[[#This Row],[Work Role]:[Work Role]]&lt;&gt;W$1,0,
IF(PART_NUMBER_GENERATOR_TABLE[[#This Row],[Work Type]:[Work Type]]&lt;&gt;"BH",0,
SUMIFS(W$9:W$24,$M$9:$M$24,PART_NUMBER_GENERATOR_TABLE[[#This Row],[Tech]:[Tech]])))</f>
        <v>0</v>
      </c>
      <c r="X48" cm="1">
        <f t="array" ref="X48">IF(PART_NUMBER_GENERATOR_TABLE[[#This Row],[Work Role]:[Work Role]]&lt;&gt;X$1,0,
IF(PART_NUMBER_GENERATOR_TABLE[[#This Row],[Work Type]:[Work Type]]&lt;&gt;"BH",0,
SUMIFS(X$9:X$24,$M$9:$M$24,PART_NUMBER_GENERATOR_TABLE[[#This Row],[Tech]:[Tech]])))</f>
        <v>0</v>
      </c>
      <c r="Y48" cm="1">
        <f t="array" ref="Y48">IF(PART_NUMBER_GENERATOR_TABLE[[#This Row],[Work Role]:[Work Role]]&lt;&gt;Y$1,0,
IF(PART_NUMBER_GENERATOR_TABLE[[#This Row],[Work Type]:[Work Type]]&lt;&gt;"BH",0,
SUMIFS(Y$9:Y$24,$M$9:$M$24,PART_NUMBER_GENERATOR_TABLE[[#This Row],[Tech]:[Tech]])))</f>
        <v>0</v>
      </c>
      <c r="Z48" cm="1">
        <f t="array" ref="Z48">IF(PART_NUMBER_GENERATOR_TABLE[[#This Row],[Work Role]:[Work Role]]&lt;&gt;Z$1,0,
IF(PART_NUMBER_GENERATOR_TABLE[[#This Row],[Work Type]:[Work Type]]&lt;&gt;"BH",0,
SUMIFS(Z$9:Z$24,$M$9:$M$24,PART_NUMBER_GENERATOR_TABLE[[#This Row],[Tech]:[Tech]])))</f>
        <v>0</v>
      </c>
      <c r="AA48" cm="1">
        <f t="array" ref="AA48">IF(PART_NUMBER_GENERATOR_TABLE[[#This Row],[Work Role]:[Work Role]]&lt;&gt;AA$1,0,
IF(PART_NUMBER_GENERATOR_TABLE[[#This Row],[Work Type]:[Work Type]]&lt;&gt;"BH",0,
SUMIFS(AA$9:AA$24,$M$9:$M$24,PART_NUMBER_GENERATOR_TABLE[[#This Row],[Tech]:[Tech]])))</f>
        <v>0</v>
      </c>
      <c r="AB48" cm="1">
        <f t="array" ref="AB48">IF(PART_NUMBER_GENERATOR_TABLE[[#This Row],[Work Role]:[Work Role]]&lt;&gt;AB$1,0,
IF(PART_NUMBER_GENERATOR_TABLE[[#This Row],[Work Type]:[Work Type]]&lt;&gt;"BH",0,
SUMIFS(AB$9:AB$24,$M$9:$M$24,PART_NUMBER_GENERATOR_TABLE[[#This Row],[Tech]:[Tech]])))</f>
        <v>0</v>
      </c>
      <c r="AC48" cm="1">
        <f t="array" ref="AC48">IF(PART_NUMBER_GENERATOR_TABLE[[#This Row],[Work Role]:[Work Role]]&lt;&gt;AC$1,0,
IF(PART_NUMBER_GENERATOR_TABLE[[#This Row],[Work Type]:[Work Type]]&lt;&gt;"BH",0,
SUMIFS(AC$9:AC$24,$M$9:$M$24,PART_NUMBER_GENERATOR_TABLE[[#This Row],[Tech]:[Tech]])))</f>
        <v>0</v>
      </c>
      <c r="AD48" cm="1">
        <f t="array" ref="AD48">IF(PART_NUMBER_GENERATOR_TABLE[[#This Row],[Work Role]:[Work Role]]&lt;&gt;AD$1,0,
IF(PART_NUMBER_GENERATOR_TABLE[[#This Row],[Work Type]:[Work Type]]&lt;&gt;"BH",0,
SUMIFS(AD$9:AD$24,$M$9:$M$24,PART_NUMBER_GENERATOR_TABLE[[#This Row],[Tech]:[Tech]])))</f>
        <v>0</v>
      </c>
      <c r="AE48" cm="1">
        <f t="array" ref="AE48">IF(PART_NUMBER_GENERATOR_TABLE[[#This Row],[Work Role]:[Work Role]]&lt;&gt;AE$1,0,
IF(PART_NUMBER_GENERATOR_TABLE[[#This Row],[Work Type]:[Work Type]]&lt;&gt;"BH",0,
SUMIFS(AE$9:AE$24,$M$9:$M$24,PART_NUMBER_GENERATOR_TABLE[[#This Row],[Tech]:[Tech]])))</f>
        <v>0</v>
      </c>
      <c r="AF48" cm="1">
        <f t="array" ref="AF48">IF(PART_NUMBER_GENERATOR_TABLE[[#This Row],[Work Role]:[Work Role]]&lt;&gt;AF$1,0,
IF(PART_NUMBER_GENERATOR_TABLE[[#This Row],[Work Type]:[Work Type]]&lt;&gt;"BH",0,
SUMIFS(AF$9:AF$24,$M$9:$M$24,PART_NUMBER_GENERATOR_TABLE[[#This Row],[Tech]:[Tech]])))</f>
        <v>0</v>
      </c>
      <c r="AG48" cm="1">
        <f t="array" ref="AG48">IF(PART_NUMBER_GENERATOR_TABLE[[#This Row],[Work Role]:[Work Role]]&lt;&gt;AG$1,0,
IF(PART_NUMBER_GENERATOR_TABLE[[#This Row],[Work Type]:[Work Type]]&lt;&gt;"AH",0,
SUMIFS(AG$9:AG$24,$M$9:$M$24,PART_NUMBER_GENERATOR_TABLE[[#This Row],[Tech]:[Tech]])))</f>
        <v>0</v>
      </c>
      <c r="AH48" cm="1">
        <f t="array" ref="AH48">IF(PART_NUMBER_GENERATOR_TABLE[[#This Row],[Work Role]:[Work Role]]&lt;&gt;AH$1,0,
IF(PART_NUMBER_GENERATOR_TABLE[[#This Row],[Work Type]:[Work Type]]&lt;&gt;"BH",0,
SUMIFS(AH$9:AH$24,$M$9:$M$24,PART_NUMBER_GENERATOR_TABLE[[#This Row],[Tech]:[Tech]])))</f>
        <v>0</v>
      </c>
      <c r="AI48" cm="1">
        <f t="array" ref="AI48">IF(PART_NUMBER_GENERATOR_TABLE[[#This Row],[Work Role]:[Work Role]]&lt;&gt;AI$1,0,
IF(PART_NUMBER_GENERATOR_TABLE[[#This Row],[Work Type]:[Work Type]]&lt;&gt;"BH",0,
SUMIFS(AI$9:AI$24,$M$9:$M$24,PART_NUMBER_GENERATOR_TABLE[[#This Row],[Tech]:[Tech]])))</f>
        <v>0</v>
      </c>
      <c r="AJ48" cm="1">
        <f t="array" ref="AJ48">IF(PART_NUMBER_GENERATOR_TABLE[[#This Row],[Work Role]:[Work Role]]&lt;&gt;AJ$1,0,
IF(PART_NUMBER_GENERATOR_TABLE[[#This Row],[Work Type]:[Work Type]]&lt;&gt;"BH",0,
SUMIFS(AJ$9:AJ$24,$M$9:$M$24,PART_NUMBER_GENERATOR_TABLE[[#This Row],[Tech]:[Tech]])))</f>
        <v>0</v>
      </c>
      <c r="AK48" cm="1">
        <f t="array" ref="AK48">IF(PART_NUMBER_GENERATOR_TABLE[[#This Row],[Work Role]:[Work Role]]&lt;&gt;AK$1,0,
IF(PART_NUMBER_GENERATOR_TABLE[[#This Row],[Work Type]:[Work Type]]&lt;&gt;"AH",0,
SUMIFS(AK$9:AK$24,$M$9:$M$24,PART_NUMBER_GENERATOR_TABLE[[#This Row],[Tech]:[Tech]])))</f>
        <v>0</v>
      </c>
      <c r="AL48" cm="1">
        <f t="array" ref="AL48">IF(PART_NUMBER_GENERATOR_TABLE[[#This Row],[Work Role]:[Work Role]]&lt;&gt;AL$1,0,
IF(PART_NUMBER_GENERATOR_TABLE[[#This Row],[Work Type]:[Work Type]]&lt;&gt;"BH",0,
SUMIFS(AL$9:AL$24,$M$9:$M$24,PART_NUMBER_GENERATOR_TABLE[[#This Row],[Tech]:[Tech]])))</f>
        <v>0</v>
      </c>
      <c r="AM48">
        <f>0</f>
        <v>0</v>
      </c>
      <c r="AN48" cm="1">
        <f t="array" ref="AN48">IF(PART_NUMBER_GENERATOR_TABLE[[#This Row],[Work Role]:[Work Role]]&lt;&gt;AN$1,0,
IF(PART_NUMBER_GENERATOR_TABLE[[#This Row],[Work Type]:[Work Type]]&lt;&gt;"BH",0,
SUMIFS(AN$24,$AM$24,PART_NUMBER_GENERATOR_TABLE[[#This Row],[Tech]:[Tech]])))</f>
        <v>0</v>
      </c>
      <c r="AO48" cm="1">
        <f t="array" ref="AO48">IF(PART_NUMBER_GENERATOR_TABLE[[#This Row],[Work Role]:[Work Role]]&lt;&gt;AO$1,0,
IF(PART_NUMBER_GENERATOR_TABLE[[#This Row],[Work Type]:[Work Type]]&lt;&gt;"BH",0,
SUMIFS(AO$24,$AM$24,PART_NUMBER_GENERATOR_TABLE[[#This Row],[Tech]:[Tech]])))</f>
        <v>0</v>
      </c>
      <c r="AP48" cm="1">
        <f t="array" ref="AP48">IF(PART_NUMBER_GENERATOR_TABLE[[#This Row],[Work Role]:[Work Role]]&lt;&gt;AP$1,0,
IF(PART_NUMBER_GENERATOR_TABLE[[#This Row],[Work Type]:[Work Type]]&lt;&gt;"BH",0,
SUMIFS(AP$24,$AM$24,PART_NUMBER_GENERATOR_TABLE[[#This Row],[Tech]:[Tech]])))</f>
        <v>0</v>
      </c>
      <c r="AQ48" cm="1">
        <f t="array" ref="AQ48">IF(PART_NUMBER_GENERATOR_TABLE[[#This Row],[Work Role]:[Work Role]]&lt;&gt;AQ$1,0,
IF(PART_NUMBER_GENERATOR_TABLE[[#This Row],[Work Type]:[Work Type]]&lt;&gt;"BH",0,
SUMIFS(AQ$24,$AM$24,PART_NUMBER_GENERATOR_TABLE[[#This Row],[Tech]:[Tech]])))</f>
        <v>0</v>
      </c>
      <c r="AR48" cm="1">
        <f t="array" ref="AR48">IF(PART_NUMBER_GENERATOR_TABLE[[#This Row],[Work Role]:[Work Role]]&lt;&gt;AR$1,0,
IF(PART_NUMBER_GENERATOR_TABLE[[#This Row],[Work Type]:[Work Type]]&lt;&gt;"BH",0,
SUMIFS(AR$24,$AM$24,PART_NUMBER_GENERATOR_TABLE[[#This Row],[Tech]:[Tech]])))</f>
        <v>0</v>
      </c>
      <c r="AS48" cm="1">
        <f t="array" ref="AS48">IF(PART_NUMBER_GENERATOR_TABLE[[#This Row],[Work Role]:[Work Role]]&lt;&gt;AS$1,0,
IF(PART_NUMBER_GENERATOR_TABLE[[#This Row],[Work Type]:[Work Type]]&lt;&gt;"BH",0,
SUMIFS(AS$24,$AM$24,PART_NUMBER_GENERATOR_TABLE[[#This Row],[Tech]:[Tech]])))</f>
        <v>0</v>
      </c>
      <c r="AT48" cm="1">
        <f t="array" ref="AT48">IF(PART_NUMBER_GENERATOR_TABLE[[#This Row],[Work Role]:[Work Role]]&lt;&gt;AS$1,0,
IF(PART_NUMBER_GENERATOR_TABLE[[#This Row],[Work Type]:[Work Type]]&lt;&gt;"BH",0,
SUMIFS(AT$24,$AM$24,PART_NUMBER_GENERATOR_TABLE[[#This Row],[Tech]:[Tech]])))</f>
        <v>0</v>
      </c>
      <c r="AU48">
        <f>SUM(PART_NUMBER_GENERATOR_TABLE[[#This Row],[Resource 1 BH]:[Resource 5 AH]],PART_NUMBER_GENERATOR_TABLE[[#This Row],[R1 Mandatory Tasks]:[R5 Mandatory Tasks]],PART_NUMBER_GENERATOR_TABLE[[#This Row],[R1 Remainder]:[R5 Remainder]])</f>
        <v>0</v>
      </c>
      <c r="AV48">
        <f>PART_NUMBER_GENERATOR_TABLE[[#This Row],[Professional Engineering Hours]]*PART_NUMBER_GENERATOR_TABLE[[#This Row],[Sell Rate]]</f>
        <v>0</v>
      </c>
      <c r="AW48">
        <f>PART_NUMBER_GENERATOR_TABLE[[#This Row],[Professional Engineering Hours]]*PART_NUMBER_GENERATOR_TABLE[[#This Row],[Cost Rate]]</f>
        <v>0</v>
      </c>
      <c r="AX48">
        <f>SUM(PART_NUMBER_GENERATOR_TABLE[[#This Row],[PM Trips]:[R5 Trips]])</f>
        <v>0</v>
      </c>
      <c r="AY48">
        <f>PART_NUMBER_GENERATOR_TABLE[[#This Row],[Travel &amp; Accommodation Hours]]*PART_NUMBER_GENERATOR_TABLE[[#This Row],[Sell Rate]]</f>
        <v>0</v>
      </c>
      <c r="AZ48">
        <f>PART_NUMBER_GENERATOR_TABLE[[#This Row],[Travel &amp; Accommodation Hours]]*PART_NUMBER_GENERATOR_TABLE[[#This Row],[Cost Rate]]</f>
        <v>0</v>
      </c>
      <c r="BA48">
        <f>PART_NUMBER_GENERATOR_TABLE[[#This Row],[PM Hours]]+PART_NUMBER_GENERATOR_TABLE[[#This Row],[PM Remainder]]</f>
        <v>0</v>
      </c>
      <c r="BB48">
        <f>PART_NUMBER_GENERATOR_TABLE[[#This Row],[Project Management Hours]]*PART_NUMBER_GENERATOR_TABLE[[#This Row],[Sell Rate]]</f>
        <v>0</v>
      </c>
      <c r="BC48">
        <f>PART_NUMBER_GENERATOR_TABLE[[#This Row],[Project Management Hours]]*PART_NUMBER_GENERATOR_TABLE[[#This Row],[Cost Rate]]</f>
        <v>0</v>
      </c>
      <c r="BD48">
        <f>SUM(PART_NUMBER_GENERATOR_TABLE[[#This Row],[SSE RISK BH]:[PM RISK]],PART_NUMBER_GENERATOR_TABLE[[#This Row],[SSE Remainder RISK BH]:[PM Remainder RISK]])</f>
        <v>0</v>
      </c>
      <c r="BE48">
        <f>PART_NUMBER_GENERATOR_TABLE[[#This Row],[Project Risk Service Hours]]*PART_NUMBER_GENERATOR_TABLE[[#This Row],[Sell Rate]]</f>
        <v>0</v>
      </c>
      <c r="BF48">
        <f>PART_NUMBER_GENERATOR_TABLE[[#This Row],[Project Risk Service Hours]]*PART_NUMBER_GENERATOR_TABLE[[#This Row],[Cost Rate]]</f>
        <v>0</v>
      </c>
      <c r="BG48">
        <f>PART_NUMBER_GENERATOR_TABLE[[#This Row],[SSE RISK TRAVEL]]</f>
        <v>0</v>
      </c>
      <c r="BH48">
        <f>PART_NUMBER_GENERATOR_TABLE[[#This Row],[Sell Rate]]*PART_NUMBER_GENERATOR_TABLE[[#This Row],[Project Risk Travel Hours]]</f>
        <v>0</v>
      </c>
      <c r="BI48">
        <f>PART_NUMBER_GENERATOR_TABLE[[#This Row],[Project Risk Travel Hours]]*PART_NUMBER_GENERATOR_TABLE[[#This Row],[Cost Rate]]</f>
        <v>0</v>
      </c>
      <c r="BJ4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4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48">
        <f>IFERROR(-VLOOKUP(INDEX(ENGINEER_ROLES,MATCH(PART_NUMBER_GENERATOR_TABLE[[#This Row],[Work Role]],settings.Table_Engineer.Roles[ID],0),1),Settings_Hidden!$H$359:$K$366,4,FALSE),0)</f>
        <v>0</v>
      </c>
      <c r="BM48" s="680">
        <f>-Summary!$C$66</f>
        <v>0</v>
      </c>
      <c r="BN48" s="465">
        <f>PART_NUMBER_GENERATOR_TABLE[[#This Row],[Total Base Price]]*MIN(PART_NUMBER_GENERATOR_TABLE[[#This Row],[Rate Service Discount]:[Flat Service Discount]])</f>
        <v>0</v>
      </c>
      <c r="BO48" s="451" t="str">
        <f>IF(PART_NUMBER_GENERATOR_TABLE[[#This Row],[Quantity]]&lt;&gt;0,MAX($BO$30:BO47)+1,"")</f>
        <v/>
      </c>
      <c r="BP48" t="str">
        <f>PART_NUMBER_GENERATOR_TABLE[[#This Row],[Part Number]]</f>
        <v>A-PS-P-COLLAB-SPM-AH</v>
      </c>
      <c r="BQ48">
        <f>PART_NUMBER_GENERATOR_TABLE[[#This Row],[Total Hours]]</f>
        <v>0</v>
      </c>
      <c r="BR48">
        <f>PART_NUMBER_GENERATOR_TABLE[[#This Row],[Cost Rate]]</f>
        <v>267.81014450091658</v>
      </c>
      <c r="BS48" s="465">
        <f>PART_NUMBER_GENERATOR_TABLE[[#This Row],[Sell Rate]]+(PART_NUMBER_GENERATOR_TABLE[[#This Row],[Sell Rate]]*MIN(PART_NUMBER_GENERATOR_TABLE[[#This Row],[Rate Service Discount]:[Flat Service Discount]]))</f>
        <v>388.5</v>
      </c>
    </row>
    <row r="49" spans="1:71">
      <c r="A49">
        <v>19</v>
      </c>
      <c r="C49" t="s">
        <v>916</v>
      </c>
      <c r="D49" t="str" cm="1">
        <f t="array" ref="D49">INDEX(Table.Settings_Skill.List[Skill Name],MATCH(INDEX(_xlfn.TEXTSPLIT(C49,"-",,TRUE),4),Table.Settings_Skill.List[Skill Code],0),1)</f>
        <v>Data Centre / Cloud</v>
      </c>
      <c r="E49" t="str" cm="1">
        <f t="array" ref="E49">INDEX(_xlfn.TEXTSPLIT(C49,"-",,TRUE),5)</f>
        <v>PM</v>
      </c>
      <c r="F49" t="str">
        <f>IFERROR(INDEX(settings.Table_Engineer.Roles[Department Code],MATCH(PART_NUMBER_GENERATOR_TABLE[[#This Row],[Work Role]],settings.Table_Engineer.Roles[ID],0),1),"PMO")</f>
        <v>PMO</v>
      </c>
      <c r="G49" t="str" cm="1">
        <f t="array" ref="G49">INDEX(_xlfn.TEXTSPLIT(C49,"-",,TRUE),6)</f>
        <v>AH</v>
      </c>
      <c r="H4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337.5</v>
      </c>
      <c r="I4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221.33704686655341</v>
      </c>
      <c r="J49" cm="1">
        <f t="array" ref="J49">IF(J$1&lt;&gt;PART_NUMBER_GENERATOR_TABLE[[#This Row],[Work Role]:[Work Role]],0,
IF(RIGHT(J$30,2)&lt;&gt;PART_NUMBER_GENERATOR_TABLE[[#This Row],[Work Type]:[Work Type]],0,
SUMIFS(Input_Tasks[R1 Business Hours],Input_Tasks[[Skill Required]:[Skill Required]],PART_NUMBER_GENERATOR_TABLE[[#This Row],[Tech]:[Tech]])))</f>
        <v>0</v>
      </c>
      <c r="K49" cm="1">
        <f t="array" ref="K49">IF(K$1&lt;&gt;PART_NUMBER_GENERATOR_TABLE[[#This Row],[Work Role]:[Work Role]],0,
IF(RIGHT(K$30,2)&lt;&gt;PART_NUMBER_GENERATOR_TABLE[[#This Row],[Work Type]:[Work Type]],0,
SUMIFS(Input_Tasks[R1 After Hours],Input_Tasks[[Skill Required]:[Skill Required]],PART_NUMBER_GENERATOR_TABLE[[#This Row],[Tech]:[Tech]])))</f>
        <v>0</v>
      </c>
      <c r="L49" cm="1">
        <f t="array" ref="L49">IF(L$1&lt;&gt;PART_NUMBER_GENERATOR_TABLE[[#This Row],[Work Role]:[Work Role]],0,
IF(RIGHT(L$30,2)&lt;&gt;PART_NUMBER_GENERATOR_TABLE[[#This Row],[Work Type]:[Work Type]],0,
SUMIFS(Input_Tasks[R2 Business Hours],Input_Tasks[[Skill Required]:[Skill Required]],PART_NUMBER_GENERATOR_TABLE[[#This Row],[Tech]:[Tech]])))</f>
        <v>0</v>
      </c>
      <c r="M49" cm="1">
        <f t="array" ref="M49">IF(M$1&lt;&gt;PART_NUMBER_GENERATOR_TABLE[[#This Row],[Work Role]:[Work Role]],0,
IF(RIGHT(M$30,2)&lt;&gt;PART_NUMBER_GENERATOR_TABLE[[#This Row],[Work Type]:[Work Type]],0,
SUMIFS(Input_Tasks[R2 After Hours],Input_Tasks[[Skill Required]:[Skill Required]],PART_NUMBER_GENERATOR_TABLE[[#This Row],[Tech]:[Tech]])))</f>
        <v>0</v>
      </c>
      <c r="N49" cm="1">
        <f t="array" ref="N49">IF(N$1&lt;&gt;PART_NUMBER_GENERATOR_TABLE[[#This Row],[Work Role]:[Work Role]],0,
IF(RIGHT(N$30,2)&lt;&gt;PART_NUMBER_GENERATOR_TABLE[[#This Row],[Work Type]:[Work Type]],0,
SUMIFS(Input_Tasks[R3 Business Hours],Input_Tasks[[Skill Required]:[Skill Required]],PART_NUMBER_GENERATOR_TABLE[[#This Row],[Tech]:[Tech]])))</f>
        <v>0</v>
      </c>
      <c r="O49" cm="1">
        <f t="array" ref="O49">IF(O$1&lt;&gt;PART_NUMBER_GENERATOR_TABLE[[#This Row],[Work Role]:[Work Role]],0,
IF(RIGHT(O$30,2)&lt;&gt;PART_NUMBER_GENERATOR_TABLE[[#This Row],[Work Type]:[Work Type]],0,
SUMIFS(Input_Tasks[R3 After Hours],Input_Tasks[[Skill Required]:[Skill Required]],PART_NUMBER_GENERATOR_TABLE[[#This Row],[Tech]:[Tech]])))</f>
        <v>0</v>
      </c>
      <c r="P49" cm="1">
        <f t="array" ref="P49">IF(P$1&lt;&gt;PART_NUMBER_GENERATOR_TABLE[[#This Row],[Work Role]:[Work Role]],0,
IF(RIGHT(P$30,2)&lt;&gt;PART_NUMBER_GENERATOR_TABLE[[#This Row],[Work Type]:[Work Type]],0,
SUMIFS(Input_Tasks[R4 Business Hours],Input_Tasks[[Skill Required]:[Skill Required]],PART_NUMBER_GENERATOR_TABLE[[#This Row],[Tech]:[Tech]])))</f>
        <v>0</v>
      </c>
      <c r="Q49" cm="1">
        <f t="array" ref="Q49">IF(Q$1&lt;&gt;PART_NUMBER_GENERATOR_TABLE[[#This Row],[Work Role]:[Work Role]],0,
IF(RIGHT(Q$30,2)&lt;&gt;PART_NUMBER_GENERATOR_TABLE[[#This Row],[Work Type]:[Work Type]],0,
SUMIFS(Input_Tasks[R4 After Hours],Input_Tasks[[Skill Required]:[Skill Required]],PART_NUMBER_GENERATOR_TABLE[[#This Row],[Tech]:[Tech]])))</f>
        <v>0</v>
      </c>
      <c r="R49" cm="1">
        <f t="array" ref="R49">IF(R$1&lt;&gt;PART_NUMBER_GENERATOR_TABLE[[#This Row],[Work Role]:[Work Role]],0,
IF(RIGHT(R$30,2)&lt;&gt;PART_NUMBER_GENERATOR_TABLE[[#This Row],[Work Type]:[Work Type]],0,
SUMIFS(Input_Tasks[R5 Business Hours],Input_Tasks[[Skill Required]:[Skill Required]],PART_NUMBER_GENERATOR_TABLE[[#This Row],[Tech]:[Tech]])))</f>
        <v>0</v>
      </c>
      <c r="S49" cm="1">
        <f t="array" ref="S49">IF(S$1&lt;&gt;PART_NUMBER_GENERATOR_TABLE[[#This Row],[Work Role]:[Work Role]],0,
IF(RIGHT(S$30,2)&lt;&gt;PART_NUMBER_GENERATOR_TABLE[[#This Row],[Work Type]:[Work Type]],0,
SUMIFS(Input_Tasks[R5 After Hours],Input_Tasks[[Skill Required]:[Skill Required]],PART_NUMBER_GENERATOR_TABLE[[#This Row],[Tech]:[Tech]])))</f>
        <v>0</v>
      </c>
      <c r="T49" cm="1">
        <f t="array" ref="T49">IF(PART_NUMBER_GENERATOR_TABLE[[#This Row],[Work Role]:[Work Role]]&lt;&gt;T$1,0,
IF(PART_NUMBER_GENERATOR_TABLE[[#This Row],[Work Type]:[Work Type]]&lt;&gt;"BH",0,
SUMIFS(T$9:T$24,$M$9:$M$24,PART_NUMBER_GENERATOR_TABLE[[#This Row],[Tech]:[Tech]])))</f>
        <v>0</v>
      </c>
      <c r="U49" cm="1">
        <f t="array" ref="U49">IF(PART_NUMBER_GENERATOR_TABLE[[#This Row],[Work Role]:[Work Role]]&lt;&gt;U$1,0,
IF(PART_NUMBER_GENERATOR_TABLE[[#This Row],[Work Type]:[Work Type]]&lt;&gt;"BH",0,
SUMIFS(U$9:U$24,$M$9:$M$24,PART_NUMBER_GENERATOR_TABLE[[#This Row],[Tech]:[Tech]])))</f>
        <v>0</v>
      </c>
      <c r="V49" cm="1">
        <f t="array" ref="V49">IF(PART_NUMBER_GENERATOR_TABLE[[#This Row],[Work Role]:[Work Role]]&lt;&gt;V$1,0,
IF(PART_NUMBER_GENERATOR_TABLE[[#This Row],[Work Type]:[Work Type]]&lt;&gt;"BH",0,
SUMIFS(V$9:V$24,$M$9:$M$24,PART_NUMBER_GENERATOR_TABLE[[#This Row],[Tech]:[Tech]])))</f>
        <v>0</v>
      </c>
      <c r="W49" cm="1">
        <f t="array" ref="W49">IF(PART_NUMBER_GENERATOR_TABLE[[#This Row],[Work Role]:[Work Role]]&lt;&gt;W$1,0,
IF(PART_NUMBER_GENERATOR_TABLE[[#This Row],[Work Type]:[Work Type]]&lt;&gt;"BH",0,
SUMIFS(W$9:W$24,$M$9:$M$24,PART_NUMBER_GENERATOR_TABLE[[#This Row],[Tech]:[Tech]])))</f>
        <v>0</v>
      </c>
      <c r="X49" cm="1">
        <f t="array" ref="X49">IF(PART_NUMBER_GENERATOR_TABLE[[#This Row],[Work Role]:[Work Role]]&lt;&gt;X$1,0,
IF(PART_NUMBER_GENERATOR_TABLE[[#This Row],[Work Type]:[Work Type]]&lt;&gt;"BH",0,
SUMIFS(X$9:X$24,$M$9:$M$24,PART_NUMBER_GENERATOR_TABLE[[#This Row],[Tech]:[Tech]])))</f>
        <v>0</v>
      </c>
      <c r="Y49" cm="1">
        <f t="array" ref="Y49">IF(PART_NUMBER_GENERATOR_TABLE[[#This Row],[Work Role]:[Work Role]]&lt;&gt;Y$1,0,
IF(PART_NUMBER_GENERATOR_TABLE[[#This Row],[Work Type]:[Work Type]]&lt;&gt;"BH",0,
SUMIFS(Y$9:Y$24,$M$9:$M$24,PART_NUMBER_GENERATOR_TABLE[[#This Row],[Tech]:[Tech]])))</f>
        <v>0</v>
      </c>
      <c r="Z49" cm="1">
        <f t="array" ref="Z49">IF(PART_NUMBER_GENERATOR_TABLE[[#This Row],[Work Role]:[Work Role]]&lt;&gt;Z$1,0,
IF(PART_NUMBER_GENERATOR_TABLE[[#This Row],[Work Type]:[Work Type]]&lt;&gt;"BH",0,
SUMIFS(Z$9:Z$24,$M$9:$M$24,PART_NUMBER_GENERATOR_TABLE[[#This Row],[Tech]:[Tech]])))</f>
        <v>0</v>
      </c>
      <c r="AA49" cm="1">
        <f t="array" ref="AA49">IF(PART_NUMBER_GENERATOR_TABLE[[#This Row],[Work Role]:[Work Role]]&lt;&gt;AA$1,0,
IF(PART_NUMBER_GENERATOR_TABLE[[#This Row],[Work Type]:[Work Type]]&lt;&gt;"BH",0,
SUMIFS(AA$9:AA$24,$M$9:$M$24,PART_NUMBER_GENERATOR_TABLE[[#This Row],[Tech]:[Tech]])))</f>
        <v>0</v>
      </c>
      <c r="AB49" cm="1">
        <f t="array" ref="AB49">IF(PART_NUMBER_GENERATOR_TABLE[[#This Row],[Work Role]:[Work Role]]&lt;&gt;AB$1,0,
IF(PART_NUMBER_GENERATOR_TABLE[[#This Row],[Work Type]:[Work Type]]&lt;&gt;"BH",0,
SUMIFS(AB$9:AB$24,$M$9:$M$24,PART_NUMBER_GENERATOR_TABLE[[#This Row],[Tech]:[Tech]])))</f>
        <v>0</v>
      </c>
      <c r="AC49" cm="1">
        <f t="array" ref="AC49">IF(PART_NUMBER_GENERATOR_TABLE[[#This Row],[Work Role]:[Work Role]]&lt;&gt;AC$1,0,
IF(PART_NUMBER_GENERATOR_TABLE[[#This Row],[Work Type]:[Work Type]]&lt;&gt;"BH",0,
SUMIFS(AC$9:AC$24,$M$9:$M$24,PART_NUMBER_GENERATOR_TABLE[[#This Row],[Tech]:[Tech]])))</f>
        <v>0</v>
      </c>
      <c r="AD49" cm="1">
        <f t="array" ref="AD49">IF(PART_NUMBER_GENERATOR_TABLE[[#This Row],[Work Role]:[Work Role]]&lt;&gt;AD$1,0,
IF(PART_NUMBER_GENERATOR_TABLE[[#This Row],[Work Type]:[Work Type]]&lt;&gt;"BH",0,
SUMIFS(AD$9:AD$24,$M$9:$M$24,PART_NUMBER_GENERATOR_TABLE[[#This Row],[Tech]:[Tech]])))</f>
        <v>0</v>
      </c>
      <c r="AE49" cm="1">
        <f t="array" ref="AE49">IF(PART_NUMBER_GENERATOR_TABLE[[#This Row],[Work Role]:[Work Role]]&lt;&gt;AE$1,0,
IF(PART_NUMBER_GENERATOR_TABLE[[#This Row],[Work Type]:[Work Type]]&lt;&gt;"BH",0,
SUMIFS(AE$9:AE$24,$M$9:$M$24,PART_NUMBER_GENERATOR_TABLE[[#This Row],[Tech]:[Tech]])))</f>
        <v>0</v>
      </c>
      <c r="AF49" cm="1">
        <f t="array" ref="AF49">IF(PART_NUMBER_GENERATOR_TABLE[[#This Row],[Work Role]:[Work Role]]&lt;&gt;AF$1,0,
IF(PART_NUMBER_GENERATOR_TABLE[[#This Row],[Work Type]:[Work Type]]&lt;&gt;"BH",0,
SUMIFS(AF$9:AF$24,$M$9:$M$24,PART_NUMBER_GENERATOR_TABLE[[#This Row],[Tech]:[Tech]])))</f>
        <v>0</v>
      </c>
      <c r="AG49" cm="1">
        <f t="array" ref="AG49">IF(PART_NUMBER_GENERATOR_TABLE[[#This Row],[Work Role]:[Work Role]]&lt;&gt;AG$1,0,
IF(PART_NUMBER_GENERATOR_TABLE[[#This Row],[Work Type]:[Work Type]]&lt;&gt;"AH",0,
SUMIFS(AG$9:AG$24,$M$9:$M$24,PART_NUMBER_GENERATOR_TABLE[[#This Row],[Tech]:[Tech]])))</f>
        <v>0</v>
      </c>
      <c r="AH49" cm="1">
        <f t="array" ref="AH49">IF(PART_NUMBER_GENERATOR_TABLE[[#This Row],[Work Role]:[Work Role]]&lt;&gt;AH$1,0,
IF(PART_NUMBER_GENERATOR_TABLE[[#This Row],[Work Type]:[Work Type]]&lt;&gt;"BH",0,
SUMIFS(AH$9:AH$24,$M$9:$M$24,PART_NUMBER_GENERATOR_TABLE[[#This Row],[Tech]:[Tech]])))</f>
        <v>0</v>
      </c>
      <c r="AI49" cm="1">
        <f t="array" ref="AI49">IF(PART_NUMBER_GENERATOR_TABLE[[#This Row],[Work Role]:[Work Role]]&lt;&gt;AI$1,0,
IF(PART_NUMBER_GENERATOR_TABLE[[#This Row],[Work Type]:[Work Type]]&lt;&gt;"BH",0,
SUMIFS(AI$9:AI$24,$M$9:$M$24,PART_NUMBER_GENERATOR_TABLE[[#This Row],[Tech]:[Tech]])))</f>
        <v>0</v>
      </c>
      <c r="AJ49" cm="1">
        <f t="array" ref="AJ49">IF(PART_NUMBER_GENERATOR_TABLE[[#This Row],[Work Role]:[Work Role]]&lt;&gt;AJ$1,0,
IF(PART_NUMBER_GENERATOR_TABLE[[#This Row],[Work Type]:[Work Type]]&lt;&gt;"BH",0,
SUMIFS(AJ$9:AJ$24,$M$9:$M$24,PART_NUMBER_GENERATOR_TABLE[[#This Row],[Tech]:[Tech]])))</f>
        <v>0</v>
      </c>
      <c r="AK49" cm="1">
        <f t="array" ref="AK49">IF(PART_NUMBER_GENERATOR_TABLE[[#This Row],[Work Role]:[Work Role]]&lt;&gt;AK$1,0,
IF(PART_NUMBER_GENERATOR_TABLE[[#This Row],[Work Type]:[Work Type]]&lt;&gt;"AH",0,
SUMIFS(AK$9:AK$24,$M$9:$M$24,PART_NUMBER_GENERATOR_TABLE[[#This Row],[Tech]:[Tech]])))</f>
        <v>0</v>
      </c>
      <c r="AL49" cm="1">
        <f t="array" ref="AL49">IF(PART_NUMBER_GENERATOR_TABLE[[#This Row],[Work Role]:[Work Role]]&lt;&gt;AL$1,0,
IF(PART_NUMBER_GENERATOR_TABLE[[#This Row],[Work Type]:[Work Type]]&lt;&gt;"BH",0,
SUMIFS(AL$9:AL$24,$M$9:$M$24,PART_NUMBER_GENERATOR_TABLE[[#This Row],[Tech]:[Tech]])))</f>
        <v>0</v>
      </c>
      <c r="AM49">
        <f>0</f>
        <v>0</v>
      </c>
      <c r="AN49" cm="1">
        <f t="array" ref="AN49">IF(PART_NUMBER_GENERATOR_TABLE[[#This Row],[Work Role]:[Work Role]]&lt;&gt;AN$1,0,
IF(PART_NUMBER_GENERATOR_TABLE[[#This Row],[Work Type]:[Work Type]]&lt;&gt;"BH",0,
SUMIFS(AN$24,$AM$24,PART_NUMBER_GENERATOR_TABLE[[#This Row],[Tech]:[Tech]])))</f>
        <v>0</v>
      </c>
      <c r="AO49" cm="1">
        <f t="array" ref="AO49">IF(PART_NUMBER_GENERATOR_TABLE[[#This Row],[Work Role]:[Work Role]]&lt;&gt;AO$1,0,
IF(PART_NUMBER_GENERATOR_TABLE[[#This Row],[Work Type]:[Work Type]]&lt;&gt;"BH",0,
SUMIFS(AO$24,$AM$24,PART_NUMBER_GENERATOR_TABLE[[#This Row],[Tech]:[Tech]])))</f>
        <v>0</v>
      </c>
      <c r="AP49" cm="1">
        <f t="array" ref="AP49">IF(PART_NUMBER_GENERATOR_TABLE[[#This Row],[Work Role]:[Work Role]]&lt;&gt;AP$1,0,
IF(PART_NUMBER_GENERATOR_TABLE[[#This Row],[Work Type]:[Work Type]]&lt;&gt;"BH",0,
SUMIFS(AP$24,$AM$24,PART_NUMBER_GENERATOR_TABLE[[#This Row],[Tech]:[Tech]])))</f>
        <v>0</v>
      </c>
      <c r="AQ49" cm="1">
        <f t="array" ref="AQ49">IF(PART_NUMBER_GENERATOR_TABLE[[#This Row],[Work Role]:[Work Role]]&lt;&gt;AQ$1,0,
IF(PART_NUMBER_GENERATOR_TABLE[[#This Row],[Work Type]:[Work Type]]&lt;&gt;"BH",0,
SUMIFS(AQ$24,$AM$24,PART_NUMBER_GENERATOR_TABLE[[#This Row],[Tech]:[Tech]])))</f>
        <v>0</v>
      </c>
      <c r="AR49" cm="1">
        <f t="array" ref="AR49">IF(PART_NUMBER_GENERATOR_TABLE[[#This Row],[Work Role]:[Work Role]]&lt;&gt;AR$1,0,
IF(PART_NUMBER_GENERATOR_TABLE[[#This Row],[Work Type]:[Work Type]]&lt;&gt;"BH",0,
SUMIFS(AR$24,$AM$24,PART_NUMBER_GENERATOR_TABLE[[#This Row],[Tech]:[Tech]])))</f>
        <v>0</v>
      </c>
      <c r="AS49" cm="1">
        <f t="array" ref="AS49">IF(PART_NUMBER_GENERATOR_TABLE[[#This Row],[Work Role]:[Work Role]]&lt;&gt;AS$1,0,
IF(PART_NUMBER_GENERATOR_TABLE[[#This Row],[Work Type]:[Work Type]]&lt;&gt;"BH",0,
SUMIFS(AS$24,$AM$24,PART_NUMBER_GENERATOR_TABLE[[#This Row],[Tech]:[Tech]])))</f>
        <v>0</v>
      </c>
      <c r="AT49" cm="1">
        <f t="array" ref="AT49">IF(PART_NUMBER_GENERATOR_TABLE[[#This Row],[Work Role]:[Work Role]]&lt;&gt;AS$1,0,
IF(PART_NUMBER_GENERATOR_TABLE[[#This Row],[Work Type]:[Work Type]]&lt;&gt;"BH",0,
SUMIFS(AT$24,$AM$24,PART_NUMBER_GENERATOR_TABLE[[#This Row],[Tech]:[Tech]])))</f>
        <v>0</v>
      </c>
      <c r="AU49">
        <f>SUM(PART_NUMBER_GENERATOR_TABLE[[#This Row],[Resource 1 BH]:[Resource 5 AH]],PART_NUMBER_GENERATOR_TABLE[[#This Row],[R1 Mandatory Tasks]:[R5 Mandatory Tasks]],PART_NUMBER_GENERATOR_TABLE[[#This Row],[R1 Remainder]:[R5 Remainder]])</f>
        <v>0</v>
      </c>
      <c r="AV49">
        <f>PART_NUMBER_GENERATOR_TABLE[[#This Row],[Professional Engineering Hours]]*PART_NUMBER_GENERATOR_TABLE[[#This Row],[Sell Rate]]</f>
        <v>0</v>
      </c>
      <c r="AW49">
        <f>PART_NUMBER_GENERATOR_TABLE[[#This Row],[Professional Engineering Hours]]*PART_NUMBER_GENERATOR_TABLE[[#This Row],[Cost Rate]]</f>
        <v>0</v>
      </c>
      <c r="AX49">
        <f>SUM(PART_NUMBER_GENERATOR_TABLE[[#This Row],[PM Trips]:[R5 Trips]])</f>
        <v>0</v>
      </c>
      <c r="AY49">
        <f>PART_NUMBER_GENERATOR_TABLE[[#This Row],[Travel &amp; Accommodation Hours]]*PART_NUMBER_GENERATOR_TABLE[[#This Row],[Sell Rate]]</f>
        <v>0</v>
      </c>
      <c r="AZ49">
        <f>PART_NUMBER_GENERATOR_TABLE[[#This Row],[Travel &amp; Accommodation Hours]]*PART_NUMBER_GENERATOR_TABLE[[#This Row],[Cost Rate]]</f>
        <v>0</v>
      </c>
      <c r="BA49">
        <f>PART_NUMBER_GENERATOR_TABLE[[#This Row],[PM Hours]]+PART_NUMBER_GENERATOR_TABLE[[#This Row],[PM Remainder]]</f>
        <v>0</v>
      </c>
      <c r="BB49">
        <f>PART_NUMBER_GENERATOR_TABLE[[#This Row],[Project Management Hours]]*PART_NUMBER_GENERATOR_TABLE[[#This Row],[Sell Rate]]</f>
        <v>0</v>
      </c>
      <c r="BC49">
        <f>PART_NUMBER_GENERATOR_TABLE[[#This Row],[Project Management Hours]]*PART_NUMBER_GENERATOR_TABLE[[#This Row],[Cost Rate]]</f>
        <v>0</v>
      </c>
      <c r="BD49">
        <f>SUM(PART_NUMBER_GENERATOR_TABLE[[#This Row],[SSE RISK BH]:[PM RISK]],PART_NUMBER_GENERATOR_TABLE[[#This Row],[SSE Remainder RISK BH]:[PM Remainder RISK]])</f>
        <v>0</v>
      </c>
      <c r="BE49">
        <f>PART_NUMBER_GENERATOR_TABLE[[#This Row],[Project Risk Service Hours]]*PART_NUMBER_GENERATOR_TABLE[[#This Row],[Sell Rate]]</f>
        <v>0</v>
      </c>
      <c r="BF49">
        <f>PART_NUMBER_GENERATOR_TABLE[[#This Row],[Project Risk Service Hours]]*PART_NUMBER_GENERATOR_TABLE[[#This Row],[Cost Rate]]</f>
        <v>0</v>
      </c>
      <c r="BG49">
        <f>PART_NUMBER_GENERATOR_TABLE[[#This Row],[SSE RISK TRAVEL]]</f>
        <v>0</v>
      </c>
      <c r="BH49">
        <f>PART_NUMBER_GENERATOR_TABLE[[#This Row],[Sell Rate]]*PART_NUMBER_GENERATOR_TABLE[[#This Row],[Project Risk Travel Hours]]</f>
        <v>0</v>
      </c>
      <c r="BI49">
        <f>PART_NUMBER_GENERATOR_TABLE[[#This Row],[Project Risk Travel Hours]]*PART_NUMBER_GENERATOR_TABLE[[#This Row],[Cost Rate]]</f>
        <v>0</v>
      </c>
      <c r="BJ4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4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49">
        <f>IFERROR(-VLOOKUP(INDEX(ENGINEER_ROLES,MATCH(PART_NUMBER_GENERATOR_TABLE[[#This Row],[Work Role]],settings.Table_Engineer.Roles[ID],0),1),Settings_Hidden!$H$359:$K$366,4,FALSE),0)</f>
        <v>0</v>
      </c>
      <c r="BM49" s="680">
        <f>-Summary!$C$66</f>
        <v>0</v>
      </c>
      <c r="BN49" s="465">
        <f>PART_NUMBER_GENERATOR_TABLE[[#This Row],[Total Base Price]]*MIN(PART_NUMBER_GENERATOR_TABLE[[#This Row],[Rate Service Discount]:[Flat Service Discount]])</f>
        <v>0</v>
      </c>
      <c r="BO49" s="451" t="str">
        <f>IF(PART_NUMBER_GENERATOR_TABLE[[#This Row],[Quantity]]&lt;&gt;0,MAX($BO$30:BO48)+1,"")</f>
        <v/>
      </c>
      <c r="BP49" t="str">
        <f>PART_NUMBER_GENERATOR_TABLE[[#This Row],[Part Number]]</f>
        <v>A-PS-P-DATACC-PM-AH</v>
      </c>
      <c r="BQ49">
        <f>PART_NUMBER_GENERATOR_TABLE[[#This Row],[Total Hours]]</f>
        <v>0</v>
      </c>
      <c r="BR49">
        <f>PART_NUMBER_GENERATOR_TABLE[[#This Row],[Cost Rate]]</f>
        <v>221.33704686655341</v>
      </c>
      <c r="BS49" s="465">
        <f>PART_NUMBER_GENERATOR_TABLE[[#This Row],[Sell Rate]]+(PART_NUMBER_GENERATOR_TABLE[[#This Row],[Sell Rate]]*MIN(PART_NUMBER_GENERATOR_TABLE[[#This Row],[Rate Service Discount]:[Flat Service Discount]]))</f>
        <v>337.5</v>
      </c>
    </row>
    <row r="50" spans="1:71">
      <c r="A50">
        <v>20</v>
      </c>
      <c r="C50" t="s">
        <v>924</v>
      </c>
      <c r="D50" t="str" cm="1">
        <f t="array" ref="D50">INDEX(Table.Settings_Skill.List[Skill Name],MATCH(INDEX(_xlfn.TEXTSPLIT(C50,"-",,TRUE),4),Table.Settings_Skill.List[Skill Code],0),1)</f>
        <v>Data Centre / Cloud</v>
      </c>
      <c r="E50" t="str" cm="1">
        <f t="array" ref="E50">INDEX(_xlfn.TEXTSPLIT(C50,"-",,TRUE),5)</f>
        <v>SPM</v>
      </c>
      <c r="F50" t="str">
        <f>IFERROR(INDEX(settings.Table_Engineer.Roles[Department Code],MATCH(PART_NUMBER_GENERATOR_TABLE[[#This Row],[Work Role]],settings.Table_Engineer.Roles[ID],0),1),"PMO")</f>
        <v>PMO</v>
      </c>
      <c r="G50" t="str" cm="1">
        <f t="array" ref="G50">INDEX(_xlfn.TEXTSPLIT(C50,"-",,TRUE),6)</f>
        <v>AH</v>
      </c>
      <c r="H5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388.5</v>
      </c>
      <c r="I5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267.81014450091658</v>
      </c>
      <c r="J50" cm="1">
        <f t="array" ref="J50">IF(J$1&lt;&gt;PART_NUMBER_GENERATOR_TABLE[[#This Row],[Work Role]:[Work Role]],0,
IF(RIGHT(J$30,2)&lt;&gt;PART_NUMBER_GENERATOR_TABLE[[#This Row],[Work Type]:[Work Type]],0,
SUMIFS(Input_Tasks[R1 Business Hours],Input_Tasks[[Skill Required]:[Skill Required]],PART_NUMBER_GENERATOR_TABLE[[#This Row],[Tech]:[Tech]])))</f>
        <v>0</v>
      </c>
      <c r="K50" cm="1">
        <f t="array" ref="K50">IF(K$1&lt;&gt;PART_NUMBER_GENERATOR_TABLE[[#This Row],[Work Role]:[Work Role]],0,
IF(RIGHT(K$30,2)&lt;&gt;PART_NUMBER_GENERATOR_TABLE[[#This Row],[Work Type]:[Work Type]],0,
SUMIFS(Input_Tasks[R1 After Hours],Input_Tasks[[Skill Required]:[Skill Required]],PART_NUMBER_GENERATOR_TABLE[[#This Row],[Tech]:[Tech]])))</f>
        <v>0</v>
      </c>
      <c r="L50" cm="1">
        <f t="array" ref="L50">IF(L$1&lt;&gt;PART_NUMBER_GENERATOR_TABLE[[#This Row],[Work Role]:[Work Role]],0,
IF(RIGHT(L$30,2)&lt;&gt;PART_NUMBER_GENERATOR_TABLE[[#This Row],[Work Type]:[Work Type]],0,
SUMIFS(Input_Tasks[R2 Business Hours],Input_Tasks[[Skill Required]:[Skill Required]],PART_NUMBER_GENERATOR_TABLE[[#This Row],[Tech]:[Tech]])))</f>
        <v>0</v>
      </c>
      <c r="M50" cm="1">
        <f t="array" ref="M50">IF(M$1&lt;&gt;PART_NUMBER_GENERATOR_TABLE[[#This Row],[Work Role]:[Work Role]],0,
IF(RIGHT(M$30,2)&lt;&gt;PART_NUMBER_GENERATOR_TABLE[[#This Row],[Work Type]:[Work Type]],0,
SUMIFS(Input_Tasks[R2 After Hours],Input_Tasks[[Skill Required]:[Skill Required]],PART_NUMBER_GENERATOR_TABLE[[#This Row],[Tech]:[Tech]])))</f>
        <v>0</v>
      </c>
      <c r="N50" cm="1">
        <f t="array" ref="N50">IF(N$1&lt;&gt;PART_NUMBER_GENERATOR_TABLE[[#This Row],[Work Role]:[Work Role]],0,
IF(RIGHT(N$30,2)&lt;&gt;PART_NUMBER_GENERATOR_TABLE[[#This Row],[Work Type]:[Work Type]],0,
SUMIFS(Input_Tasks[R3 Business Hours],Input_Tasks[[Skill Required]:[Skill Required]],PART_NUMBER_GENERATOR_TABLE[[#This Row],[Tech]:[Tech]])))</f>
        <v>0</v>
      </c>
      <c r="O50" cm="1">
        <f t="array" ref="O50">IF(O$1&lt;&gt;PART_NUMBER_GENERATOR_TABLE[[#This Row],[Work Role]:[Work Role]],0,
IF(RIGHT(O$30,2)&lt;&gt;PART_NUMBER_GENERATOR_TABLE[[#This Row],[Work Type]:[Work Type]],0,
SUMIFS(Input_Tasks[R3 After Hours],Input_Tasks[[Skill Required]:[Skill Required]],PART_NUMBER_GENERATOR_TABLE[[#This Row],[Tech]:[Tech]])))</f>
        <v>0</v>
      </c>
      <c r="P50" cm="1">
        <f t="array" ref="P50">IF(P$1&lt;&gt;PART_NUMBER_GENERATOR_TABLE[[#This Row],[Work Role]:[Work Role]],0,
IF(RIGHT(P$30,2)&lt;&gt;PART_NUMBER_GENERATOR_TABLE[[#This Row],[Work Type]:[Work Type]],0,
SUMIFS(Input_Tasks[R4 Business Hours],Input_Tasks[[Skill Required]:[Skill Required]],PART_NUMBER_GENERATOR_TABLE[[#This Row],[Tech]:[Tech]])))</f>
        <v>0</v>
      </c>
      <c r="Q50" cm="1">
        <f t="array" ref="Q50">IF(Q$1&lt;&gt;PART_NUMBER_GENERATOR_TABLE[[#This Row],[Work Role]:[Work Role]],0,
IF(RIGHT(Q$30,2)&lt;&gt;PART_NUMBER_GENERATOR_TABLE[[#This Row],[Work Type]:[Work Type]],0,
SUMIFS(Input_Tasks[R4 After Hours],Input_Tasks[[Skill Required]:[Skill Required]],PART_NUMBER_GENERATOR_TABLE[[#This Row],[Tech]:[Tech]])))</f>
        <v>0</v>
      </c>
      <c r="R50" cm="1">
        <f t="array" ref="R50">IF(R$1&lt;&gt;PART_NUMBER_GENERATOR_TABLE[[#This Row],[Work Role]:[Work Role]],0,
IF(RIGHT(R$30,2)&lt;&gt;PART_NUMBER_GENERATOR_TABLE[[#This Row],[Work Type]:[Work Type]],0,
SUMIFS(Input_Tasks[R5 Business Hours],Input_Tasks[[Skill Required]:[Skill Required]],PART_NUMBER_GENERATOR_TABLE[[#This Row],[Tech]:[Tech]])))</f>
        <v>0</v>
      </c>
      <c r="S50" cm="1">
        <f t="array" ref="S50">IF(S$1&lt;&gt;PART_NUMBER_GENERATOR_TABLE[[#This Row],[Work Role]:[Work Role]],0,
IF(RIGHT(S$30,2)&lt;&gt;PART_NUMBER_GENERATOR_TABLE[[#This Row],[Work Type]:[Work Type]],0,
SUMIFS(Input_Tasks[R5 After Hours],Input_Tasks[[Skill Required]:[Skill Required]],PART_NUMBER_GENERATOR_TABLE[[#This Row],[Tech]:[Tech]])))</f>
        <v>0</v>
      </c>
      <c r="T50" cm="1">
        <f t="array" ref="T50">IF(PART_NUMBER_GENERATOR_TABLE[[#This Row],[Work Role]:[Work Role]]&lt;&gt;T$1,0,
IF(PART_NUMBER_GENERATOR_TABLE[[#This Row],[Work Type]:[Work Type]]&lt;&gt;"BH",0,
SUMIFS(T$9:T$24,$M$9:$M$24,PART_NUMBER_GENERATOR_TABLE[[#This Row],[Tech]:[Tech]])))</f>
        <v>0</v>
      </c>
      <c r="U50" cm="1">
        <f t="array" ref="U50">IF(PART_NUMBER_GENERATOR_TABLE[[#This Row],[Work Role]:[Work Role]]&lt;&gt;U$1,0,
IF(PART_NUMBER_GENERATOR_TABLE[[#This Row],[Work Type]:[Work Type]]&lt;&gt;"BH",0,
SUMIFS(U$9:U$24,$M$9:$M$24,PART_NUMBER_GENERATOR_TABLE[[#This Row],[Tech]:[Tech]])))</f>
        <v>0</v>
      </c>
      <c r="V50" cm="1">
        <f t="array" ref="V50">IF(PART_NUMBER_GENERATOR_TABLE[[#This Row],[Work Role]:[Work Role]]&lt;&gt;V$1,0,
IF(PART_NUMBER_GENERATOR_TABLE[[#This Row],[Work Type]:[Work Type]]&lt;&gt;"BH",0,
SUMIFS(V$9:V$24,$M$9:$M$24,PART_NUMBER_GENERATOR_TABLE[[#This Row],[Tech]:[Tech]])))</f>
        <v>0</v>
      </c>
      <c r="W50" cm="1">
        <f t="array" ref="W50">IF(PART_NUMBER_GENERATOR_TABLE[[#This Row],[Work Role]:[Work Role]]&lt;&gt;W$1,0,
IF(PART_NUMBER_GENERATOR_TABLE[[#This Row],[Work Type]:[Work Type]]&lt;&gt;"BH",0,
SUMIFS(W$9:W$24,$M$9:$M$24,PART_NUMBER_GENERATOR_TABLE[[#This Row],[Tech]:[Tech]])))</f>
        <v>0</v>
      </c>
      <c r="X50" cm="1">
        <f t="array" ref="X50">IF(PART_NUMBER_GENERATOR_TABLE[[#This Row],[Work Role]:[Work Role]]&lt;&gt;X$1,0,
IF(PART_NUMBER_GENERATOR_TABLE[[#This Row],[Work Type]:[Work Type]]&lt;&gt;"BH",0,
SUMIFS(X$9:X$24,$M$9:$M$24,PART_NUMBER_GENERATOR_TABLE[[#This Row],[Tech]:[Tech]])))</f>
        <v>0</v>
      </c>
      <c r="Y50" cm="1">
        <f t="array" ref="Y50">IF(PART_NUMBER_GENERATOR_TABLE[[#This Row],[Work Role]:[Work Role]]&lt;&gt;Y$1,0,
IF(PART_NUMBER_GENERATOR_TABLE[[#This Row],[Work Type]:[Work Type]]&lt;&gt;"BH",0,
SUMIFS(Y$9:Y$24,$M$9:$M$24,PART_NUMBER_GENERATOR_TABLE[[#This Row],[Tech]:[Tech]])))</f>
        <v>0</v>
      </c>
      <c r="Z50" cm="1">
        <f t="array" ref="Z50">IF(PART_NUMBER_GENERATOR_TABLE[[#This Row],[Work Role]:[Work Role]]&lt;&gt;Z$1,0,
IF(PART_NUMBER_GENERATOR_TABLE[[#This Row],[Work Type]:[Work Type]]&lt;&gt;"BH",0,
SUMIFS(Z$9:Z$24,$M$9:$M$24,PART_NUMBER_GENERATOR_TABLE[[#This Row],[Tech]:[Tech]])))</f>
        <v>0</v>
      </c>
      <c r="AA50" cm="1">
        <f t="array" ref="AA50">IF(PART_NUMBER_GENERATOR_TABLE[[#This Row],[Work Role]:[Work Role]]&lt;&gt;AA$1,0,
IF(PART_NUMBER_GENERATOR_TABLE[[#This Row],[Work Type]:[Work Type]]&lt;&gt;"BH",0,
SUMIFS(AA$9:AA$24,$M$9:$M$24,PART_NUMBER_GENERATOR_TABLE[[#This Row],[Tech]:[Tech]])))</f>
        <v>0</v>
      </c>
      <c r="AB50" cm="1">
        <f t="array" ref="AB50">IF(PART_NUMBER_GENERATOR_TABLE[[#This Row],[Work Role]:[Work Role]]&lt;&gt;AB$1,0,
IF(PART_NUMBER_GENERATOR_TABLE[[#This Row],[Work Type]:[Work Type]]&lt;&gt;"BH",0,
SUMIFS(AB$9:AB$24,$M$9:$M$24,PART_NUMBER_GENERATOR_TABLE[[#This Row],[Tech]:[Tech]])))</f>
        <v>0</v>
      </c>
      <c r="AC50" cm="1">
        <f t="array" ref="AC50">IF(PART_NUMBER_GENERATOR_TABLE[[#This Row],[Work Role]:[Work Role]]&lt;&gt;AC$1,0,
IF(PART_NUMBER_GENERATOR_TABLE[[#This Row],[Work Type]:[Work Type]]&lt;&gt;"BH",0,
SUMIFS(AC$9:AC$24,$M$9:$M$24,PART_NUMBER_GENERATOR_TABLE[[#This Row],[Tech]:[Tech]])))</f>
        <v>0</v>
      </c>
      <c r="AD50" cm="1">
        <f t="array" ref="AD50">IF(PART_NUMBER_GENERATOR_TABLE[[#This Row],[Work Role]:[Work Role]]&lt;&gt;AD$1,0,
IF(PART_NUMBER_GENERATOR_TABLE[[#This Row],[Work Type]:[Work Type]]&lt;&gt;"BH",0,
SUMIFS(AD$9:AD$24,$M$9:$M$24,PART_NUMBER_GENERATOR_TABLE[[#This Row],[Tech]:[Tech]])))</f>
        <v>0</v>
      </c>
      <c r="AE50" cm="1">
        <f t="array" ref="AE50">IF(PART_NUMBER_GENERATOR_TABLE[[#This Row],[Work Role]:[Work Role]]&lt;&gt;AE$1,0,
IF(PART_NUMBER_GENERATOR_TABLE[[#This Row],[Work Type]:[Work Type]]&lt;&gt;"BH",0,
SUMIFS(AE$9:AE$24,$M$9:$M$24,PART_NUMBER_GENERATOR_TABLE[[#This Row],[Tech]:[Tech]])))</f>
        <v>0</v>
      </c>
      <c r="AF50" cm="1">
        <f t="array" ref="AF50">IF(PART_NUMBER_GENERATOR_TABLE[[#This Row],[Work Role]:[Work Role]]&lt;&gt;AF$1,0,
IF(PART_NUMBER_GENERATOR_TABLE[[#This Row],[Work Type]:[Work Type]]&lt;&gt;"BH",0,
SUMIFS(AF$9:AF$24,$M$9:$M$24,PART_NUMBER_GENERATOR_TABLE[[#This Row],[Tech]:[Tech]])))</f>
        <v>0</v>
      </c>
      <c r="AG50" cm="1">
        <f t="array" ref="AG50">IF(PART_NUMBER_GENERATOR_TABLE[[#This Row],[Work Role]:[Work Role]]&lt;&gt;AG$1,0,
IF(PART_NUMBER_GENERATOR_TABLE[[#This Row],[Work Type]:[Work Type]]&lt;&gt;"AH",0,
SUMIFS(AG$9:AG$24,$M$9:$M$24,PART_NUMBER_GENERATOR_TABLE[[#This Row],[Tech]:[Tech]])))</f>
        <v>0</v>
      </c>
      <c r="AH50" cm="1">
        <f t="array" ref="AH50">IF(PART_NUMBER_GENERATOR_TABLE[[#This Row],[Work Role]:[Work Role]]&lt;&gt;AH$1,0,
IF(PART_NUMBER_GENERATOR_TABLE[[#This Row],[Work Type]:[Work Type]]&lt;&gt;"BH",0,
SUMIFS(AH$9:AH$24,$M$9:$M$24,PART_NUMBER_GENERATOR_TABLE[[#This Row],[Tech]:[Tech]])))</f>
        <v>0</v>
      </c>
      <c r="AI50" cm="1">
        <f t="array" ref="AI50">IF(PART_NUMBER_GENERATOR_TABLE[[#This Row],[Work Role]:[Work Role]]&lt;&gt;AI$1,0,
IF(PART_NUMBER_GENERATOR_TABLE[[#This Row],[Work Type]:[Work Type]]&lt;&gt;"BH",0,
SUMIFS(AI$9:AI$24,$M$9:$M$24,PART_NUMBER_GENERATOR_TABLE[[#This Row],[Tech]:[Tech]])))</f>
        <v>0</v>
      </c>
      <c r="AJ50" cm="1">
        <f t="array" ref="AJ50">IF(PART_NUMBER_GENERATOR_TABLE[[#This Row],[Work Role]:[Work Role]]&lt;&gt;AJ$1,0,
IF(PART_NUMBER_GENERATOR_TABLE[[#This Row],[Work Type]:[Work Type]]&lt;&gt;"BH",0,
SUMIFS(AJ$9:AJ$24,$M$9:$M$24,PART_NUMBER_GENERATOR_TABLE[[#This Row],[Tech]:[Tech]])))</f>
        <v>0</v>
      </c>
      <c r="AK50" cm="1">
        <f t="array" ref="AK50">IF(PART_NUMBER_GENERATOR_TABLE[[#This Row],[Work Role]:[Work Role]]&lt;&gt;AK$1,0,
IF(PART_NUMBER_GENERATOR_TABLE[[#This Row],[Work Type]:[Work Type]]&lt;&gt;"AH",0,
SUMIFS(AK$9:AK$24,$M$9:$M$24,PART_NUMBER_GENERATOR_TABLE[[#This Row],[Tech]:[Tech]])))</f>
        <v>0</v>
      </c>
      <c r="AL50" cm="1">
        <f t="array" ref="AL50">IF(PART_NUMBER_GENERATOR_TABLE[[#This Row],[Work Role]:[Work Role]]&lt;&gt;AL$1,0,
IF(PART_NUMBER_GENERATOR_TABLE[[#This Row],[Work Type]:[Work Type]]&lt;&gt;"BH",0,
SUMIFS(AL$9:AL$24,$M$9:$M$24,PART_NUMBER_GENERATOR_TABLE[[#This Row],[Tech]:[Tech]])))</f>
        <v>0</v>
      </c>
      <c r="AM50">
        <f>0</f>
        <v>0</v>
      </c>
      <c r="AN50" cm="1">
        <f t="array" ref="AN50">IF(PART_NUMBER_GENERATOR_TABLE[[#This Row],[Work Role]:[Work Role]]&lt;&gt;AN$1,0,
IF(PART_NUMBER_GENERATOR_TABLE[[#This Row],[Work Type]:[Work Type]]&lt;&gt;"BH",0,
SUMIFS(AN$24,$AM$24,PART_NUMBER_GENERATOR_TABLE[[#This Row],[Tech]:[Tech]])))</f>
        <v>0</v>
      </c>
      <c r="AO50" cm="1">
        <f t="array" ref="AO50">IF(PART_NUMBER_GENERATOR_TABLE[[#This Row],[Work Role]:[Work Role]]&lt;&gt;AO$1,0,
IF(PART_NUMBER_GENERATOR_TABLE[[#This Row],[Work Type]:[Work Type]]&lt;&gt;"BH",0,
SUMIFS(AO$24,$AM$24,PART_NUMBER_GENERATOR_TABLE[[#This Row],[Tech]:[Tech]])))</f>
        <v>0</v>
      </c>
      <c r="AP50" cm="1">
        <f t="array" ref="AP50">IF(PART_NUMBER_GENERATOR_TABLE[[#This Row],[Work Role]:[Work Role]]&lt;&gt;AP$1,0,
IF(PART_NUMBER_GENERATOR_TABLE[[#This Row],[Work Type]:[Work Type]]&lt;&gt;"BH",0,
SUMIFS(AP$24,$AM$24,PART_NUMBER_GENERATOR_TABLE[[#This Row],[Tech]:[Tech]])))</f>
        <v>0</v>
      </c>
      <c r="AQ50" cm="1">
        <f t="array" ref="AQ50">IF(PART_NUMBER_GENERATOR_TABLE[[#This Row],[Work Role]:[Work Role]]&lt;&gt;AQ$1,0,
IF(PART_NUMBER_GENERATOR_TABLE[[#This Row],[Work Type]:[Work Type]]&lt;&gt;"BH",0,
SUMIFS(AQ$24,$AM$24,PART_NUMBER_GENERATOR_TABLE[[#This Row],[Tech]:[Tech]])))</f>
        <v>0</v>
      </c>
      <c r="AR50" cm="1">
        <f t="array" ref="AR50">IF(PART_NUMBER_GENERATOR_TABLE[[#This Row],[Work Role]:[Work Role]]&lt;&gt;AR$1,0,
IF(PART_NUMBER_GENERATOR_TABLE[[#This Row],[Work Type]:[Work Type]]&lt;&gt;"BH",0,
SUMIFS(AR$24,$AM$24,PART_NUMBER_GENERATOR_TABLE[[#This Row],[Tech]:[Tech]])))</f>
        <v>0</v>
      </c>
      <c r="AS50" cm="1">
        <f t="array" ref="AS50">IF(PART_NUMBER_GENERATOR_TABLE[[#This Row],[Work Role]:[Work Role]]&lt;&gt;AS$1,0,
IF(PART_NUMBER_GENERATOR_TABLE[[#This Row],[Work Type]:[Work Type]]&lt;&gt;"BH",0,
SUMIFS(AS$24,$AM$24,PART_NUMBER_GENERATOR_TABLE[[#This Row],[Tech]:[Tech]])))</f>
        <v>0</v>
      </c>
      <c r="AT50" cm="1">
        <f t="array" ref="AT50">IF(PART_NUMBER_GENERATOR_TABLE[[#This Row],[Work Role]:[Work Role]]&lt;&gt;AS$1,0,
IF(PART_NUMBER_GENERATOR_TABLE[[#This Row],[Work Type]:[Work Type]]&lt;&gt;"BH",0,
SUMIFS(AT$24,$AM$24,PART_NUMBER_GENERATOR_TABLE[[#This Row],[Tech]:[Tech]])))</f>
        <v>0</v>
      </c>
      <c r="AU50">
        <f>SUM(PART_NUMBER_GENERATOR_TABLE[[#This Row],[Resource 1 BH]:[Resource 5 AH]],PART_NUMBER_GENERATOR_TABLE[[#This Row],[R1 Mandatory Tasks]:[R5 Mandatory Tasks]],PART_NUMBER_GENERATOR_TABLE[[#This Row],[R1 Remainder]:[R5 Remainder]])</f>
        <v>0</v>
      </c>
      <c r="AV50">
        <f>PART_NUMBER_GENERATOR_TABLE[[#This Row],[Professional Engineering Hours]]*PART_NUMBER_GENERATOR_TABLE[[#This Row],[Sell Rate]]</f>
        <v>0</v>
      </c>
      <c r="AW50">
        <f>PART_NUMBER_GENERATOR_TABLE[[#This Row],[Professional Engineering Hours]]*PART_NUMBER_GENERATOR_TABLE[[#This Row],[Cost Rate]]</f>
        <v>0</v>
      </c>
      <c r="AX50">
        <f>SUM(PART_NUMBER_GENERATOR_TABLE[[#This Row],[PM Trips]:[R5 Trips]])</f>
        <v>0</v>
      </c>
      <c r="AY50">
        <f>PART_NUMBER_GENERATOR_TABLE[[#This Row],[Travel &amp; Accommodation Hours]]*PART_NUMBER_GENERATOR_TABLE[[#This Row],[Sell Rate]]</f>
        <v>0</v>
      </c>
      <c r="AZ50">
        <f>PART_NUMBER_GENERATOR_TABLE[[#This Row],[Travel &amp; Accommodation Hours]]*PART_NUMBER_GENERATOR_TABLE[[#This Row],[Cost Rate]]</f>
        <v>0</v>
      </c>
      <c r="BA50">
        <f>PART_NUMBER_GENERATOR_TABLE[[#This Row],[PM Hours]]+PART_NUMBER_GENERATOR_TABLE[[#This Row],[PM Remainder]]</f>
        <v>0</v>
      </c>
      <c r="BB50">
        <f>PART_NUMBER_GENERATOR_TABLE[[#This Row],[Project Management Hours]]*PART_NUMBER_GENERATOR_TABLE[[#This Row],[Sell Rate]]</f>
        <v>0</v>
      </c>
      <c r="BC50">
        <f>PART_NUMBER_GENERATOR_TABLE[[#This Row],[Project Management Hours]]*PART_NUMBER_GENERATOR_TABLE[[#This Row],[Cost Rate]]</f>
        <v>0</v>
      </c>
      <c r="BD50">
        <f>SUM(PART_NUMBER_GENERATOR_TABLE[[#This Row],[SSE RISK BH]:[PM RISK]],PART_NUMBER_GENERATOR_TABLE[[#This Row],[SSE Remainder RISK BH]:[PM Remainder RISK]])</f>
        <v>0</v>
      </c>
      <c r="BE50">
        <f>PART_NUMBER_GENERATOR_TABLE[[#This Row],[Project Risk Service Hours]]*PART_NUMBER_GENERATOR_TABLE[[#This Row],[Sell Rate]]</f>
        <v>0</v>
      </c>
      <c r="BF50">
        <f>PART_NUMBER_GENERATOR_TABLE[[#This Row],[Project Risk Service Hours]]*PART_NUMBER_GENERATOR_TABLE[[#This Row],[Cost Rate]]</f>
        <v>0</v>
      </c>
      <c r="BG50">
        <f>PART_NUMBER_GENERATOR_TABLE[[#This Row],[SSE RISK TRAVEL]]</f>
        <v>0</v>
      </c>
      <c r="BH50">
        <f>PART_NUMBER_GENERATOR_TABLE[[#This Row],[Sell Rate]]*PART_NUMBER_GENERATOR_TABLE[[#This Row],[Project Risk Travel Hours]]</f>
        <v>0</v>
      </c>
      <c r="BI50">
        <f>PART_NUMBER_GENERATOR_TABLE[[#This Row],[Project Risk Travel Hours]]*PART_NUMBER_GENERATOR_TABLE[[#This Row],[Cost Rate]]</f>
        <v>0</v>
      </c>
      <c r="BJ5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5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50">
        <f>IFERROR(-VLOOKUP(INDEX(ENGINEER_ROLES,MATCH(PART_NUMBER_GENERATOR_TABLE[[#This Row],[Work Role]],settings.Table_Engineer.Roles[ID],0),1),Settings_Hidden!$H$359:$K$366,4,FALSE),0)</f>
        <v>0</v>
      </c>
      <c r="BM50" s="680">
        <f>-Summary!$C$66</f>
        <v>0</v>
      </c>
      <c r="BN50" s="465">
        <f>PART_NUMBER_GENERATOR_TABLE[[#This Row],[Total Base Price]]*MIN(PART_NUMBER_GENERATOR_TABLE[[#This Row],[Rate Service Discount]:[Flat Service Discount]])</f>
        <v>0</v>
      </c>
      <c r="BO50" s="451" t="str">
        <f>IF(PART_NUMBER_GENERATOR_TABLE[[#This Row],[Quantity]]&lt;&gt;0,MAX($BO$30:BO49)+1,"")</f>
        <v/>
      </c>
      <c r="BP50" t="str">
        <f>PART_NUMBER_GENERATOR_TABLE[[#This Row],[Part Number]]</f>
        <v>A-PS-P-DATACC-SPM-AH</v>
      </c>
      <c r="BQ50">
        <f>PART_NUMBER_GENERATOR_TABLE[[#This Row],[Total Hours]]</f>
        <v>0</v>
      </c>
      <c r="BR50">
        <f>PART_NUMBER_GENERATOR_TABLE[[#This Row],[Cost Rate]]</f>
        <v>267.81014450091658</v>
      </c>
      <c r="BS50" s="465">
        <f>PART_NUMBER_GENERATOR_TABLE[[#This Row],[Sell Rate]]+(PART_NUMBER_GENERATOR_TABLE[[#This Row],[Sell Rate]]*MIN(PART_NUMBER_GENERATOR_TABLE[[#This Row],[Rate Service Discount]:[Flat Service Discount]]))</f>
        <v>388.5</v>
      </c>
    </row>
    <row r="51" spans="1:71">
      <c r="A51">
        <v>21</v>
      </c>
      <c r="C51" t="s">
        <v>942</v>
      </c>
      <c r="D51" t="str" cm="1">
        <f t="array" ref="D51">INDEX(Table.Settings_Skill.List[Skill Name],MATCH(INDEX(_xlfn.TEXTSPLIT(C51,"-",,TRUE),4),Table.Settings_Skill.List[Skill Code],0),1)</f>
        <v>Integrated Health</v>
      </c>
      <c r="E51" t="str" cm="1">
        <f t="array" ref="E51">INDEX(_xlfn.TEXTSPLIT(C51,"-",,TRUE),5)</f>
        <v>PM</v>
      </c>
      <c r="F51" t="str">
        <f>IFERROR(INDEX(settings.Table_Engineer.Roles[Department Code],MATCH(PART_NUMBER_GENERATOR_TABLE[[#This Row],[Work Role]],settings.Table_Engineer.Roles[ID],0),1),"PMO")</f>
        <v>PMO</v>
      </c>
      <c r="G51" t="str" cm="1">
        <f t="array" ref="G51">INDEX(_xlfn.TEXTSPLIT(C51,"-",,TRUE),6)</f>
        <v>AH</v>
      </c>
      <c r="H5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337.5</v>
      </c>
      <c r="I5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221.33704686655341</v>
      </c>
      <c r="J51" cm="1">
        <f t="array" ref="J51">IF(J$1&lt;&gt;PART_NUMBER_GENERATOR_TABLE[[#This Row],[Work Role]:[Work Role]],0,
IF(RIGHT(J$30,2)&lt;&gt;PART_NUMBER_GENERATOR_TABLE[[#This Row],[Work Type]:[Work Type]],0,
SUMIFS(Input_Tasks[R1 Business Hours],Input_Tasks[[Skill Required]:[Skill Required]],PART_NUMBER_GENERATOR_TABLE[[#This Row],[Tech]:[Tech]])))</f>
        <v>0</v>
      </c>
      <c r="K51" cm="1">
        <f t="array" ref="K51">IF(K$1&lt;&gt;PART_NUMBER_GENERATOR_TABLE[[#This Row],[Work Role]:[Work Role]],0,
IF(RIGHT(K$30,2)&lt;&gt;PART_NUMBER_GENERATOR_TABLE[[#This Row],[Work Type]:[Work Type]],0,
SUMIFS(Input_Tasks[R1 After Hours],Input_Tasks[[Skill Required]:[Skill Required]],PART_NUMBER_GENERATOR_TABLE[[#This Row],[Tech]:[Tech]])))</f>
        <v>0</v>
      </c>
      <c r="L51" cm="1">
        <f t="array" ref="L51">IF(L$1&lt;&gt;PART_NUMBER_GENERATOR_TABLE[[#This Row],[Work Role]:[Work Role]],0,
IF(RIGHT(L$30,2)&lt;&gt;PART_NUMBER_GENERATOR_TABLE[[#This Row],[Work Type]:[Work Type]],0,
SUMIFS(Input_Tasks[R2 Business Hours],Input_Tasks[[Skill Required]:[Skill Required]],PART_NUMBER_GENERATOR_TABLE[[#This Row],[Tech]:[Tech]])))</f>
        <v>0</v>
      </c>
      <c r="M51" cm="1">
        <f t="array" ref="M51">IF(M$1&lt;&gt;PART_NUMBER_GENERATOR_TABLE[[#This Row],[Work Role]:[Work Role]],0,
IF(RIGHT(M$30,2)&lt;&gt;PART_NUMBER_GENERATOR_TABLE[[#This Row],[Work Type]:[Work Type]],0,
SUMIFS(Input_Tasks[R2 After Hours],Input_Tasks[[Skill Required]:[Skill Required]],PART_NUMBER_GENERATOR_TABLE[[#This Row],[Tech]:[Tech]])))</f>
        <v>0</v>
      </c>
      <c r="N51" cm="1">
        <f t="array" ref="N51">IF(N$1&lt;&gt;PART_NUMBER_GENERATOR_TABLE[[#This Row],[Work Role]:[Work Role]],0,
IF(RIGHT(N$30,2)&lt;&gt;PART_NUMBER_GENERATOR_TABLE[[#This Row],[Work Type]:[Work Type]],0,
SUMIFS(Input_Tasks[R3 Business Hours],Input_Tasks[[Skill Required]:[Skill Required]],PART_NUMBER_GENERATOR_TABLE[[#This Row],[Tech]:[Tech]])))</f>
        <v>0</v>
      </c>
      <c r="O51" cm="1">
        <f t="array" ref="O51">IF(O$1&lt;&gt;PART_NUMBER_GENERATOR_TABLE[[#This Row],[Work Role]:[Work Role]],0,
IF(RIGHT(O$30,2)&lt;&gt;PART_NUMBER_GENERATOR_TABLE[[#This Row],[Work Type]:[Work Type]],0,
SUMIFS(Input_Tasks[R3 After Hours],Input_Tasks[[Skill Required]:[Skill Required]],PART_NUMBER_GENERATOR_TABLE[[#This Row],[Tech]:[Tech]])))</f>
        <v>0</v>
      </c>
      <c r="P51" cm="1">
        <f t="array" ref="P51">IF(P$1&lt;&gt;PART_NUMBER_GENERATOR_TABLE[[#This Row],[Work Role]:[Work Role]],0,
IF(RIGHT(P$30,2)&lt;&gt;PART_NUMBER_GENERATOR_TABLE[[#This Row],[Work Type]:[Work Type]],0,
SUMIFS(Input_Tasks[R4 Business Hours],Input_Tasks[[Skill Required]:[Skill Required]],PART_NUMBER_GENERATOR_TABLE[[#This Row],[Tech]:[Tech]])))</f>
        <v>0</v>
      </c>
      <c r="Q51" cm="1">
        <f t="array" ref="Q51">IF(Q$1&lt;&gt;PART_NUMBER_GENERATOR_TABLE[[#This Row],[Work Role]:[Work Role]],0,
IF(RIGHT(Q$30,2)&lt;&gt;PART_NUMBER_GENERATOR_TABLE[[#This Row],[Work Type]:[Work Type]],0,
SUMIFS(Input_Tasks[R4 After Hours],Input_Tasks[[Skill Required]:[Skill Required]],PART_NUMBER_GENERATOR_TABLE[[#This Row],[Tech]:[Tech]])))</f>
        <v>0</v>
      </c>
      <c r="R51" cm="1">
        <f t="array" ref="R51">IF(R$1&lt;&gt;PART_NUMBER_GENERATOR_TABLE[[#This Row],[Work Role]:[Work Role]],0,
IF(RIGHT(R$30,2)&lt;&gt;PART_NUMBER_GENERATOR_TABLE[[#This Row],[Work Type]:[Work Type]],0,
SUMIFS(Input_Tasks[R5 Business Hours],Input_Tasks[[Skill Required]:[Skill Required]],PART_NUMBER_GENERATOR_TABLE[[#This Row],[Tech]:[Tech]])))</f>
        <v>0</v>
      </c>
      <c r="S51" cm="1">
        <f t="array" ref="S51">IF(S$1&lt;&gt;PART_NUMBER_GENERATOR_TABLE[[#This Row],[Work Role]:[Work Role]],0,
IF(RIGHT(S$30,2)&lt;&gt;PART_NUMBER_GENERATOR_TABLE[[#This Row],[Work Type]:[Work Type]],0,
SUMIFS(Input_Tasks[R5 After Hours],Input_Tasks[[Skill Required]:[Skill Required]],PART_NUMBER_GENERATOR_TABLE[[#This Row],[Tech]:[Tech]])))</f>
        <v>0</v>
      </c>
      <c r="T51" cm="1">
        <f t="array" ref="T51">IF(PART_NUMBER_GENERATOR_TABLE[[#This Row],[Work Role]:[Work Role]]&lt;&gt;T$1,0,
IF(PART_NUMBER_GENERATOR_TABLE[[#This Row],[Work Type]:[Work Type]]&lt;&gt;"BH",0,
SUMIFS(T$9:T$24,$M$9:$M$24,PART_NUMBER_GENERATOR_TABLE[[#This Row],[Tech]:[Tech]])))</f>
        <v>0</v>
      </c>
      <c r="U51" cm="1">
        <f t="array" ref="U51">IF(PART_NUMBER_GENERATOR_TABLE[[#This Row],[Work Role]:[Work Role]]&lt;&gt;U$1,0,
IF(PART_NUMBER_GENERATOR_TABLE[[#This Row],[Work Type]:[Work Type]]&lt;&gt;"BH",0,
SUMIFS(U$9:U$24,$M$9:$M$24,PART_NUMBER_GENERATOR_TABLE[[#This Row],[Tech]:[Tech]])))</f>
        <v>0</v>
      </c>
      <c r="V51" cm="1">
        <f t="array" ref="V51">IF(PART_NUMBER_GENERATOR_TABLE[[#This Row],[Work Role]:[Work Role]]&lt;&gt;V$1,0,
IF(PART_NUMBER_GENERATOR_TABLE[[#This Row],[Work Type]:[Work Type]]&lt;&gt;"BH",0,
SUMIFS(V$9:V$24,$M$9:$M$24,PART_NUMBER_GENERATOR_TABLE[[#This Row],[Tech]:[Tech]])))</f>
        <v>0</v>
      </c>
      <c r="W51" cm="1">
        <f t="array" ref="W51">IF(PART_NUMBER_GENERATOR_TABLE[[#This Row],[Work Role]:[Work Role]]&lt;&gt;W$1,0,
IF(PART_NUMBER_GENERATOR_TABLE[[#This Row],[Work Type]:[Work Type]]&lt;&gt;"BH",0,
SUMIFS(W$9:W$24,$M$9:$M$24,PART_NUMBER_GENERATOR_TABLE[[#This Row],[Tech]:[Tech]])))</f>
        <v>0</v>
      </c>
      <c r="X51" cm="1">
        <f t="array" ref="X51">IF(PART_NUMBER_GENERATOR_TABLE[[#This Row],[Work Role]:[Work Role]]&lt;&gt;X$1,0,
IF(PART_NUMBER_GENERATOR_TABLE[[#This Row],[Work Type]:[Work Type]]&lt;&gt;"BH",0,
SUMIFS(X$9:X$24,$M$9:$M$24,PART_NUMBER_GENERATOR_TABLE[[#This Row],[Tech]:[Tech]])))</f>
        <v>0</v>
      </c>
      <c r="Y51" cm="1">
        <f t="array" ref="Y51">IF(PART_NUMBER_GENERATOR_TABLE[[#This Row],[Work Role]:[Work Role]]&lt;&gt;Y$1,0,
IF(PART_NUMBER_GENERATOR_TABLE[[#This Row],[Work Type]:[Work Type]]&lt;&gt;"BH",0,
SUMIFS(Y$9:Y$24,$M$9:$M$24,PART_NUMBER_GENERATOR_TABLE[[#This Row],[Tech]:[Tech]])))</f>
        <v>0</v>
      </c>
      <c r="Z51" cm="1">
        <f t="array" ref="Z51">IF(PART_NUMBER_GENERATOR_TABLE[[#This Row],[Work Role]:[Work Role]]&lt;&gt;Z$1,0,
IF(PART_NUMBER_GENERATOR_TABLE[[#This Row],[Work Type]:[Work Type]]&lt;&gt;"BH",0,
SUMIFS(Z$9:Z$24,$M$9:$M$24,PART_NUMBER_GENERATOR_TABLE[[#This Row],[Tech]:[Tech]])))</f>
        <v>0</v>
      </c>
      <c r="AA51" cm="1">
        <f t="array" ref="AA51">IF(PART_NUMBER_GENERATOR_TABLE[[#This Row],[Work Role]:[Work Role]]&lt;&gt;AA$1,0,
IF(PART_NUMBER_GENERATOR_TABLE[[#This Row],[Work Type]:[Work Type]]&lt;&gt;"BH",0,
SUMIFS(AA$9:AA$24,$M$9:$M$24,PART_NUMBER_GENERATOR_TABLE[[#This Row],[Tech]:[Tech]])))</f>
        <v>0</v>
      </c>
      <c r="AB51" cm="1">
        <f t="array" ref="AB51">IF(PART_NUMBER_GENERATOR_TABLE[[#This Row],[Work Role]:[Work Role]]&lt;&gt;AB$1,0,
IF(PART_NUMBER_GENERATOR_TABLE[[#This Row],[Work Type]:[Work Type]]&lt;&gt;"BH",0,
SUMIFS(AB$9:AB$24,$M$9:$M$24,PART_NUMBER_GENERATOR_TABLE[[#This Row],[Tech]:[Tech]])))</f>
        <v>0</v>
      </c>
      <c r="AC51" cm="1">
        <f t="array" ref="AC51">IF(PART_NUMBER_GENERATOR_TABLE[[#This Row],[Work Role]:[Work Role]]&lt;&gt;AC$1,0,
IF(PART_NUMBER_GENERATOR_TABLE[[#This Row],[Work Type]:[Work Type]]&lt;&gt;"BH",0,
SUMIFS(AC$9:AC$24,$M$9:$M$24,PART_NUMBER_GENERATOR_TABLE[[#This Row],[Tech]:[Tech]])))</f>
        <v>0</v>
      </c>
      <c r="AD51" cm="1">
        <f t="array" ref="AD51">IF(PART_NUMBER_GENERATOR_TABLE[[#This Row],[Work Role]:[Work Role]]&lt;&gt;AD$1,0,
IF(PART_NUMBER_GENERATOR_TABLE[[#This Row],[Work Type]:[Work Type]]&lt;&gt;"BH",0,
SUMIFS(AD$9:AD$24,$M$9:$M$24,PART_NUMBER_GENERATOR_TABLE[[#This Row],[Tech]:[Tech]])))</f>
        <v>0</v>
      </c>
      <c r="AE51" cm="1">
        <f t="array" ref="AE51">IF(PART_NUMBER_GENERATOR_TABLE[[#This Row],[Work Role]:[Work Role]]&lt;&gt;AE$1,0,
IF(PART_NUMBER_GENERATOR_TABLE[[#This Row],[Work Type]:[Work Type]]&lt;&gt;"BH",0,
SUMIFS(AE$9:AE$24,$M$9:$M$24,PART_NUMBER_GENERATOR_TABLE[[#This Row],[Tech]:[Tech]])))</f>
        <v>0</v>
      </c>
      <c r="AF51" cm="1">
        <f t="array" ref="AF51">IF(PART_NUMBER_GENERATOR_TABLE[[#This Row],[Work Role]:[Work Role]]&lt;&gt;AF$1,0,
IF(PART_NUMBER_GENERATOR_TABLE[[#This Row],[Work Type]:[Work Type]]&lt;&gt;"BH",0,
SUMIFS(AF$9:AF$24,$M$9:$M$24,PART_NUMBER_GENERATOR_TABLE[[#This Row],[Tech]:[Tech]])))</f>
        <v>0</v>
      </c>
      <c r="AG51" cm="1">
        <f t="array" ref="AG51">IF(PART_NUMBER_GENERATOR_TABLE[[#This Row],[Work Role]:[Work Role]]&lt;&gt;AG$1,0,
IF(PART_NUMBER_GENERATOR_TABLE[[#This Row],[Work Type]:[Work Type]]&lt;&gt;"AH",0,
SUMIFS(AG$9:AG$24,$M$9:$M$24,PART_NUMBER_GENERATOR_TABLE[[#This Row],[Tech]:[Tech]])))</f>
        <v>0</v>
      </c>
      <c r="AH51" cm="1">
        <f t="array" ref="AH51">IF(PART_NUMBER_GENERATOR_TABLE[[#This Row],[Work Role]:[Work Role]]&lt;&gt;AH$1,0,
IF(PART_NUMBER_GENERATOR_TABLE[[#This Row],[Work Type]:[Work Type]]&lt;&gt;"BH",0,
SUMIFS(AH$9:AH$24,$M$9:$M$24,PART_NUMBER_GENERATOR_TABLE[[#This Row],[Tech]:[Tech]])))</f>
        <v>0</v>
      </c>
      <c r="AI51" cm="1">
        <f t="array" ref="AI51">IF(PART_NUMBER_GENERATOR_TABLE[[#This Row],[Work Role]:[Work Role]]&lt;&gt;AI$1,0,
IF(PART_NUMBER_GENERATOR_TABLE[[#This Row],[Work Type]:[Work Type]]&lt;&gt;"BH",0,
SUMIFS(AI$9:AI$24,$M$9:$M$24,PART_NUMBER_GENERATOR_TABLE[[#This Row],[Tech]:[Tech]])))</f>
        <v>0</v>
      </c>
      <c r="AJ51" cm="1">
        <f t="array" ref="AJ51">IF(PART_NUMBER_GENERATOR_TABLE[[#This Row],[Work Role]:[Work Role]]&lt;&gt;AJ$1,0,
IF(PART_NUMBER_GENERATOR_TABLE[[#This Row],[Work Type]:[Work Type]]&lt;&gt;"BH",0,
SUMIFS(AJ$9:AJ$24,$M$9:$M$24,PART_NUMBER_GENERATOR_TABLE[[#This Row],[Tech]:[Tech]])))</f>
        <v>0</v>
      </c>
      <c r="AK51" cm="1">
        <f t="array" ref="AK51">IF(PART_NUMBER_GENERATOR_TABLE[[#This Row],[Work Role]:[Work Role]]&lt;&gt;AK$1,0,
IF(PART_NUMBER_GENERATOR_TABLE[[#This Row],[Work Type]:[Work Type]]&lt;&gt;"AH",0,
SUMIFS(AK$9:AK$24,$M$9:$M$24,PART_NUMBER_GENERATOR_TABLE[[#This Row],[Tech]:[Tech]])))</f>
        <v>0</v>
      </c>
      <c r="AL51" cm="1">
        <f t="array" ref="AL51">IF(PART_NUMBER_GENERATOR_TABLE[[#This Row],[Work Role]:[Work Role]]&lt;&gt;AL$1,0,
IF(PART_NUMBER_GENERATOR_TABLE[[#This Row],[Work Type]:[Work Type]]&lt;&gt;"BH",0,
SUMIFS(AL$9:AL$24,$M$9:$M$24,PART_NUMBER_GENERATOR_TABLE[[#This Row],[Tech]:[Tech]])))</f>
        <v>0</v>
      </c>
      <c r="AM51">
        <f>0</f>
        <v>0</v>
      </c>
      <c r="AN51" cm="1">
        <f t="array" ref="AN51">IF(PART_NUMBER_GENERATOR_TABLE[[#This Row],[Work Role]:[Work Role]]&lt;&gt;AN$1,0,
IF(PART_NUMBER_GENERATOR_TABLE[[#This Row],[Work Type]:[Work Type]]&lt;&gt;"BH",0,
SUMIFS(AN$24,$AM$24,PART_NUMBER_GENERATOR_TABLE[[#This Row],[Tech]:[Tech]])))</f>
        <v>0</v>
      </c>
      <c r="AO51" cm="1">
        <f t="array" ref="AO51">IF(PART_NUMBER_GENERATOR_TABLE[[#This Row],[Work Role]:[Work Role]]&lt;&gt;AO$1,0,
IF(PART_NUMBER_GENERATOR_TABLE[[#This Row],[Work Type]:[Work Type]]&lt;&gt;"BH",0,
SUMIFS(AO$24,$AM$24,PART_NUMBER_GENERATOR_TABLE[[#This Row],[Tech]:[Tech]])))</f>
        <v>0</v>
      </c>
      <c r="AP51" cm="1">
        <f t="array" ref="AP51">IF(PART_NUMBER_GENERATOR_TABLE[[#This Row],[Work Role]:[Work Role]]&lt;&gt;AP$1,0,
IF(PART_NUMBER_GENERATOR_TABLE[[#This Row],[Work Type]:[Work Type]]&lt;&gt;"BH",0,
SUMIFS(AP$24,$AM$24,PART_NUMBER_GENERATOR_TABLE[[#This Row],[Tech]:[Tech]])))</f>
        <v>0</v>
      </c>
      <c r="AQ51" cm="1">
        <f t="array" ref="AQ51">IF(PART_NUMBER_GENERATOR_TABLE[[#This Row],[Work Role]:[Work Role]]&lt;&gt;AQ$1,0,
IF(PART_NUMBER_GENERATOR_TABLE[[#This Row],[Work Type]:[Work Type]]&lt;&gt;"BH",0,
SUMIFS(AQ$24,$AM$24,PART_NUMBER_GENERATOR_TABLE[[#This Row],[Tech]:[Tech]])))</f>
        <v>0</v>
      </c>
      <c r="AR51" cm="1">
        <f t="array" ref="AR51">IF(PART_NUMBER_GENERATOR_TABLE[[#This Row],[Work Role]:[Work Role]]&lt;&gt;AR$1,0,
IF(PART_NUMBER_GENERATOR_TABLE[[#This Row],[Work Type]:[Work Type]]&lt;&gt;"BH",0,
SUMIFS(AR$24,$AM$24,PART_NUMBER_GENERATOR_TABLE[[#This Row],[Tech]:[Tech]])))</f>
        <v>0</v>
      </c>
      <c r="AS51" cm="1">
        <f t="array" ref="AS51">IF(PART_NUMBER_GENERATOR_TABLE[[#This Row],[Work Role]:[Work Role]]&lt;&gt;AS$1,0,
IF(PART_NUMBER_GENERATOR_TABLE[[#This Row],[Work Type]:[Work Type]]&lt;&gt;"BH",0,
SUMIFS(AS$24,$AM$24,PART_NUMBER_GENERATOR_TABLE[[#This Row],[Tech]:[Tech]])))</f>
        <v>0</v>
      </c>
      <c r="AT51" cm="1">
        <f t="array" ref="AT51">IF(PART_NUMBER_GENERATOR_TABLE[[#This Row],[Work Role]:[Work Role]]&lt;&gt;AS$1,0,
IF(PART_NUMBER_GENERATOR_TABLE[[#This Row],[Work Type]:[Work Type]]&lt;&gt;"BH",0,
SUMIFS(AT$24,$AM$24,PART_NUMBER_GENERATOR_TABLE[[#This Row],[Tech]:[Tech]])))</f>
        <v>0</v>
      </c>
      <c r="AU51">
        <f>SUM(PART_NUMBER_GENERATOR_TABLE[[#This Row],[Resource 1 BH]:[Resource 5 AH]],PART_NUMBER_GENERATOR_TABLE[[#This Row],[R1 Mandatory Tasks]:[R5 Mandatory Tasks]],PART_NUMBER_GENERATOR_TABLE[[#This Row],[R1 Remainder]:[R5 Remainder]])</f>
        <v>0</v>
      </c>
      <c r="AV51">
        <f>PART_NUMBER_GENERATOR_TABLE[[#This Row],[Professional Engineering Hours]]*PART_NUMBER_GENERATOR_TABLE[[#This Row],[Sell Rate]]</f>
        <v>0</v>
      </c>
      <c r="AW51">
        <f>PART_NUMBER_GENERATOR_TABLE[[#This Row],[Professional Engineering Hours]]*PART_NUMBER_GENERATOR_TABLE[[#This Row],[Cost Rate]]</f>
        <v>0</v>
      </c>
      <c r="AX51">
        <f>SUM(PART_NUMBER_GENERATOR_TABLE[[#This Row],[PM Trips]:[R5 Trips]])</f>
        <v>0</v>
      </c>
      <c r="AY51">
        <f>PART_NUMBER_GENERATOR_TABLE[[#This Row],[Travel &amp; Accommodation Hours]]*PART_NUMBER_GENERATOR_TABLE[[#This Row],[Sell Rate]]</f>
        <v>0</v>
      </c>
      <c r="AZ51">
        <f>PART_NUMBER_GENERATOR_TABLE[[#This Row],[Travel &amp; Accommodation Hours]]*PART_NUMBER_GENERATOR_TABLE[[#This Row],[Cost Rate]]</f>
        <v>0</v>
      </c>
      <c r="BA51">
        <f>PART_NUMBER_GENERATOR_TABLE[[#This Row],[PM Hours]]+PART_NUMBER_GENERATOR_TABLE[[#This Row],[PM Remainder]]</f>
        <v>0</v>
      </c>
      <c r="BB51">
        <f>PART_NUMBER_GENERATOR_TABLE[[#This Row],[Project Management Hours]]*PART_NUMBER_GENERATOR_TABLE[[#This Row],[Sell Rate]]</f>
        <v>0</v>
      </c>
      <c r="BC51">
        <f>PART_NUMBER_GENERATOR_TABLE[[#This Row],[Project Management Hours]]*PART_NUMBER_GENERATOR_TABLE[[#This Row],[Cost Rate]]</f>
        <v>0</v>
      </c>
      <c r="BD51">
        <f>SUM(PART_NUMBER_GENERATOR_TABLE[[#This Row],[SSE RISK BH]:[PM RISK]],PART_NUMBER_GENERATOR_TABLE[[#This Row],[SSE Remainder RISK BH]:[PM Remainder RISK]])</f>
        <v>0</v>
      </c>
      <c r="BE51">
        <f>PART_NUMBER_GENERATOR_TABLE[[#This Row],[Project Risk Service Hours]]*PART_NUMBER_GENERATOR_TABLE[[#This Row],[Sell Rate]]</f>
        <v>0</v>
      </c>
      <c r="BF51">
        <f>PART_NUMBER_GENERATOR_TABLE[[#This Row],[Project Risk Service Hours]]*PART_NUMBER_GENERATOR_TABLE[[#This Row],[Cost Rate]]</f>
        <v>0</v>
      </c>
      <c r="BG51">
        <f>PART_NUMBER_GENERATOR_TABLE[[#This Row],[SSE RISK TRAVEL]]</f>
        <v>0</v>
      </c>
      <c r="BH51">
        <f>PART_NUMBER_GENERATOR_TABLE[[#This Row],[Sell Rate]]*PART_NUMBER_GENERATOR_TABLE[[#This Row],[Project Risk Travel Hours]]</f>
        <v>0</v>
      </c>
      <c r="BI51">
        <f>PART_NUMBER_GENERATOR_TABLE[[#This Row],[Project Risk Travel Hours]]*PART_NUMBER_GENERATOR_TABLE[[#This Row],[Cost Rate]]</f>
        <v>0</v>
      </c>
      <c r="BJ5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5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51">
        <f>IFERROR(-VLOOKUP(INDEX(ENGINEER_ROLES,MATCH(PART_NUMBER_GENERATOR_TABLE[[#This Row],[Work Role]],settings.Table_Engineer.Roles[ID],0),1),Settings_Hidden!$H$359:$K$366,4,FALSE),0)</f>
        <v>0</v>
      </c>
      <c r="BM51" s="680">
        <f>-Summary!$C$66</f>
        <v>0</v>
      </c>
      <c r="BN51" s="465">
        <f>PART_NUMBER_GENERATOR_TABLE[[#This Row],[Total Base Price]]*MIN(PART_NUMBER_GENERATOR_TABLE[[#This Row],[Rate Service Discount]:[Flat Service Discount]])</f>
        <v>0</v>
      </c>
      <c r="BO51" s="451" t="str">
        <f>IF(PART_NUMBER_GENERATOR_TABLE[[#This Row],[Quantity]]&lt;&gt;0,MAX($BO$30:BO50)+1,"")</f>
        <v/>
      </c>
      <c r="BP51" t="str">
        <f>PART_NUMBER_GENERATOR_TABLE[[#This Row],[Part Number]]</f>
        <v>A-PS-P-INTHLT-PM-AH</v>
      </c>
      <c r="BQ51">
        <f>PART_NUMBER_GENERATOR_TABLE[[#This Row],[Total Hours]]</f>
        <v>0</v>
      </c>
      <c r="BR51">
        <f>PART_NUMBER_GENERATOR_TABLE[[#This Row],[Cost Rate]]</f>
        <v>221.33704686655341</v>
      </c>
      <c r="BS51" s="465">
        <f>PART_NUMBER_GENERATOR_TABLE[[#This Row],[Sell Rate]]+(PART_NUMBER_GENERATOR_TABLE[[#This Row],[Sell Rate]]*MIN(PART_NUMBER_GENERATOR_TABLE[[#This Row],[Rate Service Discount]:[Flat Service Discount]]))</f>
        <v>337.5</v>
      </c>
    </row>
    <row r="52" spans="1:71">
      <c r="A52">
        <v>22</v>
      </c>
      <c r="C52" t="s">
        <v>950</v>
      </c>
      <c r="D52" t="str" cm="1">
        <f t="array" ref="D52">INDEX(Table.Settings_Skill.List[Skill Name],MATCH(INDEX(_xlfn.TEXTSPLIT(C52,"-",,TRUE),4),Table.Settings_Skill.List[Skill Code],0),1)</f>
        <v>Integrated Health</v>
      </c>
      <c r="E52" t="str" cm="1">
        <f t="array" ref="E52">INDEX(_xlfn.TEXTSPLIT(C52,"-",,TRUE),5)</f>
        <v>SPM</v>
      </c>
      <c r="F52" t="str">
        <f>IFERROR(INDEX(settings.Table_Engineer.Roles[Department Code],MATCH(PART_NUMBER_GENERATOR_TABLE[[#This Row],[Work Role]],settings.Table_Engineer.Roles[ID],0),1),"PMO")</f>
        <v>PMO</v>
      </c>
      <c r="G52" t="str" cm="1">
        <f t="array" ref="G52">INDEX(_xlfn.TEXTSPLIT(C52,"-",,TRUE),6)</f>
        <v>AH</v>
      </c>
      <c r="H5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388.5</v>
      </c>
      <c r="I5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267.81014450091658</v>
      </c>
      <c r="J52" cm="1">
        <f t="array" ref="J52">IF(J$1&lt;&gt;PART_NUMBER_GENERATOR_TABLE[[#This Row],[Work Role]:[Work Role]],0,
IF(RIGHT(J$30,2)&lt;&gt;PART_NUMBER_GENERATOR_TABLE[[#This Row],[Work Type]:[Work Type]],0,
SUMIFS(Input_Tasks[R1 Business Hours],Input_Tasks[[Skill Required]:[Skill Required]],PART_NUMBER_GENERATOR_TABLE[[#This Row],[Tech]:[Tech]])))</f>
        <v>0</v>
      </c>
      <c r="K52" cm="1">
        <f t="array" ref="K52">IF(K$1&lt;&gt;PART_NUMBER_GENERATOR_TABLE[[#This Row],[Work Role]:[Work Role]],0,
IF(RIGHT(K$30,2)&lt;&gt;PART_NUMBER_GENERATOR_TABLE[[#This Row],[Work Type]:[Work Type]],0,
SUMIFS(Input_Tasks[R1 After Hours],Input_Tasks[[Skill Required]:[Skill Required]],PART_NUMBER_GENERATOR_TABLE[[#This Row],[Tech]:[Tech]])))</f>
        <v>0</v>
      </c>
      <c r="L52" cm="1">
        <f t="array" ref="L52">IF(L$1&lt;&gt;PART_NUMBER_GENERATOR_TABLE[[#This Row],[Work Role]:[Work Role]],0,
IF(RIGHT(L$30,2)&lt;&gt;PART_NUMBER_GENERATOR_TABLE[[#This Row],[Work Type]:[Work Type]],0,
SUMIFS(Input_Tasks[R2 Business Hours],Input_Tasks[[Skill Required]:[Skill Required]],PART_NUMBER_GENERATOR_TABLE[[#This Row],[Tech]:[Tech]])))</f>
        <v>0</v>
      </c>
      <c r="M52" cm="1">
        <f t="array" ref="M52">IF(M$1&lt;&gt;PART_NUMBER_GENERATOR_TABLE[[#This Row],[Work Role]:[Work Role]],0,
IF(RIGHT(M$30,2)&lt;&gt;PART_NUMBER_GENERATOR_TABLE[[#This Row],[Work Type]:[Work Type]],0,
SUMIFS(Input_Tasks[R2 After Hours],Input_Tasks[[Skill Required]:[Skill Required]],PART_NUMBER_GENERATOR_TABLE[[#This Row],[Tech]:[Tech]])))</f>
        <v>0</v>
      </c>
      <c r="N52" cm="1">
        <f t="array" ref="N52">IF(N$1&lt;&gt;PART_NUMBER_GENERATOR_TABLE[[#This Row],[Work Role]:[Work Role]],0,
IF(RIGHT(N$30,2)&lt;&gt;PART_NUMBER_GENERATOR_TABLE[[#This Row],[Work Type]:[Work Type]],0,
SUMIFS(Input_Tasks[R3 Business Hours],Input_Tasks[[Skill Required]:[Skill Required]],PART_NUMBER_GENERATOR_TABLE[[#This Row],[Tech]:[Tech]])))</f>
        <v>0</v>
      </c>
      <c r="O52" cm="1">
        <f t="array" ref="O52">IF(O$1&lt;&gt;PART_NUMBER_GENERATOR_TABLE[[#This Row],[Work Role]:[Work Role]],0,
IF(RIGHT(O$30,2)&lt;&gt;PART_NUMBER_GENERATOR_TABLE[[#This Row],[Work Type]:[Work Type]],0,
SUMIFS(Input_Tasks[R3 After Hours],Input_Tasks[[Skill Required]:[Skill Required]],PART_NUMBER_GENERATOR_TABLE[[#This Row],[Tech]:[Tech]])))</f>
        <v>0</v>
      </c>
      <c r="P52" cm="1">
        <f t="array" ref="P52">IF(P$1&lt;&gt;PART_NUMBER_GENERATOR_TABLE[[#This Row],[Work Role]:[Work Role]],0,
IF(RIGHT(P$30,2)&lt;&gt;PART_NUMBER_GENERATOR_TABLE[[#This Row],[Work Type]:[Work Type]],0,
SUMIFS(Input_Tasks[R4 Business Hours],Input_Tasks[[Skill Required]:[Skill Required]],PART_NUMBER_GENERATOR_TABLE[[#This Row],[Tech]:[Tech]])))</f>
        <v>0</v>
      </c>
      <c r="Q52" cm="1">
        <f t="array" ref="Q52">IF(Q$1&lt;&gt;PART_NUMBER_GENERATOR_TABLE[[#This Row],[Work Role]:[Work Role]],0,
IF(RIGHT(Q$30,2)&lt;&gt;PART_NUMBER_GENERATOR_TABLE[[#This Row],[Work Type]:[Work Type]],0,
SUMIFS(Input_Tasks[R4 After Hours],Input_Tasks[[Skill Required]:[Skill Required]],PART_NUMBER_GENERATOR_TABLE[[#This Row],[Tech]:[Tech]])))</f>
        <v>0</v>
      </c>
      <c r="R52" cm="1">
        <f t="array" ref="R52">IF(R$1&lt;&gt;PART_NUMBER_GENERATOR_TABLE[[#This Row],[Work Role]:[Work Role]],0,
IF(RIGHT(R$30,2)&lt;&gt;PART_NUMBER_GENERATOR_TABLE[[#This Row],[Work Type]:[Work Type]],0,
SUMIFS(Input_Tasks[R5 Business Hours],Input_Tasks[[Skill Required]:[Skill Required]],PART_NUMBER_GENERATOR_TABLE[[#This Row],[Tech]:[Tech]])))</f>
        <v>0</v>
      </c>
      <c r="S52" cm="1">
        <f t="array" ref="S52">IF(S$1&lt;&gt;PART_NUMBER_GENERATOR_TABLE[[#This Row],[Work Role]:[Work Role]],0,
IF(RIGHT(S$30,2)&lt;&gt;PART_NUMBER_GENERATOR_TABLE[[#This Row],[Work Type]:[Work Type]],0,
SUMIFS(Input_Tasks[R5 After Hours],Input_Tasks[[Skill Required]:[Skill Required]],PART_NUMBER_GENERATOR_TABLE[[#This Row],[Tech]:[Tech]])))</f>
        <v>0</v>
      </c>
      <c r="T52" cm="1">
        <f t="array" ref="T52">IF(PART_NUMBER_GENERATOR_TABLE[[#This Row],[Work Role]:[Work Role]]&lt;&gt;T$1,0,
IF(PART_NUMBER_GENERATOR_TABLE[[#This Row],[Work Type]:[Work Type]]&lt;&gt;"BH",0,
SUMIFS(T$9:T$24,$M$9:$M$24,PART_NUMBER_GENERATOR_TABLE[[#This Row],[Tech]:[Tech]])))</f>
        <v>0</v>
      </c>
      <c r="U52" cm="1">
        <f t="array" ref="U52">IF(PART_NUMBER_GENERATOR_TABLE[[#This Row],[Work Role]:[Work Role]]&lt;&gt;U$1,0,
IF(PART_NUMBER_GENERATOR_TABLE[[#This Row],[Work Type]:[Work Type]]&lt;&gt;"BH",0,
SUMIFS(U$9:U$24,$M$9:$M$24,PART_NUMBER_GENERATOR_TABLE[[#This Row],[Tech]:[Tech]])))</f>
        <v>0</v>
      </c>
      <c r="V52" cm="1">
        <f t="array" ref="V52">IF(PART_NUMBER_GENERATOR_TABLE[[#This Row],[Work Role]:[Work Role]]&lt;&gt;V$1,0,
IF(PART_NUMBER_GENERATOR_TABLE[[#This Row],[Work Type]:[Work Type]]&lt;&gt;"BH",0,
SUMIFS(V$9:V$24,$M$9:$M$24,PART_NUMBER_GENERATOR_TABLE[[#This Row],[Tech]:[Tech]])))</f>
        <v>0</v>
      </c>
      <c r="W52" cm="1">
        <f t="array" ref="W52">IF(PART_NUMBER_GENERATOR_TABLE[[#This Row],[Work Role]:[Work Role]]&lt;&gt;W$1,0,
IF(PART_NUMBER_GENERATOR_TABLE[[#This Row],[Work Type]:[Work Type]]&lt;&gt;"BH",0,
SUMIFS(W$9:W$24,$M$9:$M$24,PART_NUMBER_GENERATOR_TABLE[[#This Row],[Tech]:[Tech]])))</f>
        <v>0</v>
      </c>
      <c r="X52" cm="1">
        <f t="array" ref="X52">IF(PART_NUMBER_GENERATOR_TABLE[[#This Row],[Work Role]:[Work Role]]&lt;&gt;X$1,0,
IF(PART_NUMBER_GENERATOR_TABLE[[#This Row],[Work Type]:[Work Type]]&lt;&gt;"BH",0,
SUMIFS(X$9:X$24,$M$9:$M$24,PART_NUMBER_GENERATOR_TABLE[[#This Row],[Tech]:[Tech]])))</f>
        <v>0</v>
      </c>
      <c r="Y52" cm="1">
        <f t="array" ref="Y52">IF(PART_NUMBER_GENERATOR_TABLE[[#This Row],[Work Role]:[Work Role]]&lt;&gt;Y$1,0,
IF(PART_NUMBER_GENERATOR_TABLE[[#This Row],[Work Type]:[Work Type]]&lt;&gt;"BH",0,
SUMIFS(Y$9:Y$24,$M$9:$M$24,PART_NUMBER_GENERATOR_TABLE[[#This Row],[Tech]:[Tech]])))</f>
        <v>0</v>
      </c>
      <c r="Z52" cm="1">
        <f t="array" ref="Z52">IF(PART_NUMBER_GENERATOR_TABLE[[#This Row],[Work Role]:[Work Role]]&lt;&gt;Z$1,0,
IF(PART_NUMBER_GENERATOR_TABLE[[#This Row],[Work Type]:[Work Type]]&lt;&gt;"BH",0,
SUMIFS(Z$9:Z$24,$M$9:$M$24,PART_NUMBER_GENERATOR_TABLE[[#This Row],[Tech]:[Tech]])))</f>
        <v>0</v>
      </c>
      <c r="AA52" cm="1">
        <f t="array" ref="AA52">IF(PART_NUMBER_GENERATOR_TABLE[[#This Row],[Work Role]:[Work Role]]&lt;&gt;AA$1,0,
IF(PART_NUMBER_GENERATOR_TABLE[[#This Row],[Work Type]:[Work Type]]&lt;&gt;"BH",0,
SUMIFS(AA$9:AA$24,$M$9:$M$24,PART_NUMBER_GENERATOR_TABLE[[#This Row],[Tech]:[Tech]])))</f>
        <v>0</v>
      </c>
      <c r="AB52" cm="1">
        <f t="array" ref="AB52">IF(PART_NUMBER_GENERATOR_TABLE[[#This Row],[Work Role]:[Work Role]]&lt;&gt;AB$1,0,
IF(PART_NUMBER_GENERATOR_TABLE[[#This Row],[Work Type]:[Work Type]]&lt;&gt;"BH",0,
SUMIFS(AB$9:AB$24,$M$9:$M$24,PART_NUMBER_GENERATOR_TABLE[[#This Row],[Tech]:[Tech]])))</f>
        <v>0</v>
      </c>
      <c r="AC52" cm="1">
        <f t="array" ref="AC52">IF(PART_NUMBER_GENERATOR_TABLE[[#This Row],[Work Role]:[Work Role]]&lt;&gt;AC$1,0,
IF(PART_NUMBER_GENERATOR_TABLE[[#This Row],[Work Type]:[Work Type]]&lt;&gt;"BH",0,
SUMIFS(AC$9:AC$24,$M$9:$M$24,PART_NUMBER_GENERATOR_TABLE[[#This Row],[Tech]:[Tech]])))</f>
        <v>0</v>
      </c>
      <c r="AD52" cm="1">
        <f t="array" ref="AD52">IF(PART_NUMBER_GENERATOR_TABLE[[#This Row],[Work Role]:[Work Role]]&lt;&gt;AD$1,0,
IF(PART_NUMBER_GENERATOR_TABLE[[#This Row],[Work Type]:[Work Type]]&lt;&gt;"BH",0,
SUMIFS(AD$9:AD$24,$M$9:$M$24,PART_NUMBER_GENERATOR_TABLE[[#This Row],[Tech]:[Tech]])))</f>
        <v>0</v>
      </c>
      <c r="AE52" cm="1">
        <f t="array" ref="AE52">IF(PART_NUMBER_GENERATOR_TABLE[[#This Row],[Work Role]:[Work Role]]&lt;&gt;AE$1,0,
IF(PART_NUMBER_GENERATOR_TABLE[[#This Row],[Work Type]:[Work Type]]&lt;&gt;"BH",0,
SUMIFS(AE$9:AE$24,$M$9:$M$24,PART_NUMBER_GENERATOR_TABLE[[#This Row],[Tech]:[Tech]])))</f>
        <v>0</v>
      </c>
      <c r="AF52" cm="1">
        <f t="array" ref="AF52">IF(PART_NUMBER_GENERATOR_TABLE[[#This Row],[Work Role]:[Work Role]]&lt;&gt;AF$1,0,
IF(PART_NUMBER_GENERATOR_TABLE[[#This Row],[Work Type]:[Work Type]]&lt;&gt;"BH",0,
SUMIFS(AF$9:AF$24,$M$9:$M$24,PART_NUMBER_GENERATOR_TABLE[[#This Row],[Tech]:[Tech]])))</f>
        <v>0</v>
      </c>
      <c r="AG52" cm="1">
        <f t="array" ref="AG52">IF(PART_NUMBER_GENERATOR_TABLE[[#This Row],[Work Role]:[Work Role]]&lt;&gt;AG$1,0,
IF(PART_NUMBER_GENERATOR_TABLE[[#This Row],[Work Type]:[Work Type]]&lt;&gt;"AH",0,
SUMIFS(AG$9:AG$24,$M$9:$M$24,PART_NUMBER_GENERATOR_TABLE[[#This Row],[Tech]:[Tech]])))</f>
        <v>0</v>
      </c>
      <c r="AH52" cm="1">
        <f t="array" ref="AH52">IF(PART_NUMBER_GENERATOR_TABLE[[#This Row],[Work Role]:[Work Role]]&lt;&gt;AH$1,0,
IF(PART_NUMBER_GENERATOR_TABLE[[#This Row],[Work Type]:[Work Type]]&lt;&gt;"BH",0,
SUMIFS(AH$9:AH$24,$M$9:$M$24,PART_NUMBER_GENERATOR_TABLE[[#This Row],[Tech]:[Tech]])))</f>
        <v>0</v>
      </c>
      <c r="AI52" cm="1">
        <f t="array" ref="AI52">IF(PART_NUMBER_GENERATOR_TABLE[[#This Row],[Work Role]:[Work Role]]&lt;&gt;AI$1,0,
IF(PART_NUMBER_GENERATOR_TABLE[[#This Row],[Work Type]:[Work Type]]&lt;&gt;"BH",0,
SUMIFS(AI$9:AI$24,$M$9:$M$24,PART_NUMBER_GENERATOR_TABLE[[#This Row],[Tech]:[Tech]])))</f>
        <v>0</v>
      </c>
      <c r="AJ52" cm="1">
        <f t="array" ref="AJ52">IF(PART_NUMBER_GENERATOR_TABLE[[#This Row],[Work Role]:[Work Role]]&lt;&gt;AJ$1,0,
IF(PART_NUMBER_GENERATOR_TABLE[[#This Row],[Work Type]:[Work Type]]&lt;&gt;"BH",0,
SUMIFS(AJ$9:AJ$24,$M$9:$M$24,PART_NUMBER_GENERATOR_TABLE[[#This Row],[Tech]:[Tech]])))</f>
        <v>0</v>
      </c>
      <c r="AK52" cm="1">
        <f t="array" ref="AK52">IF(PART_NUMBER_GENERATOR_TABLE[[#This Row],[Work Role]:[Work Role]]&lt;&gt;AK$1,0,
IF(PART_NUMBER_GENERATOR_TABLE[[#This Row],[Work Type]:[Work Type]]&lt;&gt;"AH",0,
SUMIFS(AK$9:AK$24,$M$9:$M$24,PART_NUMBER_GENERATOR_TABLE[[#This Row],[Tech]:[Tech]])))</f>
        <v>0</v>
      </c>
      <c r="AL52" cm="1">
        <f t="array" ref="AL52">IF(PART_NUMBER_GENERATOR_TABLE[[#This Row],[Work Role]:[Work Role]]&lt;&gt;AL$1,0,
IF(PART_NUMBER_GENERATOR_TABLE[[#This Row],[Work Type]:[Work Type]]&lt;&gt;"BH",0,
SUMIFS(AL$9:AL$24,$M$9:$M$24,PART_NUMBER_GENERATOR_TABLE[[#This Row],[Tech]:[Tech]])))</f>
        <v>0</v>
      </c>
      <c r="AM52">
        <f>0</f>
        <v>0</v>
      </c>
      <c r="AN52" cm="1">
        <f t="array" ref="AN52">IF(PART_NUMBER_GENERATOR_TABLE[[#This Row],[Work Role]:[Work Role]]&lt;&gt;AN$1,0,
IF(PART_NUMBER_GENERATOR_TABLE[[#This Row],[Work Type]:[Work Type]]&lt;&gt;"BH",0,
SUMIFS(AN$24,$AM$24,PART_NUMBER_GENERATOR_TABLE[[#This Row],[Tech]:[Tech]])))</f>
        <v>0</v>
      </c>
      <c r="AO52" cm="1">
        <f t="array" ref="AO52">IF(PART_NUMBER_GENERATOR_TABLE[[#This Row],[Work Role]:[Work Role]]&lt;&gt;AO$1,0,
IF(PART_NUMBER_GENERATOR_TABLE[[#This Row],[Work Type]:[Work Type]]&lt;&gt;"BH",0,
SUMIFS(AO$24,$AM$24,PART_NUMBER_GENERATOR_TABLE[[#This Row],[Tech]:[Tech]])))</f>
        <v>0</v>
      </c>
      <c r="AP52" cm="1">
        <f t="array" ref="AP52">IF(PART_NUMBER_GENERATOR_TABLE[[#This Row],[Work Role]:[Work Role]]&lt;&gt;AP$1,0,
IF(PART_NUMBER_GENERATOR_TABLE[[#This Row],[Work Type]:[Work Type]]&lt;&gt;"BH",0,
SUMIFS(AP$24,$AM$24,PART_NUMBER_GENERATOR_TABLE[[#This Row],[Tech]:[Tech]])))</f>
        <v>0</v>
      </c>
      <c r="AQ52" cm="1">
        <f t="array" ref="AQ52">IF(PART_NUMBER_GENERATOR_TABLE[[#This Row],[Work Role]:[Work Role]]&lt;&gt;AQ$1,0,
IF(PART_NUMBER_GENERATOR_TABLE[[#This Row],[Work Type]:[Work Type]]&lt;&gt;"BH",0,
SUMIFS(AQ$24,$AM$24,PART_NUMBER_GENERATOR_TABLE[[#This Row],[Tech]:[Tech]])))</f>
        <v>0</v>
      </c>
      <c r="AR52" cm="1">
        <f t="array" ref="AR52">IF(PART_NUMBER_GENERATOR_TABLE[[#This Row],[Work Role]:[Work Role]]&lt;&gt;AR$1,0,
IF(PART_NUMBER_GENERATOR_TABLE[[#This Row],[Work Type]:[Work Type]]&lt;&gt;"BH",0,
SUMIFS(AR$24,$AM$24,PART_NUMBER_GENERATOR_TABLE[[#This Row],[Tech]:[Tech]])))</f>
        <v>0</v>
      </c>
      <c r="AS52" cm="1">
        <f t="array" ref="AS52">IF(PART_NUMBER_GENERATOR_TABLE[[#This Row],[Work Role]:[Work Role]]&lt;&gt;AS$1,0,
IF(PART_NUMBER_GENERATOR_TABLE[[#This Row],[Work Type]:[Work Type]]&lt;&gt;"BH",0,
SUMIFS(AS$24,$AM$24,PART_NUMBER_GENERATOR_TABLE[[#This Row],[Tech]:[Tech]])))</f>
        <v>0</v>
      </c>
      <c r="AT52" cm="1">
        <f t="array" ref="AT52">IF(PART_NUMBER_GENERATOR_TABLE[[#This Row],[Work Role]:[Work Role]]&lt;&gt;AS$1,0,
IF(PART_NUMBER_GENERATOR_TABLE[[#This Row],[Work Type]:[Work Type]]&lt;&gt;"BH",0,
SUMIFS(AT$24,$AM$24,PART_NUMBER_GENERATOR_TABLE[[#This Row],[Tech]:[Tech]])))</f>
        <v>0</v>
      </c>
      <c r="AU52">
        <f>SUM(PART_NUMBER_GENERATOR_TABLE[[#This Row],[Resource 1 BH]:[Resource 5 AH]],PART_NUMBER_GENERATOR_TABLE[[#This Row],[R1 Mandatory Tasks]:[R5 Mandatory Tasks]],PART_NUMBER_GENERATOR_TABLE[[#This Row],[R1 Remainder]:[R5 Remainder]])</f>
        <v>0</v>
      </c>
      <c r="AV52">
        <f>PART_NUMBER_GENERATOR_TABLE[[#This Row],[Professional Engineering Hours]]*PART_NUMBER_GENERATOR_TABLE[[#This Row],[Sell Rate]]</f>
        <v>0</v>
      </c>
      <c r="AW52">
        <f>PART_NUMBER_GENERATOR_TABLE[[#This Row],[Professional Engineering Hours]]*PART_NUMBER_GENERATOR_TABLE[[#This Row],[Cost Rate]]</f>
        <v>0</v>
      </c>
      <c r="AX52">
        <f>SUM(PART_NUMBER_GENERATOR_TABLE[[#This Row],[PM Trips]:[R5 Trips]])</f>
        <v>0</v>
      </c>
      <c r="AY52">
        <f>PART_NUMBER_GENERATOR_TABLE[[#This Row],[Travel &amp; Accommodation Hours]]*PART_NUMBER_GENERATOR_TABLE[[#This Row],[Sell Rate]]</f>
        <v>0</v>
      </c>
      <c r="AZ52">
        <f>PART_NUMBER_GENERATOR_TABLE[[#This Row],[Travel &amp; Accommodation Hours]]*PART_NUMBER_GENERATOR_TABLE[[#This Row],[Cost Rate]]</f>
        <v>0</v>
      </c>
      <c r="BA52">
        <f>PART_NUMBER_GENERATOR_TABLE[[#This Row],[PM Hours]]+PART_NUMBER_GENERATOR_TABLE[[#This Row],[PM Remainder]]</f>
        <v>0</v>
      </c>
      <c r="BB52">
        <f>PART_NUMBER_GENERATOR_TABLE[[#This Row],[Project Management Hours]]*PART_NUMBER_GENERATOR_TABLE[[#This Row],[Sell Rate]]</f>
        <v>0</v>
      </c>
      <c r="BC52">
        <f>PART_NUMBER_GENERATOR_TABLE[[#This Row],[Project Management Hours]]*PART_NUMBER_GENERATOR_TABLE[[#This Row],[Cost Rate]]</f>
        <v>0</v>
      </c>
      <c r="BD52">
        <f>SUM(PART_NUMBER_GENERATOR_TABLE[[#This Row],[SSE RISK BH]:[PM RISK]],PART_NUMBER_GENERATOR_TABLE[[#This Row],[SSE Remainder RISK BH]:[PM Remainder RISK]])</f>
        <v>0</v>
      </c>
      <c r="BE52">
        <f>PART_NUMBER_GENERATOR_TABLE[[#This Row],[Project Risk Service Hours]]*PART_NUMBER_GENERATOR_TABLE[[#This Row],[Sell Rate]]</f>
        <v>0</v>
      </c>
      <c r="BF52">
        <f>PART_NUMBER_GENERATOR_TABLE[[#This Row],[Project Risk Service Hours]]*PART_NUMBER_GENERATOR_TABLE[[#This Row],[Cost Rate]]</f>
        <v>0</v>
      </c>
      <c r="BG52">
        <f>PART_NUMBER_GENERATOR_TABLE[[#This Row],[SSE RISK TRAVEL]]</f>
        <v>0</v>
      </c>
      <c r="BH52">
        <f>PART_NUMBER_GENERATOR_TABLE[[#This Row],[Sell Rate]]*PART_NUMBER_GENERATOR_TABLE[[#This Row],[Project Risk Travel Hours]]</f>
        <v>0</v>
      </c>
      <c r="BI52">
        <f>PART_NUMBER_GENERATOR_TABLE[[#This Row],[Project Risk Travel Hours]]*PART_NUMBER_GENERATOR_TABLE[[#This Row],[Cost Rate]]</f>
        <v>0</v>
      </c>
      <c r="BJ5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5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52">
        <f>IFERROR(-VLOOKUP(INDEX(ENGINEER_ROLES,MATCH(PART_NUMBER_GENERATOR_TABLE[[#This Row],[Work Role]],settings.Table_Engineer.Roles[ID],0),1),Settings_Hidden!$H$359:$K$366,4,FALSE),0)</f>
        <v>0</v>
      </c>
      <c r="BM52" s="680">
        <f>-Summary!$C$66</f>
        <v>0</v>
      </c>
      <c r="BN52" s="465">
        <f>PART_NUMBER_GENERATOR_TABLE[[#This Row],[Total Base Price]]*MIN(PART_NUMBER_GENERATOR_TABLE[[#This Row],[Rate Service Discount]:[Flat Service Discount]])</f>
        <v>0</v>
      </c>
      <c r="BO52" s="451" t="str">
        <f>IF(PART_NUMBER_GENERATOR_TABLE[[#This Row],[Quantity]]&lt;&gt;0,MAX($BO$30:BO51)+1,"")</f>
        <v/>
      </c>
      <c r="BP52" t="str">
        <f>PART_NUMBER_GENERATOR_TABLE[[#This Row],[Part Number]]</f>
        <v>A-PS-P-INTHLT-SPM-AH</v>
      </c>
      <c r="BQ52">
        <f>PART_NUMBER_GENERATOR_TABLE[[#This Row],[Total Hours]]</f>
        <v>0</v>
      </c>
      <c r="BR52">
        <f>PART_NUMBER_GENERATOR_TABLE[[#This Row],[Cost Rate]]</f>
        <v>267.81014450091658</v>
      </c>
      <c r="BS52" s="465">
        <f>PART_NUMBER_GENERATOR_TABLE[[#This Row],[Sell Rate]]+(PART_NUMBER_GENERATOR_TABLE[[#This Row],[Sell Rate]]*MIN(PART_NUMBER_GENERATOR_TABLE[[#This Row],[Rate Service Discount]:[Flat Service Discount]]))</f>
        <v>388.5</v>
      </c>
    </row>
    <row r="53" spans="1:71">
      <c r="A53">
        <v>23</v>
      </c>
      <c r="C53" t="s">
        <v>968</v>
      </c>
      <c r="D53" t="str" cm="1">
        <f t="array" ref="D53">INDEX(Table.Settings_Skill.List[Skill Name],MATCH(INDEX(_xlfn.TEXTSPLIT(C53,"-",,TRUE),4),Table.Settings_Skill.List[Skill Code],0),1)</f>
        <v>Networking</v>
      </c>
      <c r="E53" t="str" cm="1">
        <f t="array" ref="E53">INDEX(_xlfn.TEXTSPLIT(C53,"-",,TRUE),5)</f>
        <v>PM</v>
      </c>
      <c r="F53" t="str">
        <f>IFERROR(INDEX(settings.Table_Engineer.Roles[Department Code],MATCH(PART_NUMBER_GENERATOR_TABLE[[#This Row],[Work Role]],settings.Table_Engineer.Roles[ID],0),1),"PMO")</f>
        <v>PMO</v>
      </c>
      <c r="G53" t="str" cm="1">
        <f t="array" ref="G53">INDEX(_xlfn.TEXTSPLIT(C53,"-",,TRUE),6)</f>
        <v>AH</v>
      </c>
      <c r="H5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337.5</v>
      </c>
      <c r="I5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221.33704686655341</v>
      </c>
      <c r="J53" cm="1">
        <f t="array" ref="J53">IF(J$1&lt;&gt;PART_NUMBER_GENERATOR_TABLE[[#This Row],[Work Role]:[Work Role]],0,
IF(RIGHT(J$30,2)&lt;&gt;PART_NUMBER_GENERATOR_TABLE[[#This Row],[Work Type]:[Work Type]],0,
SUMIFS(Input_Tasks[R1 Business Hours],Input_Tasks[[Skill Required]:[Skill Required]],PART_NUMBER_GENERATOR_TABLE[[#This Row],[Tech]:[Tech]])))</f>
        <v>0</v>
      </c>
      <c r="K53" cm="1">
        <f t="array" ref="K53">IF(K$1&lt;&gt;PART_NUMBER_GENERATOR_TABLE[[#This Row],[Work Role]:[Work Role]],0,
IF(RIGHT(K$30,2)&lt;&gt;PART_NUMBER_GENERATOR_TABLE[[#This Row],[Work Type]:[Work Type]],0,
SUMIFS(Input_Tasks[R1 After Hours],Input_Tasks[[Skill Required]:[Skill Required]],PART_NUMBER_GENERATOR_TABLE[[#This Row],[Tech]:[Tech]])))</f>
        <v>0</v>
      </c>
      <c r="L53" cm="1">
        <f t="array" ref="L53">IF(L$1&lt;&gt;PART_NUMBER_GENERATOR_TABLE[[#This Row],[Work Role]:[Work Role]],0,
IF(RIGHT(L$30,2)&lt;&gt;PART_NUMBER_GENERATOR_TABLE[[#This Row],[Work Type]:[Work Type]],0,
SUMIFS(Input_Tasks[R2 Business Hours],Input_Tasks[[Skill Required]:[Skill Required]],PART_NUMBER_GENERATOR_TABLE[[#This Row],[Tech]:[Tech]])))</f>
        <v>0</v>
      </c>
      <c r="M53" cm="1">
        <f t="array" ref="M53">IF(M$1&lt;&gt;PART_NUMBER_GENERATOR_TABLE[[#This Row],[Work Role]:[Work Role]],0,
IF(RIGHT(M$30,2)&lt;&gt;PART_NUMBER_GENERATOR_TABLE[[#This Row],[Work Type]:[Work Type]],0,
SUMIFS(Input_Tasks[R2 After Hours],Input_Tasks[[Skill Required]:[Skill Required]],PART_NUMBER_GENERATOR_TABLE[[#This Row],[Tech]:[Tech]])))</f>
        <v>0</v>
      </c>
      <c r="N53" cm="1">
        <f t="array" ref="N53">IF(N$1&lt;&gt;PART_NUMBER_GENERATOR_TABLE[[#This Row],[Work Role]:[Work Role]],0,
IF(RIGHT(N$30,2)&lt;&gt;PART_NUMBER_GENERATOR_TABLE[[#This Row],[Work Type]:[Work Type]],0,
SUMIFS(Input_Tasks[R3 Business Hours],Input_Tasks[[Skill Required]:[Skill Required]],PART_NUMBER_GENERATOR_TABLE[[#This Row],[Tech]:[Tech]])))</f>
        <v>0</v>
      </c>
      <c r="O53" cm="1">
        <f t="array" ref="O53">IF(O$1&lt;&gt;PART_NUMBER_GENERATOR_TABLE[[#This Row],[Work Role]:[Work Role]],0,
IF(RIGHT(O$30,2)&lt;&gt;PART_NUMBER_GENERATOR_TABLE[[#This Row],[Work Type]:[Work Type]],0,
SUMIFS(Input_Tasks[R3 After Hours],Input_Tasks[[Skill Required]:[Skill Required]],PART_NUMBER_GENERATOR_TABLE[[#This Row],[Tech]:[Tech]])))</f>
        <v>0</v>
      </c>
      <c r="P53" cm="1">
        <f t="array" ref="P53">IF(P$1&lt;&gt;PART_NUMBER_GENERATOR_TABLE[[#This Row],[Work Role]:[Work Role]],0,
IF(RIGHT(P$30,2)&lt;&gt;PART_NUMBER_GENERATOR_TABLE[[#This Row],[Work Type]:[Work Type]],0,
SUMIFS(Input_Tasks[R4 Business Hours],Input_Tasks[[Skill Required]:[Skill Required]],PART_NUMBER_GENERATOR_TABLE[[#This Row],[Tech]:[Tech]])))</f>
        <v>0</v>
      </c>
      <c r="Q53" cm="1">
        <f t="array" ref="Q53">IF(Q$1&lt;&gt;PART_NUMBER_GENERATOR_TABLE[[#This Row],[Work Role]:[Work Role]],0,
IF(RIGHT(Q$30,2)&lt;&gt;PART_NUMBER_GENERATOR_TABLE[[#This Row],[Work Type]:[Work Type]],0,
SUMIFS(Input_Tasks[R4 After Hours],Input_Tasks[[Skill Required]:[Skill Required]],PART_NUMBER_GENERATOR_TABLE[[#This Row],[Tech]:[Tech]])))</f>
        <v>0</v>
      </c>
      <c r="R53" cm="1">
        <f t="array" ref="R53">IF(R$1&lt;&gt;PART_NUMBER_GENERATOR_TABLE[[#This Row],[Work Role]:[Work Role]],0,
IF(RIGHT(R$30,2)&lt;&gt;PART_NUMBER_GENERATOR_TABLE[[#This Row],[Work Type]:[Work Type]],0,
SUMIFS(Input_Tasks[R5 Business Hours],Input_Tasks[[Skill Required]:[Skill Required]],PART_NUMBER_GENERATOR_TABLE[[#This Row],[Tech]:[Tech]])))</f>
        <v>0</v>
      </c>
      <c r="S53" cm="1">
        <f t="array" ref="S53">IF(S$1&lt;&gt;PART_NUMBER_GENERATOR_TABLE[[#This Row],[Work Role]:[Work Role]],0,
IF(RIGHT(S$30,2)&lt;&gt;PART_NUMBER_GENERATOR_TABLE[[#This Row],[Work Type]:[Work Type]],0,
SUMIFS(Input_Tasks[R5 After Hours],Input_Tasks[[Skill Required]:[Skill Required]],PART_NUMBER_GENERATOR_TABLE[[#This Row],[Tech]:[Tech]])))</f>
        <v>0</v>
      </c>
      <c r="T53" cm="1">
        <f t="array" ref="T53">IF(PART_NUMBER_GENERATOR_TABLE[[#This Row],[Work Role]:[Work Role]]&lt;&gt;T$1,0,
IF(PART_NUMBER_GENERATOR_TABLE[[#This Row],[Work Type]:[Work Type]]&lt;&gt;"BH",0,
SUMIFS(T$9:T$24,$M$9:$M$24,PART_NUMBER_GENERATOR_TABLE[[#This Row],[Tech]:[Tech]])))</f>
        <v>0</v>
      </c>
      <c r="U53" cm="1">
        <f t="array" ref="U53">IF(PART_NUMBER_GENERATOR_TABLE[[#This Row],[Work Role]:[Work Role]]&lt;&gt;U$1,0,
IF(PART_NUMBER_GENERATOR_TABLE[[#This Row],[Work Type]:[Work Type]]&lt;&gt;"BH",0,
SUMIFS(U$9:U$24,$M$9:$M$24,PART_NUMBER_GENERATOR_TABLE[[#This Row],[Tech]:[Tech]])))</f>
        <v>0</v>
      </c>
      <c r="V53" cm="1">
        <f t="array" ref="V53">IF(PART_NUMBER_GENERATOR_TABLE[[#This Row],[Work Role]:[Work Role]]&lt;&gt;V$1,0,
IF(PART_NUMBER_GENERATOR_TABLE[[#This Row],[Work Type]:[Work Type]]&lt;&gt;"BH",0,
SUMIFS(V$9:V$24,$M$9:$M$24,PART_NUMBER_GENERATOR_TABLE[[#This Row],[Tech]:[Tech]])))</f>
        <v>0</v>
      </c>
      <c r="W53" cm="1">
        <f t="array" ref="W53">IF(PART_NUMBER_GENERATOR_TABLE[[#This Row],[Work Role]:[Work Role]]&lt;&gt;W$1,0,
IF(PART_NUMBER_GENERATOR_TABLE[[#This Row],[Work Type]:[Work Type]]&lt;&gt;"BH",0,
SUMIFS(W$9:W$24,$M$9:$M$24,PART_NUMBER_GENERATOR_TABLE[[#This Row],[Tech]:[Tech]])))</f>
        <v>0</v>
      </c>
      <c r="X53" cm="1">
        <f t="array" ref="X53">IF(PART_NUMBER_GENERATOR_TABLE[[#This Row],[Work Role]:[Work Role]]&lt;&gt;X$1,0,
IF(PART_NUMBER_GENERATOR_TABLE[[#This Row],[Work Type]:[Work Type]]&lt;&gt;"BH",0,
SUMIFS(X$9:X$24,$M$9:$M$24,PART_NUMBER_GENERATOR_TABLE[[#This Row],[Tech]:[Tech]])))</f>
        <v>0</v>
      </c>
      <c r="Y53" cm="1">
        <f t="array" ref="Y53">IF(PART_NUMBER_GENERATOR_TABLE[[#This Row],[Work Role]:[Work Role]]&lt;&gt;Y$1,0,
IF(PART_NUMBER_GENERATOR_TABLE[[#This Row],[Work Type]:[Work Type]]&lt;&gt;"BH",0,
SUMIFS(Y$9:Y$24,$M$9:$M$24,PART_NUMBER_GENERATOR_TABLE[[#This Row],[Tech]:[Tech]])))</f>
        <v>0</v>
      </c>
      <c r="Z53" cm="1">
        <f t="array" ref="Z53">IF(PART_NUMBER_GENERATOR_TABLE[[#This Row],[Work Role]:[Work Role]]&lt;&gt;Z$1,0,
IF(PART_NUMBER_GENERATOR_TABLE[[#This Row],[Work Type]:[Work Type]]&lt;&gt;"BH",0,
SUMIFS(Z$9:Z$24,$M$9:$M$24,PART_NUMBER_GENERATOR_TABLE[[#This Row],[Tech]:[Tech]])))</f>
        <v>0</v>
      </c>
      <c r="AA53" cm="1">
        <f t="array" ref="AA53">IF(PART_NUMBER_GENERATOR_TABLE[[#This Row],[Work Role]:[Work Role]]&lt;&gt;AA$1,0,
IF(PART_NUMBER_GENERATOR_TABLE[[#This Row],[Work Type]:[Work Type]]&lt;&gt;"BH",0,
SUMIFS(AA$9:AA$24,$M$9:$M$24,PART_NUMBER_GENERATOR_TABLE[[#This Row],[Tech]:[Tech]])))</f>
        <v>0</v>
      </c>
      <c r="AB53" cm="1">
        <f t="array" ref="AB53">IF(PART_NUMBER_GENERATOR_TABLE[[#This Row],[Work Role]:[Work Role]]&lt;&gt;AB$1,0,
IF(PART_NUMBER_GENERATOR_TABLE[[#This Row],[Work Type]:[Work Type]]&lt;&gt;"BH",0,
SUMIFS(AB$9:AB$24,$M$9:$M$24,PART_NUMBER_GENERATOR_TABLE[[#This Row],[Tech]:[Tech]])))</f>
        <v>0</v>
      </c>
      <c r="AC53" cm="1">
        <f t="array" ref="AC53">IF(PART_NUMBER_GENERATOR_TABLE[[#This Row],[Work Role]:[Work Role]]&lt;&gt;AC$1,0,
IF(PART_NUMBER_GENERATOR_TABLE[[#This Row],[Work Type]:[Work Type]]&lt;&gt;"BH",0,
SUMIFS(AC$9:AC$24,$M$9:$M$24,PART_NUMBER_GENERATOR_TABLE[[#This Row],[Tech]:[Tech]])))</f>
        <v>0</v>
      </c>
      <c r="AD53" cm="1">
        <f t="array" ref="AD53">IF(PART_NUMBER_GENERATOR_TABLE[[#This Row],[Work Role]:[Work Role]]&lt;&gt;AD$1,0,
IF(PART_NUMBER_GENERATOR_TABLE[[#This Row],[Work Type]:[Work Type]]&lt;&gt;"BH",0,
SUMIFS(AD$9:AD$24,$M$9:$M$24,PART_NUMBER_GENERATOR_TABLE[[#This Row],[Tech]:[Tech]])))</f>
        <v>0</v>
      </c>
      <c r="AE53" cm="1">
        <f t="array" ref="AE53">IF(PART_NUMBER_GENERATOR_TABLE[[#This Row],[Work Role]:[Work Role]]&lt;&gt;AE$1,0,
IF(PART_NUMBER_GENERATOR_TABLE[[#This Row],[Work Type]:[Work Type]]&lt;&gt;"BH",0,
SUMIFS(AE$9:AE$24,$M$9:$M$24,PART_NUMBER_GENERATOR_TABLE[[#This Row],[Tech]:[Tech]])))</f>
        <v>0</v>
      </c>
      <c r="AF53" cm="1">
        <f t="array" ref="AF53">IF(PART_NUMBER_GENERATOR_TABLE[[#This Row],[Work Role]:[Work Role]]&lt;&gt;AF$1,0,
IF(PART_NUMBER_GENERATOR_TABLE[[#This Row],[Work Type]:[Work Type]]&lt;&gt;"BH",0,
SUMIFS(AF$9:AF$24,$M$9:$M$24,PART_NUMBER_GENERATOR_TABLE[[#This Row],[Tech]:[Tech]])))</f>
        <v>0</v>
      </c>
      <c r="AG53" cm="1">
        <f t="array" ref="AG53">IF(PART_NUMBER_GENERATOR_TABLE[[#This Row],[Work Role]:[Work Role]]&lt;&gt;AG$1,0,
IF(PART_NUMBER_GENERATOR_TABLE[[#This Row],[Work Type]:[Work Type]]&lt;&gt;"AH",0,
SUMIFS(AG$9:AG$24,$M$9:$M$24,PART_NUMBER_GENERATOR_TABLE[[#This Row],[Tech]:[Tech]])))</f>
        <v>0</v>
      </c>
      <c r="AH53" cm="1">
        <f t="array" ref="AH53">IF(PART_NUMBER_GENERATOR_TABLE[[#This Row],[Work Role]:[Work Role]]&lt;&gt;AH$1,0,
IF(PART_NUMBER_GENERATOR_TABLE[[#This Row],[Work Type]:[Work Type]]&lt;&gt;"BH",0,
SUMIFS(AH$9:AH$24,$M$9:$M$24,PART_NUMBER_GENERATOR_TABLE[[#This Row],[Tech]:[Tech]])))</f>
        <v>0</v>
      </c>
      <c r="AI53" cm="1">
        <f t="array" ref="AI53">IF(PART_NUMBER_GENERATOR_TABLE[[#This Row],[Work Role]:[Work Role]]&lt;&gt;AI$1,0,
IF(PART_NUMBER_GENERATOR_TABLE[[#This Row],[Work Type]:[Work Type]]&lt;&gt;"BH",0,
SUMIFS(AI$9:AI$24,$M$9:$M$24,PART_NUMBER_GENERATOR_TABLE[[#This Row],[Tech]:[Tech]])))</f>
        <v>0</v>
      </c>
      <c r="AJ53" cm="1">
        <f t="array" ref="AJ53">IF(PART_NUMBER_GENERATOR_TABLE[[#This Row],[Work Role]:[Work Role]]&lt;&gt;AJ$1,0,
IF(PART_NUMBER_GENERATOR_TABLE[[#This Row],[Work Type]:[Work Type]]&lt;&gt;"BH",0,
SUMIFS(AJ$9:AJ$24,$M$9:$M$24,PART_NUMBER_GENERATOR_TABLE[[#This Row],[Tech]:[Tech]])))</f>
        <v>0</v>
      </c>
      <c r="AK53" cm="1">
        <f t="array" ref="AK53">IF(PART_NUMBER_GENERATOR_TABLE[[#This Row],[Work Role]:[Work Role]]&lt;&gt;AK$1,0,
IF(PART_NUMBER_GENERATOR_TABLE[[#This Row],[Work Type]:[Work Type]]&lt;&gt;"AH",0,
SUMIFS(AK$9:AK$24,$M$9:$M$24,PART_NUMBER_GENERATOR_TABLE[[#This Row],[Tech]:[Tech]])))</f>
        <v>0</v>
      </c>
      <c r="AL53" cm="1">
        <f t="array" ref="AL53">IF(PART_NUMBER_GENERATOR_TABLE[[#This Row],[Work Role]:[Work Role]]&lt;&gt;AL$1,0,
IF(PART_NUMBER_GENERATOR_TABLE[[#This Row],[Work Type]:[Work Type]]&lt;&gt;"BH",0,
SUMIFS(AL$9:AL$24,$M$9:$M$24,PART_NUMBER_GENERATOR_TABLE[[#This Row],[Tech]:[Tech]])))</f>
        <v>0</v>
      </c>
      <c r="AM53">
        <f>0</f>
        <v>0</v>
      </c>
      <c r="AN53" cm="1">
        <f t="array" ref="AN53">IF(PART_NUMBER_GENERATOR_TABLE[[#This Row],[Work Role]:[Work Role]]&lt;&gt;AN$1,0,
IF(PART_NUMBER_GENERATOR_TABLE[[#This Row],[Work Type]:[Work Type]]&lt;&gt;"BH",0,
SUMIFS(AN$24,$AM$24,PART_NUMBER_GENERATOR_TABLE[[#This Row],[Tech]:[Tech]])))</f>
        <v>0</v>
      </c>
      <c r="AO53" cm="1">
        <f t="array" ref="AO53">IF(PART_NUMBER_GENERATOR_TABLE[[#This Row],[Work Role]:[Work Role]]&lt;&gt;AO$1,0,
IF(PART_NUMBER_GENERATOR_TABLE[[#This Row],[Work Type]:[Work Type]]&lt;&gt;"BH",0,
SUMIFS(AO$24,$AM$24,PART_NUMBER_GENERATOR_TABLE[[#This Row],[Tech]:[Tech]])))</f>
        <v>0</v>
      </c>
      <c r="AP53" cm="1">
        <f t="array" ref="AP53">IF(PART_NUMBER_GENERATOR_TABLE[[#This Row],[Work Role]:[Work Role]]&lt;&gt;AP$1,0,
IF(PART_NUMBER_GENERATOR_TABLE[[#This Row],[Work Type]:[Work Type]]&lt;&gt;"BH",0,
SUMIFS(AP$24,$AM$24,PART_NUMBER_GENERATOR_TABLE[[#This Row],[Tech]:[Tech]])))</f>
        <v>0</v>
      </c>
      <c r="AQ53" cm="1">
        <f t="array" ref="AQ53">IF(PART_NUMBER_GENERATOR_TABLE[[#This Row],[Work Role]:[Work Role]]&lt;&gt;AQ$1,0,
IF(PART_NUMBER_GENERATOR_TABLE[[#This Row],[Work Type]:[Work Type]]&lt;&gt;"BH",0,
SUMIFS(AQ$24,$AM$24,PART_NUMBER_GENERATOR_TABLE[[#This Row],[Tech]:[Tech]])))</f>
        <v>0</v>
      </c>
      <c r="AR53" cm="1">
        <f t="array" ref="AR53">IF(PART_NUMBER_GENERATOR_TABLE[[#This Row],[Work Role]:[Work Role]]&lt;&gt;AR$1,0,
IF(PART_NUMBER_GENERATOR_TABLE[[#This Row],[Work Type]:[Work Type]]&lt;&gt;"BH",0,
SUMIFS(AR$24,$AM$24,PART_NUMBER_GENERATOR_TABLE[[#This Row],[Tech]:[Tech]])))</f>
        <v>0</v>
      </c>
      <c r="AS53" cm="1">
        <f t="array" ref="AS53">IF(PART_NUMBER_GENERATOR_TABLE[[#This Row],[Work Role]:[Work Role]]&lt;&gt;AS$1,0,
IF(PART_NUMBER_GENERATOR_TABLE[[#This Row],[Work Type]:[Work Type]]&lt;&gt;"BH",0,
SUMIFS(AS$24,$AM$24,PART_NUMBER_GENERATOR_TABLE[[#This Row],[Tech]:[Tech]])))</f>
        <v>0</v>
      </c>
      <c r="AT53" cm="1">
        <f t="array" ref="AT53">IF(PART_NUMBER_GENERATOR_TABLE[[#This Row],[Work Role]:[Work Role]]&lt;&gt;AS$1,0,
IF(PART_NUMBER_GENERATOR_TABLE[[#This Row],[Work Type]:[Work Type]]&lt;&gt;"BH",0,
SUMIFS(AT$24,$AM$24,PART_NUMBER_GENERATOR_TABLE[[#This Row],[Tech]:[Tech]])))</f>
        <v>0</v>
      </c>
      <c r="AU53">
        <f>SUM(PART_NUMBER_GENERATOR_TABLE[[#This Row],[Resource 1 BH]:[Resource 5 AH]],PART_NUMBER_GENERATOR_TABLE[[#This Row],[R1 Mandatory Tasks]:[R5 Mandatory Tasks]],PART_NUMBER_GENERATOR_TABLE[[#This Row],[R1 Remainder]:[R5 Remainder]])</f>
        <v>0</v>
      </c>
      <c r="AV53">
        <f>PART_NUMBER_GENERATOR_TABLE[[#This Row],[Professional Engineering Hours]]*PART_NUMBER_GENERATOR_TABLE[[#This Row],[Sell Rate]]</f>
        <v>0</v>
      </c>
      <c r="AW53">
        <f>PART_NUMBER_GENERATOR_TABLE[[#This Row],[Professional Engineering Hours]]*PART_NUMBER_GENERATOR_TABLE[[#This Row],[Cost Rate]]</f>
        <v>0</v>
      </c>
      <c r="AX53">
        <f>SUM(PART_NUMBER_GENERATOR_TABLE[[#This Row],[PM Trips]:[R5 Trips]])</f>
        <v>0</v>
      </c>
      <c r="AY53">
        <f>PART_NUMBER_GENERATOR_TABLE[[#This Row],[Travel &amp; Accommodation Hours]]*PART_NUMBER_GENERATOR_TABLE[[#This Row],[Sell Rate]]</f>
        <v>0</v>
      </c>
      <c r="AZ53">
        <f>PART_NUMBER_GENERATOR_TABLE[[#This Row],[Travel &amp; Accommodation Hours]]*PART_NUMBER_GENERATOR_TABLE[[#This Row],[Cost Rate]]</f>
        <v>0</v>
      </c>
      <c r="BA53">
        <f>PART_NUMBER_GENERATOR_TABLE[[#This Row],[PM Hours]]+PART_NUMBER_GENERATOR_TABLE[[#This Row],[PM Remainder]]</f>
        <v>0</v>
      </c>
      <c r="BB53">
        <f>PART_NUMBER_GENERATOR_TABLE[[#This Row],[Project Management Hours]]*PART_NUMBER_GENERATOR_TABLE[[#This Row],[Sell Rate]]</f>
        <v>0</v>
      </c>
      <c r="BC53">
        <f>PART_NUMBER_GENERATOR_TABLE[[#This Row],[Project Management Hours]]*PART_NUMBER_GENERATOR_TABLE[[#This Row],[Cost Rate]]</f>
        <v>0</v>
      </c>
      <c r="BD53">
        <f>SUM(PART_NUMBER_GENERATOR_TABLE[[#This Row],[SSE RISK BH]:[PM RISK]],PART_NUMBER_GENERATOR_TABLE[[#This Row],[SSE Remainder RISK BH]:[PM Remainder RISK]])</f>
        <v>0</v>
      </c>
      <c r="BE53">
        <f>PART_NUMBER_GENERATOR_TABLE[[#This Row],[Project Risk Service Hours]]*PART_NUMBER_GENERATOR_TABLE[[#This Row],[Sell Rate]]</f>
        <v>0</v>
      </c>
      <c r="BF53">
        <f>PART_NUMBER_GENERATOR_TABLE[[#This Row],[Project Risk Service Hours]]*PART_NUMBER_GENERATOR_TABLE[[#This Row],[Cost Rate]]</f>
        <v>0</v>
      </c>
      <c r="BG53">
        <f>PART_NUMBER_GENERATOR_TABLE[[#This Row],[SSE RISK TRAVEL]]</f>
        <v>0</v>
      </c>
      <c r="BH53">
        <f>PART_NUMBER_GENERATOR_TABLE[[#This Row],[Sell Rate]]*PART_NUMBER_GENERATOR_TABLE[[#This Row],[Project Risk Travel Hours]]</f>
        <v>0</v>
      </c>
      <c r="BI53">
        <f>PART_NUMBER_GENERATOR_TABLE[[#This Row],[Project Risk Travel Hours]]*PART_NUMBER_GENERATOR_TABLE[[#This Row],[Cost Rate]]</f>
        <v>0</v>
      </c>
      <c r="BJ5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5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53">
        <f>IFERROR(-VLOOKUP(INDEX(ENGINEER_ROLES,MATCH(PART_NUMBER_GENERATOR_TABLE[[#This Row],[Work Role]],settings.Table_Engineer.Roles[ID],0),1),Settings_Hidden!$H$359:$K$366,4,FALSE),0)</f>
        <v>0</v>
      </c>
      <c r="BM53" s="680">
        <f>-Summary!$C$66</f>
        <v>0</v>
      </c>
      <c r="BN53" s="465">
        <f>PART_NUMBER_GENERATOR_TABLE[[#This Row],[Total Base Price]]*MIN(PART_NUMBER_GENERATOR_TABLE[[#This Row],[Rate Service Discount]:[Flat Service Discount]])</f>
        <v>0</v>
      </c>
      <c r="BO53" s="451" t="str">
        <f>IF(PART_NUMBER_GENERATOR_TABLE[[#This Row],[Quantity]]&lt;&gt;0,MAX($BO$30:BO52)+1,"")</f>
        <v/>
      </c>
      <c r="BP53" t="str">
        <f>PART_NUMBER_GENERATOR_TABLE[[#This Row],[Part Number]]</f>
        <v>A-PS-P-NETWRK-PM-AH</v>
      </c>
      <c r="BQ53">
        <f>PART_NUMBER_GENERATOR_TABLE[[#This Row],[Total Hours]]</f>
        <v>0</v>
      </c>
      <c r="BR53">
        <f>PART_NUMBER_GENERATOR_TABLE[[#This Row],[Cost Rate]]</f>
        <v>221.33704686655341</v>
      </c>
      <c r="BS53" s="465">
        <f>PART_NUMBER_GENERATOR_TABLE[[#This Row],[Sell Rate]]+(PART_NUMBER_GENERATOR_TABLE[[#This Row],[Sell Rate]]*MIN(PART_NUMBER_GENERATOR_TABLE[[#This Row],[Rate Service Discount]:[Flat Service Discount]]))</f>
        <v>337.5</v>
      </c>
    </row>
    <row r="54" spans="1:71">
      <c r="A54">
        <v>24</v>
      </c>
      <c r="C54" t="s">
        <v>976</v>
      </c>
      <c r="D54" t="str" cm="1">
        <f t="array" ref="D54">INDEX(Table.Settings_Skill.List[Skill Name],MATCH(INDEX(_xlfn.TEXTSPLIT(C54,"-",,TRUE),4),Table.Settings_Skill.List[Skill Code],0),1)</f>
        <v>Networking</v>
      </c>
      <c r="E54" t="str" cm="1">
        <f t="array" ref="E54">INDEX(_xlfn.TEXTSPLIT(C54,"-",,TRUE),5)</f>
        <v>SPM</v>
      </c>
      <c r="F54" t="str">
        <f>IFERROR(INDEX(settings.Table_Engineer.Roles[Department Code],MATCH(PART_NUMBER_GENERATOR_TABLE[[#This Row],[Work Role]],settings.Table_Engineer.Roles[ID],0),1),"PMO")</f>
        <v>PMO</v>
      </c>
      <c r="G54" t="str" cm="1">
        <f t="array" ref="G54">INDEX(_xlfn.TEXTSPLIT(C54,"-",,TRUE),6)</f>
        <v>AH</v>
      </c>
      <c r="H5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388.5</v>
      </c>
      <c r="I5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267.81014450091658</v>
      </c>
      <c r="J54" cm="1">
        <f t="array" ref="J54">IF(J$1&lt;&gt;PART_NUMBER_GENERATOR_TABLE[[#This Row],[Work Role]:[Work Role]],0,
IF(RIGHT(J$30,2)&lt;&gt;PART_NUMBER_GENERATOR_TABLE[[#This Row],[Work Type]:[Work Type]],0,
SUMIFS(Input_Tasks[R1 Business Hours],Input_Tasks[[Skill Required]:[Skill Required]],PART_NUMBER_GENERATOR_TABLE[[#This Row],[Tech]:[Tech]])))</f>
        <v>0</v>
      </c>
      <c r="K54" cm="1">
        <f t="array" ref="K54">IF(K$1&lt;&gt;PART_NUMBER_GENERATOR_TABLE[[#This Row],[Work Role]:[Work Role]],0,
IF(RIGHT(K$30,2)&lt;&gt;PART_NUMBER_GENERATOR_TABLE[[#This Row],[Work Type]:[Work Type]],0,
SUMIFS(Input_Tasks[R1 After Hours],Input_Tasks[[Skill Required]:[Skill Required]],PART_NUMBER_GENERATOR_TABLE[[#This Row],[Tech]:[Tech]])))</f>
        <v>0</v>
      </c>
      <c r="L54" cm="1">
        <f t="array" ref="L54">IF(L$1&lt;&gt;PART_NUMBER_GENERATOR_TABLE[[#This Row],[Work Role]:[Work Role]],0,
IF(RIGHT(L$30,2)&lt;&gt;PART_NUMBER_GENERATOR_TABLE[[#This Row],[Work Type]:[Work Type]],0,
SUMIFS(Input_Tasks[R2 Business Hours],Input_Tasks[[Skill Required]:[Skill Required]],PART_NUMBER_GENERATOR_TABLE[[#This Row],[Tech]:[Tech]])))</f>
        <v>0</v>
      </c>
      <c r="M54" cm="1">
        <f t="array" ref="M54">IF(M$1&lt;&gt;PART_NUMBER_GENERATOR_TABLE[[#This Row],[Work Role]:[Work Role]],0,
IF(RIGHT(M$30,2)&lt;&gt;PART_NUMBER_GENERATOR_TABLE[[#This Row],[Work Type]:[Work Type]],0,
SUMIFS(Input_Tasks[R2 After Hours],Input_Tasks[[Skill Required]:[Skill Required]],PART_NUMBER_GENERATOR_TABLE[[#This Row],[Tech]:[Tech]])))</f>
        <v>0</v>
      </c>
      <c r="N54" cm="1">
        <f t="array" ref="N54">IF(N$1&lt;&gt;PART_NUMBER_GENERATOR_TABLE[[#This Row],[Work Role]:[Work Role]],0,
IF(RIGHT(N$30,2)&lt;&gt;PART_NUMBER_GENERATOR_TABLE[[#This Row],[Work Type]:[Work Type]],0,
SUMIFS(Input_Tasks[R3 Business Hours],Input_Tasks[[Skill Required]:[Skill Required]],PART_NUMBER_GENERATOR_TABLE[[#This Row],[Tech]:[Tech]])))</f>
        <v>0</v>
      </c>
      <c r="O54" cm="1">
        <f t="array" ref="O54">IF(O$1&lt;&gt;PART_NUMBER_GENERATOR_TABLE[[#This Row],[Work Role]:[Work Role]],0,
IF(RIGHT(O$30,2)&lt;&gt;PART_NUMBER_GENERATOR_TABLE[[#This Row],[Work Type]:[Work Type]],0,
SUMIFS(Input_Tasks[R3 After Hours],Input_Tasks[[Skill Required]:[Skill Required]],PART_NUMBER_GENERATOR_TABLE[[#This Row],[Tech]:[Tech]])))</f>
        <v>0</v>
      </c>
      <c r="P54" cm="1">
        <f t="array" ref="P54">IF(P$1&lt;&gt;PART_NUMBER_GENERATOR_TABLE[[#This Row],[Work Role]:[Work Role]],0,
IF(RIGHT(P$30,2)&lt;&gt;PART_NUMBER_GENERATOR_TABLE[[#This Row],[Work Type]:[Work Type]],0,
SUMIFS(Input_Tasks[R4 Business Hours],Input_Tasks[[Skill Required]:[Skill Required]],PART_NUMBER_GENERATOR_TABLE[[#This Row],[Tech]:[Tech]])))</f>
        <v>0</v>
      </c>
      <c r="Q54" cm="1">
        <f t="array" ref="Q54">IF(Q$1&lt;&gt;PART_NUMBER_GENERATOR_TABLE[[#This Row],[Work Role]:[Work Role]],0,
IF(RIGHT(Q$30,2)&lt;&gt;PART_NUMBER_GENERATOR_TABLE[[#This Row],[Work Type]:[Work Type]],0,
SUMIFS(Input_Tasks[R4 After Hours],Input_Tasks[[Skill Required]:[Skill Required]],PART_NUMBER_GENERATOR_TABLE[[#This Row],[Tech]:[Tech]])))</f>
        <v>0</v>
      </c>
      <c r="R54" cm="1">
        <f t="array" ref="R54">IF(R$1&lt;&gt;PART_NUMBER_GENERATOR_TABLE[[#This Row],[Work Role]:[Work Role]],0,
IF(RIGHT(R$30,2)&lt;&gt;PART_NUMBER_GENERATOR_TABLE[[#This Row],[Work Type]:[Work Type]],0,
SUMIFS(Input_Tasks[R5 Business Hours],Input_Tasks[[Skill Required]:[Skill Required]],PART_NUMBER_GENERATOR_TABLE[[#This Row],[Tech]:[Tech]])))</f>
        <v>0</v>
      </c>
      <c r="S54" cm="1">
        <f t="array" ref="S54">IF(S$1&lt;&gt;PART_NUMBER_GENERATOR_TABLE[[#This Row],[Work Role]:[Work Role]],0,
IF(RIGHT(S$30,2)&lt;&gt;PART_NUMBER_GENERATOR_TABLE[[#This Row],[Work Type]:[Work Type]],0,
SUMIFS(Input_Tasks[R5 After Hours],Input_Tasks[[Skill Required]:[Skill Required]],PART_NUMBER_GENERATOR_TABLE[[#This Row],[Tech]:[Tech]])))</f>
        <v>0</v>
      </c>
      <c r="T54" cm="1">
        <f t="array" ref="T54">IF(PART_NUMBER_GENERATOR_TABLE[[#This Row],[Work Role]:[Work Role]]&lt;&gt;T$1,0,
IF(PART_NUMBER_GENERATOR_TABLE[[#This Row],[Work Type]:[Work Type]]&lt;&gt;"BH",0,
SUMIFS(T$9:T$24,$M$9:$M$24,PART_NUMBER_GENERATOR_TABLE[[#This Row],[Tech]:[Tech]])))</f>
        <v>0</v>
      </c>
      <c r="U54" cm="1">
        <f t="array" ref="U54">IF(PART_NUMBER_GENERATOR_TABLE[[#This Row],[Work Role]:[Work Role]]&lt;&gt;U$1,0,
IF(PART_NUMBER_GENERATOR_TABLE[[#This Row],[Work Type]:[Work Type]]&lt;&gt;"BH",0,
SUMIFS(U$9:U$24,$M$9:$M$24,PART_NUMBER_GENERATOR_TABLE[[#This Row],[Tech]:[Tech]])))</f>
        <v>0</v>
      </c>
      <c r="V54" cm="1">
        <f t="array" ref="V54">IF(PART_NUMBER_GENERATOR_TABLE[[#This Row],[Work Role]:[Work Role]]&lt;&gt;V$1,0,
IF(PART_NUMBER_GENERATOR_TABLE[[#This Row],[Work Type]:[Work Type]]&lt;&gt;"BH",0,
SUMIFS(V$9:V$24,$M$9:$M$24,PART_NUMBER_GENERATOR_TABLE[[#This Row],[Tech]:[Tech]])))</f>
        <v>0</v>
      </c>
      <c r="W54" cm="1">
        <f t="array" ref="W54">IF(PART_NUMBER_GENERATOR_TABLE[[#This Row],[Work Role]:[Work Role]]&lt;&gt;W$1,0,
IF(PART_NUMBER_GENERATOR_TABLE[[#This Row],[Work Type]:[Work Type]]&lt;&gt;"BH",0,
SUMIFS(W$9:W$24,$M$9:$M$24,PART_NUMBER_GENERATOR_TABLE[[#This Row],[Tech]:[Tech]])))</f>
        <v>0</v>
      </c>
      <c r="X54" cm="1">
        <f t="array" ref="X54">IF(PART_NUMBER_GENERATOR_TABLE[[#This Row],[Work Role]:[Work Role]]&lt;&gt;X$1,0,
IF(PART_NUMBER_GENERATOR_TABLE[[#This Row],[Work Type]:[Work Type]]&lt;&gt;"BH",0,
SUMIFS(X$9:X$24,$M$9:$M$24,PART_NUMBER_GENERATOR_TABLE[[#This Row],[Tech]:[Tech]])))</f>
        <v>0</v>
      </c>
      <c r="Y54" cm="1">
        <f t="array" ref="Y54">IF(PART_NUMBER_GENERATOR_TABLE[[#This Row],[Work Role]:[Work Role]]&lt;&gt;Y$1,0,
IF(PART_NUMBER_GENERATOR_TABLE[[#This Row],[Work Type]:[Work Type]]&lt;&gt;"BH",0,
SUMIFS(Y$9:Y$24,$M$9:$M$24,PART_NUMBER_GENERATOR_TABLE[[#This Row],[Tech]:[Tech]])))</f>
        <v>0</v>
      </c>
      <c r="Z54" cm="1">
        <f t="array" ref="Z54">IF(PART_NUMBER_GENERATOR_TABLE[[#This Row],[Work Role]:[Work Role]]&lt;&gt;Z$1,0,
IF(PART_NUMBER_GENERATOR_TABLE[[#This Row],[Work Type]:[Work Type]]&lt;&gt;"BH",0,
SUMIFS(Z$9:Z$24,$M$9:$M$24,PART_NUMBER_GENERATOR_TABLE[[#This Row],[Tech]:[Tech]])))</f>
        <v>0</v>
      </c>
      <c r="AA54" cm="1">
        <f t="array" ref="AA54">IF(PART_NUMBER_GENERATOR_TABLE[[#This Row],[Work Role]:[Work Role]]&lt;&gt;AA$1,0,
IF(PART_NUMBER_GENERATOR_TABLE[[#This Row],[Work Type]:[Work Type]]&lt;&gt;"BH",0,
SUMIFS(AA$9:AA$24,$M$9:$M$24,PART_NUMBER_GENERATOR_TABLE[[#This Row],[Tech]:[Tech]])))</f>
        <v>0</v>
      </c>
      <c r="AB54" cm="1">
        <f t="array" ref="AB54">IF(PART_NUMBER_GENERATOR_TABLE[[#This Row],[Work Role]:[Work Role]]&lt;&gt;AB$1,0,
IF(PART_NUMBER_GENERATOR_TABLE[[#This Row],[Work Type]:[Work Type]]&lt;&gt;"BH",0,
SUMIFS(AB$9:AB$24,$M$9:$M$24,PART_NUMBER_GENERATOR_TABLE[[#This Row],[Tech]:[Tech]])))</f>
        <v>0</v>
      </c>
      <c r="AC54" cm="1">
        <f t="array" ref="AC54">IF(PART_NUMBER_GENERATOR_TABLE[[#This Row],[Work Role]:[Work Role]]&lt;&gt;AC$1,0,
IF(PART_NUMBER_GENERATOR_TABLE[[#This Row],[Work Type]:[Work Type]]&lt;&gt;"BH",0,
SUMIFS(AC$9:AC$24,$M$9:$M$24,PART_NUMBER_GENERATOR_TABLE[[#This Row],[Tech]:[Tech]])))</f>
        <v>0</v>
      </c>
      <c r="AD54" cm="1">
        <f t="array" ref="AD54">IF(PART_NUMBER_GENERATOR_TABLE[[#This Row],[Work Role]:[Work Role]]&lt;&gt;AD$1,0,
IF(PART_NUMBER_GENERATOR_TABLE[[#This Row],[Work Type]:[Work Type]]&lt;&gt;"BH",0,
SUMIFS(AD$9:AD$24,$M$9:$M$24,PART_NUMBER_GENERATOR_TABLE[[#This Row],[Tech]:[Tech]])))</f>
        <v>0</v>
      </c>
      <c r="AE54" cm="1">
        <f t="array" ref="AE54">IF(PART_NUMBER_GENERATOR_TABLE[[#This Row],[Work Role]:[Work Role]]&lt;&gt;AE$1,0,
IF(PART_NUMBER_GENERATOR_TABLE[[#This Row],[Work Type]:[Work Type]]&lt;&gt;"BH",0,
SUMIFS(AE$9:AE$24,$M$9:$M$24,PART_NUMBER_GENERATOR_TABLE[[#This Row],[Tech]:[Tech]])))</f>
        <v>0</v>
      </c>
      <c r="AF54" cm="1">
        <f t="array" ref="AF54">IF(PART_NUMBER_GENERATOR_TABLE[[#This Row],[Work Role]:[Work Role]]&lt;&gt;AF$1,0,
IF(PART_NUMBER_GENERATOR_TABLE[[#This Row],[Work Type]:[Work Type]]&lt;&gt;"BH",0,
SUMIFS(AF$9:AF$24,$M$9:$M$24,PART_NUMBER_GENERATOR_TABLE[[#This Row],[Tech]:[Tech]])))</f>
        <v>0</v>
      </c>
      <c r="AG54" cm="1">
        <f t="array" ref="AG54">IF(PART_NUMBER_GENERATOR_TABLE[[#This Row],[Work Role]:[Work Role]]&lt;&gt;AG$1,0,
IF(PART_NUMBER_GENERATOR_TABLE[[#This Row],[Work Type]:[Work Type]]&lt;&gt;"AH",0,
SUMIFS(AG$9:AG$24,$M$9:$M$24,PART_NUMBER_GENERATOR_TABLE[[#This Row],[Tech]:[Tech]])))</f>
        <v>0</v>
      </c>
      <c r="AH54" cm="1">
        <f t="array" ref="AH54">IF(PART_NUMBER_GENERATOR_TABLE[[#This Row],[Work Role]:[Work Role]]&lt;&gt;AH$1,0,
IF(PART_NUMBER_GENERATOR_TABLE[[#This Row],[Work Type]:[Work Type]]&lt;&gt;"BH",0,
SUMIFS(AH$9:AH$24,$M$9:$M$24,PART_NUMBER_GENERATOR_TABLE[[#This Row],[Tech]:[Tech]])))</f>
        <v>0</v>
      </c>
      <c r="AI54" cm="1">
        <f t="array" ref="AI54">IF(PART_NUMBER_GENERATOR_TABLE[[#This Row],[Work Role]:[Work Role]]&lt;&gt;AI$1,0,
IF(PART_NUMBER_GENERATOR_TABLE[[#This Row],[Work Type]:[Work Type]]&lt;&gt;"BH",0,
SUMIFS(AI$9:AI$24,$M$9:$M$24,PART_NUMBER_GENERATOR_TABLE[[#This Row],[Tech]:[Tech]])))</f>
        <v>0</v>
      </c>
      <c r="AJ54" cm="1">
        <f t="array" ref="AJ54">IF(PART_NUMBER_GENERATOR_TABLE[[#This Row],[Work Role]:[Work Role]]&lt;&gt;AJ$1,0,
IF(PART_NUMBER_GENERATOR_TABLE[[#This Row],[Work Type]:[Work Type]]&lt;&gt;"BH",0,
SUMIFS(AJ$9:AJ$24,$M$9:$M$24,PART_NUMBER_GENERATOR_TABLE[[#This Row],[Tech]:[Tech]])))</f>
        <v>0</v>
      </c>
      <c r="AK54" cm="1">
        <f t="array" ref="AK54">IF(PART_NUMBER_GENERATOR_TABLE[[#This Row],[Work Role]:[Work Role]]&lt;&gt;AK$1,0,
IF(PART_NUMBER_GENERATOR_TABLE[[#This Row],[Work Type]:[Work Type]]&lt;&gt;"AH",0,
SUMIFS(AK$9:AK$24,$M$9:$M$24,PART_NUMBER_GENERATOR_TABLE[[#This Row],[Tech]:[Tech]])))</f>
        <v>0</v>
      </c>
      <c r="AL54" cm="1">
        <f t="array" ref="AL54">IF(PART_NUMBER_GENERATOR_TABLE[[#This Row],[Work Role]:[Work Role]]&lt;&gt;AL$1,0,
IF(PART_NUMBER_GENERATOR_TABLE[[#This Row],[Work Type]:[Work Type]]&lt;&gt;"BH",0,
SUMIFS(AL$9:AL$24,$M$9:$M$24,PART_NUMBER_GENERATOR_TABLE[[#This Row],[Tech]:[Tech]])))</f>
        <v>0</v>
      </c>
      <c r="AM54">
        <f>0</f>
        <v>0</v>
      </c>
      <c r="AN54" cm="1">
        <f t="array" ref="AN54">IF(PART_NUMBER_GENERATOR_TABLE[[#This Row],[Work Role]:[Work Role]]&lt;&gt;AN$1,0,
IF(PART_NUMBER_GENERATOR_TABLE[[#This Row],[Work Type]:[Work Type]]&lt;&gt;"BH",0,
SUMIFS(AN$24,$AM$24,PART_NUMBER_GENERATOR_TABLE[[#This Row],[Tech]:[Tech]])))</f>
        <v>0</v>
      </c>
      <c r="AO54" cm="1">
        <f t="array" ref="AO54">IF(PART_NUMBER_GENERATOR_TABLE[[#This Row],[Work Role]:[Work Role]]&lt;&gt;AO$1,0,
IF(PART_NUMBER_GENERATOR_TABLE[[#This Row],[Work Type]:[Work Type]]&lt;&gt;"BH",0,
SUMIFS(AO$24,$AM$24,PART_NUMBER_GENERATOR_TABLE[[#This Row],[Tech]:[Tech]])))</f>
        <v>0</v>
      </c>
      <c r="AP54" cm="1">
        <f t="array" ref="AP54">IF(PART_NUMBER_GENERATOR_TABLE[[#This Row],[Work Role]:[Work Role]]&lt;&gt;AP$1,0,
IF(PART_NUMBER_GENERATOR_TABLE[[#This Row],[Work Type]:[Work Type]]&lt;&gt;"BH",0,
SUMIFS(AP$24,$AM$24,PART_NUMBER_GENERATOR_TABLE[[#This Row],[Tech]:[Tech]])))</f>
        <v>0</v>
      </c>
      <c r="AQ54" cm="1">
        <f t="array" ref="AQ54">IF(PART_NUMBER_GENERATOR_TABLE[[#This Row],[Work Role]:[Work Role]]&lt;&gt;AQ$1,0,
IF(PART_NUMBER_GENERATOR_TABLE[[#This Row],[Work Type]:[Work Type]]&lt;&gt;"BH",0,
SUMIFS(AQ$24,$AM$24,PART_NUMBER_GENERATOR_TABLE[[#This Row],[Tech]:[Tech]])))</f>
        <v>0</v>
      </c>
      <c r="AR54" cm="1">
        <f t="array" ref="AR54">IF(PART_NUMBER_GENERATOR_TABLE[[#This Row],[Work Role]:[Work Role]]&lt;&gt;AR$1,0,
IF(PART_NUMBER_GENERATOR_TABLE[[#This Row],[Work Type]:[Work Type]]&lt;&gt;"BH",0,
SUMIFS(AR$24,$AM$24,PART_NUMBER_GENERATOR_TABLE[[#This Row],[Tech]:[Tech]])))</f>
        <v>0</v>
      </c>
      <c r="AS54" cm="1">
        <f t="array" ref="AS54">IF(PART_NUMBER_GENERATOR_TABLE[[#This Row],[Work Role]:[Work Role]]&lt;&gt;AS$1,0,
IF(PART_NUMBER_GENERATOR_TABLE[[#This Row],[Work Type]:[Work Type]]&lt;&gt;"BH",0,
SUMIFS(AS$24,$AM$24,PART_NUMBER_GENERATOR_TABLE[[#This Row],[Tech]:[Tech]])))</f>
        <v>0</v>
      </c>
      <c r="AT54" cm="1">
        <f t="array" ref="AT54">IF(PART_NUMBER_GENERATOR_TABLE[[#This Row],[Work Role]:[Work Role]]&lt;&gt;AS$1,0,
IF(PART_NUMBER_GENERATOR_TABLE[[#This Row],[Work Type]:[Work Type]]&lt;&gt;"BH",0,
SUMIFS(AT$24,$AM$24,PART_NUMBER_GENERATOR_TABLE[[#This Row],[Tech]:[Tech]])))</f>
        <v>0</v>
      </c>
      <c r="AU54">
        <f>SUM(PART_NUMBER_GENERATOR_TABLE[[#This Row],[Resource 1 BH]:[Resource 5 AH]],PART_NUMBER_GENERATOR_TABLE[[#This Row],[R1 Mandatory Tasks]:[R5 Mandatory Tasks]],PART_NUMBER_GENERATOR_TABLE[[#This Row],[R1 Remainder]:[R5 Remainder]])</f>
        <v>0</v>
      </c>
      <c r="AV54">
        <f>PART_NUMBER_GENERATOR_TABLE[[#This Row],[Professional Engineering Hours]]*PART_NUMBER_GENERATOR_TABLE[[#This Row],[Sell Rate]]</f>
        <v>0</v>
      </c>
      <c r="AW54">
        <f>PART_NUMBER_GENERATOR_TABLE[[#This Row],[Professional Engineering Hours]]*PART_NUMBER_GENERATOR_TABLE[[#This Row],[Cost Rate]]</f>
        <v>0</v>
      </c>
      <c r="AX54">
        <f>SUM(PART_NUMBER_GENERATOR_TABLE[[#This Row],[PM Trips]:[R5 Trips]])</f>
        <v>0</v>
      </c>
      <c r="AY54">
        <f>PART_NUMBER_GENERATOR_TABLE[[#This Row],[Travel &amp; Accommodation Hours]]*PART_NUMBER_GENERATOR_TABLE[[#This Row],[Sell Rate]]</f>
        <v>0</v>
      </c>
      <c r="AZ54">
        <f>PART_NUMBER_GENERATOR_TABLE[[#This Row],[Travel &amp; Accommodation Hours]]*PART_NUMBER_GENERATOR_TABLE[[#This Row],[Cost Rate]]</f>
        <v>0</v>
      </c>
      <c r="BA54">
        <f>PART_NUMBER_GENERATOR_TABLE[[#This Row],[PM Hours]]+PART_NUMBER_GENERATOR_TABLE[[#This Row],[PM Remainder]]</f>
        <v>0</v>
      </c>
      <c r="BB54">
        <f>PART_NUMBER_GENERATOR_TABLE[[#This Row],[Project Management Hours]]*PART_NUMBER_GENERATOR_TABLE[[#This Row],[Sell Rate]]</f>
        <v>0</v>
      </c>
      <c r="BC54">
        <f>PART_NUMBER_GENERATOR_TABLE[[#This Row],[Project Management Hours]]*PART_NUMBER_GENERATOR_TABLE[[#This Row],[Cost Rate]]</f>
        <v>0</v>
      </c>
      <c r="BD54">
        <f>SUM(PART_NUMBER_GENERATOR_TABLE[[#This Row],[SSE RISK BH]:[PM RISK]],PART_NUMBER_GENERATOR_TABLE[[#This Row],[SSE Remainder RISK BH]:[PM Remainder RISK]])</f>
        <v>0</v>
      </c>
      <c r="BE54">
        <f>PART_NUMBER_GENERATOR_TABLE[[#This Row],[Project Risk Service Hours]]*PART_NUMBER_GENERATOR_TABLE[[#This Row],[Sell Rate]]</f>
        <v>0</v>
      </c>
      <c r="BF54">
        <f>PART_NUMBER_GENERATOR_TABLE[[#This Row],[Project Risk Service Hours]]*PART_NUMBER_GENERATOR_TABLE[[#This Row],[Cost Rate]]</f>
        <v>0</v>
      </c>
      <c r="BG54">
        <f>PART_NUMBER_GENERATOR_TABLE[[#This Row],[SSE RISK TRAVEL]]</f>
        <v>0</v>
      </c>
      <c r="BH54">
        <f>PART_NUMBER_GENERATOR_TABLE[[#This Row],[Sell Rate]]*PART_NUMBER_GENERATOR_TABLE[[#This Row],[Project Risk Travel Hours]]</f>
        <v>0</v>
      </c>
      <c r="BI54">
        <f>PART_NUMBER_GENERATOR_TABLE[[#This Row],[Project Risk Travel Hours]]*PART_NUMBER_GENERATOR_TABLE[[#This Row],[Cost Rate]]</f>
        <v>0</v>
      </c>
      <c r="BJ5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5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54">
        <f>IFERROR(-VLOOKUP(INDEX(ENGINEER_ROLES,MATCH(PART_NUMBER_GENERATOR_TABLE[[#This Row],[Work Role]],settings.Table_Engineer.Roles[ID],0),1),Settings_Hidden!$H$359:$K$366,4,FALSE),0)</f>
        <v>0</v>
      </c>
      <c r="BM54" s="680">
        <f>-Summary!$C$66</f>
        <v>0</v>
      </c>
      <c r="BN54" s="465">
        <f>PART_NUMBER_GENERATOR_TABLE[[#This Row],[Total Base Price]]*MIN(PART_NUMBER_GENERATOR_TABLE[[#This Row],[Rate Service Discount]:[Flat Service Discount]])</f>
        <v>0</v>
      </c>
      <c r="BO54" s="451" t="str">
        <f>IF(PART_NUMBER_GENERATOR_TABLE[[#This Row],[Quantity]]&lt;&gt;0,MAX($BO$30:BO53)+1,"")</f>
        <v/>
      </c>
      <c r="BP54" t="str">
        <f>PART_NUMBER_GENERATOR_TABLE[[#This Row],[Part Number]]</f>
        <v>A-PS-P-NETWRK-SPM-AH</v>
      </c>
      <c r="BQ54">
        <f>PART_NUMBER_GENERATOR_TABLE[[#This Row],[Total Hours]]</f>
        <v>0</v>
      </c>
      <c r="BR54">
        <f>PART_NUMBER_GENERATOR_TABLE[[#This Row],[Cost Rate]]</f>
        <v>267.81014450091658</v>
      </c>
      <c r="BS54" s="465">
        <f>PART_NUMBER_GENERATOR_TABLE[[#This Row],[Sell Rate]]+(PART_NUMBER_GENERATOR_TABLE[[#This Row],[Sell Rate]]*MIN(PART_NUMBER_GENERATOR_TABLE[[#This Row],[Rate Service Discount]:[Flat Service Discount]]))</f>
        <v>388.5</v>
      </c>
    </row>
    <row r="55" spans="1:71">
      <c r="A55">
        <v>25</v>
      </c>
      <c r="C55" t="s">
        <v>994</v>
      </c>
      <c r="D55" t="str" cm="1">
        <f t="array" ref="D55">INDEX(Table.Settings_Skill.List[Skill Name],MATCH(INDEX(_xlfn.TEXTSPLIT(C55,"-",,TRUE),4),Table.Settings_Skill.List[Skill Code],0),1)</f>
        <v>Operational Technology</v>
      </c>
      <c r="E55" t="str" cm="1">
        <f t="array" ref="E55">INDEX(_xlfn.TEXTSPLIT(C55,"-",,TRUE),5)</f>
        <v>PM</v>
      </c>
      <c r="F55" t="str">
        <f>IFERROR(INDEX(settings.Table_Engineer.Roles[Department Code],MATCH(PART_NUMBER_GENERATOR_TABLE[[#This Row],[Work Role]],settings.Table_Engineer.Roles[ID],0),1),"PMO")</f>
        <v>PMO</v>
      </c>
      <c r="G55" t="str" cm="1">
        <f t="array" ref="G55">INDEX(_xlfn.TEXTSPLIT(C55,"-",,TRUE),6)</f>
        <v>AH</v>
      </c>
      <c r="H5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337.5</v>
      </c>
      <c r="I5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221.33704686655341</v>
      </c>
      <c r="J55" cm="1">
        <f t="array" ref="J55">IF(J$1&lt;&gt;PART_NUMBER_GENERATOR_TABLE[[#This Row],[Work Role]:[Work Role]],0,
IF(RIGHT(J$30,2)&lt;&gt;PART_NUMBER_GENERATOR_TABLE[[#This Row],[Work Type]:[Work Type]],0,
SUMIFS(Input_Tasks[R1 Business Hours],Input_Tasks[[Skill Required]:[Skill Required]],PART_NUMBER_GENERATOR_TABLE[[#This Row],[Tech]:[Tech]])))</f>
        <v>0</v>
      </c>
      <c r="K55" cm="1">
        <f t="array" ref="K55">IF(K$1&lt;&gt;PART_NUMBER_GENERATOR_TABLE[[#This Row],[Work Role]:[Work Role]],0,
IF(RIGHT(K$30,2)&lt;&gt;PART_NUMBER_GENERATOR_TABLE[[#This Row],[Work Type]:[Work Type]],0,
SUMIFS(Input_Tasks[R1 After Hours],Input_Tasks[[Skill Required]:[Skill Required]],PART_NUMBER_GENERATOR_TABLE[[#This Row],[Tech]:[Tech]])))</f>
        <v>0</v>
      </c>
      <c r="L55" cm="1">
        <f t="array" ref="L55">IF(L$1&lt;&gt;PART_NUMBER_GENERATOR_TABLE[[#This Row],[Work Role]:[Work Role]],0,
IF(RIGHT(L$30,2)&lt;&gt;PART_NUMBER_GENERATOR_TABLE[[#This Row],[Work Type]:[Work Type]],0,
SUMIFS(Input_Tasks[R2 Business Hours],Input_Tasks[[Skill Required]:[Skill Required]],PART_NUMBER_GENERATOR_TABLE[[#This Row],[Tech]:[Tech]])))</f>
        <v>0</v>
      </c>
      <c r="M55" cm="1">
        <f t="array" ref="M55">IF(M$1&lt;&gt;PART_NUMBER_GENERATOR_TABLE[[#This Row],[Work Role]:[Work Role]],0,
IF(RIGHT(M$30,2)&lt;&gt;PART_NUMBER_GENERATOR_TABLE[[#This Row],[Work Type]:[Work Type]],0,
SUMIFS(Input_Tasks[R2 After Hours],Input_Tasks[[Skill Required]:[Skill Required]],PART_NUMBER_GENERATOR_TABLE[[#This Row],[Tech]:[Tech]])))</f>
        <v>0</v>
      </c>
      <c r="N55" cm="1">
        <f t="array" ref="N55">IF(N$1&lt;&gt;PART_NUMBER_GENERATOR_TABLE[[#This Row],[Work Role]:[Work Role]],0,
IF(RIGHT(N$30,2)&lt;&gt;PART_NUMBER_GENERATOR_TABLE[[#This Row],[Work Type]:[Work Type]],0,
SUMIFS(Input_Tasks[R3 Business Hours],Input_Tasks[[Skill Required]:[Skill Required]],PART_NUMBER_GENERATOR_TABLE[[#This Row],[Tech]:[Tech]])))</f>
        <v>0</v>
      </c>
      <c r="O55" cm="1">
        <f t="array" ref="O55">IF(O$1&lt;&gt;PART_NUMBER_GENERATOR_TABLE[[#This Row],[Work Role]:[Work Role]],0,
IF(RIGHT(O$30,2)&lt;&gt;PART_NUMBER_GENERATOR_TABLE[[#This Row],[Work Type]:[Work Type]],0,
SUMIFS(Input_Tasks[R3 After Hours],Input_Tasks[[Skill Required]:[Skill Required]],PART_NUMBER_GENERATOR_TABLE[[#This Row],[Tech]:[Tech]])))</f>
        <v>0</v>
      </c>
      <c r="P55" cm="1">
        <f t="array" ref="P55">IF(P$1&lt;&gt;PART_NUMBER_GENERATOR_TABLE[[#This Row],[Work Role]:[Work Role]],0,
IF(RIGHT(P$30,2)&lt;&gt;PART_NUMBER_GENERATOR_TABLE[[#This Row],[Work Type]:[Work Type]],0,
SUMIFS(Input_Tasks[R4 Business Hours],Input_Tasks[[Skill Required]:[Skill Required]],PART_NUMBER_GENERATOR_TABLE[[#This Row],[Tech]:[Tech]])))</f>
        <v>0</v>
      </c>
      <c r="Q55" cm="1">
        <f t="array" ref="Q55">IF(Q$1&lt;&gt;PART_NUMBER_GENERATOR_TABLE[[#This Row],[Work Role]:[Work Role]],0,
IF(RIGHT(Q$30,2)&lt;&gt;PART_NUMBER_GENERATOR_TABLE[[#This Row],[Work Type]:[Work Type]],0,
SUMIFS(Input_Tasks[R4 After Hours],Input_Tasks[[Skill Required]:[Skill Required]],PART_NUMBER_GENERATOR_TABLE[[#This Row],[Tech]:[Tech]])))</f>
        <v>0</v>
      </c>
      <c r="R55" cm="1">
        <f t="array" ref="R55">IF(R$1&lt;&gt;PART_NUMBER_GENERATOR_TABLE[[#This Row],[Work Role]:[Work Role]],0,
IF(RIGHT(R$30,2)&lt;&gt;PART_NUMBER_GENERATOR_TABLE[[#This Row],[Work Type]:[Work Type]],0,
SUMIFS(Input_Tasks[R5 Business Hours],Input_Tasks[[Skill Required]:[Skill Required]],PART_NUMBER_GENERATOR_TABLE[[#This Row],[Tech]:[Tech]])))</f>
        <v>0</v>
      </c>
      <c r="S55" cm="1">
        <f t="array" ref="S55">IF(S$1&lt;&gt;PART_NUMBER_GENERATOR_TABLE[[#This Row],[Work Role]:[Work Role]],0,
IF(RIGHT(S$30,2)&lt;&gt;PART_NUMBER_GENERATOR_TABLE[[#This Row],[Work Type]:[Work Type]],0,
SUMIFS(Input_Tasks[R5 After Hours],Input_Tasks[[Skill Required]:[Skill Required]],PART_NUMBER_GENERATOR_TABLE[[#This Row],[Tech]:[Tech]])))</f>
        <v>0</v>
      </c>
      <c r="T55" cm="1">
        <f t="array" ref="T55">IF(PART_NUMBER_GENERATOR_TABLE[[#This Row],[Work Role]:[Work Role]]&lt;&gt;T$1,0,
IF(PART_NUMBER_GENERATOR_TABLE[[#This Row],[Work Type]:[Work Type]]&lt;&gt;"BH",0,
SUMIFS(T$9:T$24,$M$9:$M$24,PART_NUMBER_GENERATOR_TABLE[[#This Row],[Tech]:[Tech]])))</f>
        <v>0</v>
      </c>
      <c r="U55" cm="1">
        <f t="array" ref="U55">IF(PART_NUMBER_GENERATOR_TABLE[[#This Row],[Work Role]:[Work Role]]&lt;&gt;U$1,0,
IF(PART_NUMBER_GENERATOR_TABLE[[#This Row],[Work Type]:[Work Type]]&lt;&gt;"BH",0,
SUMIFS(U$9:U$24,$M$9:$M$24,PART_NUMBER_GENERATOR_TABLE[[#This Row],[Tech]:[Tech]])))</f>
        <v>0</v>
      </c>
      <c r="V55" cm="1">
        <f t="array" ref="V55">IF(PART_NUMBER_GENERATOR_TABLE[[#This Row],[Work Role]:[Work Role]]&lt;&gt;V$1,0,
IF(PART_NUMBER_GENERATOR_TABLE[[#This Row],[Work Type]:[Work Type]]&lt;&gt;"BH",0,
SUMIFS(V$9:V$24,$M$9:$M$24,PART_NUMBER_GENERATOR_TABLE[[#This Row],[Tech]:[Tech]])))</f>
        <v>0</v>
      </c>
      <c r="W55" cm="1">
        <f t="array" ref="W55">IF(PART_NUMBER_GENERATOR_TABLE[[#This Row],[Work Role]:[Work Role]]&lt;&gt;W$1,0,
IF(PART_NUMBER_GENERATOR_TABLE[[#This Row],[Work Type]:[Work Type]]&lt;&gt;"BH",0,
SUMIFS(W$9:W$24,$M$9:$M$24,PART_NUMBER_GENERATOR_TABLE[[#This Row],[Tech]:[Tech]])))</f>
        <v>0</v>
      </c>
      <c r="X55" cm="1">
        <f t="array" ref="X55">IF(PART_NUMBER_GENERATOR_TABLE[[#This Row],[Work Role]:[Work Role]]&lt;&gt;X$1,0,
IF(PART_NUMBER_GENERATOR_TABLE[[#This Row],[Work Type]:[Work Type]]&lt;&gt;"BH",0,
SUMIFS(X$9:X$24,$M$9:$M$24,PART_NUMBER_GENERATOR_TABLE[[#This Row],[Tech]:[Tech]])))</f>
        <v>0</v>
      </c>
      <c r="Y55" cm="1">
        <f t="array" ref="Y55">IF(PART_NUMBER_GENERATOR_TABLE[[#This Row],[Work Role]:[Work Role]]&lt;&gt;Y$1,0,
IF(PART_NUMBER_GENERATOR_TABLE[[#This Row],[Work Type]:[Work Type]]&lt;&gt;"BH",0,
SUMIFS(Y$9:Y$24,$M$9:$M$24,PART_NUMBER_GENERATOR_TABLE[[#This Row],[Tech]:[Tech]])))</f>
        <v>0</v>
      </c>
      <c r="Z55" cm="1">
        <f t="array" ref="Z55">IF(PART_NUMBER_GENERATOR_TABLE[[#This Row],[Work Role]:[Work Role]]&lt;&gt;Z$1,0,
IF(PART_NUMBER_GENERATOR_TABLE[[#This Row],[Work Type]:[Work Type]]&lt;&gt;"BH",0,
SUMIFS(Z$9:Z$24,$M$9:$M$24,PART_NUMBER_GENERATOR_TABLE[[#This Row],[Tech]:[Tech]])))</f>
        <v>0</v>
      </c>
      <c r="AA55" cm="1">
        <f t="array" ref="AA55">IF(PART_NUMBER_GENERATOR_TABLE[[#This Row],[Work Role]:[Work Role]]&lt;&gt;AA$1,0,
IF(PART_NUMBER_GENERATOR_TABLE[[#This Row],[Work Type]:[Work Type]]&lt;&gt;"BH",0,
SUMIFS(AA$9:AA$24,$M$9:$M$24,PART_NUMBER_GENERATOR_TABLE[[#This Row],[Tech]:[Tech]])))</f>
        <v>0</v>
      </c>
      <c r="AB55" cm="1">
        <f t="array" ref="AB55">IF(PART_NUMBER_GENERATOR_TABLE[[#This Row],[Work Role]:[Work Role]]&lt;&gt;AB$1,0,
IF(PART_NUMBER_GENERATOR_TABLE[[#This Row],[Work Type]:[Work Type]]&lt;&gt;"BH",0,
SUMIFS(AB$9:AB$24,$M$9:$M$24,PART_NUMBER_GENERATOR_TABLE[[#This Row],[Tech]:[Tech]])))</f>
        <v>0</v>
      </c>
      <c r="AC55" cm="1">
        <f t="array" ref="AC55">IF(PART_NUMBER_GENERATOR_TABLE[[#This Row],[Work Role]:[Work Role]]&lt;&gt;AC$1,0,
IF(PART_NUMBER_GENERATOR_TABLE[[#This Row],[Work Type]:[Work Type]]&lt;&gt;"BH",0,
SUMIFS(AC$9:AC$24,$M$9:$M$24,PART_NUMBER_GENERATOR_TABLE[[#This Row],[Tech]:[Tech]])))</f>
        <v>0</v>
      </c>
      <c r="AD55" cm="1">
        <f t="array" ref="AD55">IF(PART_NUMBER_GENERATOR_TABLE[[#This Row],[Work Role]:[Work Role]]&lt;&gt;AD$1,0,
IF(PART_NUMBER_GENERATOR_TABLE[[#This Row],[Work Type]:[Work Type]]&lt;&gt;"BH",0,
SUMIFS(AD$9:AD$24,$M$9:$M$24,PART_NUMBER_GENERATOR_TABLE[[#This Row],[Tech]:[Tech]])))</f>
        <v>0</v>
      </c>
      <c r="AE55" cm="1">
        <f t="array" ref="AE55">IF(PART_NUMBER_GENERATOR_TABLE[[#This Row],[Work Role]:[Work Role]]&lt;&gt;AE$1,0,
IF(PART_NUMBER_GENERATOR_TABLE[[#This Row],[Work Type]:[Work Type]]&lt;&gt;"BH",0,
SUMIFS(AE$9:AE$24,$M$9:$M$24,PART_NUMBER_GENERATOR_TABLE[[#This Row],[Tech]:[Tech]])))</f>
        <v>0</v>
      </c>
      <c r="AF55" cm="1">
        <f t="array" ref="AF55">IF(PART_NUMBER_GENERATOR_TABLE[[#This Row],[Work Role]:[Work Role]]&lt;&gt;AF$1,0,
IF(PART_NUMBER_GENERATOR_TABLE[[#This Row],[Work Type]:[Work Type]]&lt;&gt;"BH",0,
SUMIFS(AF$9:AF$24,$M$9:$M$24,PART_NUMBER_GENERATOR_TABLE[[#This Row],[Tech]:[Tech]])))</f>
        <v>0</v>
      </c>
      <c r="AG55" cm="1">
        <f t="array" ref="AG55">IF(PART_NUMBER_GENERATOR_TABLE[[#This Row],[Work Role]:[Work Role]]&lt;&gt;AG$1,0,
IF(PART_NUMBER_GENERATOR_TABLE[[#This Row],[Work Type]:[Work Type]]&lt;&gt;"AH",0,
SUMIFS(AG$9:AG$24,$M$9:$M$24,PART_NUMBER_GENERATOR_TABLE[[#This Row],[Tech]:[Tech]])))</f>
        <v>0</v>
      </c>
      <c r="AH55" cm="1">
        <f t="array" ref="AH55">IF(PART_NUMBER_GENERATOR_TABLE[[#This Row],[Work Role]:[Work Role]]&lt;&gt;AH$1,0,
IF(PART_NUMBER_GENERATOR_TABLE[[#This Row],[Work Type]:[Work Type]]&lt;&gt;"BH",0,
SUMIFS(AH$9:AH$24,$M$9:$M$24,PART_NUMBER_GENERATOR_TABLE[[#This Row],[Tech]:[Tech]])))</f>
        <v>0</v>
      </c>
      <c r="AI55" cm="1">
        <f t="array" ref="AI55">IF(PART_NUMBER_GENERATOR_TABLE[[#This Row],[Work Role]:[Work Role]]&lt;&gt;AI$1,0,
IF(PART_NUMBER_GENERATOR_TABLE[[#This Row],[Work Type]:[Work Type]]&lt;&gt;"BH",0,
SUMIFS(AI$9:AI$24,$M$9:$M$24,PART_NUMBER_GENERATOR_TABLE[[#This Row],[Tech]:[Tech]])))</f>
        <v>0</v>
      </c>
      <c r="AJ55" cm="1">
        <f t="array" ref="AJ55">IF(PART_NUMBER_GENERATOR_TABLE[[#This Row],[Work Role]:[Work Role]]&lt;&gt;AJ$1,0,
IF(PART_NUMBER_GENERATOR_TABLE[[#This Row],[Work Type]:[Work Type]]&lt;&gt;"BH",0,
SUMIFS(AJ$9:AJ$24,$M$9:$M$24,PART_NUMBER_GENERATOR_TABLE[[#This Row],[Tech]:[Tech]])))</f>
        <v>0</v>
      </c>
      <c r="AK55" cm="1">
        <f t="array" ref="AK55">IF(PART_NUMBER_GENERATOR_TABLE[[#This Row],[Work Role]:[Work Role]]&lt;&gt;AK$1,0,
IF(PART_NUMBER_GENERATOR_TABLE[[#This Row],[Work Type]:[Work Type]]&lt;&gt;"AH",0,
SUMIFS(AK$9:AK$24,$M$9:$M$24,PART_NUMBER_GENERATOR_TABLE[[#This Row],[Tech]:[Tech]])))</f>
        <v>0</v>
      </c>
      <c r="AL55" cm="1">
        <f t="array" ref="AL55">IF(PART_NUMBER_GENERATOR_TABLE[[#This Row],[Work Role]:[Work Role]]&lt;&gt;AL$1,0,
IF(PART_NUMBER_GENERATOR_TABLE[[#This Row],[Work Type]:[Work Type]]&lt;&gt;"BH",0,
SUMIFS(AL$9:AL$24,$M$9:$M$24,PART_NUMBER_GENERATOR_TABLE[[#This Row],[Tech]:[Tech]])))</f>
        <v>0</v>
      </c>
      <c r="AM55">
        <f>0</f>
        <v>0</v>
      </c>
      <c r="AN55" cm="1">
        <f t="array" ref="AN55">IF(PART_NUMBER_GENERATOR_TABLE[[#This Row],[Work Role]:[Work Role]]&lt;&gt;AN$1,0,
IF(PART_NUMBER_GENERATOR_TABLE[[#This Row],[Work Type]:[Work Type]]&lt;&gt;"BH",0,
SUMIFS(AN$24,$AM$24,PART_NUMBER_GENERATOR_TABLE[[#This Row],[Tech]:[Tech]])))</f>
        <v>0</v>
      </c>
      <c r="AO55" cm="1">
        <f t="array" ref="AO55">IF(PART_NUMBER_GENERATOR_TABLE[[#This Row],[Work Role]:[Work Role]]&lt;&gt;AO$1,0,
IF(PART_NUMBER_GENERATOR_TABLE[[#This Row],[Work Type]:[Work Type]]&lt;&gt;"BH",0,
SUMIFS(AO$24,$AM$24,PART_NUMBER_GENERATOR_TABLE[[#This Row],[Tech]:[Tech]])))</f>
        <v>0</v>
      </c>
      <c r="AP55" cm="1">
        <f t="array" ref="AP55">IF(PART_NUMBER_GENERATOR_TABLE[[#This Row],[Work Role]:[Work Role]]&lt;&gt;AP$1,0,
IF(PART_NUMBER_GENERATOR_TABLE[[#This Row],[Work Type]:[Work Type]]&lt;&gt;"BH",0,
SUMIFS(AP$24,$AM$24,PART_NUMBER_GENERATOR_TABLE[[#This Row],[Tech]:[Tech]])))</f>
        <v>0</v>
      </c>
      <c r="AQ55" cm="1">
        <f t="array" ref="AQ55">IF(PART_NUMBER_GENERATOR_TABLE[[#This Row],[Work Role]:[Work Role]]&lt;&gt;AQ$1,0,
IF(PART_NUMBER_GENERATOR_TABLE[[#This Row],[Work Type]:[Work Type]]&lt;&gt;"BH",0,
SUMIFS(AQ$24,$AM$24,PART_NUMBER_GENERATOR_TABLE[[#This Row],[Tech]:[Tech]])))</f>
        <v>0</v>
      </c>
      <c r="AR55" cm="1">
        <f t="array" ref="AR55">IF(PART_NUMBER_GENERATOR_TABLE[[#This Row],[Work Role]:[Work Role]]&lt;&gt;AR$1,0,
IF(PART_NUMBER_GENERATOR_TABLE[[#This Row],[Work Type]:[Work Type]]&lt;&gt;"BH",0,
SUMIFS(AR$24,$AM$24,PART_NUMBER_GENERATOR_TABLE[[#This Row],[Tech]:[Tech]])))</f>
        <v>0</v>
      </c>
      <c r="AS55" cm="1">
        <f t="array" ref="AS55">IF(PART_NUMBER_GENERATOR_TABLE[[#This Row],[Work Role]:[Work Role]]&lt;&gt;AS$1,0,
IF(PART_NUMBER_GENERATOR_TABLE[[#This Row],[Work Type]:[Work Type]]&lt;&gt;"BH",0,
SUMIFS(AS$24,$AM$24,PART_NUMBER_GENERATOR_TABLE[[#This Row],[Tech]:[Tech]])))</f>
        <v>0</v>
      </c>
      <c r="AT55" cm="1">
        <f t="array" ref="AT55">IF(PART_NUMBER_GENERATOR_TABLE[[#This Row],[Work Role]:[Work Role]]&lt;&gt;AS$1,0,
IF(PART_NUMBER_GENERATOR_TABLE[[#This Row],[Work Type]:[Work Type]]&lt;&gt;"BH",0,
SUMIFS(AT$24,$AM$24,PART_NUMBER_GENERATOR_TABLE[[#This Row],[Tech]:[Tech]])))</f>
        <v>0</v>
      </c>
      <c r="AU55">
        <f>SUM(PART_NUMBER_GENERATOR_TABLE[[#This Row],[Resource 1 BH]:[Resource 5 AH]],PART_NUMBER_GENERATOR_TABLE[[#This Row],[R1 Mandatory Tasks]:[R5 Mandatory Tasks]],PART_NUMBER_GENERATOR_TABLE[[#This Row],[R1 Remainder]:[R5 Remainder]])</f>
        <v>0</v>
      </c>
      <c r="AV55">
        <f>PART_NUMBER_GENERATOR_TABLE[[#This Row],[Professional Engineering Hours]]*PART_NUMBER_GENERATOR_TABLE[[#This Row],[Sell Rate]]</f>
        <v>0</v>
      </c>
      <c r="AW55">
        <f>PART_NUMBER_GENERATOR_TABLE[[#This Row],[Professional Engineering Hours]]*PART_NUMBER_GENERATOR_TABLE[[#This Row],[Cost Rate]]</f>
        <v>0</v>
      </c>
      <c r="AX55">
        <f>SUM(PART_NUMBER_GENERATOR_TABLE[[#This Row],[PM Trips]:[R5 Trips]])</f>
        <v>0</v>
      </c>
      <c r="AY55">
        <f>PART_NUMBER_GENERATOR_TABLE[[#This Row],[Travel &amp; Accommodation Hours]]*PART_NUMBER_GENERATOR_TABLE[[#This Row],[Sell Rate]]</f>
        <v>0</v>
      </c>
      <c r="AZ55">
        <f>PART_NUMBER_GENERATOR_TABLE[[#This Row],[Travel &amp; Accommodation Hours]]*PART_NUMBER_GENERATOR_TABLE[[#This Row],[Cost Rate]]</f>
        <v>0</v>
      </c>
      <c r="BA55">
        <f>PART_NUMBER_GENERATOR_TABLE[[#This Row],[PM Hours]]+PART_NUMBER_GENERATOR_TABLE[[#This Row],[PM Remainder]]</f>
        <v>0</v>
      </c>
      <c r="BB55">
        <f>PART_NUMBER_GENERATOR_TABLE[[#This Row],[Project Management Hours]]*PART_NUMBER_GENERATOR_TABLE[[#This Row],[Sell Rate]]</f>
        <v>0</v>
      </c>
      <c r="BC55">
        <f>PART_NUMBER_GENERATOR_TABLE[[#This Row],[Project Management Hours]]*PART_NUMBER_GENERATOR_TABLE[[#This Row],[Cost Rate]]</f>
        <v>0</v>
      </c>
      <c r="BD55">
        <f>SUM(PART_NUMBER_GENERATOR_TABLE[[#This Row],[SSE RISK BH]:[PM RISK]],PART_NUMBER_GENERATOR_TABLE[[#This Row],[SSE Remainder RISK BH]:[PM Remainder RISK]])</f>
        <v>0</v>
      </c>
      <c r="BE55">
        <f>PART_NUMBER_GENERATOR_TABLE[[#This Row],[Project Risk Service Hours]]*PART_NUMBER_GENERATOR_TABLE[[#This Row],[Sell Rate]]</f>
        <v>0</v>
      </c>
      <c r="BF55">
        <f>PART_NUMBER_GENERATOR_TABLE[[#This Row],[Project Risk Service Hours]]*PART_NUMBER_GENERATOR_TABLE[[#This Row],[Cost Rate]]</f>
        <v>0</v>
      </c>
      <c r="BG55">
        <f>PART_NUMBER_GENERATOR_TABLE[[#This Row],[SSE RISK TRAVEL]]</f>
        <v>0</v>
      </c>
      <c r="BH55">
        <f>PART_NUMBER_GENERATOR_TABLE[[#This Row],[Sell Rate]]*PART_NUMBER_GENERATOR_TABLE[[#This Row],[Project Risk Travel Hours]]</f>
        <v>0</v>
      </c>
      <c r="BI55">
        <f>PART_NUMBER_GENERATOR_TABLE[[#This Row],[Project Risk Travel Hours]]*PART_NUMBER_GENERATOR_TABLE[[#This Row],[Cost Rate]]</f>
        <v>0</v>
      </c>
      <c r="BJ5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5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55">
        <f>IFERROR(-VLOOKUP(INDEX(ENGINEER_ROLES,MATCH(PART_NUMBER_GENERATOR_TABLE[[#This Row],[Work Role]],settings.Table_Engineer.Roles[ID],0),1),Settings_Hidden!$H$359:$K$366,4,FALSE),0)</f>
        <v>0</v>
      </c>
      <c r="BM55" s="680">
        <f>-Summary!$C$66</f>
        <v>0</v>
      </c>
      <c r="BN55" s="465">
        <f>PART_NUMBER_GENERATOR_TABLE[[#This Row],[Total Base Price]]*MIN(PART_NUMBER_GENERATOR_TABLE[[#This Row],[Rate Service Discount]:[Flat Service Discount]])</f>
        <v>0</v>
      </c>
      <c r="BO55" s="451" t="str">
        <f>IF(PART_NUMBER_GENERATOR_TABLE[[#This Row],[Quantity]]&lt;&gt;0,MAX($BO$30:BO54)+1,"")</f>
        <v/>
      </c>
      <c r="BP55" t="str">
        <f>PART_NUMBER_GENERATOR_TABLE[[#This Row],[Part Number]]</f>
        <v>A-PS-P-OPPTEC-PM-AH</v>
      </c>
      <c r="BQ55">
        <f>PART_NUMBER_GENERATOR_TABLE[[#This Row],[Total Hours]]</f>
        <v>0</v>
      </c>
      <c r="BR55">
        <f>PART_NUMBER_GENERATOR_TABLE[[#This Row],[Cost Rate]]</f>
        <v>221.33704686655341</v>
      </c>
      <c r="BS55" s="465">
        <f>PART_NUMBER_GENERATOR_TABLE[[#This Row],[Sell Rate]]+(PART_NUMBER_GENERATOR_TABLE[[#This Row],[Sell Rate]]*MIN(PART_NUMBER_GENERATOR_TABLE[[#This Row],[Rate Service Discount]:[Flat Service Discount]]))</f>
        <v>337.5</v>
      </c>
    </row>
    <row r="56" spans="1:71">
      <c r="A56">
        <v>26</v>
      </c>
      <c r="C56" t="s">
        <v>1002</v>
      </c>
      <c r="D56" t="str" cm="1">
        <f t="array" ref="D56">INDEX(Table.Settings_Skill.List[Skill Name],MATCH(INDEX(_xlfn.TEXTSPLIT(C56,"-",,TRUE),4),Table.Settings_Skill.List[Skill Code],0),1)</f>
        <v>Operational Technology</v>
      </c>
      <c r="E56" t="str" cm="1">
        <f t="array" ref="E56">INDEX(_xlfn.TEXTSPLIT(C56,"-",,TRUE),5)</f>
        <v>SPM</v>
      </c>
      <c r="F56" t="str">
        <f>IFERROR(INDEX(settings.Table_Engineer.Roles[Department Code],MATCH(PART_NUMBER_GENERATOR_TABLE[[#This Row],[Work Role]],settings.Table_Engineer.Roles[ID],0),1),"PMO")</f>
        <v>PMO</v>
      </c>
      <c r="G56" t="str" cm="1">
        <f t="array" ref="G56">INDEX(_xlfn.TEXTSPLIT(C56,"-",,TRUE),6)</f>
        <v>AH</v>
      </c>
      <c r="H5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388.5</v>
      </c>
      <c r="I5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267.81014450091658</v>
      </c>
      <c r="J56" cm="1">
        <f t="array" ref="J56">IF(J$1&lt;&gt;PART_NUMBER_GENERATOR_TABLE[[#This Row],[Work Role]:[Work Role]],0,
IF(RIGHT(J$30,2)&lt;&gt;PART_NUMBER_GENERATOR_TABLE[[#This Row],[Work Type]:[Work Type]],0,
SUMIFS(Input_Tasks[R1 Business Hours],Input_Tasks[[Skill Required]:[Skill Required]],PART_NUMBER_GENERATOR_TABLE[[#This Row],[Tech]:[Tech]])))</f>
        <v>0</v>
      </c>
      <c r="K56" cm="1">
        <f t="array" ref="K56">IF(K$1&lt;&gt;PART_NUMBER_GENERATOR_TABLE[[#This Row],[Work Role]:[Work Role]],0,
IF(RIGHT(K$30,2)&lt;&gt;PART_NUMBER_GENERATOR_TABLE[[#This Row],[Work Type]:[Work Type]],0,
SUMIFS(Input_Tasks[R1 After Hours],Input_Tasks[[Skill Required]:[Skill Required]],PART_NUMBER_GENERATOR_TABLE[[#This Row],[Tech]:[Tech]])))</f>
        <v>0</v>
      </c>
      <c r="L56" cm="1">
        <f t="array" ref="L56">IF(L$1&lt;&gt;PART_NUMBER_GENERATOR_TABLE[[#This Row],[Work Role]:[Work Role]],0,
IF(RIGHT(L$30,2)&lt;&gt;PART_NUMBER_GENERATOR_TABLE[[#This Row],[Work Type]:[Work Type]],0,
SUMIFS(Input_Tasks[R2 Business Hours],Input_Tasks[[Skill Required]:[Skill Required]],PART_NUMBER_GENERATOR_TABLE[[#This Row],[Tech]:[Tech]])))</f>
        <v>0</v>
      </c>
      <c r="M56" cm="1">
        <f t="array" ref="M56">IF(M$1&lt;&gt;PART_NUMBER_GENERATOR_TABLE[[#This Row],[Work Role]:[Work Role]],0,
IF(RIGHT(M$30,2)&lt;&gt;PART_NUMBER_GENERATOR_TABLE[[#This Row],[Work Type]:[Work Type]],0,
SUMIFS(Input_Tasks[R2 After Hours],Input_Tasks[[Skill Required]:[Skill Required]],PART_NUMBER_GENERATOR_TABLE[[#This Row],[Tech]:[Tech]])))</f>
        <v>0</v>
      </c>
      <c r="N56" cm="1">
        <f t="array" ref="N56">IF(N$1&lt;&gt;PART_NUMBER_GENERATOR_TABLE[[#This Row],[Work Role]:[Work Role]],0,
IF(RIGHT(N$30,2)&lt;&gt;PART_NUMBER_GENERATOR_TABLE[[#This Row],[Work Type]:[Work Type]],0,
SUMIFS(Input_Tasks[R3 Business Hours],Input_Tasks[[Skill Required]:[Skill Required]],PART_NUMBER_GENERATOR_TABLE[[#This Row],[Tech]:[Tech]])))</f>
        <v>0</v>
      </c>
      <c r="O56" cm="1">
        <f t="array" ref="O56">IF(O$1&lt;&gt;PART_NUMBER_GENERATOR_TABLE[[#This Row],[Work Role]:[Work Role]],0,
IF(RIGHT(O$30,2)&lt;&gt;PART_NUMBER_GENERATOR_TABLE[[#This Row],[Work Type]:[Work Type]],0,
SUMIFS(Input_Tasks[R3 After Hours],Input_Tasks[[Skill Required]:[Skill Required]],PART_NUMBER_GENERATOR_TABLE[[#This Row],[Tech]:[Tech]])))</f>
        <v>0</v>
      </c>
      <c r="P56" cm="1">
        <f t="array" ref="P56">IF(P$1&lt;&gt;PART_NUMBER_GENERATOR_TABLE[[#This Row],[Work Role]:[Work Role]],0,
IF(RIGHT(P$30,2)&lt;&gt;PART_NUMBER_GENERATOR_TABLE[[#This Row],[Work Type]:[Work Type]],0,
SUMIFS(Input_Tasks[R4 Business Hours],Input_Tasks[[Skill Required]:[Skill Required]],PART_NUMBER_GENERATOR_TABLE[[#This Row],[Tech]:[Tech]])))</f>
        <v>0</v>
      </c>
      <c r="Q56" cm="1">
        <f t="array" ref="Q56">IF(Q$1&lt;&gt;PART_NUMBER_GENERATOR_TABLE[[#This Row],[Work Role]:[Work Role]],0,
IF(RIGHT(Q$30,2)&lt;&gt;PART_NUMBER_GENERATOR_TABLE[[#This Row],[Work Type]:[Work Type]],0,
SUMIFS(Input_Tasks[R4 After Hours],Input_Tasks[[Skill Required]:[Skill Required]],PART_NUMBER_GENERATOR_TABLE[[#This Row],[Tech]:[Tech]])))</f>
        <v>0</v>
      </c>
      <c r="R56" cm="1">
        <f t="array" ref="R56">IF(R$1&lt;&gt;PART_NUMBER_GENERATOR_TABLE[[#This Row],[Work Role]:[Work Role]],0,
IF(RIGHT(R$30,2)&lt;&gt;PART_NUMBER_GENERATOR_TABLE[[#This Row],[Work Type]:[Work Type]],0,
SUMIFS(Input_Tasks[R5 Business Hours],Input_Tasks[[Skill Required]:[Skill Required]],PART_NUMBER_GENERATOR_TABLE[[#This Row],[Tech]:[Tech]])))</f>
        <v>0</v>
      </c>
      <c r="S56" cm="1">
        <f t="array" ref="S56">IF(S$1&lt;&gt;PART_NUMBER_GENERATOR_TABLE[[#This Row],[Work Role]:[Work Role]],0,
IF(RIGHT(S$30,2)&lt;&gt;PART_NUMBER_GENERATOR_TABLE[[#This Row],[Work Type]:[Work Type]],0,
SUMIFS(Input_Tasks[R5 After Hours],Input_Tasks[[Skill Required]:[Skill Required]],PART_NUMBER_GENERATOR_TABLE[[#This Row],[Tech]:[Tech]])))</f>
        <v>0</v>
      </c>
      <c r="T56" cm="1">
        <f t="array" ref="T56">IF(PART_NUMBER_GENERATOR_TABLE[[#This Row],[Work Role]:[Work Role]]&lt;&gt;T$1,0,
IF(PART_NUMBER_GENERATOR_TABLE[[#This Row],[Work Type]:[Work Type]]&lt;&gt;"BH",0,
SUMIFS(T$9:T$24,$M$9:$M$24,PART_NUMBER_GENERATOR_TABLE[[#This Row],[Tech]:[Tech]])))</f>
        <v>0</v>
      </c>
      <c r="U56" cm="1">
        <f t="array" ref="U56">IF(PART_NUMBER_GENERATOR_TABLE[[#This Row],[Work Role]:[Work Role]]&lt;&gt;U$1,0,
IF(PART_NUMBER_GENERATOR_TABLE[[#This Row],[Work Type]:[Work Type]]&lt;&gt;"BH",0,
SUMIFS(U$9:U$24,$M$9:$M$24,PART_NUMBER_GENERATOR_TABLE[[#This Row],[Tech]:[Tech]])))</f>
        <v>0</v>
      </c>
      <c r="V56" cm="1">
        <f t="array" ref="V56">IF(PART_NUMBER_GENERATOR_TABLE[[#This Row],[Work Role]:[Work Role]]&lt;&gt;V$1,0,
IF(PART_NUMBER_GENERATOR_TABLE[[#This Row],[Work Type]:[Work Type]]&lt;&gt;"BH",0,
SUMIFS(V$9:V$24,$M$9:$M$24,PART_NUMBER_GENERATOR_TABLE[[#This Row],[Tech]:[Tech]])))</f>
        <v>0</v>
      </c>
      <c r="W56" cm="1">
        <f t="array" ref="W56">IF(PART_NUMBER_GENERATOR_TABLE[[#This Row],[Work Role]:[Work Role]]&lt;&gt;W$1,0,
IF(PART_NUMBER_GENERATOR_TABLE[[#This Row],[Work Type]:[Work Type]]&lt;&gt;"BH",0,
SUMIFS(W$9:W$24,$M$9:$M$24,PART_NUMBER_GENERATOR_TABLE[[#This Row],[Tech]:[Tech]])))</f>
        <v>0</v>
      </c>
      <c r="X56" cm="1">
        <f t="array" ref="X56">IF(PART_NUMBER_GENERATOR_TABLE[[#This Row],[Work Role]:[Work Role]]&lt;&gt;X$1,0,
IF(PART_NUMBER_GENERATOR_TABLE[[#This Row],[Work Type]:[Work Type]]&lt;&gt;"BH",0,
SUMIFS(X$9:X$24,$M$9:$M$24,PART_NUMBER_GENERATOR_TABLE[[#This Row],[Tech]:[Tech]])))</f>
        <v>0</v>
      </c>
      <c r="Y56" cm="1">
        <f t="array" ref="Y56">IF(PART_NUMBER_GENERATOR_TABLE[[#This Row],[Work Role]:[Work Role]]&lt;&gt;Y$1,0,
IF(PART_NUMBER_GENERATOR_TABLE[[#This Row],[Work Type]:[Work Type]]&lt;&gt;"BH",0,
SUMIFS(Y$9:Y$24,$M$9:$M$24,PART_NUMBER_GENERATOR_TABLE[[#This Row],[Tech]:[Tech]])))</f>
        <v>0</v>
      </c>
      <c r="Z56" cm="1">
        <f t="array" ref="Z56">IF(PART_NUMBER_GENERATOR_TABLE[[#This Row],[Work Role]:[Work Role]]&lt;&gt;Z$1,0,
IF(PART_NUMBER_GENERATOR_TABLE[[#This Row],[Work Type]:[Work Type]]&lt;&gt;"BH",0,
SUMIFS(Z$9:Z$24,$M$9:$M$24,PART_NUMBER_GENERATOR_TABLE[[#This Row],[Tech]:[Tech]])))</f>
        <v>0</v>
      </c>
      <c r="AA56" cm="1">
        <f t="array" ref="AA56">IF(PART_NUMBER_GENERATOR_TABLE[[#This Row],[Work Role]:[Work Role]]&lt;&gt;AA$1,0,
IF(PART_NUMBER_GENERATOR_TABLE[[#This Row],[Work Type]:[Work Type]]&lt;&gt;"BH",0,
SUMIFS(AA$9:AA$24,$M$9:$M$24,PART_NUMBER_GENERATOR_TABLE[[#This Row],[Tech]:[Tech]])))</f>
        <v>0</v>
      </c>
      <c r="AB56" cm="1">
        <f t="array" ref="AB56">IF(PART_NUMBER_GENERATOR_TABLE[[#This Row],[Work Role]:[Work Role]]&lt;&gt;AB$1,0,
IF(PART_NUMBER_GENERATOR_TABLE[[#This Row],[Work Type]:[Work Type]]&lt;&gt;"BH",0,
SUMIFS(AB$9:AB$24,$M$9:$M$24,PART_NUMBER_GENERATOR_TABLE[[#This Row],[Tech]:[Tech]])))</f>
        <v>0</v>
      </c>
      <c r="AC56" cm="1">
        <f t="array" ref="AC56">IF(PART_NUMBER_GENERATOR_TABLE[[#This Row],[Work Role]:[Work Role]]&lt;&gt;AC$1,0,
IF(PART_NUMBER_GENERATOR_TABLE[[#This Row],[Work Type]:[Work Type]]&lt;&gt;"BH",0,
SUMIFS(AC$9:AC$24,$M$9:$M$24,PART_NUMBER_GENERATOR_TABLE[[#This Row],[Tech]:[Tech]])))</f>
        <v>0</v>
      </c>
      <c r="AD56" cm="1">
        <f t="array" ref="AD56">IF(PART_NUMBER_GENERATOR_TABLE[[#This Row],[Work Role]:[Work Role]]&lt;&gt;AD$1,0,
IF(PART_NUMBER_GENERATOR_TABLE[[#This Row],[Work Type]:[Work Type]]&lt;&gt;"BH",0,
SUMIFS(AD$9:AD$24,$M$9:$M$24,PART_NUMBER_GENERATOR_TABLE[[#This Row],[Tech]:[Tech]])))</f>
        <v>0</v>
      </c>
      <c r="AE56" cm="1">
        <f t="array" ref="AE56">IF(PART_NUMBER_GENERATOR_TABLE[[#This Row],[Work Role]:[Work Role]]&lt;&gt;AE$1,0,
IF(PART_NUMBER_GENERATOR_TABLE[[#This Row],[Work Type]:[Work Type]]&lt;&gt;"BH",0,
SUMIFS(AE$9:AE$24,$M$9:$M$24,PART_NUMBER_GENERATOR_TABLE[[#This Row],[Tech]:[Tech]])))</f>
        <v>0</v>
      </c>
      <c r="AF56" cm="1">
        <f t="array" ref="AF56">IF(PART_NUMBER_GENERATOR_TABLE[[#This Row],[Work Role]:[Work Role]]&lt;&gt;AF$1,0,
IF(PART_NUMBER_GENERATOR_TABLE[[#This Row],[Work Type]:[Work Type]]&lt;&gt;"BH",0,
SUMIFS(AF$9:AF$24,$M$9:$M$24,PART_NUMBER_GENERATOR_TABLE[[#This Row],[Tech]:[Tech]])))</f>
        <v>0</v>
      </c>
      <c r="AG56" cm="1">
        <f t="array" ref="AG56">IF(PART_NUMBER_GENERATOR_TABLE[[#This Row],[Work Role]:[Work Role]]&lt;&gt;AG$1,0,
IF(PART_NUMBER_GENERATOR_TABLE[[#This Row],[Work Type]:[Work Type]]&lt;&gt;"AH",0,
SUMIFS(AG$9:AG$24,$M$9:$M$24,PART_NUMBER_GENERATOR_TABLE[[#This Row],[Tech]:[Tech]])))</f>
        <v>0</v>
      </c>
      <c r="AH56" cm="1">
        <f t="array" ref="AH56">IF(PART_NUMBER_GENERATOR_TABLE[[#This Row],[Work Role]:[Work Role]]&lt;&gt;AH$1,0,
IF(PART_NUMBER_GENERATOR_TABLE[[#This Row],[Work Type]:[Work Type]]&lt;&gt;"BH",0,
SUMIFS(AH$9:AH$24,$M$9:$M$24,PART_NUMBER_GENERATOR_TABLE[[#This Row],[Tech]:[Tech]])))</f>
        <v>0</v>
      </c>
      <c r="AI56" cm="1">
        <f t="array" ref="AI56">IF(PART_NUMBER_GENERATOR_TABLE[[#This Row],[Work Role]:[Work Role]]&lt;&gt;AI$1,0,
IF(PART_NUMBER_GENERATOR_TABLE[[#This Row],[Work Type]:[Work Type]]&lt;&gt;"BH",0,
SUMIFS(AI$9:AI$24,$M$9:$M$24,PART_NUMBER_GENERATOR_TABLE[[#This Row],[Tech]:[Tech]])))</f>
        <v>0</v>
      </c>
      <c r="AJ56" cm="1">
        <f t="array" ref="AJ56">IF(PART_NUMBER_GENERATOR_TABLE[[#This Row],[Work Role]:[Work Role]]&lt;&gt;AJ$1,0,
IF(PART_NUMBER_GENERATOR_TABLE[[#This Row],[Work Type]:[Work Type]]&lt;&gt;"BH",0,
SUMIFS(AJ$9:AJ$24,$M$9:$M$24,PART_NUMBER_GENERATOR_TABLE[[#This Row],[Tech]:[Tech]])))</f>
        <v>0</v>
      </c>
      <c r="AK56" cm="1">
        <f t="array" ref="AK56">IF(PART_NUMBER_GENERATOR_TABLE[[#This Row],[Work Role]:[Work Role]]&lt;&gt;AK$1,0,
IF(PART_NUMBER_GENERATOR_TABLE[[#This Row],[Work Type]:[Work Type]]&lt;&gt;"AH",0,
SUMIFS(AK$9:AK$24,$M$9:$M$24,PART_NUMBER_GENERATOR_TABLE[[#This Row],[Tech]:[Tech]])))</f>
        <v>0</v>
      </c>
      <c r="AL56" cm="1">
        <f t="array" ref="AL56">IF(PART_NUMBER_GENERATOR_TABLE[[#This Row],[Work Role]:[Work Role]]&lt;&gt;AL$1,0,
IF(PART_NUMBER_GENERATOR_TABLE[[#This Row],[Work Type]:[Work Type]]&lt;&gt;"BH",0,
SUMIFS(AL$9:AL$24,$M$9:$M$24,PART_NUMBER_GENERATOR_TABLE[[#This Row],[Tech]:[Tech]])))</f>
        <v>0</v>
      </c>
      <c r="AM56">
        <f>0</f>
        <v>0</v>
      </c>
      <c r="AN56" cm="1">
        <f t="array" ref="AN56">IF(PART_NUMBER_GENERATOR_TABLE[[#This Row],[Work Role]:[Work Role]]&lt;&gt;AN$1,0,
IF(PART_NUMBER_GENERATOR_TABLE[[#This Row],[Work Type]:[Work Type]]&lt;&gt;"BH",0,
SUMIFS(AN$24,$AM$24,PART_NUMBER_GENERATOR_TABLE[[#This Row],[Tech]:[Tech]])))</f>
        <v>0</v>
      </c>
      <c r="AO56" cm="1">
        <f t="array" ref="AO56">IF(PART_NUMBER_GENERATOR_TABLE[[#This Row],[Work Role]:[Work Role]]&lt;&gt;AO$1,0,
IF(PART_NUMBER_GENERATOR_TABLE[[#This Row],[Work Type]:[Work Type]]&lt;&gt;"BH",0,
SUMIFS(AO$24,$AM$24,PART_NUMBER_GENERATOR_TABLE[[#This Row],[Tech]:[Tech]])))</f>
        <v>0</v>
      </c>
      <c r="AP56" cm="1">
        <f t="array" ref="AP56">IF(PART_NUMBER_GENERATOR_TABLE[[#This Row],[Work Role]:[Work Role]]&lt;&gt;AP$1,0,
IF(PART_NUMBER_GENERATOR_TABLE[[#This Row],[Work Type]:[Work Type]]&lt;&gt;"BH",0,
SUMIFS(AP$24,$AM$24,PART_NUMBER_GENERATOR_TABLE[[#This Row],[Tech]:[Tech]])))</f>
        <v>0</v>
      </c>
      <c r="AQ56" cm="1">
        <f t="array" ref="AQ56">IF(PART_NUMBER_GENERATOR_TABLE[[#This Row],[Work Role]:[Work Role]]&lt;&gt;AQ$1,0,
IF(PART_NUMBER_GENERATOR_TABLE[[#This Row],[Work Type]:[Work Type]]&lt;&gt;"BH",0,
SUMIFS(AQ$24,$AM$24,PART_NUMBER_GENERATOR_TABLE[[#This Row],[Tech]:[Tech]])))</f>
        <v>0</v>
      </c>
      <c r="AR56" cm="1">
        <f t="array" ref="AR56">IF(PART_NUMBER_GENERATOR_TABLE[[#This Row],[Work Role]:[Work Role]]&lt;&gt;AR$1,0,
IF(PART_NUMBER_GENERATOR_TABLE[[#This Row],[Work Type]:[Work Type]]&lt;&gt;"BH",0,
SUMIFS(AR$24,$AM$24,PART_NUMBER_GENERATOR_TABLE[[#This Row],[Tech]:[Tech]])))</f>
        <v>0</v>
      </c>
      <c r="AS56" cm="1">
        <f t="array" ref="AS56">IF(PART_NUMBER_GENERATOR_TABLE[[#This Row],[Work Role]:[Work Role]]&lt;&gt;AS$1,0,
IF(PART_NUMBER_GENERATOR_TABLE[[#This Row],[Work Type]:[Work Type]]&lt;&gt;"BH",0,
SUMIFS(AS$24,$AM$24,PART_NUMBER_GENERATOR_TABLE[[#This Row],[Tech]:[Tech]])))</f>
        <v>0</v>
      </c>
      <c r="AT56" cm="1">
        <f t="array" ref="AT56">IF(PART_NUMBER_GENERATOR_TABLE[[#This Row],[Work Role]:[Work Role]]&lt;&gt;AS$1,0,
IF(PART_NUMBER_GENERATOR_TABLE[[#This Row],[Work Type]:[Work Type]]&lt;&gt;"BH",0,
SUMIFS(AT$24,$AM$24,PART_NUMBER_GENERATOR_TABLE[[#This Row],[Tech]:[Tech]])))</f>
        <v>0</v>
      </c>
      <c r="AU56">
        <f>SUM(PART_NUMBER_GENERATOR_TABLE[[#This Row],[Resource 1 BH]:[Resource 5 AH]],PART_NUMBER_GENERATOR_TABLE[[#This Row],[R1 Mandatory Tasks]:[R5 Mandatory Tasks]],PART_NUMBER_GENERATOR_TABLE[[#This Row],[R1 Remainder]:[R5 Remainder]])</f>
        <v>0</v>
      </c>
      <c r="AV56">
        <f>PART_NUMBER_GENERATOR_TABLE[[#This Row],[Professional Engineering Hours]]*PART_NUMBER_GENERATOR_TABLE[[#This Row],[Sell Rate]]</f>
        <v>0</v>
      </c>
      <c r="AW56">
        <f>PART_NUMBER_GENERATOR_TABLE[[#This Row],[Professional Engineering Hours]]*PART_NUMBER_GENERATOR_TABLE[[#This Row],[Cost Rate]]</f>
        <v>0</v>
      </c>
      <c r="AX56">
        <f>SUM(PART_NUMBER_GENERATOR_TABLE[[#This Row],[PM Trips]:[R5 Trips]])</f>
        <v>0</v>
      </c>
      <c r="AY56">
        <f>PART_NUMBER_GENERATOR_TABLE[[#This Row],[Travel &amp; Accommodation Hours]]*PART_NUMBER_GENERATOR_TABLE[[#This Row],[Sell Rate]]</f>
        <v>0</v>
      </c>
      <c r="AZ56">
        <f>PART_NUMBER_GENERATOR_TABLE[[#This Row],[Travel &amp; Accommodation Hours]]*PART_NUMBER_GENERATOR_TABLE[[#This Row],[Cost Rate]]</f>
        <v>0</v>
      </c>
      <c r="BA56">
        <f>PART_NUMBER_GENERATOR_TABLE[[#This Row],[PM Hours]]+PART_NUMBER_GENERATOR_TABLE[[#This Row],[PM Remainder]]</f>
        <v>0</v>
      </c>
      <c r="BB56">
        <f>PART_NUMBER_GENERATOR_TABLE[[#This Row],[Project Management Hours]]*PART_NUMBER_GENERATOR_TABLE[[#This Row],[Sell Rate]]</f>
        <v>0</v>
      </c>
      <c r="BC56">
        <f>PART_NUMBER_GENERATOR_TABLE[[#This Row],[Project Management Hours]]*PART_NUMBER_GENERATOR_TABLE[[#This Row],[Cost Rate]]</f>
        <v>0</v>
      </c>
      <c r="BD56">
        <f>SUM(PART_NUMBER_GENERATOR_TABLE[[#This Row],[SSE RISK BH]:[PM RISK]],PART_NUMBER_GENERATOR_TABLE[[#This Row],[SSE Remainder RISK BH]:[PM Remainder RISK]])</f>
        <v>0</v>
      </c>
      <c r="BE56">
        <f>PART_NUMBER_GENERATOR_TABLE[[#This Row],[Project Risk Service Hours]]*PART_NUMBER_GENERATOR_TABLE[[#This Row],[Sell Rate]]</f>
        <v>0</v>
      </c>
      <c r="BF56">
        <f>PART_NUMBER_GENERATOR_TABLE[[#This Row],[Project Risk Service Hours]]*PART_NUMBER_GENERATOR_TABLE[[#This Row],[Cost Rate]]</f>
        <v>0</v>
      </c>
      <c r="BG56">
        <f>PART_NUMBER_GENERATOR_TABLE[[#This Row],[SSE RISK TRAVEL]]</f>
        <v>0</v>
      </c>
      <c r="BH56">
        <f>PART_NUMBER_GENERATOR_TABLE[[#This Row],[Sell Rate]]*PART_NUMBER_GENERATOR_TABLE[[#This Row],[Project Risk Travel Hours]]</f>
        <v>0</v>
      </c>
      <c r="BI56">
        <f>PART_NUMBER_GENERATOR_TABLE[[#This Row],[Project Risk Travel Hours]]*PART_NUMBER_GENERATOR_TABLE[[#This Row],[Cost Rate]]</f>
        <v>0</v>
      </c>
      <c r="BJ5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5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56">
        <f>IFERROR(-VLOOKUP(INDEX(ENGINEER_ROLES,MATCH(PART_NUMBER_GENERATOR_TABLE[[#This Row],[Work Role]],settings.Table_Engineer.Roles[ID],0),1),Settings_Hidden!$H$359:$K$366,4,FALSE),0)</f>
        <v>0</v>
      </c>
      <c r="BM56" s="680">
        <f>-Summary!$C$66</f>
        <v>0</v>
      </c>
      <c r="BN56" s="465">
        <f>PART_NUMBER_GENERATOR_TABLE[[#This Row],[Total Base Price]]*MIN(PART_NUMBER_GENERATOR_TABLE[[#This Row],[Rate Service Discount]:[Flat Service Discount]])</f>
        <v>0</v>
      </c>
      <c r="BO56" s="451" t="str">
        <f>IF(PART_NUMBER_GENERATOR_TABLE[[#This Row],[Quantity]]&lt;&gt;0,MAX($BO$30:BO55)+1,"")</f>
        <v/>
      </c>
      <c r="BP56" t="str">
        <f>PART_NUMBER_GENERATOR_TABLE[[#This Row],[Part Number]]</f>
        <v>A-PS-P-OPPTEC-SPM-AH</v>
      </c>
      <c r="BQ56">
        <f>PART_NUMBER_GENERATOR_TABLE[[#This Row],[Total Hours]]</f>
        <v>0</v>
      </c>
      <c r="BR56">
        <f>PART_NUMBER_GENERATOR_TABLE[[#This Row],[Cost Rate]]</f>
        <v>267.81014450091658</v>
      </c>
      <c r="BS56" s="465">
        <f>PART_NUMBER_GENERATOR_TABLE[[#This Row],[Sell Rate]]+(PART_NUMBER_GENERATOR_TABLE[[#This Row],[Sell Rate]]*MIN(PART_NUMBER_GENERATOR_TABLE[[#This Row],[Rate Service Discount]:[Flat Service Discount]]))</f>
        <v>388.5</v>
      </c>
    </row>
    <row r="57" spans="1:71">
      <c r="A57">
        <v>27</v>
      </c>
      <c r="C57" t="s">
        <v>1106</v>
      </c>
      <c r="D57" t="str" cm="1">
        <f t="array" ref="D57">INDEX(Table.Settings_Skill.List[Skill Name],MATCH(INDEX(_xlfn.TEXTSPLIT(C57,"-",,TRUE),4),Table.Settings_Skill.List[Skill Code],0),1)</f>
        <v>Secure Networking</v>
      </c>
      <c r="E57" t="str" cm="1">
        <f t="array" ref="E57">INDEX(_xlfn.TEXTSPLIT(C57,"-",,TRUE),5)</f>
        <v>PM</v>
      </c>
      <c r="F57" t="str">
        <f>IFERROR(INDEX(settings.Table_Engineer.Roles[Department Code],MATCH(PART_NUMBER_GENERATOR_TABLE[[#This Row],[Work Role]],settings.Table_Engineer.Roles[ID],0),1),"PMO")</f>
        <v>PMO</v>
      </c>
      <c r="G57" t="str" cm="1">
        <f t="array" ref="G57">INDEX(_xlfn.TEXTSPLIT(C57,"-",,TRUE),6)</f>
        <v>AH</v>
      </c>
      <c r="H5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337.5</v>
      </c>
      <c r="I5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221.33704686655341</v>
      </c>
      <c r="J57" cm="1">
        <f t="array" ref="J57">IF(J$1&lt;&gt;PART_NUMBER_GENERATOR_TABLE[[#This Row],[Work Role]:[Work Role]],0,
IF(RIGHT(J$30,2)&lt;&gt;PART_NUMBER_GENERATOR_TABLE[[#This Row],[Work Type]:[Work Type]],0,
SUMIFS(Input_Tasks[R1 Business Hours],Input_Tasks[[Skill Required]:[Skill Required]],PART_NUMBER_GENERATOR_TABLE[[#This Row],[Tech]:[Tech]])))</f>
        <v>0</v>
      </c>
      <c r="K57" cm="1">
        <f t="array" ref="K57">IF(K$1&lt;&gt;PART_NUMBER_GENERATOR_TABLE[[#This Row],[Work Role]:[Work Role]],0,
IF(RIGHT(K$30,2)&lt;&gt;PART_NUMBER_GENERATOR_TABLE[[#This Row],[Work Type]:[Work Type]],0,
SUMIFS(Input_Tasks[R1 After Hours],Input_Tasks[[Skill Required]:[Skill Required]],PART_NUMBER_GENERATOR_TABLE[[#This Row],[Tech]:[Tech]])))</f>
        <v>0</v>
      </c>
      <c r="L57" cm="1">
        <f t="array" ref="L57">IF(L$1&lt;&gt;PART_NUMBER_GENERATOR_TABLE[[#This Row],[Work Role]:[Work Role]],0,
IF(RIGHT(L$30,2)&lt;&gt;PART_NUMBER_GENERATOR_TABLE[[#This Row],[Work Type]:[Work Type]],0,
SUMIFS(Input_Tasks[R2 Business Hours],Input_Tasks[[Skill Required]:[Skill Required]],PART_NUMBER_GENERATOR_TABLE[[#This Row],[Tech]:[Tech]])))</f>
        <v>0</v>
      </c>
      <c r="M57" cm="1">
        <f t="array" ref="M57">IF(M$1&lt;&gt;PART_NUMBER_GENERATOR_TABLE[[#This Row],[Work Role]:[Work Role]],0,
IF(RIGHT(M$30,2)&lt;&gt;PART_NUMBER_GENERATOR_TABLE[[#This Row],[Work Type]:[Work Type]],0,
SUMIFS(Input_Tasks[R2 After Hours],Input_Tasks[[Skill Required]:[Skill Required]],PART_NUMBER_GENERATOR_TABLE[[#This Row],[Tech]:[Tech]])))</f>
        <v>0</v>
      </c>
      <c r="N57" cm="1">
        <f t="array" ref="N57">IF(N$1&lt;&gt;PART_NUMBER_GENERATOR_TABLE[[#This Row],[Work Role]:[Work Role]],0,
IF(RIGHT(N$30,2)&lt;&gt;PART_NUMBER_GENERATOR_TABLE[[#This Row],[Work Type]:[Work Type]],0,
SUMIFS(Input_Tasks[R3 Business Hours],Input_Tasks[[Skill Required]:[Skill Required]],PART_NUMBER_GENERATOR_TABLE[[#This Row],[Tech]:[Tech]])))</f>
        <v>0</v>
      </c>
      <c r="O57" cm="1">
        <f t="array" ref="O57">IF(O$1&lt;&gt;PART_NUMBER_GENERATOR_TABLE[[#This Row],[Work Role]:[Work Role]],0,
IF(RIGHT(O$30,2)&lt;&gt;PART_NUMBER_GENERATOR_TABLE[[#This Row],[Work Type]:[Work Type]],0,
SUMIFS(Input_Tasks[R3 After Hours],Input_Tasks[[Skill Required]:[Skill Required]],PART_NUMBER_GENERATOR_TABLE[[#This Row],[Tech]:[Tech]])))</f>
        <v>0</v>
      </c>
      <c r="P57" cm="1">
        <f t="array" ref="P57">IF(P$1&lt;&gt;PART_NUMBER_GENERATOR_TABLE[[#This Row],[Work Role]:[Work Role]],0,
IF(RIGHT(P$30,2)&lt;&gt;PART_NUMBER_GENERATOR_TABLE[[#This Row],[Work Type]:[Work Type]],0,
SUMIFS(Input_Tasks[R4 Business Hours],Input_Tasks[[Skill Required]:[Skill Required]],PART_NUMBER_GENERATOR_TABLE[[#This Row],[Tech]:[Tech]])))</f>
        <v>0</v>
      </c>
      <c r="Q57" cm="1">
        <f t="array" ref="Q57">IF(Q$1&lt;&gt;PART_NUMBER_GENERATOR_TABLE[[#This Row],[Work Role]:[Work Role]],0,
IF(RIGHT(Q$30,2)&lt;&gt;PART_NUMBER_GENERATOR_TABLE[[#This Row],[Work Type]:[Work Type]],0,
SUMIFS(Input_Tasks[R4 After Hours],Input_Tasks[[Skill Required]:[Skill Required]],PART_NUMBER_GENERATOR_TABLE[[#This Row],[Tech]:[Tech]])))</f>
        <v>0</v>
      </c>
      <c r="R57" cm="1">
        <f t="array" ref="R57">IF(R$1&lt;&gt;PART_NUMBER_GENERATOR_TABLE[[#This Row],[Work Role]:[Work Role]],0,
IF(RIGHT(R$30,2)&lt;&gt;PART_NUMBER_GENERATOR_TABLE[[#This Row],[Work Type]:[Work Type]],0,
SUMIFS(Input_Tasks[R5 Business Hours],Input_Tasks[[Skill Required]:[Skill Required]],PART_NUMBER_GENERATOR_TABLE[[#This Row],[Tech]:[Tech]])))</f>
        <v>0</v>
      </c>
      <c r="S57" cm="1">
        <f t="array" ref="S57">IF(S$1&lt;&gt;PART_NUMBER_GENERATOR_TABLE[[#This Row],[Work Role]:[Work Role]],0,
IF(RIGHT(S$30,2)&lt;&gt;PART_NUMBER_GENERATOR_TABLE[[#This Row],[Work Type]:[Work Type]],0,
SUMIFS(Input_Tasks[R5 After Hours],Input_Tasks[[Skill Required]:[Skill Required]],PART_NUMBER_GENERATOR_TABLE[[#This Row],[Tech]:[Tech]])))</f>
        <v>0</v>
      </c>
      <c r="T57" cm="1">
        <f t="array" ref="T57">IF(PART_NUMBER_GENERATOR_TABLE[[#This Row],[Work Role]:[Work Role]]&lt;&gt;T$1,0,
IF(PART_NUMBER_GENERATOR_TABLE[[#This Row],[Work Type]:[Work Type]]&lt;&gt;"BH",0,
SUMIFS(T$9:T$24,$M$9:$M$24,PART_NUMBER_GENERATOR_TABLE[[#This Row],[Tech]:[Tech]])))</f>
        <v>0</v>
      </c>
      <c r="U57" cm="1">
        <f t="array" ref="U57">IF(PART_NUMBER_GENERATOR_TABLE[[#This Row],[Work Role]:[Work Role]]&lt;&gt;U$1,0,
IF(PART_NUMBER_GENERATOR_TABLE[[#This Row],[Work Type]:[Work Type]]&lt;&gt;"BH",0,
SUMIFS(U$9:U$24,$M$9:$M$24,PART_NUMBER_GENERATOR_TABLE[[#This Row],[Tech]:[Tech]])))</f>
        <v>0</v>
      </c>
      <c r="V57" cm="1">
        <f t="array" ref="V57">IF(PART_NUMBER_GENERATOR_TABLE[[#This Row],[Work Role]:[Work Role]]&lt;&gt;V$1,0,
IF(PART_NUMBER_GENERATOR_TABLE[[#This Row],[Work Type]:[Work Type]]&lt;&gt;"BH",0,
SUMIFS(V$9:V$24,$M$9:$M$24,PART_NUMBER_GENERATOR_TABLE[[#This Row],[Tech]:[Tech]])))</f>
        <v>0</v>
      </c>
      <c r="W57" cm="1">
        <f t="array" ref="W57">IF(PART_NUMBER_GENERATOR_TABLE[[#This Row],[Work Role]:[Work Role]]&lt;&gt;W$1,0,
IF(PART_NUMBER_GENERATOR_TABLE[[#This Row],[Work Type]:[Work Type]]&lt;&gt;"BH",0,
SUMIFS(W$9:W$24,$M$9:$M$24,PART_NUMBER_GENERATOR_TABLE[[#This Row],[Tech]:[Tech]])))</f>
        <v>0</v>
      </c>
      <c r="X57" cm="1">
        <f t="array" ref="X57">IF(PART_NUMBER_GENERATOR_TABLE[[#This Row],[Work Role]:[Work Role]]&lt;&gt;X$1,0,
IF(PART_NUMBER_GENERATOR_TABLE[[#This Row],[Work Type]:[Work Type]]&lt;&gt;"BH",0,
SUMIFS(X$9:X$24,$M$9:$M$24,PART_NUMBER_GENERATOR_TABLE[[#This Row],[Tech]:[Tech]])))</f>
        <v>0</v>
      </c>
      <c r="Y57" cm="1">
        <f t="array" ref="Y57">IF(PART_NUMBER_GENERATOR_TABLE[[#This Row],[Work Role]:[Work Role]]&lt;&gt;Y$1,0,
IF(PART_NUMBER_GENERATOR_TABLE[[#This Row],[Work Type]:[Work Type]]&lt;&gt;"BH",0,
SUMIFS(Y$9:Y$24,$M$9:$M$24,PART_NUMBER_GENERATOR_TABLE[[#This Row],[Tech]:[Tech]])))</f>
        <v>0</v>
      </c>
      <c r="Z57" cm="1">
        <f t="array" ref="Z57">IF(PART_NUMBER_GENERATOR_TABLE[[#This Row],[Work Role]:[Work Role]]&lt;&gt;Z$1,0,
IF(PART_NUMBER_GENERATOR_TABLE[[#This Row],[Work Type]:[Work Type]]&lt;&gt;"BH",0,
SUMIFS(Z$9:Z$24,$M$9:$M$24,PART_NUMBER_GENERATOR_TABLE[[#This Row],[Tech]:[Tech]])))</f>
        <v>0</v>
      </c>
      <c r="AA57" cm="1">
        <f t="array" ref="AA57">IF(PART_NUMBER_GENERATOR_TABLE[[#This Row],[Work Role]:[Work Role]]&lt;&gt;AA$1,0,
IF(PART_NUMBER_GENERATOR_TABLE[[#This Row],[Work Type]:[Work Type]]&lt;&gt;"BH",0,
SUMIFS(AA$9:AA$24,$M$9:$M$24,PART_NUMBER_GENERATOR_TABLE[[#This Row],[Tech]:[Tech]])))</f>
        <v>0</v>
      </c>
      <c r="AB57" cm="1">
        <f t="array" ref="AB57">IF(PART_NUMBER_GENERATOR_TABLE[[#This Row],[Work Role]:[Work Role]]&lt;&gt;AB$1,0,
IF(PART_NUMBER_GENERATOR_TABLE[[#This Row],[Work Type]:[Work Type]]&lt;&gt;"BH",0,
SUMIFS(AB$9:AB$24,$M$9:$M$24,PART_NUMBER_GENERATOR_TABLE[[#This Row],[Tech]:[Tech]])))</f>
        <v>0</v>
      </c>
      <c r="AC57" cm="1">
        <f t="array" ref="AC57">IF(PART_NUMBER_GENERATOR_TABLE[[#This Row],[Work Role]:[Work Role]]&lt;&gt;AC$1,0,
IF(PART_NUMBER_GENERATOR_TABLE[[#This Row],[Work Type]:[Work Type]]&lt;&gt;"BH",0,
SUMIFS(AC$9:AC$24,$M$9:$M$24,PART_NUMBER_GENERATOR_TABLE[[#This Row],[Tech]:[Tech]])))</f>
        <v>0</v>
      </c>
      <c r="AD57" cm="1">
        <f t="array" ref="AD57">IF(PART_NUMBER_GENERATOR_TABLE[[#This Row],[Work Role]:[Work Role]]&lt;&gt;AD$1,0,
IF(PART_NUMBER_GENERATOR_TABLE[[#This Row],[Work Type]:[Work Type]]&lt;&gt;"BH",0,
SUMIFS(AD$9:AD$24,$M$9:$M$24,PART_NUMBER_GENERATOR_TABLE[[#This Row],[Tech]:[Tech]])))</f>
        <v>0</v>
      </c>
      <c r="AE57" cm="1">
        <f t="array" ref="AE57">IF(PART_NUMBER_GENERATOR_TABLE[[#This Row],[Work Role]:[Work Role]]&lt;&gt;AE$1,0,
IF(PART_NUMBER_GENERATOR_TABLE[[#This Row],[Work Type]:[Work Type]]&lt;&gt;"BH",0,
SUMIFS(AE$9:AE$24,$M$9:$M$24,PART_NUMBER_GENERATOR_TABLE[[#This Row],[Tech]:[Tech]])))</f>
        <v>0</v>
      </c>
      <c r="AF57" cm="1">
        <f t="array" ref="AF57">IF(PART_NUMBER_GENERATOR_TABLE[[#This Row],[Work Role]:[Work Role]]&lt;&gt;AF$1,0,
IF(PART_NUMBER_GENERATOR_TABLE[[#This Row],[Work Type]:[Work Type]]&lt;&gt;"BH",0,
SUMIFS(AF$9:AF$24,$M$9:$M$24,PART_NUMBER_GENERATOR_TABLE[[#This Row],[Tech]:[Tech]])))</f>
        <v>0</v>
      </c>
      <c r="AG57" cm="1">
        <f t="array" ref="AG57">IF(PART_NUMBER_GENERATOR_TABLE[[#This Row],[Work Role]:[Work Role]]&lt;&gt;AG$1,0,
IF(PART_NUMBER_GENERATOR_TABLE[[#This Row],[Work Type]:[Work Type]]&lt;&gt;"AH",0,
SUMIFS(AG$9:AG$24,$M$9:$M$24,PART_NUMBER_GENERATOR_TABLE[[#This Row],[Tech]:[Tech]])))</f>
        <v>0</v>
      </c>
      <c r="AH57" cm="1">
        <f t="array" ref="AH57">IF(PART_NUMBER_GENERATOR_TABLE[[#This Row],[Work Role]:[Work Role]]&lt;&gt;AH$1,0,
IF(PART_NUMBER_GENERATOR_TABLE[[#This Row],[Work Type]:[Work Type]]&lt;&gt;"BH",0,
SUMIFS(AH$9:AH$24,$M$9:$M$24,PART_NUMBER_GENERATOR_TABLE[[#This Row],[Tech]:[Tech]])))</f>
        <v>0</v>
      </c>
      <c r="AI57" cm="1">
        <f t="array" ref="AI57">IF(PART_NUMBER_GENERATOR_TABLE[[#This Row],[Work Role]:[Work Role]]&lt;&gt;AI$1,0,
IF(PART_NUMBER_GENERATOR_TABLE[[#This Row],[Work Type]:[Work Type]]&lt;&gt;"BH",0,
SUMIFS(AI$9:AI$24,$M$9:$M$24,PART_NUMBER_GENERATOR_TABLE[[#This Row],[Tech]:[Tech]])))</f>
        <v>0</v>
      </c>
      <c r="AJ57" cm="1">
        <f t="array" ref="AJ57">IF(PART_NUMBER_GENERATOR_TABLE[[#This Row],[Work Role]:[Work Role]]&lt;&gt;AJ$1,0,
IF(PART_NUMBER_GENERATOR_TABLE[[#This Row],[Work Type]:[Work Type]]&lt;&gt;"BH",0,
SUMIFS(AJ$9:AJ$24,$M$9:$M$24,PART_NUMBER_GENERATOR_TABLE[[#This Row],[Tech]:[Tech]])))</f>
        <v>0</v>
      </c>
      <c r="AK57" cm="1">
        <f t="array" ref="AK57">IF(PART_NUMBER_GENERATOR_TABLE[[#This Row],[Work Role]:[Work Role]]&lt;&gt;AK$1,0,
IF(PART_NUMBER_GENERATOR_TABLE[[#This Row],[Work Type]:[Work Type]]&lt;&gt;"AH",0,
SUMIFS(AK$9:AK$24,$M$9:$M$24,PART_NUMBER_GENERATOR_TABLE[[#This Row],[Tech]:[Tech]])))</f>
        <v>0</v>
      </c>
      <c r="AL57" cm="1">
        <f t="array" ref="AL57">IF(PART_NUMBER_GENERATOR_TABLE[[#This Row],[Work Role]:[Work Role]]&lt;&gt;AL$1,0,
IF(PART_NUMBER_GENERATOR_TABLE[[#This Row],[Work Type]:[Work Type]]&lt;&gt;"BH",0,
SUMIFS(AL$9:AL$24,$M$9:$M$24,PART_NUMBER_GENERATOR_TABLE[[#This Row],[Tech]:[Tech]])))</f>
        <v>0</v>
      </c>
      <c r="AM57">
        <f>0</f>
        <v>0</v>
      </c>
      <c r="AN57" cm="1">
        <f t="array" ref="AN57">IF(PART_NUMBER_GENERATOR_TABLE[[#This Row],[Work Role]:[Work Role]]&lt;&gt;AN$1,0,
IF(PART_NUMBER_GENERATOR_TABLE[[#This Row],[Work Type]:[Work Type]]&lt;&gt;"BH",0,
SUMIFS(AN$24,$AM$24,PART_NUMBER_GENERATOR_TABLE[[#This Row],[Tech]:[Tech]])))</f>
        <v>0</v>
      </c>
      <c r="AO57" cm="1">
        <f t="array" ref="AO57">IF(PART_NUMBER_GENERATOR_TABLE[[#This Row],[Work Role]:[Work Role]]&lt;&gt;AO$1,0,
IF(PART_NUMBER_GENERATOR_TABLE[[#This Row],[Work Type]:[Work Type]]&lt;&gt;"BH",0,
SUMIFS(AO$24,$AM$24,PART_NUMBER_GENERATOR_TABLE[[#This Row],[Tech]:[Tech]])))</f>
        <v>0</v>
      </c>
      <c r="AP57" cm="1">
        <f t="array" ref="AP57">IF(PART_NUMBER_GENERATOR_TABLE[[#This Row],[Work Role]:[Work Role]]&lt;&gt;AP$1,0,
IF(PART_NUMBER_GENERATOR_TABLE[[#This Row],[Work Type]:[Work Type]]&lt;&gt;"BH",0,
SUMIFS(AP$24,$AM$24,PART_NUMBER_GENERATOR_TABLE[[#This Row],[Tech]:[Tech]])))</f>
        <v>0</v>
      </c>
      <c r="AQ57" cm="1">
        <f t="array" ref="AQ57">IF(PART_NUMBER_GENERATOR_TABLE[[#This Row],[Work Role]:[Work Role]]&lt;&gt;AQ$1,0,
IF(PART_NUMBER_GENERATOR_TABLE[[#This Row],[Work Type]:[Work Type]]&lt;&gt;"BH",0,
SUMIFS(AQ$24,$AM$24,PART_NUMBER_GENERATOR_TABLE[[#This Row],[Tech]:[Tech]])))</f>
        <v>0</v>
      </c>
      <c r="AR57" cm="1">
        <f t="array" ref="AR57">IF(PART_NUMBER_GENERATOR_TABLE[[#This Row],[Work Role]:[Work Role]]&lt;&gt;AR$1,0,
IF(PART_NUMBER_GENERATOR_TABLE[[#This Row],[Work Type]:[Work Type]]&lt;&gt;"BH",0,
SUMIFS(AR$24,$AM$24,PART_NUMBER_GENERATOR_TABLE[[#This Row],[Tech]:[Tech]])))</f>
        <v>0</v>
      </c>
      <c r="AS57" cm="1">
        <f t="array" ref="AS57">IF(PART_NUMBER_GENERATOR_TABLE[[#This Row],[Work Role]:[Work Role]]&lt;&gt;AS$1,0,
IF(PART_NUMBER_GENERATOR_TABLE[[#This Row],[Work Type]:[Work Type]]&lt;&gt;"BH",0,
SUMIFS(AS$24,$AM$24,PART_NUMBER_GENERATOR_TABLE[[#This Row],[Tech]:[Tech]])))</f>
        <v>0</v>
      </c>
      <c r="AT57" cm="1">
        <f t="array" ref="AT57">IF(PART_NUMBER_GENERATOR_TABLE[[#This Row],[Work Role]:[Work Role]]&lt;&gt;AS$1,0,
IF(PART_NUMBER_GENERATOR_TABLE[[#This Row],[Work Type]:[Work Type]]&lt;&gt;"BH",0,
SUMIFS(AT$24,$AM$24,PART_NUMBER_GENERATOR_TABLE[[#This Row],[Tech]:[Tech]])))</f>
        <v>0</v>
      </c>
      <c r="AU57">
        <f>SUM(PART_NUMBER_GENERATOR_TABLE[[#This Row],[Resource 1 BH]:[Resource 5 AH]],PART_NUMBER_GENERATOR_TABLE[[#This Row],[R1 Mandatory Tasks]:[R5 Mandatory Tasks]],PART_NUMBER_GENERATOR_TABLE[[#This Row],[R1 Remainder]:[R5 Remainder]])</f>
        <v>0</v>
      </c>
      <c r="AV57">
        <f>PART_NUMBER_GENERATOR_TABLE[[#This Row],[Professional Engineering Hours]]*PART_NUMBER_GENERATOR_TABLE[[#This Row],[Sell Rate]]</f>
        <v>0</v>
      </c>
      <c r="AW57">
        <f>PART_NUMBER_GENERATOR_TABLE[[#This Row],[Professional Engineering Hours]]*PART_NUMBER_GENERATOR_TABLE[[#This Row],[Cost Rate]]</f>
        <v>0</v>
      </c>
      <c r="AX57">
        <f>SUM(PART_NUMBER_GENERATOR_TABLE[[#This Row],[PM Trips]:[R5 Trips]])</f>
        <v>0</v>
      </c>
      <c r="AY57">
        <f>PART_NUMBER_GENERATOR_TABLE[[#This Row],[Travel &amp; Accommodation Hours]]*PART_NUMBER_GENERATOR_TABLE[[#This Row],[Sell Rate]]</f>
        <v>0</v>
      </c>
      <c r="AZ57">
        <f>PART_NUMBER_GENERATOR_TABLE[[#This Row],[Travel &amp; Accommodation Hours]]*PART_NUMBER_GENERATOR_TABLE[[#This Row],[Cost Rate]]</f>
        <v>0</v>
      </c>
      <c r="BA57">
        <f>PART_NUMBER_GENERATOR_TABLE[[#This Row],[PM Hours]]+PART_NUMBER_GENERATOR_TABLE[[#This Row],[PM Remainder]]</f>
        <v>0</v>
      </c>
      <c r="BB57">
        <f>PART_NUMBER_GENERATOR_TABLE[[#This Row],[Project Management Hours]]*PART_NUMBER_GENERATOR_TABLE[[#This Row],[Sell Rate]]</f>
        <v>0</v>
      </c>
      <c r="BC57">
        <f>PART_NUMBER_GENERATOR_TABLE[[#This Row],[Project Management Hours]]*PART_NUMBER_GENERATOR_TABLE[[#This Row],[Cost Rate]]</f>
        <v>0</v>
      </c>
      <c r="BD57">
        <f>SUM(PART_NUMBER_GENERATOR_TABLE[[#This Row],[SSE RISK BH]:[PM RISK]],PART_NUMBER_GENERATOR_TABLE[[#This Row],[SSE Remainder RISK BH]:[PM Remainder RISK]])</f>
        <v>0</v>
      </c>
      <c r="BE57">
        <f>PART_NUMBER_GENERATOR_TABLE[[#This Row],[Project Risk Service Hours]]*PART_NUMBER_GENERATOR_TABLE[[#This Row],[Sell Rate]]</f>
        <v>0</v>
      </c>
      <c r="BF57">
        <f>PART_NUMBER_GENERATOR_TABLE[[#This Row],[Project Risk Service Hours]]*PART_NUMBER_GENERATOR_TABLE[[#This Row],[Cost Rate]]</f>
        <v>0</v>
      </c>
      <c r="BG57">
        <f>PART_NUMBER_GENERATOR_TABLE[[#This Row],[SSE RISK TRAVEL]]</f>
        <v>0</v>
      </c>
      <c r="BH57">
        <f>PART_NUMBER_GENERATOR_TABLE[[#This Row],[Sell Rate]]*PART_NUMBER_GENERATOR_TABLE[[#This Row],[Project Risk Travel Hours]]</f>
        <v>0</v>
      </c>
      <c r="BI57">
        <f>PART_NUMBER_GENERATOR_TABLE[[#This Row],[Project Risk Travel Hours]]*PART_NUMBER_GENERATOR_TABLE[[#This Row],[Cost Rate]]</f>
        <v>0</v>
      </c>
      <c r="BJ5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5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57">
        <f>IFERROR(-VLOOKUP(INDEX(ENGINEER_ROLES,MATCH(PART_NUMBER_GENERATOR_TABLE[[#This Row],[Work Role]],settings.Table_Engineer.Roles[ID],0),1),Settings_Hidden!$H$359:$K$366,4,FALSE),0)</f>
        <v>0</v>
      </c>
      <c r="BM57" s="680">
        <f>-Summary!$C$66</f>
        <v>0</v>
      </c>
      <c r="BN57" s="465">
        <f>PART_NUMBER_GENERATOR_TABLE[[#This Row],[Total Base Price]]*MIN(PART_NUMBER_GENERATOR_TABLE[[#This Row],[Rate Service Discount]:[Flat Service Discount]])</f>
        <v>0</v>
      </c>
      <c r="BO57" s="451" t="str">
        <f>IF(PART_NUMBER_GENERATOR_TABLE[[#This Row],[Quantity]]&lt;&gt;0,MAX($BO$30:BO56)+1,"")</f>
        <v/>
      </c>
      <c r="BP57" t="str">
        <f>PART_NUMBER_GENERATOR_TABLE[[#This Row],[Part Number]]</f>
        <v>A-PS-P-SECURE-PM-AH</v>
      </c>
      <c r="BQ57">
        <f>PART_NUMBER_GENERATOR_TABLE[[#This Row],[Total Hours]]</f>
        <v>0</v>
      </c>
      <c r="BR57">
        <f>PART_NUMBER_GENERATOR_TABLE[[#This Row],[Cost Rate]]</f>
        <v>221.33704686655341</v>
      </c>
      <c r="BS57" s="465">
        <f>PART_NUMBER_GENERATOR_TABLE[[#This Row],[Sell Rate]]+(PART_NUMBER_GENERATOR_TABLE[[#This Row],[Sell Rate]]*MIN(PART_NUMBER_GENERATOR_TABLE[[#This Row],[Rate Service Discount]:[Flat Service Discount]]))</f>
        <v>337.5</v>
      </c>
    </row>
    <row r="58" spans="1:71">
      <c r="A58">
        <v>28</v>
      </c>
      <c r="C58" t="s">
        <v>1114</v>
      </c>
      <c r="D58" t="str" cm="1">
        <f t="array" ref="D58">INDEX(Table.Settings_Skill.List[Skill Name],MATCH(INDEX(_xlfn.TEXTSPLIT(C58,"-",,TRUE),4),Table.Settings_Skill.List[Skill Code],0),1)</f>
        <v>Secure Networking</v>
      </c>
      <c r="E58" t="str" cm="1">
        <f t="array" ref="E58">INDEX(_xlfn.TEXTSPLIT(C58,"-",,TRUE),5)</f>
        <v>SPM</v>
      </c>
      <c r="F58" t="str">
        <f>IFERROR(INDEX(settings.Table_Engineer.Roles[Department Code],MATCH(PART_NUMBER_GENERATOR_TABLE[[#This Row],[Work Role]],settings.Table_Engineer.Roles[ID],0),1),"PMO")</f>
        <v>PMO</v>
      </c>
      <c r="G58" t="str" cm="1">
        <f t="array" ref="G58">INDEX(_xlfn.TEXTSPLIT(C58,"-",,TRUE),6)</f>
        <v>AH</v>
      </c>
      <c r="H5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388.5</v>
      </c>
      <c r="I5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267.81014450091658</v>
      </c>
      <c r="J58" cm="1">
        <f t="array" ref="J58">IF(J$1&lt;&gt;PART_NUMBER_GENERATOR_TABLE[[#This Row],[Work Role]:[Work Role]],0,
IF(RIGHT(J$30,2)&lt;&gt;PART_NUMBER_GENERATOR_TABLE[[#This Row],[Work Type]:[Work Type]],0,
SUMIFS(Input_Tasks[R1 Business Hours],Input_Tasks[[Skill Required]:[Skill Required]],PART_NUMBER_GENERATOR_TABLE[[#This Row],[Tech]:[Tech]])))</f>
        <v>0</v>
      </c>
      <c r="K58" cm="1">
        <f t="array" ref="K58">IF(K$1&lt;&gt;PART_NUMBER_GENERATOR_TABLE[[#This Row],[Work Role]:[Work Role]],0,
IF(RIGHT(K$30,2)&lt;&gt;PART_NUMBER_GENERATOR_TABLE[[#This Row],[Work Type]:[Work Type]],0,
SUMIFS(Input_Tasks[R1 After Hours],Input_Tasks[[Skill Required]:[Skill Required]],PART_NUMBER_GENERATOR_TABLE[[#This Row],[Tech]:[Tech]])))</f>
        <v>0</v>
      </c>
      <c r="L58" cm="1">
        <f t="array" ref="L58">IF(L$1&lt;&gt;PART_NUMBER_GENERATOR_TABLE[[#This Row],[Work Role]:[Work Role]],0,
IF(RIGHT(L$30,2)&lt;&gt;PART_NUMBER_GENERATOR_TABLE[[#This Row],[Work Type]:[Work Type]],0,
SUMIFS(Input_Tasks[R2 Business Hours],Input_Tasks[[Skill Required]:[Skill Required]],PART_NUMBER_GENERATOR_TABLE[[#This Row],[Tech]:[Tech]])))</f>
        <v>0</v>
      </c>
      <c r="M58" cm="1">
        <f t="array" ref="M58">IF(M$1&lt;&gt;PART_NUMBER_GENERATOR_TABLE[[#This Row],[Work Role]:[Work Role]],0,
IF(RIGHT(M$30,2)&lt;&gt;PART_NUMBER_GENERATOR_TABLE[[#This Row],[Work Type]:[Work Type]],0,
SUMIFS(Input_Tasks[R2 After Hours],Input_Tasks[[Skill Required]:[Skill Required]],PART_NUMBER_GENERATOR_TABLE[[#This Row],[Tech]:[Tech]])))</f>
        <v>0</v>
      </c>
      <c r="N58" cm="1">
        <f t="array" ref="N58">IF(N$1&lt;&gt;PART_NUMBER_GENERATOR_TABLE[[#This Row],[Work Role]:[Work Role]],0,
IF(RIGHT(N$30,2)&lt;&gt;PART_NUMBER_GENERATOR_TABLE[[#This Row],[Work Type]:[Work Type]],0,
SUMIFS(Input_Tasks[R3 Business Hours],Input_Tasks[[Skill Required]:[Skill Required]],PART_NUMBER_GENERATOR_TABLE[[#This Row],[Tech]:[Tech]])))</f>
        <v>0</v>
      </c>
      <c r="O58" cm="1">
        <f t="array" ref="O58">IF(O$1&lt;&gt;PART_NUMBER_GENERATOR_TABLE[[#This Row],[Work Role]:[Work Role]],0,
IF(RIGHT(O$30,2)&lt;&gt;PART_NUMBER_GENERATOR_TABLE[[#This Row],[Work Type]:[Work Type]],0,
SUMIFS(Input_Tasks[R3 After Hours],Input_Tasks[[Skill Required]:[Skill Required]],PART_NUMBER_GENERATOR_TABLE[[#This Row],[Tech]:[Tech]])))</f>
        <v>0</v>
      </c>
      <c r="P58" cm="1">
        <f t="array" ref="P58">IF(P$1&lt;&gt;PART_NUMBER_GENERATOR_TABLE[[#This Row],[Work Role]:[Work Role]],0,
IF(RIGHT(P$30,2)&lt;&gt;PART_NUMBER_GENERATOR_TABLE[[#This Row],[Work Type]:[Work Type]],0,
SUMIFS(Input_Tasks[R4 Business Hours],Input_Tasks[[Skill Required]:[Skill Required]],PART_NUMBER_GENERATOR_TABLE[[#This Row],[Tech]:[Tech]])))</f>
        <v>0</v>
      </c>
      <c r="Q58" cm="1">
        <f t="array" ref="Q58">IF(Q$1&lt;&gt;PART_NUMBER_GENERATOR_TABLE[[#This Row],[Work Role]:[Work Role]],0,
IF(RIGHT(Q$30,2)&lt;&gt;PART_NUMBER_GENERATOR_TABLE[[#This Row],[Work Type]:[Work Type]],0,
SUMIFS(Input_Tasks[R4 After Hours],Input_Tasks[[Skill Required]:[Skill Required]],PART_NUMBER_GENERATOR_TABLE[[#This Row],[Tech]:[Tech]])))</f>
        <v>0</v>
      </c>
      <c r="R58" cm="1">
        <f t="array" ref="R58">IF(R$1&lt;&gt;PART_NUMBER_GENERATOR_TABLE[[#This Row],[Work Role]:[Work Role]],0,
IF(RIGHT(R$30,2)&lt;&gt;PART_NUMBER_GENERATOR_TABLE[[#This Row],[Work Type]:[Work Type]],0,
SUMIFS(Input_Tasks[R5 Business Hours],Input_Tasks[[Skill Required]:[Skill Required]],PART_NUMBER_GENERATOR_TABLE[[#This Row],[Tech]:[Tech]])))</f>
        <v>0</v>
      </c>
      <c r="S58" cm="1">
        <f t="array" ref="S58">IF(S$1&lt;&gt;PART_NUMBER_GENERATOR_TABLE[[#This Row],[Work Role]:[Work Role]],0,
IF(RIGHT(S$30,2)&lt;&gt;PART_NUMBER_GENERATOR_TABLE[[#This Row],[Work Type]:[Work Type]],0,
SUMIFS(Input_Tasks[R5 After Hours],Input_Tasks[[Skill Required]:[Skill Required]],PART_NUMBER_GENERATOR_TABLE[[#This Row],[Tech]:[Tech]])))</f>
        <v>0</v>
      </c>
      <c r="T58" cm="1">
        <f t="array" ref="T58">IF(PART_NUMBER_GENERATOR_TABLE[[#This Row],[Work Role]:[Work Role]]&lt;&gt;T$1,0,
IF(PART_NUMBER_GENERATOR_TABLE[[#This Row],[Work Type]:[Work Type]]&lt;&gt;"BH",0,
SUMIFS(T$9:T$24,$M$9:$M$24,PART_NUMBER_GENERATOR_TABLE[[#This Row],[Tech]:[Tech]])))</f>
        <v>0</v>
      </c>
      <c r="U58" cm="1">
        <f t="array" ref="U58">IF(PART_NUMBER_GENERATOR_TABLE[[#This Row],[Work Role]:[Work Role]]&lt;&gt;U$1,0,
IF(PART_NUMBER_GENERATOR_TABLE[[#This Row],[Work Type]:[Work Type]]&lt;&gt;"BH",0,
SUMIFS(U$9:U$24,$M$9:$M$24,PART_NUMBER_GENERATOR_TABLE[[#This Row],[Tech]:[Tech]])))</f>
        <v>0</v>
      </c>
      <c r="V58" cm="1">
        <f t="array" ref="V58">IF(PART_NUMBER_GENERATOR_TABLE[[#This Row],[Work Role]:[Work Role]]&lt;&gt;V$1,0,
IF(PART_NUMBER_GENERATOR_TABLE[[#This Row],[Work Type]:[Work Type]]&lt;&gt;"BH",0,
SUMIFS(V$9:V$24,$M$9:$M$24,PART_NUMBER_GENERATOR_TABLE[[#This Row],[Tech]:[Tech]])))</f>
        <v>0</v>
      </c>
      <c r="W58" cm="1">
        <f t="array" ref="W58">IF(PART_NUMBER_GENERATOR_TABLE[[#This Row],[Work Role]:[Work Role]]&lt;&gt;W$1,0,
IF(PART_NUMBER_GENERATOR_TABLE[[#This Row],[Work Type]:[Work Type]]&lt;&gt;"BH",0,
SUMIFS(W$9:W$24,$M$9:$M$24,PART_NUMBER_GENERATOR_TABLE[[#This Row],[Tech]:[Tech]])))</f>
        <v>0</v>
      </c>
      <c r="X58" cm="1">
        <f t="array" ref="X58">IF(PART_NUMBER_GENERATOR_TABLE[[#This Row],[Work Role]:[Work Role]]&lt;&gt;X$1,0,
IF(PART_NUMBER_GENERATOR_TABLE[[#This Row],[Work Type]:[Work Type]]&lt;&gt;"BH",0,
SUMIFS(X$9:X$24,$M$9:$M$24,PART_NUMBER_GENERATOR_TABLE[[#This Row],[Tech]:[Tech]])))</f>
        <v>0</v>
      </c>
      <c r="Y58" cm="1">
        <f t="array" ref="Y58">IF(PART_NUMBER_GENERATOR_TABLE[[#This Row],[Work Role]:[Work Role]]&lt;&gt;Y$1,0,
IF(PART_NUMBER_GENERATOR_TABLE[[#This Row],[Work Type]:[Work Type]]&lt;&gt;"BH",0,
SUMIFS(Y$9:Y$24,$M$9:$M$24,PART_NUMBER_GENERATOR_TABLE[[#This Row],[Tech]:[Tech]])))</f>
        <v>0</v>
      </c>
      <c r="Z58" cm="1">
        <f t="array" ref="Z58">IF(PART_NUMBER_GENERATOR_TABLE[[#This Row],[Work Role]:[Work Role]]&lt;&gt;Z$1,0,
IF(PART_NUMBER_GENERATOR_TABLE[[#This Row],[Work Type]:[Work Type]]&lt;&gt;"BH",0,
SUMIFS(Z$9:Z$24,$M$9:$M$24,PART_NUMBER_GENERATOR_TABLE[[#This Row],[Tech]:[Tech]])))</f>
        <v>0</v>
      </c>
      <c r="AA58" cm="1">
        <f t="array" ref="AA58">IF(PART_NUMBER_GENERATOR_TABLE[[#This Row],[Work Role]:[Work Role]]&lt;&gt;AA$1,0,
IF(PART_NUMBER_GENERATOR_TABLE[[#This Row],[Work Type]:[Work Type]]&lt;&gt;"BH",0,
SUMIFS(AA$9:AA$24,$M$9:$M$24,PART_NUMBER_GENERATOR_TABLE[[#This Row],[Tech]:[Tech]])))</f>
        <v>0</v>
      </c>
      <c r="AB58" cm="1">
        <f t="array" ref="AB58">IF(PART_NUMBER_GENERATOR_TABLE[[#This Row],[Work Role]:[Work Role]]&lt;&gt;AB$1,0,
IF(PART_NUMBER_GENERATOR_TABLE[[#This Row],[Work Type]:[Work Type]]&lt;&gt;"BH",0,
SUMIFS(AB$9:AB$24,$M$9:$M$24,PART_NUMBER_GENERATOR_TABLE[[#This Row],[Tech]:[Tech]])))</f>
        <v>0</v>
      </c>
      <c r="AC58" cm="1">
        <f t="array" ref="AC58">IF(PART_NUMBER_GENERATOR_TABLE[[#This Row],[Work Role]:[Work Role]]&lt;&gt;AC$1,0,
IF(PART_NUMBER_GENERATOR_TABLE[[#This Row],[Work Type]:[Work Type]]&lt;&gt;"BH",0,
SUMIFS(AC$9:AC$24,$M$9:$M$24,PART_NUMBER_GENERATOR_TABLE[[#This Row],[Tech]:[Tech]])))</f>
        <v>0</v>
      </c>
      <c r="AD58" cm="1">
        <f t="array" ref="AD58">IF(PART_NUMBER_GENERATOR_TABLE[[#This Row],[Work Role]:[Work Role]]&lt;&gt;AD$1,0,
IF(PART_NUMBER_GENERATOR_TABLE[[#This Row],[Work Type]:[Work Type]]&lt;&gt;"BH",0,
SUMIFS(AD$9:AD$24,$M$9:$M$24,PART_NUMBER_GENERATOR_TABLE[[#This Row],[Tech]:[Tech]])))</f>
        <v>0</v>
      </c>
      <c r="AE58" cm="1">
        <f t="array" ref="AE58">IF(PART_NUMBER_GENERATOR_TABLE[[#This Row],[Work Role]:[Work Role]]&lt;&gt;AE$1,0,
IF(PART_NUMBER_GENERATOR_TABLE[[#This Row],[Work Type]:[Work Type]]&lt;&gt;"BH",0,
SUMIFS(AE$9:AE$24,$M$9:$M$24,PART_NUMBER_GENERATOR_TABLE[[#This Row],[Tech]:[Tech]])))</f>
        <v>0</v>
      </c>
      <c r="AF58" cm="1">
        <f t="array" ref="AF58">IF(PART_NUMBER_GENERATOR_TABLE[[#This Row],[Work Role]:[Work Role]]&lt;&gt;AF$1,0,
IF(PART_NUMBER_GENERATOR_TABLE[[#This Row],[Work Type]:[Work Type]]&lt;&gt;"BH",0,
SUMIFS(AF$9:AF$24,$M$9:$M$24,PART_NUMBER_GENERATOR_TABLE[[#This Row],[Tech]:[Tech]])))</f>
        <v>0</v>
      </c>
      <c r="AG58" cm="1">
        <f t="array" ref="AG58">IF(PART_NUMBER_GENERATOR_TABLE[[#This Row],[Work Role]:[Work Role]]&lt;&gt;AG$1,0,
IF(PART_NUMBER_GENERATOR_TABLE[[#This Row],[Work Type]:[Work Type]]&lt;&gt;"AH",0,
SUMIFS(AG$9:AG$24,$M$9:$M$24,PART_NUMBER_GENERATOR_TABLE[[#This Row],[Tech]:[Tech]])))</f>
        <v>0</v>
      </c>
      <c r="AH58" cm="1">
        <f t="array" ref="AH58">IF(PART_NUMBER_GENERATOR_TABLE[[#This Row],[Work Role]:[Work Role]]&lt;&gt;AH$1,0,
IF(PART_NUMBER_GENERATOR_TABLE[[#This Row],[Work Type]:[Work Type]]&lt;&gt;"BH",0,
SUMIFS(AH$9:AH$24,$M$9:$M$24,PART_NUMBER_GENERATOR_TABLE[[#This Row],[Tech]:[Tech]])))</f>
        <v>0</v>
      </c>
      <c r="AI58" cm="1">
        <f t="array" ref="AI58">IF(PART_NUMBER_GENERATOR_TABLE[[#This Row],[Work Role]:[Work Role]]&lt;&gt;AI$1,0,
IF(PART_NUMBER_GENERATOR_TABLE[[#This Row],[Work Type]:[Work Type]]&lt;&gt;"BH",0,
SUMIFS(AI$9:AI$24,$M$9:$M$24,PART_NUMBER_GENERATOR_TABLE[[#This Row],[Tech]:[Tech]])))</f>
        <v>0</v>
      </c>
      <c r="AJ58" cm="1">
        <f t="array" ref="AJ58">IF(PART_NUMBER_GENERATOR_TABLE[[#This Row],[Work Role]:[Work Role]]&lt;&gt;AJ$1,0,
IF(PART_NUMBER_GENERATOR_TABLE[[#This Row],[Work Type]:[Work Type]]&lt;&gt;"BH",0,
SUMIFS(AJ$9:AJ$24,$M$9:$M$24,PART_NUMBER_GENERATOR_TABLE[[#This Row],[Tech]:[Tech]])))</f>
        <v>0</v>
      </c>
      <c r="AK58" cm="1">
        <f t="array" ref="AK58">IF(PART_NUMBER_GENERATOR_TABLE[[#This Row],[Work Role]:[Work Role]]&lt;&gt;AK$1,0,
IF(PART_NUMBER_GENERATOR_TABLE[[#This Row],[Work Type]:[Work Type]]&lt;&gt;"AH",0,
SUMIFS(AK$9:AK$24,$M$9:$M$24,PART_NUMBER_GENERATOR_TABLE[[#This Row],[Tech]:[Tech]])))</f>
        <v>0</v>
      </c>
      <c r="AL58" cm="1">
        <f t="array" ref="AL58">IF(PART_NUMBER_GENERATOR_TABLE[[#This Row],[Work Role]:[Work Role]]&lt;&gt;AL$1,0,
IF(PART_NUMBER_GENERATOR_TABLE[[#This Row],[Work Type]:[Work Type]]&lt;&gt;"BH",0,
SUMIFS(AL$9:AL$24,$M$9:$M$24,PART_NUMBER_GENERATOR_TABLE[[#This Row],[Tech]:[Tech]])))</f>
        <v>0</v>
      </c>
      <c r="AM58">
        <f>0</f>
        <v>0</v>
      </c>
      <c r="AN58" cm="1">
        <f t="array" ref="AN58">IF(PART_NUMBER_GENERATOR_TABLE[[#This Row],[Work Role]:[Work Role]]&lt;&gt;AN$1,0,
IF(PART_NUMBER_GENERATOR_TABLE[[#This Row],[Work Type]:[Work Type]]&lt;&gt;"BH",0,
SUMIFS(AN$24,$AM$24,PART_NUMBER_GENERATOR_TABLE[[#This Row],[Tech]:[Tech]])))</f>
        <v>0</v>
      </c>
      <c r="AO58" cm="1">
        <f t="array" ref="AO58">IF(PART_NUMBER_GENERATOR_TABLE[[#This Row],[Work Role]:[Work Role]]&lt;&gt;AO$1,0,
IF(PART_NUMBER_GENERATOR_TABLE[[#This Row],[Work Type]:[Work Type]]&lt;&gt;"BH",0,
SUMIFS(AO$24,$AM$24,PART_NUMBER_GENERATOR_TABLE[[#This Row],[Tech]:[Tech]])))</f>
        <v>0</v>
      </c>
      <c r="AP58" cm="1">
        <f t="array" ref="AP58">IF(PART_NUMBER_GENERATOR_TABLE[[#This Row],[Work Role]:[Work Role]]&lt;&gt;AP$1,0,
IF(PART_NUMBER_GENERATOR_TABLE[[#This Row],[Work Type]:[Work Type]]&lt;&gt;"BH",0,
SUMIFS(AP$24,$AM$24,PART_NUMBER_GENERATOR_TABLE[[#This Row],[Tech]:[Tech]])))</f>
        <v>0</v>
      </c>
      <c r="AQ58" cm="1">
        <f t="array" ref="AQ58">IF(PART_NUMBER_GENERATOR_TABLE[[#This Row],[Work Role]:[Work Role]]&lt;&gt;AQ$1,0,
IF(PART_NUMBER_GENERATOR_TABLE[[#This Row],[Work Type]:[Work Type]]&lt;&gt;"BH",0,
SUMIFS(AQ$24,$AM$24,PART_NUMBER_GENERATOR_TABLE[[#This Row],[Tech]:[Tech]])))</f>
        <v>0</v>
      </c>
      <c r="AR58" cm="1">
        <f t="array" ref="AR58">IF(PART_NUMBER_GENERATOR_TABLE[[#This Row],[Work Role]:[Work Role]]&lt;&gt;AR$1,0,
IF(PART_NUMBER_GENERATOR_TABLE[[#This Row],[Work Type]:[Work Type]]&lt;&gt;"BH",0,
SUMIFS(AR$24,$AM$24,PART_NUMBER_GENERATOR_TABLE[[#This Row],[Tech]:[Tech]])))</f>
        <v>0</v>
      </c>
      <c r="AS58" cm="1">
        <f t="array" ref="AS58">IF(PART_NUMBER_GENERATOR_TABLE[[#This Row],[Work Role]:[Work Role]]&lt;&gt;AS$1,0,
IF(PART_NUMBER_GENERATOR_TABLE[[#This Row],[Work Type]:[Work Type]]&lt;&gt;"BH",0,
SUMIFS(AS$24,$AM$24,PART_NUMBER_GENERATOR_TABLE[[#This Row],[Tech]:[Tech]])))</f>
        <v>0</v>
      </c>
      <c r="AT58" cm="1">
        <f t="array" ref="AT58">IF(PART_NUMBER_GENERATOR_TABLE[[#This Row],[Work Role]:[Work Role]]&lt;&gt;AS$1,0,
IF(PART_NUMBER_GENERATOR_TABLE[[#This Row],[Work Type]:[Work Type]]&lt;&gt;"BH",0,
SUMIFS(AT$24,$AM$24,PART_NUMBER_GENERATOR_TABLE[[#This Row],[Tech]:[Tech]])))</f>
        <v>0</v>
      </c>
      <c r="AU58">
        <f>SUM(PART_NUMBER_GENERATOR_TABLE[[#This Row],[Resource 1 BH]:[Resource 5 AH]],PART_NUMBER_GENERATOR_TABLE[[#This Row],[R1 Mandatory Tasks]:[R5 Mandatory Tasks]],PART_NUMBER_GENERATOR_TABLE[[#This Row],[R1 Remainder]:[R5 Remainder]])</f>
        <v>0</v>
      </c>
      <c r="AV58">
        <f>PART_NUMBER_GENERATOR_TABLE[[#This Row],[Professional Engineering Hours]]*PART_NUMBER_GENERATOR_TABLE[[#This Row],[Sell Rate]]</f>
        <v>0</v>
      </c>
      <c r="AW58">
        <f>PART_NUMBER_GENERATOR_TABLE[[#This Row],[Professional Engineering Hours]]*PART_NUMBER_GENERATOR_TABLE[[#This Row],[Cost Rate]]</f>
        <v>0</v>
      </c>
      <c r="AX58">
        <f>SUM(PART_NUMBER_GENERATOR_TABLE[[#This Row],[PM Trips]:[R5 Trips]])</f>
        <v>0</v>
      </c>
      <c r="AY58">
        <f>PART_NUMBER_GENERATOR_TABLE[[#This Row],[Travel &amp; Accommodation Hours]]*PART_NUMBER_GENERATOR_TABLE[[#This Row],[Sell Rate]]</f>
        <v>0</v>
      </c>
      <c r="AZ58">
        <f>PART_NUMBER_GENERATOR_TABLE[[#This Row],[Travel &amp; Accommodation Hours]]*PART_NUMBER_GENERATOR_TABLE[[#This Row],[Cost Rate]]</f>
        <v>0</v>
      </c>
      <c r="BA58">
        <f>PART_NUMBER_GENERATOR_TABLE[[#This Row],[PM Hours]]+PART_NUMBER_GENERATOR_TABLE[[#This Row],[PM Remainder]]</f>
        <v>0</v>
      </c>
      <c r="BB58">
        <f>PART_NUMBER_GENERATOR_TABLE[[#This Row],[Project Management Hours]]*PART_NUMBER_GENERATOR_TABLE[[#This Row],[Sell Rate]]</f>
        <v>0</v>
      </c>
      <c r="BC58">
        <f>PART_NUMBER_GENERATOR_TABLE[[#This Row],[Project Management Hours]]*PART_NUMBER_GENERATOR_TABLE[[#This Row],[Cost Rate]]</f>
        <v>0</v>
      </c>
      <c r="BD58">
        <f>SUM(PART_NUMBER_GENERATOR_TABLE[[#This Row],[SSE RISK BH]:[PM RISK]],PART_NUMBER_GENERATOR_TABLE[[#This Row],[SSE Remainder RISK BH]:[PM Remainder RISK]])</f>
        <v>0</v>
      </c>
      <c r="BE58">
        <f>PART_NUMBER_GENERATOR_TABLE[[#This Row],[Project Risk Service Hours]]*PART_NUMBER_GENERATOR_TABLE[[#This Row],[Sell Rate]]</f>
        <v>0</v>
      </c>
      <c r="BF58">
        <f>PART_NUMBER_GENERATOR_TABLE[[#This Row],[Project Risk Service Hours]]*PART_NUMBER_GENERATOR_TABLE[[#This Row],[Cost Rate]]</f>
        <v>0</v>
      </c>
      <c r="BG58">
        <f>PART_NUMBER_GENERATOR_TABLE[[#This Row],[SSE RISK TRAVEL]]</f>
        <v>0</v>
      </c>
      <c r="BH58">
        <f>PART_NUMBER_GENERATOR_TABLE[[#This Row],[Sell Rate]]*PART_NUMBER_GENERATOR_TABLE[[#This Row],[Project Risk Travel Hours]]</f>
        <v>0</v>
      </c>
      <c r="BI58">
        <f>PART_NUMBER_GENERATOR_TABLE[[#This Row],[Project Risk Travel Hours]]*PART_NUMBER_GENERATOR_TABLE[[#This Row],[Cost Rate]]</f>
        <v>0</v>
      </c>
      <c r="BJ5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5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58">
        <f>IFERROR(-VLOOKUP(INDEX(ENGINEER_ROLES,MATCH(PART_NUMBER_GENERATOR_TABLE[[#This Row],[Work Role]],settings.Table_Engineer.Roles[ID],0),1),Settings_Hidden!$H$359:$K$366,4,FALSE),0)</f>
        <v>0</v>
      </c>
      <c r="BM58" s="680">
        <f>-Summary!$C$66</f>
        <v>0</v>
      </c>
      <c r="BN58" s="465">
        <f>PART_NUMBER_GENERATOR_TABLE[[#This Row],[Total Base Price]]*MIN(PART_NUMBER_GENERATOR_TABLE[[#This Row],[Rate Service Discount]:[Flat Service Discount]])</f>
        <v>0</v>
      </c>
      <c r="BO58" s="451" t="str">
        <f>IF(PART_NUMBER_GENERATOR_TABLE[[#This Row],[Quantity]]&lt;&gt;0,MAX($BO$30:BO57)+1,"")</f>
        <v/>
      </c>
      <c r="BP58" t="str">
        <f>PART_NUMBER_GENERATOR_TABLE[[#This Row],[Part Number]]</f>
        <v>A-PS-P-SECURE-SPM-AH</v>
      </c>
      <c r="BQ58">
        <f>PART_NUMBER_GENERATOR_TABLE[[#This Row],[Total Hours]]</f>
        <v>0</v>
      </c>
      <c r="BR58">
        <f>PART_NUMBER_GENERATOR_TABLE[[#This Row],[Cost Rate]]</f>
        <v>267.81014450091658</v>
      </c>
      <c r="BS58" s="465">
        <f>PART_NUMBER_GENERATOR_TABLE[[#This Row],[Sell Rate]]+(PART_NUMBER_GENERATOR_TABLE[[#This Row],[Sell Rate]]*MIN(PART_NUMBER_GENERATOR_TABLE[[#This Row],[Rate Service Discount]:[Flat Service Discount]]))</f>
        <v>388.5</v>
      </c>
    </row>
    <row r="59" spans="1:71">
      <c r="A59">
        <v>29</v>
      </c>
      <c r="C59" t="s">
        <v>1080</v>
      </c>
      <c r="D59" t="str" cm="1">
        <f t="array" ref="D59">INDEX(Table.Settings_Skill.List[Skill Name],MATCH(INDEX(_xlfn.TEXTSPLIT(C59,"-",,TRUE),4),Table.Settings_Skill.List[Skill Code],0),1)</f>
        <v>Security</v>
      </c>
      <c r="E59" t="str" cm="1">
        <f t="array" ref="E59">INDEX(_xlfn.TEXTSPLIT(C59,"-",,TRUE),5)</f>
        <v>PM</v>
      </c>
      <c r="F59" t="str">
        <f>IFERROR(INDEX(settings.Table_Engineer.Roles[Department Code],MATCH(PART_NUMBER_GENERATOR_TABLE[[#This Row],[Work Role]],settings.Table_Engineer.Roles[ID],0),1),"PMO")</f>
        <v>PMO</v>
      </c>
      <c r="G59" t="str" cm="1">
        <f t="array" ref="G59">INDEX(_xlfn.TEXTSPLIT(C59,"-",,TRUE),6)</f>
        <v>AH</v>
      </c>
      <c r="H5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337.5</v>
      </c>
      <c r="I5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221.33704686655341</v>
      </c>
      <c r="J59" cm="1">
        <f t="array" ref="J59">IF(J$1&lt;&gt;PART_NUMBER_GENERATOR_TABLE[[#This Row],[Work Role]:[Work Role]],0,
IF(RIGHT(J$30,2)&lt;&gt;PART_NUMBER_GENERATOR_TABLE[[#This Row],[Work Type]:[Work Type]],0,
SUMIFS(Input_Tasks[R1 Business Hours],Input_Tasks[[Skill Required]:[Skill Required]],PART_NUMBER_GENERATOR_TABLE[[#This Row],[Tech]:[Tech]])))</f>
        <v>0</v>
      </c>
      <c r="K59" cm="1">
        <f t="array" ref="K59">IF(K$1&lt;&gt;PART_NUMBER_GENERATOR_TABLE[[#This Row],[Work Role]:[Work Role]],0,
IF(RIGHT(K$30,2)&lt;&gt;PART_NUMBER_GENERATOR_TABLE[[#This Row],[Work Type]:[Work Type]],0,
SUMIFS(Input_Tasks[R1 After Hours],Input_Tasks[[Skill Required]:[Skill Required]],PART_NUMBER_GENERATOR_TABLE[[#This Row],[Tech]:[Tech]])))</f>
        <v>0</v>
      </c>
      <c r="L59" cm="1">
        <f t="array" ref="L59">IF(L$1&lt;&gt;PART_NUMBER_GENERATOR_TABLE[[#This Row],[Work Role]:[Work Role]],0,
IF(RIGHT(L$30,2)&lt;&gt;PART_NUMBER_GENERATOR_TABLE[[#This Row],[Work Type]:[Work Type]],0,
SUMIFS(Input_Tasks[R2 Business Hours],Input_Tasks[[Skill Required]:[Skill Required]],PART_NUMBER_GENERATOR_TABLE[[#This Row],[Tech]:[Tech]])))</f>
        <v>0</v>
      </c>
      <c r="M59" cm="1">
        <f t="array" ref="M59">IF(M$1&lt;&gt;PART_NUMBER_GENERATOR_TABLE[[#This Row],[Work Role]:[Work Role]],0,
IF(RIGHT(M$30,2)&lt;&gt;PART_NUMBER_GENERATOR_TABLE[[#This Row],[Work Type]:[Work Type]],0,
SUMIFS(Input_Tasks[R2 After Hours],Input_Tasks[[Skill Required]:[Skill Required]],PART_NUMBER_GENERATOR_TABLE[[#This Row],[Tech]:[Tech]])))</f>
        <v>0</v>
      </c>
      <c r="N59" cm="1">
        <f t="array" ref="N59">IF(N$1&lt;&gt;PART_NUMBER_GENERATOR_TABLE[[#This Row],[Work Role]:[Work Role]],0,
IF(RIGHT(N$30,2)&lt;&gt;PART_NUMBER_GENERATOR_TABLE[[#This Row],[Work Type]:[Work Type]],0,
SUMIFS(Input_Tasks[R3 Business Hours],Input_Tasks[[Skill Required]:[Skill Required]],PART_NUMBER_GENERATOR_TABLE[[#This Row],[Tech]:[Tech]])))</f>
        <v>0</v>
      </c>
      <c r="O59" cm="1">
        <f t="array" ref="O59">IF(O$1&lt;&gt;PART_NUMBER_GENERATOR_TABLE[[#This Row],[Work Role]:[Work Role]],0,
IF(RIGHT(O$30,2)&lt;&gt;PART_NUMBER_GENERATOR_TABLE[[#This Row],[Work Type]:[Work Type]],0,
SUMIFS(Input_Tasks[R3 After Hours],Input_Tasks[[Skill Required]:[Skill Required]],PART_NUMBER_GENERATOR_TABLE[[#This Row],[Tech]:[Tech]])))</f>
        <v>0</v>
      </c>
      <c r="P59" cm="1">
        <f t="array" ref="P59">IF(P$1&lt;&gt;PART_NUMBER_GENERATOR_TABLE[[#This Row],[Work Role]:[Work Role]],0,
IF(RIGHT(P$30,2)&lt;&gt;PART_NUMBER_GENERATOR_TABLE[[#This Row],[Work Type]:[Work Type]],0,
SUMIFS(Input_Tasks[R4 Business Hours],Input_Tasks[[Skill Required]:[Skill Required]],PART_NUMBER_GENERATOR_TABLE[[#This Row],[Tech]:[Tech]])))</f>
        <v>0</v>
      </c>
      <c r="Q59" cm="1">
        <f t="array" ref="Q59">IF(Q$1&lt;&gt;PART_NUMBER_GENERATOR_TABLE[[#This Row],[Work Role]:[Work Role]],0,
IF(RIGHT(Q$30,2)&lt;&gt;PART_NUMBER_GENERATOR_TABLE[[#This Row],[Work Type]:[Work Type]],0,
SUMIFS(Input_Tasks[R4 After Hours],Input_Tasks[[Skill Required]:[Skill Required]],PART_NUMBER_GENERATOR_TABLE[[#This Row],[Tech]:[Tech]])))</f>
        <v>0</v>
      </c>
      <c r="R59" cm="1">
        <f t="array" ref="R59">IF(R$1&lt;&gt;PART_NUMBER_GENERATOR_TABLE[[#This Row],[Work Role]:[Work Role]],0,
IF(RIGHT(R$30,2)&lt;&gt;PART_NUMBER_GENERATOR_TABLE[[#This Row],[Work Type]:[Work Type]],0,
SUMIFS(Input_Tasks[R5 Business Hours],Input_Tasks[[Skill Required]:[Skill Required]],PART_NUMBER_GENERATOR_TABLE[[#This Row],[Tech]:[Tech]])))</f>
        <v>0</v>
      </c>
      <c r="S59" cm="1">
        <f t="array" ref="S59">IF(S$1&lt;&gt;PART_NUMBER_GENERATOR_TABLE[[#This Row],[Work Role]:[Work Role]],0,
IF(RIGHT(S$30,2)&lt;&gt;PART_NUMBER_GENERATOR_TABLE[[#This Row],[Work Type]:[Work Type]],0,
SUMIFS(Input_Tasks[R5 After Hours],Input_Tasks[[Skill Required]:[Skill Required]],PART_NUMBER_GENERATOR_TABLE[[#This Row],[Tech]:[Tech]])))</f>
        <v>0</v>
      </c>
      <c r="T59" cm="1">
        <f t="array" ref="T59">IF(PART_NUMBER_GENERATOR_TABLE[[#This Row],[Work Role]:[Work Role]]&lt;&gt;T$1,0,
IF(PART_NUMBER_GENERATOR_TABLE[[#This Row],[Work Type]:[Work Type]]&lt;&gt;"BH",0,
SUMIFS(T$9:T$24,$M$9:$M$24,PART_NUMBER_GENERATOR_TABLE[[#This Row],[Tech]:[Tech]])))</f>
        <v>0</v>
      </c>
      <c r="U59" cm="1">
        <f t="array" ref="U59">IF(PART_NUMBER_GENERATOR_TABLE[[#This Row],[Work Role]:[Work Role]]&lt;&gt;U$1,0,
IF(PART_NUMBER_GENERATOR_TABLE[[#This Row],[Work Type]:[Work Type]]&lt;&gt;"BH",0,
SUMIFS(U$9:U$24,$M$9:$M$24,PART_NUMBER_GENERATOR_TABLE[[#This Row],[Tech]:[Tech]])))</f>
        <v>0</v>
      </c>
      <c r="V59" cm="1">
        <f t="array" ref="V59">IF(PART_NUMBER_GENERATOR_TABLE[[#This Row],[Work Role]:[Work Role]]&lt;&gt;V$1,0,
IF(PART_NUMBER_GENERATOR_TABLE[[#This Row],[Work Type]:[Work Type]]&lt;&gt;"BH",0,
SUMIFS(V$9:V$24,$M$9:$M$24,PART_NUMBER_GENERATOR_TABLE[[#This Row],[Tech]:[Tech]])))</f>
        <v>0</v>
      </c>
      <c r="W59" cm="1">
        <f t="array" ref="W59">IF(PART_NUMBER_GENERATOR_TABLE[[#This Row],[Work Role]:[Work Role]]&lt;&gt;W$1,0,
IF(PART_NUMBER_GENERATOR_TABLE[[#This Row],[Work Type]:[Work Type]]&lt;&gt;"BH",0,
SUMIFS(W$9:W$24,$M$9:$M$24,PART_NUMBER_GENERATOR_TABLE[[#This Row],[Tech]:[Tech]])))</f>
        <v>0</v>
      </c>
      <c r="X59" cm="1">
        <f t="array" ref="X59">IF(PART_NUMBER_GENERATOR_TABLE[[#This Row],[Work Role]:[Work Role]]&lt;&gt;X$1,0,
IF(PART_NUMBER_GENERATOR_TABLE[[#This Row],[Work Type]:[Work Type]]&lt;&gt;"BH",0,
SUMIFS(X$9:X$24,$M$9:$M$24,PART_NUMBER_GENERATOR_TABLE[[#This Row],[Tech]:[Tech]])))</f>
        <v>0</v>
      </c>
      <c r="Y59" cm="1">
        <f t="array" ref="Y59">IF(PART_NUMBER_GENERATOR_TABLE[[#This Row],[Work Role]:[Work Role]]&lt;&gt;Y$1,0,
IF(PART_NUMBER_GENERATOR_TABLE[[#This Row],[Work Type]:[Work Type]]&lt;&gt;"BH",0,
SUMIFS(Y$9:Y$24,$M$9:$M$24,PART_NUMBER_GENERATOR_TABLE[[#This Row],[Tech]:[Tech]])))</f>
        <v>0</v>
      </c>
      <c r="Z59" cm="1">
        <f t="array" ref="Z59">IF(PART_NUMBER_GENERATOR_TABLE[[#This Row],[Work Role]:[Work Role]]&lt;&gt;Z$1,0,
IF(PART_NUMBER_GENERATOR_TABLE[[#This Row],[Work Type]:[Work Type]]&lt;&gt;"BH",0,
SUMIFS(Z$9:Z$24,$M$9:$M$24,PART_NUMBER_GENERATOR_TABLE[[#This Row],[Tech]:[Tech]])))</f>
        <v>0</v>
      </c>
      <c r="AA59" cm="1">
        <f t="array" ref="AA59">IF(PART_NUMBER_GENERATOR_TABLE[[#This Row],[Work Role]:[Work Role]]&lt;&gt;AA$1,0,
IF(PART_NUMBER_GENERATOR_TABLE[[#This Row],[Work Type]:[Work Type]]&lt;&gt;"BH",0,
SUMIFS(AA$9:AA$24,$M$9:$M$24,PART_NUMBER_GENERATOR_TABLE[[#This Row],[Tech]:[Tech]])))</f>
        <v>0</v>
      </c>
      <c r="AB59" cm="1">
        <f t="array" ref="AB59">IF(PART_NUMBER_GENERATOR_TABLE[[#This Row],[Work Role]:[Work Role]]&lt;&gt;AB$1,0,
IF(PART_NUMBER_GENERATOR_TABLE[[#This Row],[Work Type]:[Work Type]]&lt;&gt;"BH",0,
SUMIFS(AB$9:AB$24,$M$9:$M$24,PART_NUMBER_GENERATOR_TABLE[[#This Row],[Tech]:[Tech]])))</f>
        <v>0</v>
      </c>
      <c r="AC59" cm="1">
        <f t="array" ref="AC59">IF(PART_NUMBER_GENERATOR_TABLE[[#This Row],[Work Role]:[Work Role]]&lt;&gt;AC$1,0,
IF(PART_NUMBER_GENERATOR_TABLE[[#This Row],[Work Type]:[Work Type]]&lt;&gt;"BH",0,
SUMIFS(AC$9:AC$24,$M$9:$M$24,PART_NUMBER_GENERATOR_TABLE[[#This Row],[Tech]:[Tech]])))</f>
        <v>0</v>
      </c>
      <c r="AD59" cm="1">
        <f t="array" ref="AD59">IF(PART_NUMBER_GENERATOR_TABLE[[#This Row],[Work Role]:[Work Role]]&lt;&gt;AD$1,0,
IF(PART_NUMBER_GENERATOR_TABLE[[#This Row],[Work Type]:[Work Type]]&lt;&gt;"BH",0,
SUMIFS(AD$9:AD$24,$M$9:$M$24,PART_NUMBER_GENERATOR_TABLE[[#This Row],[Tech]:[Tech]])))</f>
        <v>0</v>
      </c>
      <c r="AE59" cm="1">
        <f t="array" ref="AE59">IF(PART_NUMBER_GENERATOR_TABLE[[#This Row],[Work Role]:[Work Role]]&lt;&gt;AE$1,0,
IF(PART_NUMBER_GENERATOR_TABLE[[#This Row],[Work Type]:[Work Type]]&lt;&gt;"BH",0,
SUMIFS(AE$9:AE$24,$M$9:$M$24,PART_NUMBER_GENERATOR_TABLE[[#This Row],[Tech]:[Tech]])))</f>
        <v>0</v>
      </c>
      <c r="AF59" cm="1">
        <f t="array" ref="AF59">IF(PART_NUMBER_GENERATOR_TABLE[[#This Row],[Work Role]:[Work Role]]&lt;&gt;AF$1,0,
IF(PART_NUMBER_GENERATOR_TABLE[[#This Row],[Work Type]:[Work Type]]&lt;&gt;"BH",0,
SUMIFS(AF$9:AF$24,$M$9:$M$24,PART_NUMBER_GENERATOR_TABLE[[#This Row],[Tech]:[Tech]])))</f>
        <v>0</v>
      </c>
      <c r="AG59" cm="1">
        <f t="array" ref="AG59">IF(PART_NUMBER_GENERATOR_TABLE[[#This Row],[Work Role]:[Work Role]]&lt;&gt;AG$1,0,
IF(PART_NUMBER_GENERATOR_TABLE[[#This Row],[Work Type]:[Work Type]]&lt;&gt;"AH",0,
SUMIFS(AG$9:AG$24,$M$9:$M$24,PART_NUMBER_GENERATOR_TABLE[[#This Row],[Tech]:[Tech]])))</f>
        <v>0</v>
      </c>
      <c r="AH59" cm="1">
        <f t="array" ref="AH59">IF(PART_NUMBER_GENERATOR_TABLE[[#This Row],[Work Role]:[Work Role]]&lt;&gt;AH$1,0,
IF(PART_NUMBER_GENERATOR_TABLE[[#This Row],[Work Type]:[Work Type]]&lt;&gt;"BH",0,
SUMIFS(AH$9:AH$24,$M$9:$M$24,PART_NUMBER_GENERATOR_TABLE[[#This Row],[Tech]:[Tech]])))</f>
        <v>0</v>
      </c>
      <c r="AI59" cm="1">
        <f t="array" ref="AI59">IF(PART_NUMBER_GENERATOR_TABLE[[#This Row],[Work Role]:[Work Role]]&lt;&gt;AI$1,0,
IF(PART_NUMBER_GENERATOR_TABLE[[#This Row],[Work Type]:[Work Type]]&lt;&gt;"BH",0,
SUMIFS(AI$9:AI$24,$M$9:$M$24,PART_NUMBER_GENERATOR_TABLE[[#This Row],[Tech]:[Tech]])))</f>
        <v>0</v>
      </c>
      <c r="AJ59" cm="1">
        <f t="array" ref="AJ59">IF(PART_NUMBER_GENERATOR_TABLE[[#This Row],[Work Role]:[Work Role]]&lt;&gt;AJ$1,0,
IF(PART_NUMBER_GENERATOR_TABLE[[#This Row],[Work Type]:[Work Type]]&lt;&gt;"BH",0,
SUMIFS(AJ$9:AJ$24,$M$9:$M$24,PART_NUMBER_GENERATOR_TABLE[[#This Row],[Tech]:[Tech]])))</f>
        <v>0</v>
      </c>
      <c r="AK59" cm="1">
        <f t="array" ref="AK59">IF(PART_NUMBER_GENERATOR_TABLE[[#This Row],[Work Role]:[Work Role]]&lt;&gt;AK$1,0,
IF(PART_NUMBER_GENERATOR_TABLE[[#This Row],[Work Type]:[Work Type]]&lt;&gt;"AH",0,
SUMIFS(AK$9:AK$24,$M$9:$M$24,PART_NUMBER_GENERATOR_TABLE[[#This Row],[Tech]:[Tech]])))</f>
        <v>0</v>
      </c>
      <c r="AL59" cm="1">
        <f t="array" ref="AL59">IF(PART_NUMBER_GENERATOR_TABLE[[#This Row],[Work Role]:[Work Role]]&lt;&gt;AL$1,0,
IF(PART_NUMBER_GENERATOR_TABLE[[#This Row],[Work Type]:[Work Type]]&lt;&gt;"BH",0,
SUMIFS(AL$9:AL$24,$M$9:$M$24,PART_NUMBER_GENERATOR_TABLE[[#This Row],[Tech]:[Tech]])))</f>
        <v>0</v>
      </c>
      <c r="AM59">
        <f>0</f>
        <v>0</v>
      </c>
      <c r="AN59" cm="1">
        <f t="array" ref="AN59">IF(PART_NUMBER_GENERATOR_TABLE[[#This Row],[Work Role]:[Work Role]]&lt;&gt;AN$1,0,
IF(PART_NUMBER_GENERATOR_TABLE[[#This Row],[Work Type]:[Work Type]]&lt;&gt;"BH",0,
SUMIFS(AN$24,$AM$24,PART_NUMBER_GENERATOR_TABLE[[#This Row],[Tech]:[Tech]])))</f>
        <v>0</v>
      </c>
      <c r="AO59" cm="1">
        <f t="array" ref="AO59">IF(PART_NUMBER_GENERATOR_TABLE[[#This Row],[Work Role]:[Work Role]]&lt;&gt;AO$1,0,
IF(PART_NUMBER_GENERATOR_TABLE[[#This Row],[Work Type]:[Work Type]]&lt;&gt;"BH",0,
SUMIFS(AO$24,$AM$24,PART_NUMBER_GENERATOR_TABLE[[#This Row],[Tech]:[Tech]])))</f>
        <v>0</v>
      </c>
      <c r="AP59" cm="1">
        <f t="array" ref="AP59">IF(PART_NUMBER_GENERATOR_TABLE[[#This Row],[Work Role]:[Work Role]]&lt;&gt;AP$1,0,
IF(PART_NUMBER_GENERATOR_TABLE[[#This Row],[Work Type]:[Work Type]]&lt;&gt;"BH",0,
SUMIFS(AP$24,$AM$24,PART_NUMBER_GENERATOR_TABLE[[#This Row],[Tech]:[Tech]])))</f>
        <v>0</v>
      </c>
      <c r="AQ59" cm="1">
        <f t="array" ref="AQ59">IF(PART_NUMBER_GENERATOR_TABLE[[#This Row],[Work Role]:[Work Role]]&lt;&gt;AQ$1,0,
IF(PART_NUMBER_GENERATOR_TABLE[[#This Row],[Work Type]:[Work Type]]&lt;&gt;"BH",0,
SUMIFS(AQ$24,$AM$24,PART_NUMBER_GENERATOR_TABLE[[#This Row],[Tech]:[Tech]])))</f>
        <v>0</v>
      </c>
      <c r="AR59" cm="1">
        <f t="array" ref="AR59">IF(PART_NUMBER_GENERATOR_TABLE[[#This Row],[Work Role]:[Work Role]]&lt;&gt;AR$1,0,
IF(PART_NUMBER_GENERATOR_TABLE[[#This Row],[Work Type]:[Work Type]]&lt;&gt;"BH",0,
SUMIFS(AR$24,$AM$24,PART_NUMBER_GENERATOR_TABLE[[#This Row],[Tech]:[Tech]])))</f>
        <v>0</v>
      </c>
      <c r="AS59" cm="1">
        <f t="array" ref="AS59">IF(PART_NUMBER_GENERATOR_TABLE[[#This Row],[Work Role]:[Work Role]]&lt;&gt;AS$1,0,
IF(PART_NUMBER_GENERATOR_TABLE[[#This Row],[Work Type]:[Work Type]]&lt;&gt;"BH",0,
SUMIFS(AS$24,$AM$24,PART_NUMBER_GENERATOR_TABLE[[#This Row],[Tech]:[Tech]])))</f>
        <v>0</v>
      </c>
      <c r="AT59" cm="1">
        <f t="array" ref="AT59">IF(PART_NUMBER_GENERATOR_TABLE[[#This Row],[Work Role]:[Work Role]]&lt;&gt;AS$1,0,
IF(PART_NUMBER_GENERATOR_TABLE[[#This Row],[Work Type]:[Work Type]]&lt;&gt;"BH",0,
SUMIFS(AT$24,$AM$24,PART_NUMBER_GENERATOR_TABLE[[#This Row],[Tech]:[Tech]])))</f>
        <v>0</v>
      </c>
      <c r="AU59">
        <f>SUM(PART_NUMBER_GENERATOR_TABLE[[#This Row],[Resource 1 BH]:[Resource 5 AH]],PART_NUMBER_GENERATOR_TABLE[[#This Row],[R1 Mandatory Tasks]:[R5 Mandatory Tasks]],PART_NUMBER_GENERATOR_TABLE[[#This Row],[R1 Remainder]:[R5 Remainder]])</f>
        <v>0</v>
      </c>
      <c r="AV59">
        <f>PART_NUMBER_GENERATOR_TABLE[[#This Row],[Professional Engineering Hours]]*PART_NUMBER_GENERATOR_TABLE[[#This Row],[Sell Rate]]</f>
        <v>0</v>
      </c>
      <c r="AW59">
        <f>PART_NUMBER_GENERATOR_TABLE[[#This Row],[Professional Engineering Hours]]*PART_NUMBER_GENERATOR_TABLE[[#This Row],[Cost Rate]]</f>
        <v>0</v>
      </c>
      <c r="AX59">
        <f>SUM(PART_NUMBER_GENERATOR_TABLE[[#This Row],[PM Trips]:[R5 Trips]])</f>
        <v>0</v>
      </c>
      <c r="AY59">
        <f>PART_NUMBER_GENERATOR_TABLE[[#This Row],[Travel &amp; Accommodation Hours]]*PART_NUMBER_GENERATOR_TABLE[[#This Row],[Sell Rate]]</f>
        <v>0</v>
      </c>
      <c r="AZ59">
        <f>PART_NUMBER_GENERATOR_TABLE[[#This Row],[Travel &amp; Accommodation Hours]]*PART_NUMBER_GENERATOR_TABLE[[#This Row],[Cost Rate]]</f>
        <v>0</v>
      </c>
      <c r="BA59">
        <f>PART_NUMBER_GENERATOR_TABLE[[#This Row],[PM Hours]]+PART_NUMBER_GENERATOR_TABLE[[#This Row],[PM Remainder]]</f>
        <v>0</v>
      </c>
      <c r="BB59">
        <f>PART_NUMBER_GENERATOR_TABLE[[#This Row],[Project Management Hours]]*PART_NUMBER_GENERATOR_TABLE[[#This Row],[Sell Rate]]</f>
        <v>0</v>
      </c>
      <c r="BC59">
        <f>PART_NUMBER_GENERATOR_TABLE[[#This Row],[Project Management Hours]]*PART_NUMBER_GENERATOR_TABLE[[#This Row],[Cost Rate]]</f>
        <v>0</v>
      </c>
      <c r="BD59">
        <f>SUM(PART_NUMBER_GENERATOR_TABLE[[#This Row],[SSE RISK BH]:[PM RISK]],PART_NUMBER_GENERATOR_TABLE[[#This Row],[SSE Remainder RISK BH]:[PM Remainder RISK]])</f>
        <v>0</v>
      </c>
      <c r="BE59">
        <f>PART_NUMBER_GENERATOR_TABLE[[#This Row],[Project Risk Service Hours]]*PART_NUMBER_GENERATOR_TABLE[[#This Row],[Sell Rate]]</f>
        <v>0</v>
      </c>
      <c r="BF59">
        <f>PART_NUMBER_GENERATOR_TABLE[[#This Row],[Project Risk Service Hours]]*PART_NUMBER_GENERATOR_TABLE[[#This Row],[Cost Rate]]</f>
        <v>0</v>
      </c>
      <c r="BG59">
        <f>PART_NUMBER_GENERATOR_TABLE[[#This Row],[SSE RISK TRAVEL]]</f>
        <v>0</v>
      </c>
      <c r="BH59">
        <f>PART_NUMBER_GENERATOR_TABLE[[#This Row],[Sell Rate]]*PART_NUMBER_GENERATOR_TABLE[[#This Row],[Project Risk Travel Hours]]</f>
        <v>0</v>
      </c>
      <c r="BI59">
        <f>PART_NUMBER_GENERATOR_TABLE[[#This Row],[Project Risk Travel Hours]]*PART_NUMBER_GENERATOR_TABLE[[#This Row],[Cost Rate]]</f>
        <v>0</v>
      </c>
      <c r="BJ5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5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59">
        <f>IFERROR(-VLOOKUP(INDEX(ENGINEER_ROLES,MATCH(PART_NUMBER_GENERATOR_TABLE[[#This Row],[Work Role]],settings.Table_Engineer.Roles[ID],0),1),Settings_Hidden!$H$359:$K$366,4,FALSE),0)</f>
        <v>0</v>
      </c>
      <c r="BM59" s="680">
        <f>-Summary!$C$66</f>
        <v>0</v>
      </c>
      <c r="BN59" s="465">
        <f>PART_NUMBER_GENERATOR_TABLE[[#This Row],[Total Base Price]]*MIN(PART_NUMBER_GENERATOR_TABLE[[#This Row],[Rate Service Discount]:[Flat Service Discount]])</f>
        <v>0</v>
      </c>
      <c r="BO59" s="451" t="str">
        <f>IF(PART_NUMBER_GENERATOR_TABLE[[#This Row],[Quantity]]&lt;&gt;0,MAX($BO$30:BO58)+1,"")</f>
        <v/>
      </c>
      <c r="BP59" t="str">
        <f>PART_NUMBER_GENERATOR_TABLE[[#This Row],[Part Number]]</f>
        <v>A-PS-P-SECNET-PM-AH</v>
      </c>
      <c r="BQ59">
        <f>PART_NUMBER_GENERATOR_TABLE[[#This Row],[Total Hours]]</f>
        <v>0</v>
      </c>
      <c r="BR59">
        <f>PART_NUMBER_GENERATOR_TABLE[[#This Row],[Cost Rate]]</f>
        <v>221.33704686655341</v>
      </c>
      <c r="BS59" s="465">
        <f>PART_NUMBER_GENERATOR_TABLE[[#This Row],[Sell Rate]]+(PART_NUMBER_GENERATOR_TABLE[[#This Row],[Sell Rate]]*MIN(PART_NUMBER_GENERATOR_TABLE[[#This Row],[Rate Service Discount]:[Flat Service Discount]]))</f>
        <v>337.5</v>
      </c>
    </row>
    <row r="60" spans="1:71">
      <c r="A60">
        <v>30</v>
      </c>
      <c r="C60" t="s">
        <v>1088</v>
      </c>
      <c r="D60" t="str" cm="1">
        <f t="array" ref="D60">INDEX(Table.Settings_Skill.List[Skill Name],MATCH(INDEX(_xlfn.TEXTSPLIT(C60,"-",,TRUE),4),Table.Settings_Skill.List[Skill Code],0),1)</f>
        <v>Security</v>
      </c>
      <c r="E60" t="str" cm="1">
        <f t="array" ref="E60">INDEX(_xlfn.TEXTSPLIT(C60,"-",,TRUE),5)</f>
        <v>SPM</v>
      </c>
      <c r="F60" t="str">
        <f>IFERROR(INDEX(settings.Table_Engineer.Roles[Department Code],MATCH(PART_NUMBER_GENERATOR_TABLE[[#This Row],[Work Role]],settings.Table_Engineer.Roles[ID],0),1),"PMO")</f>
        <v>PMO</v>
      </c>
      <c r="G60" t="str" cm="1">
        <f t="array" ref="G60">INDEX(_xlfn.TEXTSPLIT(C60,"-",,TRUE),6)</f>
        <v>AH</v>
      </c>
      <c r="H6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388.5</v>
      </c>
      <c r="I6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267.81014450091658</v>
      </c>
      <c r="J60" cm="1">
        <f t="array" ref="J60">IF(J$1&lt;&gt;PART_NUMBER_GENERATOR_TABLE[[#This Row],[Work Role]:[Work Role]],0,
IF(RIGHT(J$30,2)&lt;&gt;PART_NUMBER_GENERATOR_TABLE[[#This Row],[Work Type]:[Work Type]],0,
SUMIFS(Input_Tasks[R1 Business Hours],Input_Tasks[[Skill Required]:[Skill Required]],PART_NUMBER_GENERATOR_TABLE[[#This Row],[Tech]:[Tech]])))</f>
        <v>0</v>
      </c>
      <c r="K60" cm="1">
        <f t="array" ref="K60">IF(K$1&lt;&gt;PART_NUMBER_GENERATOR_TABLE[[#This Row],[Work Role]:[Work Role]],0,
IF(RIGHT(K$30,2)&lt;&gt;PART_NUMBER_GENERATOR_TABLE[[#This Row],[Work Type]:[Work Type]],0,
SUMIFS(Input_Tasks[R1 After Hours],Input_Tasks[[Skill Required]:[Skill Required]],PART_NUMBER_GENERATOR_TABLE[[#This Row],[Tech]:[Tech]])))</f>
        <v>0</v>
      </c>
      <c r="L60" cm="1">
        <f t="array" ref="L60">IF(L$1&lt;&gt;PART_NUMBER_GENERATOR_TABLE[[#This Row],[Work Role]:[Work Role]],0,
IF(RIGHT(L$30,2)&lt;&gt;PART_NUMBER_GENERATOR_TABLE[[#This Row],[Work Type]:[Work Type]],0,
SUMIFS(Input_Tasks[R2 Business Hours],Input_Tasks[[Skill Required]:[Skill Required]],PART_NUMBER_GENERATOR_TABLE[[#This Row],[Tech]:[Tech]])))</f>
        <v>0</v>
      </c>
      <c r="M60" cm="1">
        <f t="array" ref="M60">IF(M$1&lt;&gt;PART_NUMBER_GENERATOR_TABLE[[#This Row],[Work Role]:[Work Role]],0,
IF(RIGHT(M$30,2)&lt;&gt;PART_NUMBER_GENERATOR_TABLE[[#This Row],[Work Type]:[Work Type]],0,
SUMIFS(Input_Tasks[R2 After Hours],Input_Tasks[[Skill Required]:[Skill Required]],PART_NUMBER_GENERATOR_TABLE[[#This Row],[Tech]:[Tech]])))</f>
        <v>0</v>
      </c>
      <c r="N60" cm="1">
        <f t="array" ref="N60">IF(N$1&lt;&gt;PART_NUMBER_GENERATOR_TABLE[[#This Row],[Work Role]:[Work Role]],0,
IF(RIGHT(N$30,2)&lt;&gt;PART_NUMBER_GENERATOR_TABLE[[#This Row],[Work Type]:[Work Type]],0,
SUMIFS(Input_Tasks[R3 Business Hours],Input_Tasks[[Skill Required]:[Skill Required]],PART_NUMBER_GENERATOR_TABLE[[#This Row],[Tech]:[Tech]])))</f>
        <v>0</v>
      </c>
      <c r="O60" cm="1">
        <f t="array" ref="O60">IF(O$1&lt;&gt;PART_NUMBER_GENERATOR_TABLE[[#This Row],[Work Role]:[Work Role]],0,
IF(RIGHT(O$30,2)&lt;&gt;PART_NUMBER_GENERATOR_TABLE[[#This Row],[Work Type]:[Work Type]],0,
SUMIFS(Input_Tasks[R3 After Hours],Input_Tasks[[Skill Required]:[Skill Required]],PART_NUMBER_GENERATOR_TABLE[[#This Row],[Tech]:[Tech]])))</f>
        <v>0</v>
      </c>
      <c r="P60" cm="1">
        <f t="array" ref="P60">IF(P$1&lt;&gt;PART_NUMBER_GENERATOR_TABLE[[#This Row],[Work Role]:[Work Role]],0,
IF(RIGHT(P$30,2)&lt;&gt;PART_NUMBER_GENERATOR_TABLE[[#This Row],[Work Type]:[Work Type]],0,
SUMIFS(Input_Tasks[R4 Business Hours],Input_Tasks[[Skill Required]:[Skill Required]],PART_NUMBER_GENERATOR_TABLE[[#This Row],[Tech]:[Tech]])))</f>
        <v>0</v>
      </c>
      <c r="Q60" cm="1">
        <f t="array" ref="Q60">IF(Q$1&lt;&gt;PART_NUMBER_GENERATOR_TABLE[[#This Row],[Work Role]:[Work Role]],0,
IF(RIGHT(Q$30,2)&lt;&gt;PART_NUMBER_GENERATOR_TABLE[[#This Row],[Work Type]:[Work Type]],0,
SUMIFS(Input_Tasks[R4 After Hours],Input_Tasks[[Skill Required]:[Skill Required]],PART_NUMBER_GENERATOR_TABLE[[#This Row],[Tech]:[Tech]])))</f>
        <v>0</v>
      </c>
      <c r="R60" cm="1">
        <f t="array" ref="R60">IF(R$1&lt;&gt;PART_NUMBER_GENERATOR_TABLE[[#This Row],[Work Role]:[Work Role]],0,
IF(RIGHT(R$30,2)&lt;&gt;PART_NUMBER_GENERATOR_TABLE[[#This Row],[Work Type]:[Work Type]],0,
SUMIFS(Input_Tasks[R5 Business Hours],Input_Tasks[[Skill Required]:[Skill Required]],PART_NUMBER_GENERATOR_TABLE[[#This Row],[Tech]:[Tech]])))</f>
        <v>0</v>
      </c>
      <c r="S60" cm="1">
        <f t="array" ref="S60">IF(S$1&lt;&gt;PART_NUMBER_GENERATOR_TABLE[[#This Row],[Work Role]:[Work Role]],0,
IF(RIGHT(S$30,2)&lt;&gt;PART_NUMBER_GENERATOR_TABLE[[#This Row],[Work Type]:[Work Type]],0,
SUMIFS(Input_Tasks[R5 After Hours],Input_Tasks[[Skill Required]:[Skill Required]],PART_NUMBER_GENERATOR_TABLE[[#This Row],[Tech]:[Tech]])))</f>
        <v>0</v>
      </c>
      <c r="T60" cm="1">
        <f t="array" ref="T60">IF(PART_NUMBER_GENERATOR_TABLE[[#This Row],[Work Role]:[Work Role]]&lt;&gt;T$1,0,
IF(PART_NUMBER_GENERATOR_TABLE[[#This Row],[Work Type]:[Work Type]]&lt;&gt;"BH",0,
SUMIFS(T$9:T$24,$M$9:$M$24,PART_NUMBER_GENERATOR_TABLE[[#This Row],[Tech]:[Tech]])))</f>
        <v>0</v>
      </c>
      <c r="U60" cm="1">
        <f t="array" ref="U60">IF(PART_NUMBER_GENERATOR_TABLE[[#This Row],[Work Role]:[Work Role]]&lt;&gt;U$1,0,
IF(PART_NUMBER_GENERATOR_TABLE[[#This Row],[Work Type]:[Work Type]]&lt;&gt;"BH",0,
SUMIFS(U$9:U$24,$M$9:$M$24,PART_NUMBER_GENERATOR_TABLE[[#This Row],[Tech]:[Tech]])))</f>
        <v>0</v>
      </c>
      <c r="V60" cm="1">
        <f t="array" ref="V60">IF(PART_NUMBER_GENERATOR_TABLE[[#This Row],[Work Role]:[Work Role]]&lt;&gt;V$1,0,
IF(PART_NUMBER_GENERATOR_TABLE[[#This Row],[Work Type]:[Work Type]]&lt;&gt;"BH",0,
SUMIFS(V$9:V$24,$M$9:$M$24,PART_NUMBER_GENERATOR_TABLE[[#This Row],[Tech]:[Tech]])))</f>
        <v>0</v>
      </c>
      <c r="W60" cm="1">
        <f t="array" ref="W60">IF(PART_NUMBER_GENERATOR_TABLE[[#This Row],[Work Role]:[Work Role]]&lt;&gt;W$1,0,
IF(PART_NUMBER_GENERATOR_TABLE[[#This Row],[Work Type]:[Work Type]]&lt;&gt;"BH",0,
SUMIFS(W$9:W$24,$M$9:$M$24,PART_NUMBER_GENERATOR_TABLE[[#This Row],[Tech]:[Tech]])))</f>
        <v>0</v>
      </c>
      <c r="X60" cm="1">
        <f t="array" ref="X60">IF(PART_NUMBER_GENERATOR_TABLE[[#This Row],[Work Role]:[Work Role]]&lt;&gt;X$1,0,
IF(PART_NUMBER_GENERATOR_TABLE[[#This Row],[Work Type]:[Work Type]]&lt;&gt;"BH",0,
SUMIFS(X$9:X$24,$M$9:$M$24,PART_NUMBER_GENERATOR_TABLE[[#This Row],[Tech]:[Tech]])))</f>
        <v>0</v>
      </c>
      <c r="Y60" cm="1">
        <f t="array" ref="Y60">IF(PART_NUMBER_GENERATOR_TABLE[[#This Row],[Work Role]:[Work Role]]&lt;&gt;Y$1,0,
IF(PART_NUMBER_GENERATOR_TABLE[[#This Row],[Work Type]:[Work Type]]&lt;&gt;"BH",0,
SUMIFS(Y$9:Y$24,$M$9:$M$24,PART_NUMBER_GENERATOR_TABLE[[#This Row],[Tech]:[Tech]])))</f>
        <v>0</v>
      </c>
      <c r="Z60" cm="1">
        <f t="array" ref="Z60">IF(PART_NUMBER_GENERATOR_TABLE[[#This Row],[Work Role]:[Work Role]]&lt;&gt;Z$1,0,
IF(PART_NUMBER_GENERATOR_TABLE[[#This Row],[Work Type]:[Work Type]]&lt;&gt;"BH",0,
SUMIFS(Z$9:Z$24,$M$9:$M$24,PART_NUMBER_GENERATOR_TABLE[[#This Row],[Tech]:[Tech]])))</f>
        <v>0</v>
      </c>
      <c r="AA60" cm="1">
        <f t="array" ref="AA60">IF(PART_NUMBER_GENERATOR_TABLE[[#This Row],[Work Role]:[Work Role]]&lt;&gt;AA$1,0,
IF(PART_NUMBER_GENERATOR_TABLE[[#This Row],[Work Type]:[Work Type]]&lt;&gt;"BH",0,
SUMIFS(AA$9:AA$24,$M$9:$M$24,PART_NUMBER_GENERATOR_TABLE[[#This Row],[Tech]:[Tech]])))</f>
        <v>0</v>
      </c>
      <c r="AB60" cm="1">
        <f t="array" ref="AB60">IF(PART_NUMBER_GENERATOR_TABLE[[#This Row],[Work Role]:[Work Role]]&lt;&gt;AB$1,0,
IF(PART_NUMBER_GENERATOR_TABLE[[#This Row],[Work Type]:[Work Type]]&lt;&gt;"BH",0,
SUMIFS(AB$9:AB$24,$M$9:$M$24,PART_NUMBER_GENERATOR_TABLE[[#This Row],[Tech]:[Tech]])))</f>
        <v>0</v>
      </c>
      <c r="AC60" cm="1">
        <f t="array" ref="AC60">IF(PART_NUMBER_GENERATOR_TABLE[[#This Row],[Work Role]:[Work Role]]&lt;&gt;AC$1,0,
IF(PART_NUMBER_GENERATOR_TABLE[[#This Row],[Work Type]:[Work Type]]&lt;&gt;"BH",0,
SUMIFS(AC$9:AC$24,$M$9:$M$24,PART_NUMBER_GENERATOR_TABLE[[#This Row],[Tech]:[Tech]])))</f>
        <v>0</v>
      </c>
      <c r="AD60" cm="1">
        <f t="array" ref="AD60">IF(PART_NUMBER_GENERATOR_TABLE[[#This Row],[Work Role]:[Work Role]]&lt;&gt;AD$1,0,
IF(PART_NUMBER_GENERATOR_TABLE[[#This Row],[Work Type]:[Work Type]]&lt;&gt;"BH",0,
SUMIFS(AD$9:AD$24,$M$9:$M$24,PART_NUMBER_GENERATOR_TABLE[[#This Row],[Tech]:[Tech]])))</f>
        <v>0</v>
      </c>
      <c r="AE60" cm="1">
        <f t="array" ref="AE60">IF(PART_NUMBER_GENERATOR_TABLE[[#This Row],[Work Role]:[Work Role]]&lt;&gt;AE$1,0,
IF(PART_NUMBER_GENERATOR_TABLE[[#This Row],[Work Type]:[Work Type]]&lt;&gt;"BH",0,
SUMIFS(AE$9:AE$24,$M$9:$M$24,PART_NUMBER_GENERATOR_TABLE[[#This Row],[Tech]:[Tech]])))</f>
        <v>0</v>
      </c>
      <c r="AF60" cm="1">
        <f t="array" ref="AF60">IF(PART_NUMBER_GENERATOR_TABLE[[#This Row],[Work Role]:[Work Role]]&lt;&gt;AF$1,0,
IF(PART_NUMBER_GENERATOR_TABLE[[#This Row],[Work Type]:[Work Type]]&lt;&gt;"BH",0,
SUMIFS(AF$9:AF$24,$M$9:$M$24,PART_NUMBER_GENERATOR_TABLE[[#This Row],[Tech]:[Tech]])))</f>
        <v>0</v>
      </c>
      <c r="AG60" cm="1">
        <f t="array" ref="AG60">IF(PART_NUMBER_GENERATOR_TABLE[[#This Row],[Work Role]:[Work Role]]&lt;&gt;AG$1,0,
IF(PART_NUMBER_GENERATOR_TABLE[[#This Row],[Work Type]:[Work Type]]&lt;&gt;"AH",0,
SUMIFS(AG$9:AG$24,$M$9:$M$24,PART_NUMBER_GENERATOR_TABLE[[#This Row],[Tech]:[Tech]])))</f>
        <v>0</v>
      </c>
      <c r="AH60" cm="1">
        <f t="array" ref="AH60">IF(PART_NUMBER_GENERATOR_TABLE[[#This Row],[Work Role]:[Work Role]]&lt;&gt;AH$1,0,
IF(PART_NUMBER_GENERATOR_TABLE[[#This Row],[Work Type]:[Work Type]]&lt;&gt;"BH",0,
SUMIFS(AH$9:AH$24,$M$9:$M$24,PART_NUMBER_GENERATOR_TABLE[[#This Row],[Tech]:[Tech]])))</f>
        <v>0</v>
      </c>
      <c r="AI60" cm="1">
        <f t="array" ref="AI60">IF(PART_NUMBER_GENERATOR_TABLE[[#This Row],[Work Role]:[Work Role]]&lt;&gt;AI$1,0,
IF(PART_NUMBER_GENERATOR_TABLE[[#This Row],[Work Type]:[Work Type]]&lt;&gt;"BH",0,
SUMIFS(AI$9:AI$24,$M$9:$M$24,PART_NUMBER_GENERATOR_TABLE[[#This Row],[Tech]:[Tech]])))</f>
        <v>0</v>
      </c>
      <c r="AJ60" cm="1">
        <f t="array" ref="AJ60">IF(PART_NUMBER_GENERATOR_TABLE[[#This Row],[Work Role]:[Work Role]]&lt;&gt;AJ$1,0,
IF(PART_NUMBER_GENERATOR_TABLE[[#This Row],[Work Type]:[Work Type]]&lt;&gt;"BH",0,
SUMIFS(AJ$9:AJ$24,$M$9:$M$24,PART_NUMBER_GENERATOR_TABLE[[#This Row],[Tech]:[Tech]])))</f>
        <v>0</v>
      </c>
      <c r="AK60" cm="1">
        <f t="array" ref="AK60">IF(PART_NUMBER_GENERATOR_TABLE[[#This Row],[Work Role]:[Work Role]]&lt;&gt;AK$1,0,
IF(PART_NUMBER_GENERATOR_TABLE[[#This Row],[Work Type]:[Work Type]]&lt;&gt;"AH",0,
SUMIFS(AK$9:AK$24,$M$9:$M$24,PART_NUMBER_GENERATOR_TABLE[[#This Row],[Tech]:[Tech]])))</f>
        <v>0</v>
      </c>
      <c r="AL60" cm="1">
        <f t="array" ref="AL60">IF(PART_NUMBER_GENERATOR_TABLE[[#This Row],[Work Role]:[Work Role]]&lt;&gt;AL$1,0,
IF(PART_NUMBER_GENERATOR_TABLE[[#This Row],[Work Type]:[Work Type]]&lt;&gt;"BH",0,
SUMIFS(AL$9:AL$24,$M$9:$M$24,PART_NUMBER_GENERATOR_TABLE[[#This Row],[Tech]:[Tech]])))</f>
        <v>0</v>
      </c>
      <c r="AM60">
        <f>0</f>
        <v>0</v>
      </c>
      <c r="AN60" cm="1">
        <f t="array" ref="AN60">IF(PART_NUMBER_GENERATOR_TABLE[[#This Row],[Work Role]:[Work Role]]&lt;&gt;AN$1,0,
IF(PART_NUMBER_GENERATOR_TABLE[[#This Row],[Work Type]:[Work Type]]&lt;&gt;"BH",0,
SUMIFS(AN$24,$AM$24,PART_NUMBER_GENERATOR_TABLE[[#This Row],[Tech]:[Tech]])))</f>
        <v>0</v>
      </c>
      <c r="AO60" cm="1">
        <f t="array" ref="AO60">IF(PART_NUMBER_GENERATOR_TABLE[[#This Row],[Work Role]:[Work Role]]&lt;&gt;AO$1,0,
IF(PART_NUMBER_GENERATOR_TABLE[[#This Row],[Work Type]:[Work Type]]&lt;&gt;"BH",0,
SUMIFS(AO$24,$AM$24,PART_NUMBER_GENERATOR_TABLE[[#This Row],[Tech]:[Tech]])))</f>
        <v>0</v>
      </c>
      <c r="AP60" cm="1">
        <f t="array" ref="AP60">IF(PART_NUMBER_GENERATOR_TABLE[[#This Row],[Work Role]:[Work Role]]&lt;&gt;AP$1,0,
IF(PART_NUMBER_GENERATOR_TABLE[[#This Row],[Work Type]:[Work Type]]&lt;&gt;"BH",0,
SUMIFS(AP$24,$AM$24,PART_NUMBER_GENERATOR_TABLE[[#This Row],[Tech]:[Tech]])))</f>
        <v>0</v>
      </c>
      <c r="AQ60" cm="1">
        <f t="array" ref="AQ60">IF(PART_NUMBER_GENERATOR_TABLE[[#This Row],[Work Role]:[Work Role]]&lt;&gt;AQ$1,0,
IF(PART_NUMBER_GENERATOR_TABLE[[#This Row],[Work Type]:[Work Type]]&lt;&gt;"BH",0,
SUMIFS(AQ$24,$AM$24,PART_NUMBER_GENERATOR_TABLE[[#This Row],[Tech]:[Tech]])))</f>
        <v>0</v>
      </c>
      <c r="AR60" cm="1">
        <f t="array" ref="AR60">IF(PART_NUMBER_GENERATOR_TABLE[[#This Row],[Work Role]:[Work Role]]&lt;&gt;AR$1,0,
IF(PART_NUMBER_GENERATOR_TABLE[[#This Row],[Work Type]:[Work Type]]&lt;&gt;"BH",0,
SUMIFS(AR$24,$AM$24,PART_NUMBER_GENERATOR_TABLE[[#This Row],[Tech]:[Tech]])))</f>
        <v>0</v>
      </c>
      <c r="AS60" cm="1">
        <f t="array" ref="AS60">IF(PART_NUMBER_GENERATOR_TABLE[[#This Row],[Work Role]:[Work Role]]&lt;&gt;AS$1,0,
IF(PART_NUMBER_GENERATOR_TABLE[[#This Row],[Work Type]:[Work Type]]&lt;&gt;"BH",0,
SUMIFS(AS$24,$AM$24,PART_NUMBER_GENERATOR_TABLE[[#This Row],[Tech]:[Tech]])))</f>
        <v>0</v>
      </c>
      <c r="AT60" cm="1">
        <f t="array" ref="AT60">IF(PART_NUMBER_GENERATOR_TABLE[[#This Row],[Work Role]:[Work Role]]&lt;&gt;AS$1,0,
IF(PART_NUMBER_GENERATOR_TABLE[[#This Row],[Work Type]:[Work Type]]&lt;&gt;"BH",0,
SUMIFS(AT$24,$AM$24,PART_NUMBER_GENERATOR_TABLE[[#This Row],[Tech]:[Tech]])))</f>
        <v>0</v>
      </c>
      <c r="AU60">
        <f>SUM(PART_NUMBER_GENERATOR_TABLE[[#This Row],[Resource 1 BH]:[Resource 5 AH]],PART_NUMBER_GENERATOR_TABLE[[#This Row],[R1 Mandatory Tasks]:[R5 Mandatory Tasks]],PART_NUMBER_GENERATOR_TABLE[[#This Row],[R1 Remainder]:[R5 Remainder]])</f>
        <v>0</v>
      </c>
      <c r="AV60">
        <f>PART_NUMBER_GENERATOR_TABLE[[#This Row],[Professional Engineering Hours]]*PART_NUMBER_GENERATOR_TABLE[[#This Row],[Sell Rate]]</f>
        <v>0</v>
      </c>
      <c r="AW60">
        <f>PART_NUMBER_GENERATOR_TABLE[[#This Row],[Professional Engineering Hours]]*PART_NUMBER_GENERATOR_TABLE[[#This Row],[Cost Rate]]</f>
        <v>0</v>
      </c>
      <c r="AX60">
        <f>SUM(PART_NUMBER_GENERATOR_TABLE[[#This Row],[PM Trips]:[R5 Trips]])</f>
        <v>0</v>
      </c>
      <c r="AY60">
        <f>PART_NUMBER_GENERATOR_TABLE[[#This Row],[Travel &amp; Accommodation Hours]]*PART_NUMBER_GENERATOR_TABLE[[#This Row],[Sell Rate]]</f>
        <v>0</v>
      </c>
      <c r="AZ60">
        <f>PART_NUMBER_GENERATOR_TABLE[[#This Row],[Travel &amp; Accommodation Hours]]*PART_NUMBER_GENERATOR_TABLE[[#This Row],[Cost Rate]]</f>
        <v>0</v>
      </c>
      <c r="BA60">
        <f>PART_NUMBER_GENERATOR_TABLE[[#This Row],[PM Hours]]+PART_NUMBER_GENERATOR_TABLE[[#This Row],[PM Remainder]]</f>
        <v>0</v>
      </c>
      <c r="BB60">
        <f>PART_NUMBER_GENERATOR_TABLE[[#This Row],[Project Management Hours]]*PART_NUMBER_GENERATOR_TABLE[[#This Row],[Sell Rate]]</f>
        <v>0</v>
      </c>
      <c r="BC60">
        <f>PART_NUMBER_GENERATOR_TABLE[[#This Row],[Project Management Hours]]*PART_NUMBER_GENERATOR_TABLE[[#This Row],[Cost Rate]]</f>
        <v>0</v>
      </c>
      <c r="BD60">
        <f>SUM(PART_NUMBER_GENERATOR_TABLE[[#This Row],[SSE RISK BH]:[PM RISK]],PART_NUMBER_GENERATOR_TABLE[[#This Row],[SSE Remainder RISK BH]:[PM Remainder RISK]])</f>
        <v>0</v>
      </c>
      <c r="BE60">
        <f>PART_NUMBER_GENERATOR_TABLE[[#This Row],[Project Risk Service Hours]]*PART_NUMBER_GENERATOR_TABLE[[#This Row],[Sell Rate]]</f>
        <v>0</v>
      </c>
      <c r="BF60">
        <f>PART_NUMBER_GENERATOR_TABLE[[#This Row],[Project Risk Service Hours]]*PART_NUMBER_GENERATOR_TABLE[[#This Row],[Cost Rate]]</f>
        <v>0</v>
      </c>
      <c r="BG60">
        <f>PART_NUMBER_GENERATOR_TABLE[[#This Row],[SSE RISK TRAVEL]]</f>
        <v>0</v>
      </c>
      <c r="BH60">
        <f>PART_NUMBER_GENERATOR_TABLE[[#This Row],[Sell Rate]]*PART_NUMBER_GENERATOR_TABLE[[#This Row],[Project Risk Travel Hours]]</f>
        <v>0</v>
      </c>
      <c r="BI60">
        <f>PART_NUMBER_GENERATOR_TABLE[[#This Row],[Project Risk Travel Hours]]*PART_NUMBER_GENERATOR_TABLE[[#This Row],[Cost Rate]]</f>
        <v>0</v>
      </c>
      <c r="BJ6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6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60">
        <f>IFERROR(-VLOOKUP(INDEX(ENGINEER_ROLES,MATCH(PART_NUMBER_GENERATOR_TABLE[[#This Row],[Work Role]],settings.Table_Engineer.Roles[ID],0),1),Settings_Hidden!$H$359:$K$366,4,FALSE),0)</f>
        <v>0</v>
      </c>
      <c r="BM60" s="680">
        <f>-Summary!$C$66</f>
        <v>0</v>
      </c>
      <c r="BN60" s="465">
        <f>PART_NUMBER_GENERATOR_TABLE[[#This Row],[Total Base Price]]*MIN(PART_NUMBER_GENERATOR_TABLE[[#This Row],[Rate Service Discount]:[Flat Service Discount]])</f>
        <v>0</v>
      </c>
      <c r="BO60" s="451" t="str">
        <f>IF(PART_NUMBER_GENERATOR_TABLE[[#This Row],[Quantity]]&lt;&gt;0,MAX($BO$30:BO59)+1,"")</f>
        <v/>
      </c>
      <c r="BP60" t="str">
        <f>PART_NUMBER_GENERATOR_TABLE[[#This Row],[Part Number]]</f>
        <v>A-PS-P-SECNET-SPM-AH</v>
      </c>
      <c r="BQ60">
        <f>PART_NUMBER_GENERATOR_TABLE[[#This Row],[Total Hours]]</f>
        <v>0</v>
      </c>
      <c r="BR60">
        <f>PART_NUMBER_GENERATOR_TABLE[[#This Row],[Cost Rate]]</f>
        <v>267.81014450091658</v>
      </c>
      <c r="BS60" s="465">
        <f>PART_NUMBER_GENERATOR_TABLE[[#This Row],[Sell Rate]]+(PART_NUMBER_GENERATOR_TABLE[[#This Row],[Sell Rate]]*MIN(PART_NUMBER_GENERATOR_TABLE[[#This Row],[Rate Service Discount]:[Flat Service Discount]]))</f>
        <v>388.5</v>
      </c>
    </row>
    <row r="61" spans="1:71">
      <c r="A61">
        <v>31</v>
      </c>
      <c r="C61" t="s">
        <v>912</v>
      </c>
      <c r="D61" t="str" cm="1">
        <f t="array" ref="D61">INDEX(Table.Settings_Skill.List[Skill Name],MATCH(INDEX(_xlfn.TEXTSPLIT(C61,"-",,TRUE),4),Table.Settings_Skill.List[Skill Code],0),1)</f>
        <v>Collaboration</v>
      </c>
      <c r="E61" t="str" cm="1">
        <f t="array" ref="E61">INDEX(_xlfn.TEXTSPLIT(C61,"-",,TRUE),5)</f>
        <v>TA</v>
      </c>
      <c r="F61" t="str">
        <f>IFERROR(INDEX(settings.Table_Engineer.Roles[Department Code],MATCH(PART_NUMBER_GENERATOR_TABLE[[#This Row],[Work Role]],settings.Table_Engineer.Roles[ID],0),1),"PMO")</f>
        <v>ENG</v>
      </c>
      <c r="G61" t="str" cm="1">
        <f t="array" ref="G61">INDEX(_xlfn.TEXTSPLIT(C61,"-",,TRUE),6)</f>
        <v>BH</v>
      </c>
      <c r="H6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155</v>
      </c>
      <c r="I6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81.346799080218702</v>
      </c>
      <c r="J61" cm="1">
        <f t="array" ref="J61">IF(J$1&lt;&gt;PART_NUMBER_GENERATOR_TABLE[[#This Row],[Work Role]:[Work Role]],0,
IF(RIGHT(J$30,2)&lt;&gt;PART_NUMBER_GENERATOR_TABLE[[#This Row],[Work Type]:[Work Type]],0,
SUMIFS(Input_Tasks[R1 Business Hours],Input_Tasks[[Skill Required]:[Skill Required]],PART_NUMBER_GENERATOR_TABLE[[#This Row],[Tech]:[Tech]])))</f>
        <v>0</v>
      </c>
      <c r="K61" cm="1">
        <f t="array" ref="K61">IF(K$1&lt;&gt;PART_NUMBER_GENERATOR_TABLE[[#This Row],[Work Role]:[Work Role]],0,
IF(RIGHT(K$30,2)&lt;&gt;PART_NUMBER_GENERATOR_TABLE[[#This Row],[Work Type]:[Work Type]],0,
SUMIFS(Input_Tasks[R1 After Hours],Input_Tasks[[Skill Required]:[Skill Required]],PART_NUMBER_GENERATOR_TABLE[[#This Row],[Tech]:[Tech]])))</f>
        <v>0</v>
      </c>
      <c r="L61" cm="1">
        <f t="array" ref="L61">IF(L$1&lt;&gt;PART_NUMBER_GENERATOR_TABLE[[#This Row],[Work Role]:[Work Role]],0,
IF(RIGHT(L$30,2)&lt;&gt;PART_NUMBER_GENERATOR_TABLE[[#This Row],[Work Type]:[Work Type]],0,
SUMIFS(Input_Tasks[R2 Business Hours],Input_Tasks[[Skill Required]:[Skill Required]],PART_NUMBER_GENERATOR_TABLE[[#This Row],[Tech]:[Tech]])))</f>
        <v>0</v>
      </c>
      <c r="M61" cm="1">
        <f t="array" ref="M61">IF(M$1&lt;&gt;PART_NUMBER_GENERATOR_TABLE[[#This Row],[Work Role]:[Work Role]],0,
IF(RIGHT(M$30,2)&lt;&gt;PART_NUMBER_GENERATOR_TABLE[[#This Row],[Work Type]:[Work Type]],0,
SUMIFS(Input_Tasks[R2 After Hours],Input_Tasks[[Skill Required]:[Skill Required]],PART_NUMBER_GENERATOR_TABLE[[#This Row],[Tech]:[Tech]])))</f>
        <v>0</v>
      </c>
      <c r="N61" cm="1">
        <f t="array" ref="N61">IF(N$1&lt;&gt;PART_NUMBER_GENERATOR_TABLE[[#This Row],[Work Role]:[Work Role]],0,
IF(RIGHT(N$30,2)&lt;&gt;PART_NUMBER_GENERATOR_TABLE[[#This Row],[Work Type]:[Work Type]],0,
SUMIFS(Input_Tasks[R3 Business Hours],Input_Tasks[[Skill Required]:[Skill Required]],PART_NUMBER_GENERATOR_TABLE[[#This Row],[Tech]:[Tech]])))</f>
        <v>0</v>
      </c>
      <c r="O61" cm="1">
        <f t="array" ref="O61">IF(O$1&lt;&gt;PART_NUMBER_GENERATOR_TABLE[[#This Row],[Work Role]:[Work Role]],0,
IF(RIGHT(O$30,2)&lt;&gt;PART_NUMBER_GENERATOR_TABLE[[#This Row],[Work Type]:[Work Type]],0,
SUMIFS(Input_Tasks[R3 After Hours],Input_Tasks[[Skill Required]:[Skill Required]],PART_NUMBER_GENERATOR_TABLE[[#This Row],[Tech]:[Tech]])))</f>
        <v>0</v>
      </c>
      <c r="P61" cm="1">
        <f t="array" ref="P61">IF(P$1&lt;&gt;PART_NUMBER_GENERATOR_TABLE[[#This Row],[Work Role]:[Work Role]],0,
IF(RIGHT(P$30,2)&lt;&gt;PART_NUMBER_GENERATOR_TABLE[[#This Row],[Work Type]:[Work Type]],0,
SUMIFS(Input_Tasks[R4 Business Hours],Input_Tasks[[Skill Required]:[Skill Required]],PART_NUMBER_GENERATOR_TABLE[[#This Row],[Tech]:[Tech]])))</f>
        <v>0</v>
      </c>
      <c r="Q61" cm="1">
        <f t="array" ref="Q61">IF(Q$1&lt;&gt;PART_NUMBER_GENERATOR_TABLE[[#This Row],[Work Role]:[Work Role]],0,
IF(RIGHT(Q$30,2)&lt;&gt;PART_NUMBER_GENERATOR_TABLE[[#This Row],[Work Type]:[Work Type]],0,
SUMIFS(Input_Tasks[R4 After Hours],Input_Tasks[[Skill Required]:[Skill Required]],PART_NUMBER_GENERATOR_TABLE[[#This Row],[Tech]:[Tech]])))</f>
        <v>0</v>
      </c>
      <c r="R61" cm="1">
        <f t="array" ref="R61">IF(R$1&lt;&gt;PART_NUMBER_GENERATOR_TABLE[[#This Row],[Work Role]:[Work Role]],0,
IF(RIGHT(R$30,2)&lt;&gt;PART_NUMBER_GENERATOR_TABLE[[#This Row],[Work Type]:[Work Type]],0,
SUMIFS(Input_Tasks[R5 Business Hours],Input_Tasks[[Skill Required]:[Skill Required]],PART_NUMBER_GENERATOR_TABLE[[#This Row],[Tech]:[Tech]])))</f>
        <v>0</v>
      </c>
      <c r="S61" cm="1">
        <f t="array" ref="S61">IF(S$1&lt;&gt;PART_NUMBER_GENERATOR_TABLE[[#This Row],[Work Role]:[Work Role]],0,
IF(RIGHT(S$30,2)&lt;&gt;PART_NUMBER_GENERATOR_TABLE[[#This Row],[Work Type]:[Work Type]],0,
SUMIFS(Input_Tasks[R5 After Hours],Input_Tasks[[Skill Required]:[Skill Required]],PART_NUMBER_GENERATOR_TABLE[[#This Row],[Tech]:[Tech]])))</f>
        <v>0</v>
      </c>
      <c r="T61" cm="1">
        <f t="array" ref="T61">IF(PART_NUMBER_GENERATOR_TABLE[[#This Row],[Work Role]:[Work Role]]&lt;&gt;T$1,0,
IF(PART_NUMBER_GENERATOR_TABLE[[#This Row],[Work Type]:[Work Type]]&lt;&gt;"BH",0,
SUMIFS(T$9:T$24,$M$9:$M$24,PART_NUMBER_GENERATOR_TABLE[[#This Row],[Tech]:[Tech]])))</f>
        <v>0</v>
      </c>
      <c r="U61" cm="1">
        <f t="array" ref="U61">IF(PART_NUMBER_GENERATOR_TABLE[[#This Row],[Work Role]:[Work Role]]&lt;&gt;U$1,0,
IF(PART_NUMBER_GENERATOR_TABLE[[#This Row],[Work Type]:[Work Type]]&lt;&gt;"BH",0,
SUMIFS(U$9:U$24,$M$9:$M$24,PART_NUMBER_GENERATOR_TABLE[[#This Row],[Tech]:[Tech]])))</f>
        <v>0</v>
      </c>
      <c r="V61" cm="1">
        <f t="array" ref="V61">IF(PART_NUMBER_GENERATOR_TABLE[[#This Row],[Work Role]:[Work Role]]&lt;&gt;V$1,0,
IF(PART_NUMBER_GENERATOR_TABLE[[#This Row],[Work Type]:[Work Type]]&lt;&gt;"BH",0,
SUMIFS(V$9:V$24,$M$9:$M$24,PART_NUMBER_GENERATOR_TABLE[[#This Row],[Tech]:[Tech]])))</f>
        <v>0</v>
      </c>
      <c r="W61" cm="1">
        <f t="array" ref="W61">IF(PART_NUMBER_GENERATOR_TABLE[[#This Row],[Work Role]:[Work Role]]&lt;&gt;W$1,0,
IF(PART_NUMBER_GENERATOR_TABLE[[#This Row],[Work Type]:[Work Type]]&lt;&gt;"BH",0,
SUMIFS(W$9:W$24,$M$9:$M$24,PART_NUMBER_GENERATOR_TABLE[[#This Row],[Tech]:[Tech]])))</f>
        <v>0</v>
      </c>
      <c r="X61" cm="1">
        <f t="array" ref="X61">IF(PART_NUMBER_GENERATOR_TABLE[[#This Row],[Work Role]:[Work Role]]&lt;&gt;X$1,0,
IF(PART_NUMBER_GENERATOR_TABLE[[#This Row],[Work Type]:[Work Type]]&lt;&gt;"BH",0,
SUMIFS(X$9:X$24,$M$9:$M$24,PART_NUMBER_GENERATOR_TABLE[[#This Row],[Tech]:[Tech]])))</f>
        <v>0</v>
      </c>
      <c r="Y61" cm="1">
        <f t="array" ref="Y61">IF(PART_NUMBER_GENERATOR_TABLE[[#This Row],[Work Role]:[Work Role]]&lt;&gt;Y$1,0,
IF(PART_NUMBER_GENERATOR_TABLE[[#This Row],[Work Type]:[Work Type]]&lt;&gt;"BH",0,
SUMIFS(Y$9:Y$24,$M$9:$M$24,PART_NUMBER_GENERATOR_TABLE[[#This Row],[Tech]:[Tech]])))</f>
        <v>0</v>
      </c>
      <c r="Z61" cm="1">
        <f t="array" ref="Z61">IF(PART_NUMBER_GENERATOR_TABLE[[#This Row],[Work Role]:[Work Role]]&lt;&gt;Z$1,0,
IF(PART_NUMBER_GENERATOR_TABLE[[#This Row],[Work Type]:[Work Type]]&lt;&gt;"BH",0,
SUMIFS(Z$9:Z$24,$M$9:$M$24,PART_NUMBER_GENERATOR_TABLE[[#This Row],[Tech]:[Tech]])))</f>
        <v>0</v>
      </c>
      <c r="AA61" cm="1">
        <f t="array" ref="AA61">IF(PART_NUMBER_GENERATOR_TABLE[[#This Row],[Work Role]:[Work Role]]&lt;&gt;AA$1,0,
IF(PART_NUMBER_GENERATOR_TABLE[[#This Row],[Work Type]:[Work Type]]&lt;&gt;"BH",0,
SUMIFS(AA$9:AA$24,$M$9:$M$24,PART_NUMBER_GENERATOR_TABLE[[#This Row],[Tech]:[Tech]])))</f>
        <v>0</v>
      </c>
      <c r="AB61" cm="1">
        <f t="array" ref="AB61">IF(PART_NUMBER_GENERATOR_TABLE[[#This Row],[Work Role]:[Work Role]]&lt;&gt;AB$1,0,
IF(PART_NUMBER_GENERATOR_TABLE[[#This Row],[Work Type]:[Work Type]]&lt;&gt;"BH",0,
SUMIFS(AB$9:AB$24,$M$9:$M$24,PART_NUMBER_GENERATOR_TABLE[[#This Row],[Tech]:[Tech]])))</f>
        <v>0</v>
      </c>
      <c r="AC61" cm="1">
        <f t="array" ref="AC61">IF(PART_NUMBER_GENERATOR_TABLE[[#This Row],[Work Role]:[Work Role]]&lt;&gt;AC$1,0,
IF(PART_NUMBER_GENERATOR_TABLE[[#This Row],[Work Type]:[Work Type]]&lt;&gt;"BH",0,
SUMIFS(AC$9:AC$24,$M$9:$M$24,PART_NUMBER_GENERATOR_TABLE[[#This Row],[Tech]:[Tech]])))</f>
        <v>0</v>
      </c>
      <c r="AD61" cm="1">
        <f t="array" ref="AD61">IF(PART_NUMBER_GENERATOR_TABLE[[#This Row],[Work Role]:[Work Role]]&lt;&gt;AD$1,0,
IF(PART_NUMBER_GENERATOR_TABLE[[#This Row],[Work Type]:[Work Type]]&lt;&gt;"BH",0,
SUMIFS(AD$9:AD$24,$M$9:$M$24,PART_NUMBER_GENERATOR_TABLE[[#This Row],[Tech]:[Tech]])))</f>
        <v>0</v>
      </c>
      <c r="AE61" cm="1">
        <f t="array" ref="AE61">IF(PART_NUMBER_GENERATOR_TABLE[[#This Row],[Work Role]:[Work Role]]&lt;&gt;AE$1,0,
IF(PART_NUMBER_GENERATOR_TABLE[[#This Row],[Work Type]:[Work Type]]&lt;&gt;"BH",0,
SUMIFS(AE$9:AE$24,$M$9:$M$24,PART_NUMBER_GENERATOR_TABLE[[#This Row],[Tech]:[Tech]])))</f>
        <v>0</v>
      </c>
      <c r="AF61" cm="1">
        <f t="array" ref="AF61">IF(PART_NUMBER_GENERATOR_TABLE[[#This Row],[Work Role]:[Work Role]]&lt;&gt;AF$1,0,
IF(PART_NUMBER_GENERATOR_TABLE[[#This Row],[Work Type]:[Work Type]]&lt;&gt;"BH",0,
SUMIFS(AF$9:AF$24,$M$9:$M$24,PART_NUMBER_GENERATOR_TABLE[[#This Row],[Tech]:[Tech]])))</f>
        <v>0</v>
      </c>
      <c r="AG61" cm="1">
        <f t="array" ref="AG61">IF(PART_NUMBER_GENERATOR_TABLE[[#This Row],[Work Role]:[Work Role]]&lt;&gt;AG$1,0,
IF(PART_NUMBER_GENERATOR_TABLE[[#This Row],[Work Type]:[Work Type]]&lt;&gt;"AH",0,
SUMIFS(AG$9:AG$24,$M$9:$M$24,PART_NUMBER_GENERATOR_TABLE[[#This Row],[Tech]:[Tech]])))</f>
        <v>0</v>
      </c>
      <c r="AH61" cm="1">
        <f t="array" ref="AH61">IF(PART_NUMBER_GENERATOR_TABLE[[#This Row],[Work Role]:[Work Role]]&lt;&gt;AH$1,0,
IF(PART_NUMBER_GENERATOR_TABLE[[#This Row],[Work Type]:[Work Type]]&lt;&gt;"BH",0,
SUMIFS(AH$9:AH$24,$M$9:$M$24,PART_NUMBER_GENERATOR_TABLE[[#This Row],[Tech]:[Tech]])))</f>
        <v>0</v>
      </c>
      <c r="AI61" cm="1">
        <f t="array" ref="AI61">IF(PART_NUMBER_GENERATOR_TABLE[[#This Row],[Work Role]:[Work Role]]&lt;&gt;AI$1,0,
IF(PART_NUMBER_GENERATOR_TABLE[[#This Row],[Work Type]:[Work Type]]&lt;&gt;"BH",0,
SUMIFS(AI$9:AI$24,$M$9:$M$24,PART_NUMBER_GENERATOR_TABLE[[#This Row],[Tech]:[Tech]])))</f>
        <v>0</v>
      </c>
      <c r="AJ61" cm="1">
        <f t="array" ref="AJ61">IF(PART_NUMBER_GENERATOR_TABLE[[#This Row],[Work Role]:[Work Role]]&lt;&gt;AJ$1,0,
IF(PART_NUMBER_GENERATOR_TABLE[[#This Row],[Work Type]:[Work Type]]&lt;&gt;"BH",0,
SUMIFS(AJ$9:AJ$24,$M$9:$M$24,PART_NUMBER_GENERATOR_TABLE[[#This Row],[Tech]:[Tech]])))</f>
        <v>0</v>
      </c>
      <c r="AK61" cm="1">
        <f t="array" ref="AK61">IF(PART_NUMBER_GENERATOR_TABLE[[#This Row],[Work Role]:[Work Role]]&lt;&gt;AK$1,0,
IF(PART_NUMBER_GENERATOR_TABLE[[#This Row],[Work Type]:[Work Type]]&lt;&gt;"AH",0,
SUMIFS(AK$9:AK$24,$M$9:$M$24,PART_NUMBER_GENERATOR_TABLE[[#This Row],[Tech]:[Tech]])))</f>
        <v>0</v>
      </c>
      <c r="AL61" cm="1">
        <f t="array" ref="AL61">IF(PART_NUMBER_GENERATOR_TABLE[[#This Row],[Work Role]:[Work Role]]&lt;&gt;AL$1,0,
IF(PART_NUMBER_GENERATOR_TABLE[[#This Row],[Work Type]:[Work Type]]&lt;&gt;"BH",0,
SUMIFS(AL$9:AL$24,$M$9:$M$24,PART_NUMBER_GENERATOR_TABLE[[#This Row],[Tech]:[Tech]])))</f>
        <v>0</v>
      </c>
      <c r="AM61">
        <f>0</f>
        <v>0</v>
      </c>
      <c r="AN61" cm="1">
        <f t="array" ref="AN61">IF(PART_NUMBER_GENERATOR_TABLE[[#This Row],[Work Role]:[Work Role]]&lt;&gt;AN$1,0,
IF(PART_NUMBER_GENERATOR_TABLE[[#This Row],[Work Type]:[Work Type]]&lt;&gt;"BH",0,
SUMIFS(AN$24,$AM$24,PART_NUMBER_GENERATOR_TABLE[[#This Row],[Tech]:[Tech]])))</f>
        <v>0</v>
      </c>
      <c r="AO61" cm="1">
        <f t="array" ref="AO61">IF(PART_NUMBER_GENERATOR_TABLE[[#This Row],[Work Role]:[Work Role]]&lt;&gt;AO$1,0,
IF(PART_NUMBER_GENERATOR_TABLE[[#This Row],[Work Type]:[Work Type]]&lt;&gt;"BH",0,
SUMIFS(AO$24,$AM$24,PART_NUMBER_GENERATOR_TABLE[[#This Row],[Tech]:[Tech]])))</f>
        <v>0</v>
      </c>
      <c r="AP61" cm="1">
        <f t="array" ref="AP61">IF(PART_NUMBER_GENERATOR_TABLE[[#This Row],[Work Role]:[Work Role]]&lt;&gt;AP$1,0,
IF(PART_NUMBER_GENERATOR_TABLE[[#This Row],[Work Type]:[Work Type]]&lt;&gt;"BH",0,
SUMIFS(AP$24,$AM$24,PART_NUMBER_GENERATOR_TABLE[[#This Row],[Tech]:[Tech]])))</f>
        <v>0</v>
      </c>
      <c r="AQ61" cm="1">
        <f t="array" ref="AQ61">IF(PART_NUMBER_GENERATOR_TABLE[[#This Row],[Work Role]:[Work Role]]&lt;&gt;AQ$1,0,
IF(PART_NUMBER_GENERATOR_TABLE[[#This Row],[Work Type]:[Work Type]]&lt;&gt;"BH",0,
SUMIFS(AQ$24,$AM$24,PART_NUMBER_GENERATOR_TABLE[[#This Row],[Tech]:[Tech]])))</f>
        <v>0</v>
      </c>
      <c r="AR61" cm="1">
        <f t="array" ref="AR61">IF(PART_NUMBER_GENERATOR_TABLE[[#This Row],[Work Role]:[Work Role]]&lt;&gt;AR$1,0,
IF(PART_NUMBER_GENERATOR_TABLE[[#This Row],[Work Type]:[Work Type]]&lt;&gt;"BH",0,
SUMIFS(AR$24,$AM$24,PART_NUMBER_GENERATOR_TABLE[[#This Row],[Tech]:[Tech]])))</f>
        <v>0</v>
      </c>
      <c r="AS61" cm="1">
        <f t="array" ref="AS61">IF(PART_NUMBER_GENERATOR_TABLE[[#This Row],[Work Role]:[Work Role]]&lt;&gt;AS$1,0,
IF(PART_NUMBER_GENERATOR_TABLE[[#This Row],[Work Type]:[Work Type]]&lt;&gt;"BH",0,
SUMIFS(AS$24,$AM$24,PART_NUMBER_GENERATOR_TABLE[[#This Row],[Tech]:[Tech]])))</f>
        <v>0</v>
      </c>
      <c r="AT61" cm="1">
        <f t="array" ref="AT61">IF(PART_NUMBER_GENERATOR_TABLE[[#This Row],[Work Role]:[Work Role]]&lt;&gt;AS$1,0,
IF(PART_NUMBER_GENERATOR_TABLE[[#This Row],[Work Type]:[Work Type]]&lt;&gt;"BH",0,
SUMIFS(AT$24,$AM$24,PART_NUMBER_GENERATOR_TABLE[[#This Row],[Tech]:[Tech]])))</f>
        <v>0</v>
      </c>
      <c r="AU61">
        <f>SUM(PART_NUMBER_GENERATOR_TABLE[[#This Row],[Resource 1 BH]:[Resource 5 AH]],PART_NUMBER_GENERATOR_TABLE[[#This Row],[R1 Mandatory Tasks]:[R5 Mandatory Tasks]],PART_NUMBER_GENERATOR_TABLE[[#This Row],[R1 Remainder]:[R5 Remainder]])</f>
        <v>0</v>
      </c>
      <c r="AV61">
        <f>PART_NUMBER_GENERATOR_TABLE[[#This Row],[Professional Engineering Hours]]*PART_NUMBER_GENERATOR_TABLE[[#This Row],[Sell Rate]]</f>
        <v>0</v>
      </c>
      <c r="AW61">
        <f>PART_NUMBER_GENERATOR_TABLE[[#This Row],[Professional Engineering Hours]]*PART_NUMBER_GENERATOR_TABLE[[#This Row],[Cost Rate]]</f>
        <v>0</v>
      </c>
      <c r="AX61">
        <f>SUM(PART_NUMBER_GENERATOR_TABLE[[#This Row],[PM Trips]:[R5 Trips]])</f>
        <v>0</v>
      </c>
      <c r="AY61">
        <f>PART_NUMBER_GENERATOR_TABLE[[#This Row],[Travel &amp; Accommodation Hours]]*PART_NUMBER_GENERATOR_TABLE[[#This Row],[Sell Rate]]</f>
        <v>0</v>
      </c>
      <c r="AZ61">
        <f>PART_NUMBER_GENERATOR_TABLE[[#This Row],[Travel &amp; Accommodation Hours]]*PART_NUMBER_GENERATOR_TABLE[[#This Row],[Cost Rate]]</f>
        <v>0</v>
      </c>
      <c r="BA61">
        <f>PART_NUMBER_GENERATOR_TABLE[[#This Row],[PM Hours]]+PART_NUMBER_GENERATOR_TABLE[[#This Row],[PM Remainder]]</f>
        <v>0</v>
      </c>
      <c r="BB61">
        <f>PART_NUMBER_GENERATOR_TABLE[[#This Row],[Project Management Hours]]*PART_NUMBER_GENERATOR_TABLE[[#This Row],[Sell Rate]]</f>
        <v>0</v>
      </c>
      <c r="BC61">
        <f>PART_NUMBER_GENERATOR_TABLE[[#This Row],[Project Management Hours]]*PART_NUMBER_GENERATOR_TABLE[[#This Row],[Cost Rate]]</f>
        <v>0</v>
      </c>
      <c r="BD61">
        <f>SUM(PART_NUMBER_GENERATOR_TABLE[[#This Row],[SSE RISK BH]:[PM RISK]],PART_NUMBER_GENERATOR_TABLE[[#This Row],[SSE Remainder RISK BH]:[PM Remainder RISK]])</f>
        <v>0</v>
      </c>
      <c r="BE61">
        <f>PART_NUMBER_GENERATOR_TABLE[[#This Row],[Project Risk Service Hours]]*PART_NUMBER_GENERATOR_TABLE[[#This Row],[Sell Rate]]</f>
        <v>0</v>
      </c>
      <c r="BF61">
        <f>PART_NUMBER_GENERATOR_TABLE[[#This Row],[Project Risk Service Hours]]*PART_NUMBER_GENERATOR_TABLE[[#This Row],[Cost Rate]]</f>
        <v>0</v>
      </c>
      <c r="BG61">
        <f>PART_NUMBER_GENERATOR_TABLE[[#This Row],[SSE RISK TRAVEL]]</f>
        <v>0</v>
      </c>
      <c r="BH61">
        <f>PART_NUMBER_GENERATOR_TABLE[[#This Row],[Sell Rate]]*PART_NUMBER_GENERATOR_TABLE[[#This Row],[Project Risk Travel Hours]]</f>
        <v>0</v>
      </c>
      <c r="BI61">
        <f>PART_NUMBER_GENERATOR_TABLE[[#This Row],[Project Risk Travel Hours]]*PART_NUMBER_GENERATOR_TABLE[[#This Row],[Cost Rate]]</f>
        <v>0</v>
      </c>
      <c r="BJ6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6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61">
        <f>IFERROR(-VLOOKUP(INDEX(ENGINEER_ROLES,MATCH(PART_NUMBER_GENERATOR_TABLE[[#This Row],[Work Role]],settings.Table_Engineer.Roles[ID],0),1),Settings_Hidden!$H$359:$K$366,4,FALSE),0)</f>
        <v>0</v>
      </c>
      <c r="BM61" s="680">
        <f>-Summary!$C$66</f>
        <v>0</v>
      </c>
      <c r="BN61" s="465">
        <f>PART_NUMBER_GENERATOR_TABLE[[#This Row],[Total Base Price]]*MIN(PART_NUMBER_GENERATOR_TABLE[[#This Row],[Rate Service Discount]:[Flat Service Discount]])</f>
        <v>0</v>
      </c>
      <c r="BO61" s="451" t="str">
        <f>IF(PART_NUMBER_GENERATOR_TABLE[[#This Row],[Quantity]]&lt;&gt;0,MAX($BO$30:BO60)+1,"")</f>
        <v/>
      </c>
      <c r="BP61" t="str">
        <f>PART_NUMBER_GENERATOR_TABLE[[#This Row],[Part Number]]</f>
        <v>A-PS-E-COLLAB-TA-BH</v>
      </c>
      <c r="BQ61">
        <f>PART_NUMBER_GENERATOR_TABLE[[#This Row],[Total Hours]]</f>
        <v>0</v>
      </c>
      <c r="BR61">
        <f>PART_NUMBER_GENERATOR_TABLE[[#This Row],[Cost Rate]]</f>
        <v>81.346799080218702</v>
      </c>
      <c r="BS61" s="465">
        <f>PART_NUMBER_GENERATOR_TABLE[[#This Row],[Sell Rate]]+(PART_NUMBER_GENERATOR_TABLE[[#This Row],[Sell Rate]]*MIN(PART_NUMBER_GENERATOR_TABLE[[#This Row],[Rate Service Discount]:[Flat Service Discount]]))</f>
        <v>155</v>
      </c>
    </row>
    <row r="62" spans="1:71">
      <c r="A62">
        <v>32</v>
      </c>
      <c r="C62" t="s">
        <v>908</v>
      </c>
      <c r="D62" t="str" cm="1">
        <f t="array" ref="D62">INDEX(Table.Settings_Skill.List[Skill Name],MATCH(INDEX(_xlfn.TEXTSPLIT(C62,"-",,TRUE),4),Table.Settings_Skill.List[Skill Code],0),1)</f>
        <v>Collaboration</v>
      </c>
      <c r="E62" t="str" cm="1">
        <f t="array" ref="E62">INDEX(_xlfn.TEXTSPLIT(C62,"-",,TRUE),5)</f>
        <v>SE</v>
      </c>
      <c r="F62" t="str">
        <f>IFERROR(INDEX(settings.Table_Engineer.Roles[Department Code],MATCH(PART_NUMBER_GENERATOR_TABLE[[#This Row],[Work Role]],settings.Table_Engineer.Roles[ID],0),1),"PMO")</f>
        <v>ENG</v>
      </c>
      <c r="G62" t="str" cm="1">
        <f t="array" ref="G62">INDEX(_xlfn.TEXTSPLIT(C62,"-",,TRUE),6)</f>
        <v>BH</v>
      </c>
      <c r="H6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6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62" cm="1">
        <f t="array" ref="J62">IF(J$1&lt;&gt;PART_NUMBER_GENERATOR_TABLE[[#This Row],[Work Role]:[Work Role]],0,
IF(RIGHT(J$30,2)&lt;&gt;PART_NUMBER_GENERATOR_TABLE[[#This Row],[Work Type]:[Work Type]],0,
SUMIFS(Input_Tasks[R1 Business Hours],Input_Tasks[[Skill Required]:[Skill Required]],PART_NUMBER_GENERATOR_TABLE[[#This Row],[Tech]:[Tech]])))</f>
        <v>0</v>
      </c>
      <c r="K62" cm="1">
        <f t="array" ref="K62">IF(K$1&lt;&gt;PART_NUMBER_GENERATOR_TABLE[[#This Row],[Work Role]:[Work Role]],0,
IF(RIGHT(K$30,2)&lt;&gt;PART_NUMBER_GENERATOR_TABLE[[#This Row],[Work Type]:[Work Type]],0,
SUMIFS(Input_Tasks[R1 After Hours],Input_Tasks[[Skill Required]:[Skill Required]],PART_NUMBER_GENERATOR_TABLE[[#This Row],[Tech]:[Tech]])))</f>
        <v>0</v>
      </c>
      <c r="L62" cm="1">
        <f t="array" ref="L62">IF(L$1&lt;&gt;PART_NUMBER_GENERATOR_TABLE[[#This Row],[Work Role]:[Work Role]],0,
IF(RIGHT(L$30,2)&lt;&gt;PART_NUMBER_GENERATOR_TABLE[[#This Row],[Work Type]:[Work Type]],0,
SUMIFS(Input_Tasks[R2 Business Hours],Input_Tasks[[Skill Required]:[Skill Required]],PART_NUMBER_GENERATOR_TABLE[[#This Row],[Tech]:[Tech]])))</f>
        <v>0</v>
      </c>
      <c r="M62" cm="1">
        <f t="array" ref="M62">IF(M$1&lt;&gt;PART_NUMBER_GENERATOR_TABLE[[#This Row],[Work Role]:[Work Role]],0,
IF(RIGHT(M$30,2)&lt;&gt;PART_NUMBER_GENERATOR_TABLE[[#This Row],[Work Type]:[Work Type]],0,
SUMIFS(Input_Tasks[R2 After Hours],Input_Tasks[[Skill Required]:[Skill Required]],PART_NUMBER_GENERATOR_TABLE[[#This Row],[Tech]:[Tech]])))</f>
        <v>0</v>
      </c>
      <c r="N62" cm="1">
        <f t="array" ref="N62">IF(N$1&lt;&gt;PART_NUMBER_GENERATOR_TABLE[[#This Row],[Work Role]:[Work Role]],0,
IF(RIGHT(N$30,2)&lt;&gt;PART_NUMBER_GENERATOR_TABLE[[#This Row],[Work Type]:[Work Type]],0,
SUMIFS(Input_Tasks[R3 Business Hours],Input_Tasks[[Skill Required]:[Skill Required]],PART_NUMBER_GENERATOR_TABLE[[#This Row],[Tech]:[Tech]])))</f>
        <v>0</v>
      </c>
      <c r="O62" cm="1">
        <f t="array" ref="O62">IF(O$1&lt;&gt;PART_NUMBER_GENERATOR_TABLE[[#This Row],[Work Role]:[Work Role]],0,
IF(RIGHT(O$30,2)&lt;&gt;PART_NUMBER_GENERATOR_TABLE[[#This Row],[Work Type]:[Work Type]],0,
SUMIFS(Input_Tasks[R3 After Hours],Input_Tasks[[Skill Required]:[Skill Required]],PART_NUMBER_GENERATOR_TABLE[[#This Row],[Tech]:[Tech]])))</f>
        <v>0</v>
      </c>
      <c r="P62" cm="1">
        <f t="array" ref="P62">IF(P$1&lt;&gt;PART_NUMBER_GENERATOR_TABLE[[#This Row],[Work Role]:[Work Role]],0,
IF(RIGHT(P$30,2)&lt;&gt;PART_NUMBER_GENERATOR_TABLE[[#This Row],[Work Type]:[Work Type]],0,
SUMIFS(Input_Tasks[R4 Business Hours],Input_Tasks[[Skill Required]:[Skill Required]],PART_NUMBER_GENERATOR_TABLE[[#This Row],[Tech]:[Tech]])))</f>
        <v>0</v>
      </c>
      <c r="Q62" cm="1">
        <f t="array" ref="Q62">IF(Q$1&lt;&gt;PART_NUMBER_GENERATOR_TABLE[[#This Row],[Work Role]:[Work Role]],0,
IF(RIGHT(Q$30,2)&lt;&gt;PART_NUMBER_GENERATOR_TABLE[[#This Row],[Work Type]:[Work Type]],0,
SUMIFS(Input_Tasks[R4 After Hours],Input_Tasks[[Skill Required]:[Skill Required]],PART_NUMBER_GENERATOR_TABLE[[#This Row],[Tech]:[Tech]])))</f>
        <v>0</v>
      </c>
      <c r="R62" cm="1">
        <f t="array" ref="R62">IF(R$1&lt;&gt;PART_NUMBER_GENERATOR_TABLE[[#This Row],[Work Role]:[Work Role]],0,
IF(RIGHT(R$30,2)&lt;&gt;PART_NUMBER_GENERATOR_TABLE[[#This Row],[Work Type]:[Work Type]],0,
SUMIFS(Input_Tasks[R5 Business Hours],Input_Tasks[[Skill Required]:[Skill Required]],PART_NUMBER_GENERATOR_TABLE[[#This Row],[Tech]:[Tech]])))</f>
        <v>0</v>
      </c>
      <c r="S62" cm="1">
        <f t="array" ref="S62">IF(S$1&lt;&gt;PART_NUMBER_GENERATOR_TABLE[[#This Row],[Work Role]:[Work Role]],0,
IF(RIGHT(S$30,2)&lt;&gt;PART_NUMBER_GENERATOR_TABLE[[#This Row],[Work Type]:[Work Type]],0,
SUMIFS(Input_Tasks[R5 After Hours],Input_Tasks[[Skill Required]:[Skill Required]],PART_NUMBER_GENERATOR_TABLE[[#This Row],[Tech]:[Tech]])))</f>
        <v>0</v>
      </c>
      <c r="T62" cm="1">
        <f t="array" ref="T62">IF(PART_NUMBER_GENERATOR_TABLE[[#This Row],[Work Role]:[Work Role]]&lt;&gt;T$1,0,
IF(PART_NUMBER_GENERATOR_TABLE[[#This Row],[Work Type]:[Work Type]]&lt;&gt;"BH",0,
SUMIFS(T$9:T$24,$M$9:$M$24,PART_NUMBER_GENERATOR_TABLE[[#This Row],[Tech]:[Tech]])))</f>
        <v>0</v>
      </c>
      <c r="U62" cm="1">
        <f t="array" ref="U62">IF(PART_NUMBER_GENERATOR_TABLE[[#This Row],[Work Role]:[Work Role]]&lt;&gt;U$1,0,
IF(PART_NUMBER_GENERATOR_TABLE[[#This Row],[Work Type]:[Work Type]]&lt;&gt;"BH",0,
SUMIFS(U$9:U$24,$M$9:$M$24,PART_NUMBER_GENERATOR_TABLE[[#This Row],[Tech]:[Tech]])))</f>
        <v>0</v>
      </c>
      <c r="V62" cm="1">
        <f t="array" ref="V62">IF(PART_NUMBER_GENERATOR_TABLE[[#This Row],[Work Role]:[Work Role]]&lt;&gt;V$1,0,
IF(PART_NUMBER_GENERATOR_TABLE[[#This Row],[Work Type]:[Work Type]]&lt;&gt;"BH",0,
SUMIFS(V$9:V$24,$M$9:$M$24,PART_NUMBER_GENERATOR_TABLE[[#This Row],[Tech]:[Tech]])))</f>
        <v>0</v>
      </c>
      <c r="W62" cm="1">
        <f t="array" ref="W62">IF(PART_NUMBER_GENERATOR_TABLE[[#This Row],[Work Role]:[Work Role]]&lt;&gt;W$1,0,
IF(PART_NUMBER_GENERATOR_TABLE[[#This Row],[Work Type]:[Work Type]]&lt;&gt;"BH",0,
SUMIFS(W$9:W$24,$M$9:$M$24,PART_NUMBER_GENERATOR_TABLE[[#This Row],[Tech]:[Tech]])))</f>
        <v>0</v>
      </c>
      <c r="X62" cm="1">
        <f t="array" ref="X62">IF(PART_NUMBER_GENERATOR_TABLE[[#This Row],[Work Role]:[Work Role]]&lt;&gt;X$1,0,
IF(PART_NUMBER_GENERATOR_TABLE[[#This Row],[Work Type]:[Work Type]]&lt;&gt;"BH",0,
SUMIFS(X$9:X$24,$M$9:$M$24,PART_NUMBER_GENERATOR_TABLE[[#This Row],[Tech]:[Tech]])))</f>
        <v>0</v>
      </c>
      <c r="Y62" cm="1">
        <f t="array" ref="Y62">IF(PART_NUMBER_GENERATOR_TABLE[[#This Row],[Work Role]:[Work Role]]&lt;&gt;Y$1,0,
IF(PART_NUMBER_GENERATOR_TABLE[[#This Row],[Work Type]:[Work Type]]&lt;&gt;"BH",0,
SUMIFS(Y$9:Y$24,$M$9:$M$24,PART_NUMBER_GENERATOR_TABLE[[#This Row],[Tech]:[Tech]])))</f>
        <v>0</v>
      </c>
      <c r="Z62" cm="1">
        <f t="array" ref="Z62">IF(PART_NUMBER_GENERATOR_TABLE[[#This Row],[Work Role]:[Work Role]]&lt;&gt;Z$1,0,
IF(PART_NUMBER_GENERATOR_TABLE[[#This Row],[Work Type]:[Work Type]]&lt;&gt;"BH",0,
SUMIFS(Z$9:Z$24,$M$9:$M$24,PART_NUMBER_GENERATOR_TABLE[[#This Row],[Tech]:[Tech]])))</f>
        <v>0</v>
      </c>
      <c r="AA62" cm="1">
        <f t="array" ref="AA62">IF(PART_NUMBER_GENERATOR_TABLE[[#This Row],[Work Role]:[Work Role]]&lt;&gt;AA$1,0,
IF(PART_NUMBER_GENERATOR_TABLE[[#This Row],[Work Type]:[Work Type]]&lt;&gt;"BH",0,
SUMIFS(AA$9:AA$24,$M$9:$M$24,PART_NUMBER_GENERATOR_TABLE[[#This Row],[Tech]:[Tech]])))</f>
        <v>0</v>
      </c>
      <c r="AB62" cm="1">
        <f t="array" ref="AB62">IF(PART_NUMBER_GENERATOR_TABLE[[#This Row],[Work Role]:[Work Role]]&lt;&gt;AB$1,0,
IF(PART_NUMBER_GENERATOR_TABLE[[#This Row],[Work Type]:[Work Type]]&lt;&gt;"BH",0,
SUMIFS(AB$9:AB$24,$M$9:$M$24,PART_NUMBER_GENERATOR_TABLE[[#This Row],[Tech]:[Tech]])))</f>
        <v>0</v>
      </c>
      <c r="AC62" cm="1">
        <f t="array" ref="AC62">IF(PART_NUMBER_GENERATOR_TABLE[[#This Row],[Work Role]:[Work Role]]&lt;&gt;AC$1,0,
IF(PART_NUMBER_GENERATOR_TABLE[[#This Row],[Work Type]:[Work Type]]&lt;&gt;"BH",0,
SUMIFS(AC$9:AC$24,$M$9:$M$24,PART_NUMBER_GENERATOR_TABLE[[#This Row],[Tech]:[Tech]])))</f>
        <v>0</v>
      </c>
      <c r="AD62" cm="1">
        <f t="array" ref="AD62">IF(PART_NUMBER_GENERATOR_TABLE[[#This Row],[Work Role]:[Work Role]]&lt;&gt;AD$1,0,
IF(PART_NUMBER_GENERATOR_TABLE[[#This Row],[Work Type]:[Work Type]]&lt;&gt;"BH",0,
SUMIFS(AD$9:AD$24,$M$9:$M$24,PART_NUMBER_GENERATOR_TABLE[[#This Row],[Tech]:[Tech]])))</f>
        <v>0</v>
      </c>
      <c r="AE62" cm="1">
        <f t="array" ref="AE62">IF(PART_NUMBER_GENERATOR_TABLE[[#This Row],[Work Role]:[Work Role]]&lt;&gt;AE$1,0,
IF(PART_NUMBER_GENERATOR_TABLE[[#This Row],[Work Type]:[Work Type]]&lt;&gt;"BH",0,
SUMIFS(AE$9:AE$24,$M$9:$M$24,PART_NUMBER_GENERATOR_TABLE[[#This Row],[Tech]:[Tech]])))</f>
        <v>0</v>
      </c>
      <c r="AF62" cm="1">
        <f t="array" ref="AF62">IF(PART_NUMBER_GENERATOR_TABLE[[#This Row],[Work Role]:[Work Role]]&lt;&gt;AF$1,0,
IF(PART_NUMBER_GENERATOR_TABLE[[#This Row],[Work Type]:[Work Type]]&lt;&gt;"BH",0,
SUMIFS(AF$9:AF$24,$M$9:$M$24,PART_NUMBER_GENERATOR_TABLE[[#This Row],[Tech]:[Tech]])))</f>
        <v>0</v>
      </c>
      <c r="AG62" cm="1">
        <f t="array" ref="AG62">IF(PART_NUMBER_GENERATOR_TABLE[[#This Row],[Work Role]:[Work Role]]&lt;&gt;AG$1,0,
IF(PART_NUMBER_GENERATOR_TABLE[[#This Row],[Work Type]:[Work Type]]&lt;&gt;"AH",0,
SUMIFS(AG$9:AG$24,$M$9:$M$24,PART_NUMBER_GENERATOR_TABLE[[#This Row],[Tech]:[Tech]])))</f>
        <v>0</v>
      </c>
      <c r="AH62" cm="1">
        <f t="array" ref="AH62">IF(PART_NUMBER_GENERATOR_TABLE[[#This Row],[Work Role]:[Work Role]]&lt;&gt;AH$1,0,
IF(PART_NUMBER_GENERATOR_TABLE[[#This Row],[Work Type]:[Work Type]]&lt;&gt;"BH",0,
SUMIFS(AH$9:AH$24,$M$9:$M$24,PART_NUMBER_GENERATOR_TABLE[[#This Row],[Tech]:[Tech]])))</f>
        <v>0</v>
      </c>
      <c r="AI62" cm="1">
        <f t="array" ref="AI62">IF(PART_NUMBER_GENERATOR_TABLE[[#This Row],[Work Role]:[Work Role]]&lt;&gt;AI$1,0,
IF(PART_NUMBER_GENERATOR_TABLE[[#This Row],[Work Type]:[Work Type]]&lt;&gt;"BH",0,
SUMIFS(AI$9:AI$24,$M$9:$M$24,PART_NUMBER_GENERATOR_TABLE[[#This Row],[Tech]:[Tech]])))</f>
        <v>0</v>
      </c>
      <c r="AJ62" cm="1">
        <f t="array" ref="AJ62">IF(PART_NUMBER_GENERATOR_TABLE[[#This Row],[Work Role]:[Work Role]]&lt;&gt;AJ$1,0,
IF(PART_NUMBER_GENERATOR_TABLE[[#This Row],[Work Type]:[Work Type]]&lt;&gt;"BH",0,
SUMIFS(AJ$9:AJ$24,$M$9:$M$24,PART_NUMBER_GENERATOR_TABLE[[#This Row],[Tech]:[Tech]])))</f>
        <v>0</v>
      </c>
      <c r="AK62" cm="1">
        <f t="array" ref="AK62">IF(PART_NUMBER_GENERATOR_TABLE[[#This Row],[Work Role]:[Work Role]]&lt;&gt;AK$1,0,
IF(PART_NUMBER_GENERATOR_TABLE[[#This Row],[Work Type]:[Work Type]]&lt;&gt;"AH",0,
SUMIFS(AK$9:AK$24,$M$9:$M$24,PART_NUMBER_GENERATOR_TABLE[[#This Row],[Tech]:[Tech]])))</f>
        <v>0</v>
      </c>
      <c r="AL62" cm="1">
        <f t="array" ref="AL62">IF(PART_NUMBER_GENERATOR_TABLE[[#This Row],[Work Role]:[Work Role]]&lt;&gt;AL$1,0,
IF(PART_NUMBER_GENERATOR_TABLE[[#This Row],[Work Type]:[Work Type]]&lt;&gt;"BH",0,
SUMIFS(AL$9:AL$24,$M$9:$M$24,PART_NUMBER_GENERATOR_TABLE[[#This Row],[Tech]:[Tech]])))</f>
        <v>0</v>
      </c>
      <c r="AM62">
        <f>0</f>
        <v>0</v>
      </c>
      <c r="AN62" cm="1">
        <f t="array" ref="AN62">IF(PART_NUMBER_GENERATOR_TABLE[[#This Row],[Work Role]:[Work Role]]&lt;&gt;AN$1,0,
IF(PART_NUMBER_GENERATOR_TABLE[[#This Row],[Work Type]:[Work Type]]&lt;&gt;"BH",0,
SUMIFS(AN$24,$AM$24,PART_NUMBER_GENERATOR_TABLE[[#This Row],[Tech]:[Tech]])))</f>
        <v>0</v>
      </c>
      <c r="AO62" cm="1">
        <f t="array" ref="AO62">IF(PART_NUMBER_GENERATOR_TABLE[[#This Row],[Work Role]:[Work Role]]&lt;&gt;AO$1,0,
IF(PART_NUMBER_GENERATOR_TABLE[[#This Row],[Work Type]:[Work Type]]&lt;&gt;"BH",0,
SUMIFS(AO$24,$AM$24,PART_NUMBER_GENERATOR_TABLE[[#This Row],[Tech]:[Tech]])))</f>
        <v>0</v>
      </c>
      <c r="AP62" cm="1">
        <f t="array" ref="AP62">IF(PART_NUMBER_GENERATOR_TABLE[[#This Row],[Work Role]:[Work Role]]&lt;&gt;AP$1,0,
IF(PART_NUMBER_GENERATOR_TABLE[[#This Row],[Work Type]:[Work Type]]&lt;&gt;"BH",0,
SUMIFS(AP$24,$AM$24,PART_NUMBER_GENERATOR_TABLE[[#This Row],[Tech]:[Tech]])))</f>
        <v>0</v>
      </c>
      <c r="AQ62" cm="1">
        <f t="array" ref="AQ62">IF(PART_NUMBER_GENERATOR_TABLE[[#This Row],[Work Role]:[Work Role]]&lt;&gt;AQ$1,0,
IF(PART_NUMBER_GENERATOR_TABLE[[#This Row],[Work Type]:[Work Type]]&lt;&gt;"BH",0,
SUMIFS(AQ$24,$AM$24,PART_NUMBER_GENERATOR_TABLE[[#This Row],[Tech]:[Tech]])))</f>
        <v>0</v>
      </c>
      <c r="AR62" cm="1">
        <f t="array" ref="AR62">IF(PART_NUMBER_GENERATOR_TABLE[[#This Row],[Work Role]:[Work Role]]&lt;&gt;AR$1,0,
IF(PART_NUMBER_GENERATOR_TABLE[[#This Row],[Work Type]:[Work Type]]&lt;&gt;"BH",0,
SUMIFS(AR$24,$AM$24,PART_NUMBER_GENERATOR_TABLE[[#This Row],[Tech]:[Tech]])))</f>
        <v>0</v>
      </c>
      <c r="AS62" cm="1">
        <f t="array" ref="AS62">IF(PART_NUMBER_GENERATOR_TABLE[[#This Row],[Work Role]:[Work Role]]&lt;&gt;AS$1,0,
IF(PART_NUMBER_GENERATOR_TABLE[[#This Row],[Work Type]:[Work Type]]&lt;&gt;"BH",0,
SUMIFS(AS$24,$AM$24,PART_NUMBER_GENERATOR_TABLE[[#This Row],[Tech]:[Tech]])))</f>
        <v>0</v>
      </c>
      <c r="AT62" cm="1">
        <f t="array" ref="AT62">IF(PART_NUMBER_GENERATOR_TABLE[[#This Row],[Work Role]:[Work Role]]&lt;&gt;AS$1,0,
IF(PART_NUMBER_GENERATOR_TABLE[[#This Row],[Work Type]:[Work Type]]&lt;&gt;"BH",0,
SUMIFS(AT$24,$AM$24,PART_NUMBER_GENERATOR_TABLE[[#This Row],[Tech]:[Tech]])))</f>
        <v>0</v>
      </c>
      <c r="AU62">
        <f>SUM(PART_NUMBER_GENERATOR_TABLE[[#This Row],[Resource 1 BH]:[Resource 5 AH]],PART_NUMBER_GENERATOR_TABLE[[#This Row],[R1 Mandatory Tasks]:[R5 Mandatory Tasks]],PART_NUMBER_GENERATOR_TABLE[[#This Row],[R1 Remainder]:[R5 Remainder]])</f>
        <v>0</v>
      </c>
      <c r="AV62">
        <f>PART_NUMBER_GENERATOR_TABLE[[#This Row],[Professional Engineering Hours]]*PART_NUMBER_GENERATOR_TABLE[[#This Row],[Sell Rate]]</f>
        <v>0</v>
      </c>
      <c r="AW62">
        <f>PART_NUMBER_GENERATOR_TABLE[[#This Row],[Professional Engineering Hours]]*PART_NUMBER_GENERATOR_TABLE[[#This Row],[Cost Rate]]</f>
        <v>0</v>
      </c>
      <c r="AX62">
        <f>SUM(PART_NUMBER_GENERATOR_TABLE[[#This Row],[PM Trips]:[R5 Trips]])</f>
        <v>0</v>
      </c>
      <c r="AY62">
        <f>PART_NUMBER_GENERATOR_TABLE[[#This Row],[Travel &amp; Accommodation Hours]]*PART_NUMBER_GENERATOR_TABLE[[#This Row],[Sell Rate]]</f>
        <v>0</v>
      </c>
      <c r="AZ62">
        <f>PART_NUMBER_GENERATOR_TABLE[[#This Row],[Travel &amp; Accommodation Hours]]*PART_NUMBER_GENERATOR_TABLE[[#This Row],[Cost Rate]]</f>
        <v>0</v>
      </c>
      <c r="BA62">
        <f>PART_NUMBER_GENERATOR_TABLE[[#This Row],[PM Hours]]+PART_NUMBER_GENERATOR_TABLE[[#This Row],[PM Remainder]]</f>
        <v>0</v>
      </c>
      <c r="BB62">
        <f>PART_NUMBER_GENERATOR_TABLE[[#This Row],[Project Management Hours]]*PART_NUMBER_GENERATOR_TABLE[[#This Row],[Sell Rate]]</f>
        <v>0</v>
      </c>
      <c r="BC62">
        <f>PART_NUMBER_GENERATOR_TABLE[[#This Row],[Project Management Hours]]*PART_NUMBER_GENERATOR_TABLE[[#This Row],[Cost Rate]]</f>
        <v>0</v>
      </c>
      <c r="BD62">
        <f>SUM(PART_NUMBER_GENERATOR_TABLE[[#This Row],[SSE RISK BH]:[PM RISK]],PART_NUMBER_GENERATOR_TABLE[[#This Row],[SSE Remainder RISK BH]:[PM Remainder RISK]])</f>
        <v>0</v>
      </c>
      <c r="BE62">
        <f>PART_NUMBER_GENERATOR_TABLE[[#This Row],[Project Risk Service Hours]]*PART_NUMBER_GENERATOR_TABLE[[#This Row],[Sell Rate]]</f>
        <v>0</v>
      </c>
      <c r="BF62">
        <f>PART_NUMBER_GENERATOR_TABLE[[#This Row],[Project Risk Service Hours]]*PART_NUMBER_GENERATOR_TABLE[[#This Row],[Cost Rate]]</f>
        <v>0</v>
      </c>
      <c r="BG62">
        <f>PART_NUMBER_GENERATOR_TABLE[[#This Row],[SSE RISK TRAVEL]]</f>
        <v>0</v>
      </c>
      <c r="BH62">
        <f>PART_NUMBER_GENERATOR_TABLE[[#This Row],[Sell Rate]]*PART_NUMBER_GENERATOR_TABLE[[#This Row],[Project Risk Travel Hours]]</f>
        <v>0</v>
      </c>
      <c r="BI62">
        <f>PART_NUMBER_GENERATOR_TABLE[[#This Row],[Project Risk Travel Hours]]*PART_NUMBER_GENERATOR_TABLE[[#This Row],[Cost Rate]]</f>
        <v>0</v>
      </c>
      <c r="BJ6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6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62">
        <f>IFERROR(-VLOOKUP(INDEX(ENGINEER_ROLES,MATCH(PART_NUMBER_GENERATOR_TABLE[[#This Row],[Work Role]],settings.Table_Engineer.Roles[ID],0),1),Settings_Hidden!$H$359:$K$366,4,FALSE),0)</f>
        <v>0</v>
      </c>
      <c r="BM62" s="680">
        <f>-Summary!$C$66</f>
        <v>0</v>
      </c>
      <c r="BN62" s="465">
        <f>PART_NUMBER_GENERATOR_TABLE[[#This Row],[Total Base Price]]*MIN(PART_NUMBER_GENERATOR_TABLE[[#This Row],[Rate Service Discount]:[Flat Service Discount]])</f>
        <v>0</v>
      </c>
      <c r="BO62" s="451" t="str">
        <f>IF(PART_NUMBER_GENERATOR_TABLE[[#This Row],[Quantity]]&lt;&gt;0,MAX($BO$30:BO61)+1,"")</f>
        <v/>
      </c>
      <c r="BP62" t="str">
        <f>PART_NUMBER_GENERATOR_TABLE[[#This Row],[Part Number]]</f>
        <v>A-PS-E-COLLAB-SE-BH</v>
      </c>
      <c r="BQ62">
        <f>PART_NUMBER_GENERATOR_TABLE[[#This Row],[Total Hours]]</f>
        <v>0</v>
      </c>
      <c r="BR62">
        <f>PART_NUMBER_GENERATOR_TABLE[[#This Row],[Cost Rate]]</f>
        <v>126.11855927829811</v>
      </c>
      <c r="BS62" s="465">
        <f>PART_NUMBER_GENERATOR_TABLE[[#This Row],[Sell Rate]]+(PART_NUMBER_GENERATOR_TABLE[[#This Row],[Sell Rate]]*MIN(PART_NUMBER_GENERATOR_TABLE[[#This Row],[Rate Service Discount]:[Flat Service Discount]]))</f>
        <v>235</v>
      </c>
    </row>
    <row r="63" spans="1:71">
      <c r="A63">
        <v>33</v>
      </c>
      <c r="C63" t="s">
        <v>902</v>
      </c>
      <c r="D63" t="str" cm="1">
        <f t="array" ref="D63">INDEX(Table.Settings_Skill.List[Skill Name],MATCH(INDEX(_xlfn.TEXTSPLIT(C63,"-",,TRUE),4),Table.Settings_Skill.List[Skill Code],0),1)</f>
        <v>Collaboration</v>
      </c>
      <c r="E63" t="str" cm="1">
        <f t="array" ref="E63">INDEX(_xlfn.TEXTSPLIT(C63,"-",,TRUE),5)</f>
        <v>SSE</v>
      </c>
      <c r="F63" t="str">
        <f>IFERROR(INDEX(settings.Table_Engineer.Roles[Department Code],MATCH(PART_NUMBER_GENERATOR_TABLE[[#This Row],[Work Role]],settings.Table_Engineer.Roles[ID],0),1),"PMO")</f>
        <v>ENG</v>
      </c>
      <c r="G63" t="str" cm="1">
        <f t="array" ref="G63">INDEX(_xlfn.TEXTSPLIT(C63,"-",,TRUE),6)</f>
        <v>BH</v>
      </c>
      <c r="H6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280.5</v>
      </c>
      <c r="I6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149.91839058446394</v>
      </c>
      <c r="J63" cm="1">
        <f t="array" ref="J63">IF(J$1&lt;&gt;PART_NUMBER_GENERATOR_TABLE[[#This Row],[Work Role]:[Work Role]],0,
IF(RIGHT(J$30,2)&lt;&gt;PART_NUMBER_GENERATOR_TABLE[[#This Row],[Work Type]:[Work Type]],0,
SUMIFS(Input_Tasks[R1 Business Hours],Input_Tasks[[Skill Required]:[Skill Required]],PART_NUMBER_GENERATOR_TABLE[[#This Row],[Tech]:[Tech]])))</f>
        <v>0</v>
      </c>
      <c r="K63" cm="1">
        <f t="array" ref="K63">IF(K$1&lt;&gt;PART_NUMBER_GENERATOR_TABLE[[#This Row],[Work Role]:[Work Role]],0,
IF(RIGHT(K$30,2)&lt;&gt;PART_NUMBER_GENERATOR_TABLE[[#This Row],[Work Type]:[Work Type]],0,
SUMIFS(Input_Tasks[R1 After Hours],Input_Tasks[[Skill Required]:[Skill Required]],PART_NUMBER_GENERATOR_TABLE[[#This Row],[Tech]:[Tech]])))</f>
        <v>0</v>
      </c>
      <c r="L63" cm="1">
        <f t="array" ref="L63">IF(L$1&lt;&gt;PART_NUMBER_GENERATOR_TABLE[[#This Row],[Work Role]:[Work Role]],0,
IF(RIGHT(L$30,2)&lt;&gt;PART_NUMBER_GENERATOR_TABLE[[#This Row],[Work Type]:[Work Type]],0,
SUMIFS(Input_Tasks[R2 Business Hours],Input_Tasks[[Skill Required]:[Skill Required]],PART_NUMBER_GENERATOR_TABLE[[#This Row],[Tech]:[Tech]])))</f>
        <v>0</v>
      </c>
      <c r="M63" cm="1">
        <f t="array" ref="M63">IF(M$1&lt;&gt;PART_NUMBER_GENERATOR_TABLE[[#This Row],[Work Role]:[Work Role]],0,
IF(RIGHT(M$30,2)&lt;&gt;PART_NUMBER_GENERATOR_TABLE[[#This Row],[Work Type]:[Work Type]],0,
SUMIFS(Input_Tasks[R2 After Hours],Input_Tasks[[Skill Required]:[Skill Required]],PART_NUMBER_GENERATOR_TABLE[[#This Row],[Tech]:[Tech]])))</f>
        <v>0</v>
      </c>
      <c r="N63" cm="1">
        <f t="array" ref="N63">IF(N$1&lt;&gt;PART_NUMBER_GENERATOR_TABLE[[#This Row],[Work Role]:[Work Role]],0,
IF(RIGHT(N$30,2)&lt;&gt;PART_NUMBER_GENERATOR_TABLE[[#This Row],[Work Type]:[Work Type]],0,
SUMIFS(Input_Tasks[R3 Business Hours],Input_Tasks[[Skill Required]:[Skill Required]],PART_NUMBER_GENERATOR_TABLE[[#This Row],[Tech]:[Tech]])))</f>
        <v>0</v>
      </c>
      <c r="O63" cm="1">
        <f t="array" ref="O63">IF(O$1&lt;&gt;PART_NUMBER_GENERATOR_TABLE[[#This Row],[Work Role]:[Work Role]],0,
IF(RIGHT(O$30,2)&lt;&gt;PART_NUMBER_GENERATOR_TABLE[[#This Row],[Work Type]:[Work Type]],0,
SUMIFS(Input_Tasks[R3 After Hours],Input_Tasks[[Skill Required]:[Skill Required]],PART_NUMBER_GENERATOR_TABLE[[#This Row],[Tech]:[Tech]])))</f>
        <v>0</v>
      </c>
      <c r="P63" cm="1">
        <f t="array" ref="P63">IF(P$1&lt;&gt;PART_NUMBER_GENERATOR_TABLE[[#This Row],[Work Role]:[Work Role]],0,
IF(RIGHT(P$30,2)&lt;&gt;PART_NUMBER_GENERATOR_TABLE[[#This Row],[Work Type]:[Work Type]],0,
SUMIFS(Input_Tasks[R4 Business Hours],Input_Tasks[[Skill Required]:[Skill Required]],PART_NUMBER_GENERATOR_TABLE[[#This Row],[Tech]:[Tech]])))</f>
        <v>0</v>
      </c>
      <c r="Q63" cm="1">
        <f t="array" ref="Q63">IF(Q$1&lt;&gt;PART_NUMBER_GENERATOR_TABLE[[#This Row],[Work Role]:[Work Role]],0,
IF(RIGHT(Q$30,2)&lt;&gt;PART_NUMBER_GENERATOR_TABLE[[#This Row],[Work Type]:[Work Type]],0,
SUMIFS(Input_Tasks[R4 After Hours],Input_Tasks[[Skill Required]:[Skill Required]],PART_NUMBER_GENERATOR_TABLE[[#This Row],[Tech]:[Tech]])))</f>
        <v>0</v>
      </c>
      <c r="R63" cm="1">
        <f t="array" ref="R63">IF(R$1&lt;&gt;PART_NUMBER_GENERATOR_TABLE[[#This Row],[Work Role]:[Work Role]],0,
IF(RIGHT(R$30,2)&lt;&gt;PART_NUMBER_GENERATOR_TABLE[[#This Row],[Work Type]:[Work Type]],0,
SUMIFS(Input_Tasks[R5 Business Hours],Input_Tasks[[Skill Required]:[Skill Required]],PART_NUMBER_GENERATOR_TABLE[[#This Row],[Tech]:[Tech]])))</f>
        <v>0</v>
      </c>
      <c r="S63" cm="1">
        <f t="array" ref="S63">IF(S$1&lt;&gt;PART_NUMBER_GENERATOR_TABLE[[#This Row],[Work Role]:[Work Role]],0,
IF(RIGHT(S$30,2)&lt;&gt;PART_NUMBER_GENERATOR_TABLE[[#This Row],[Work Type]:[Work Type]],0,
SUMIFS(Input_Tasks[R5 After Hours],Input_Tasks[[Skill Required]:[Skill Required]],PART_NUMBER_GENERATOR_TABLE[[#This Row],[Tech]:[Tech]])))</f>
        <v>0</v>
      </c>
      <c r="T63" cm="1">
        <f t="array" ref="T63">IF(PART_NUMBER_GENERATOR_TABLE[[#This Row],[Work Role]:[Work Role]]&lt;&gt;T$1,0,
IF(PART_NUMBER_GENERATOR_TABLE[[#This Row],[Work Type]:[Work Type]]&lt;&gt;"BH",0,
SUMIFS(T$9:T$24,$M$9:$M$24,PART_NUMBER_GENERATOR_TABLE[[#This Row],[Tech]:[Tech]])))</f>
        <v>0</v>
      </c>
      <c r="U63" cm="1">
        <f t="array" ref="U63">IF(PART_NUMBER_GENERATOR_TABLE[[#This Row],[Work Role]:[Work Role]]&lt;&gt;U$1,0,
IF(PART_NUMBER_GENERATOR_TABLE[[#This Row],[Work Type]:[Work Type]]&lt;&gt;"BH",0,
SUMIFS(U$9:U$24,$M$9:$M$24,PART_NUMBER_GENERATOR_TABLE[[#This Row],[Tech]:[Tech]])))</f>
        <v>0</v>
      </c>
      <c r="V63" cm="1">
        <f t="array" ref="V63">IF(PART_NUMBER_GENERATOR_TABLE[[#This Row],[Work Role]:[Work Role]]&lt;&gt;V$1,0,
IF(PART_NUMBER_GENERATOR_TABLE[[#This Row],[Work Type]:[Work Type]]&lt;&gt;"BH",0,
SUMIFS(V$9:V$24,$M$9:$M$24,PART_NUMBER_GENERATOR_TABLE[[#This Row],[Tech]:[Tech]])))</f>
        <v>0</v>
      </c>
      <c r="W63" cm="1">
        <f t="array" ref="W63">IF(PART_NUMBER_GENERATOR_TABLE[[#This Row],[Work Role]:[Work Role]]&lt;&gt;W$1,0,
IF(PART_NUMBER_GENERATOR_TABLE[[#This Row],[Work Type]:[Work Type]]&lt;&gt;"BH",0,
SUMIFS(W$9:W$24,$M$9:$M$24,PART_NUMBER_GENERATOR_TABLE[[#This Row],[Tech]:[Tech]])))</f>
        <v>0</v>
      </c>
      <c r="X63" cm="1">
        <f t="array" ref="X63">IF(PART_NUMBER_GENERATOR_TABLE[[#This Row],[Work Role]:[Work Role]]&lt;&gt;X$1,0,
IF(PART_NUMBER_GENERATOR_TABLE[[#This Row],[Work Type]:[Work Type]]&lt;&gt;"BH",0,
SUMIFS(X$9:X$24,$M$9:$M$24,PART_NUMBER_GENERATOR_TABLE[[#This Row],[Tech]:[Tech]])))</f>
        <v>0</v>
      </c>
      <c r="Y63" cm="1">
        <f t="array" ref="Y63">IF(PART_NUMBER_GENERATOR_TABLE[[#This Row],[Work Role]:[Work Role]]&lt;&gt;Y$1,0,
IF(PART_NUMBER_GENERATOR_TABLE[[#This Row],[Work Type]:[Work Type]]&lt;&gt;"BH",0,
SUMIFS(Y$9:Y$24,$M$9:$M$24,PART_NUMBER_GENERATOR_TABLE[[#This Row],[Tech]:[Tech]])))</f>
        <v>0</v>
      </c>
      <c r="Z63" cm="1">
        <f t="array" ref="Z63">IF(PART_NUMBER_GENERATOR_TABLE[[#This Row],[Work Role]:[Work Role]]&lt;&gt;Z$1,0,
IF(PART_NUMBER_GENERATOR_TABLE[[#This Row],[Work Type]:[Work Type]]&lt;&gt;"BH",0,
SUMIFS(Z$9:Z$24,$M$9:$M$24,PART_NUMBER_GENERATOR_TABLE[[#This Row],[Tech]:[Tech]])))</f>
        <v>0</v>
      </c>
      <c r="AA63" cm="1">
        <f t="array" ref="AA63">IF(PART_NUMBER_GENERATOR_TABLE[[#This Row],[Work Role]:[Work Role]]&lt;&gt;AA$1,0,
IF(PART_NUMBER_GENERATOR_TABLE[[#This Row],[Work Type]:[Work Type]]&lt;&gt;"BH",0,
SUMIFS(AA$9:AA$24,$M$9:$M$24,PART_NUMBER_GENERATOR_TABLE[[#This Row],[Tech]:[Tech]])))</f>
        <v>0</v>
      </c>
      <c r="AB63" cm="1">
        <f t="array" ref="AB63">IF(PART_NUMBER_GENERATOR_TABLE[[#This Row],[Work Role]:[Work Role]]&lt;&gt;AB$1,0,
IF(PART_NUMBER_GENERATOR_TABLE[[#This Row],[Work Type]:[Work Type]]&lt;&gt;"BH",0,
SUMIFS(AB$9:AB$24,$M$9:$M$24,PART_NUMBER_GENERATOR_TABLE[[#This Row],[Tech]:[Tech]])))</f>
        <v>0</v>
      </c>
      <c r="AC63" cm="1">
        <f t="array" ref="AC63">IF(PART_NUMBER_GENERATOR_TABLE[[#This Row],[Work Role]:[Work Role]]&lt;&gt;AC$1,0,
IF(PART_NUMBER_GENERATOR_TABLE[[#This Row],[Work Type]:[Work Type]]&lt;&gt;"BH",0,
SUMIFS(AC$9:AC$24,$M$9:$M$24,PART_NUMBER_GENERATOR_TABLE[[#This Row],[Tech]:[Tech]])))</f>
        <v>0</v>
      </c>
      <c r="AD63" cm="1">
        <f t="array" ref="AD63">IF(PART_NUMBER_GENERATOR_TABLE[[#This Row],[Work Role]:[Work Role]]&lt;&gt;AD$1,0,
IF(PART_NUMBER_GENERATOR_TABLE[[#This Row],[Work Type]:[Work Type]]&lt;&gt;"BH",0,
SUMIFS(AD$9:AD$24,$M$9:$M$24,PART_NUMBER_GENERATOR_TABLE[[#This Row],[Tech]:[Tech]])))</f>
        <v>0</v>
      </c>
      <c r="AE63" cm="1">
        <f t="array" ref="AE63">IF(PART_NUMBER_GENERATOR_TABLE[[#This Row],[Work Role]:[Work Role]]&lt;&gt;AE$1,0,
IF(PART_NUMBER_GENERATOR_TABLE[[#This Row],[Work Type]:[Work Type]]&lt;&gt;"BH",0,
SUMIFS(AE$9:AE$24,$M$9:$M$24,PART_NUMBER_GENERATOR_TABLE[[#This Row],[Tech]:[Tech]])))</f>
        <v>0</v>
      </c>
      <c r="AF63" cm="1">
        <f t="array" ref="AF63">IF(PART_NUMBER_GENERATOR_TABLE[[#This Row],[Work Role]:[Work Role]]&lt;&gt;AF$1,0,
IF(PART_NUMBER_GENERATOR_TABLE[[#This Row],[Work Type]:[Work Type]]&lt;&gt;"BH",0,
SUMIFS(AF$9:AF$24,$M$9:$M$24,PART_NUMBER_GENERATOR_TABLE[[#This Row],[Tech]:[Tech]])))</f>
        <v>0</v>
      </c>
      <c r="AG63" cm="1">
        <f t="array" ref="AG63">IF(PART_NUMBER_GENERATOR_TABLE[[#This Row],[Work Role]:[Work Role]]&lt;&gt;AG$1,0,
IF(PART_NUMBER_GENERATOR_TABLE[[#This Row],[Work Type]:[Work Type]]&lt;&gt;"AH",0,
SUMIFS(AG$9:AG$24,$M$9:$M$24,PART_NUMBER_GENERATOR_TABLE[[#This Row],[Tech]:[Tech]])))</f>
        <v>0</v>
      </c>
      <c r="AH63" cm="1">
        <f t="array" ref="AH63">IF(PART_NUMBER_GENERATOR_TABLE[[#This Row],[Work Role]:[Work Role]]&lt;&gt;AH$1,0,
IF(PART_NUMBER_GENERATOR_TABLE[[#This Row],[Work Type]:[Work Type]]&lt;&gt;"BH",0,
SUMIFS(AH$9:AH$24,$M$9:$M$24,PART_NUMBER_GENERATOR_TABLE[[#This Row],[Tech]:[Tech]])))</f>
        <v>0</v>
      </c>
      <c r="AI63" cm="1">
        <f t="array" ref="AI63">IF(PART_NUMBER_GENERATOR_TABLE[[#This Row],[Work Role]:[Work Role]]&lt;&gt;AI$1,0,
IF(PART_NUMBER_GENERATOR_TABLE[[#This Row],[Work Type]:[Work Type]]&lt;&gt;"BH",0,
SUMIFS(AI$9:AI$24,$M$9:$M$24,PART_NUMBER_GENERATOR_TABLE[[#This Row],[Tech]:[Tech]])))</f>
        <v>0</v>
      </c>
      <c r="AJ63" cm="1">
        <f t="array" ref="AJ63">IF(PART_NUMBER_GENERATOR_TABLE[[#This Row],[Work Role]:[Work Role]]&lt;&gt;AJ$1,0,
IF(PART_NUMBER_GENERATOR_TABLE[[#This Row],[Work Type]:[Work Type]]&lt;&gt;"BH",0,
SUMIFS(AJ$9:AJ$24,$M$9:$M$24,PART_NUMBER_GENERATOR_TABLE[[#This Row],[Tech]:[Tech]])))</f>
        <v>0</v>
      </c>
      <c r="AK63" cm="1">
        <f t="array" ref="AK63">IF(PART_NUMBER_GENERATOR_TABLE[[#This Row],[Work Role]:[Work Role]]&lt;&gt;AK$1,0,
IF(PART_NUMBER_GENERATOR_TABLE[[#This Row],[Work Type]:[Work Type]]&lt;&gt;"AH",0,
SUMIFS(AK$9:AK$24,$M$9:$M$24,PART_NUMBER_GENERATOR_TABLE[[#This Row],[Tech]:[Tech]])))</f>
        <v>0</v>
      </c>
      <c r="AL63" cm="1">
        <f t="array" ref="AL63">IF(PART_NUMBER_GENERATOR_TABLE[[#This Row],[Work Role]:[Work Role]]&lt;&gt;AL$1,0,
IF(PART_NUMBER_GENERATOR_TABLE[[#This Row],[Work Type]:[Work Type]]&lt;&gt;"BH",0,
SUMIFS(AL$9:AL$24,$M$9:$M$24,PART_NUMBER_GENERATOR_TABLE[[#This Row],[Tech]:[Tech]])))</f>
        <v>0</v>
      </c>
      <c r="AM63">
        <f>0</f>
        <v>0</v>
      </c>
      <c r="AN63" cm="1">
        <f t="array" ref="AN63">IF(PART_NUMBER_GENERATOR_TABLE[[#This Row],[Work Role]:[Work Role]]&lt;&gt;AN$1,0,
IF(PART_NUMBER_GENERATOR_TABLE[[#This Row],[Work Type]:[Work Type]]&lt;&gt;"BH",0,
SUMIFS(AN$24,$AM$24,PART_NUMBER_GENERATOR_TABLE[[#This Row],[Tech]:[Tech]])))</f>
        <v>0</v>
      </c>
      <c r="AO63" cm="1">
        <f t="array" ref="AO63">IF(PART_NUMBER_GENERATOR_TABLE[[#This Row],[Work Role]:[Work Role]]&lt;&gt;AO$1,0,
IF(PART_NUMBER_GENERATOR_TABLE[[#This Row],[Work Type]:[Work Type]]&lt;&gt;"BH",0,
SUMIFS(AO$24,$AM$24,PART_NUMBER_GENERATOR_TABLE[[#This Row],[Tech]:[Tech]])))</f>
        <v>0</v>
      </c>
      <c r="AP63" cm="1">
        <f t="array" ref="AP63">IF(PART_NUMBER_GENERATOR_TABLE[[#This Row],[Work Role]:[Work Role]]&lt;&gt;AP$1,0,
IF(PART_NUMBER_GENERATOR_TABLE[[#This Row],[Work Type]:[Work Type]]&lt;&gt;"BH",0,
SUMIFS(AP$24,$AM$24,PART_NUMBER_GENERATOR_TABLE[[#This Row],[Tech]:[Tech]])))</f>
        <v>0</v>
      </c>
      <c r="AQ63" cm="1">
        <f t="array" ref="AQ63">IF(PART_NUMBER_GENERATOR_TABLE[[#This Row],[Work Role]:[Work Role]]&lt;&gt;AQ$1,0,
IF(PART_NUMBER_GENERATOR_TABLE[[#This Row],[Work Type]:[Work Type]]&lt;&gt;"BH",0,
SUMIFS(AQ$24,$AM$24,PART_NUMBER_GENERATOR_TABLE[[#This Row],[Tech]:[Tech]])))</f>
        <v>0</v>
      </c>
      <c r="AR63" cm="1">
        <f t="array" ref="AR63">IF(PART_NUMBER_GENERATOR_TABLE[[#This Row],[Work Role]:[Work Role]]&lt;&gt;AR$1,0,
IF(PART_NUMBER_GENERATOR_TABLE[[#This Row],[Work Type]:[Work Type]]&lt;&gt;"BH",0,
SUMIFS(AR$24,$AM$24,PART_NUMBER_GENERATOR_TABLE[[#This Row],[Tech]:[Tech]])))</f>
        <v>0</v>
      </c>
      <c r="AS63" cm="1">
        <f t="array" ref="AS63">IF(PART_NUMBER_GENERATOR_TABLE[[#This Row],[Work Role]:[Work Role]]&lt;&gt;AS$1,0,
IF(PART_NUMBER_GENERATOR_TABLE[[#This Row],[Work Type]:[Work Type]]&lt;&gt;"BH",0,
SUMIFS(AS$24,$AM$24,PART_NUMBER_GENERATOR_TABLE[[#This Row],[Tech]:[Tech]])))</f>
        <v>0</v>
      </c>
      <c r="AT63" cm="1">
        <f t="array" ref="AT63">IF(PART_NUMBER_GENERATOR_TABLE[[#This Row],[Work Role]:[Work Role]]&lt;&gt;AS$1,0,
IF(PART_NUMBER_GENERATOR_TABLE[[#This Row],[Work Type]:[Work Type]]&lt;&gt;"BH",0,
SUMIFS(AT$24,$AM$24,PART_NUMBER_GENERATOR_TABLE[[#This Row],[Tech]:[Tech]])))</f>
        <v>0</v>
      </c>
      <c r="AU63">
        <f>SUM(PART_NUMBER_GENERATOR_TABLE[[#This Row],[Resource 1 BH]:[Resource 5 AH]],PART_NUMBER_GENERATOR_TABLE[[#This Row],[R1 Mandatory Tasks]:[R5 Mandatory Tasks]],PART_NUMBER_GENERATOR_TABLE[[#This Row],[R1 Remainder]:[R5 Remainder]])</f>
        <v>0</v>
      </c>
      <c r="AV63">
        <f>PART_NUMBER_GENERATOR_TABLE[[#This Row],[Professional Engineering Hours]]*PART_NUMBER_GENERATOR_TABLE[[#This Row],[Sell Rate]]</f>
        <v>0</v>
      </c>
      <c r="AW63">
        <f>PART_NUMBER_GENERATOR_TABLE[[#This Row],[Professional Engineering Hours]]*PART_NUMBER_GENERATOR_TABLE[[#This Row],[Cost Rate]]</f>
        <v>0</v>
      </c>
      <c r="AX63">
        <f>SUM(PART_NUMBER_GENERATOR_TABLE[[#This Row],[PM Trips]:[R5 Trips]])</f>
        <v>0</v>
      </c>
      <c r="AY63">
        <f>PART_NUMBER_GENERATOR_TABLE[[#This Row],[Travel &amp; Accommodation Hours]]*PART_NUMBER_GENERATOR_TABLE[[#This Row],[Sell Rate]]</f>
        <v>0</v>
      </c>
      <c r="AZ63">
        <f>PART_NUMBER_GENERATOR_TABLE[[#This Row],[Travel &amp; Accommodation Hours]]*PART_NUMBER_GENERATOR_TABLE[[#This Row],[Cost Rate]]</f>
        <v>0</v>
      </c>
      <c r="BA63">
        <f>PART_NUMBER_GENERATOR_TABLE[[#This Row],[PM Hours]]+PART_NUMBER_GENERATOR_TABLE[[#This Row],[PM Remainder]]</f>
        <v>0</v>
      </c>
      <c r="BB63">
        <f>PART_NUMBER_GENERATOR_TABLE[[#This Row],[Project Management Hours]]*PART_NUMBER_GENERATOR_TABLE[[#This Row],[Sell Rate]]</f>
        <v>0</v>
      </c>
      <c r="BC63">
        <f>PART_NUMBER_GENERATOR_TABLE[[#This Row],[Project Management Hours]]*PART_NUMBER_GENERATOR_TABLE[[#This Row],[Cost Rate]]</f>
        <v>0</v>
      </c>
      <c r="BD63">
        <f>SUM(PART_NUMBER_GENERATOR_TABLE[[#This Row],[SSE RISK BH]:[PM RISK]],PART_NUMBER_GENERATOR_TABLE[[#This Row],[SSE Remainder RISK BH]:[PM Remainder RISK]])</f>
        <v>0</v>
      </c>
      <c r="BE63">
        <f>PART_NUMBER_GENERATOR_TABLE[[#This Row],[Project Risk Service Hours]]*PART_NUMBER_GENERATOR_TABLE[[#This Row],[Sell Rate]]</f>
        <v>0</v>
      </c>
      <c r="BF63">
        <f>PART_NUMBER_GENERATOR_TABLE[[#This Row],[Project Risk Service Hours]]*PART_NUMBER_GENERATOR_TABLE[[#This Row],[Cost Rate]]</f>
        <v>0</v>
      </c>
      <c r="BG63">
        <f>PART_NUMBER_GENERATOR_TABLE[[#This Row],[SSE RISK TRAVEL]]</f>
        <v>0</v>
      </c>
      <c r="BH63">
        <f>PART_NUMBER_GENERATOR_TABLE[[#This Row],[Sell Rate]]*PART_NUMBER_GENERATOR_TABLE[[#This Row],[Project Risk Travel Hours]]</f>
        <v>0</v>
      </c>
      <c r="BI63">
        <f>PART_NUMBER_GENERATOR_TABLE[[#This Row],[Project Risk Travel Hours]]*PART_NUMBER_GENERATOR_TABLE[[#This Row],[Cost Rate]]</f>
        <v>0</v>
      </c>
      <c r="BJ6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6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63">
        <f>IFERROR(-VLOOKUP(INDEX(ENGINEER_ROLES,MATCH(PART_NUMBER_GENERATOR_TABLE[[#This Row],[Work Role]],settings.Table_Engineer.Roles[ID],0),1),Settings_Hidden!$H$359:$K$366,4,FALSE),0)</f>
        <v>0</v>
      </c>
      <c r="BM63" s="680">
        <f>-Summary!$C$66</f>
        <v>0</v>
      </c>
      <c r="BN63" s="465">
        <f>PART_NUMBER_GENERATOR_TABLE[[#This Row],[Total Base Price]]*MIN(PART_NUMBER_GENERATOR_TABLE[[#This Row],[Rate Service Discount]:[Flat Service Discount]])</f>
        <v>0</v>
      </c>
      <c r="BO63" s="451" t="str">
        <f>IF(PART_NUMBER_GENERATOR_TABLE[[#This Row],[Quantity]]&lt;&gt;0,MAX($BO$30:BO62)+1,"")</f>
        <v/>
      </c>
      <c r="BP63" t="str">
        <f>PART_NUMBER_GENERATOR_TABLE[[#This Row],[Part Number]]</f>
        <v>A-PS-E-COLLAB-SSE-BH</v>
      </c>
      <c r="BQ63">
        <f>PART_NUMBER_GENERATOR_TABLE[[#This Row],[Total Hours]]</f>
        <v>0</v>
      </c>
      <c r="BR63">
        <f>PART_NUMBER_GENERATOR_TABLE[[#This Row],[Cost Rate]]</f>
        <v>149.91839058446394</v>
      </c>
      <c r="BS63" s="465">
        <f>PART_NUMBER_GENERATOR_TABLE[[#This Row],[Sell Rate]]+(PART_NUMBER_GENERATOR_TABLE[[#This Row],[Sell Rate]]*MIN(PART_NUMBER_GENERATOR_TABLE[[#This Row],[Rate Service Discount]:[Flat Service Discount]]))</f>
        <v>280.5</v>
      </c>
    </row>
    <row r="64" spans="1:71">
      <c r="A64">
        <v>34</v>
      </c>
      <c r="C64" t="s">
        <v>894</v>
      </c>
      <c r="D64" t="str" cm="1">
        <f t="array" ref="D64">INDEX(Table.Settings_Skill.List[Skill Name],MATCH(INDEX(_xlfn.TEXTSPLIT(C64,"-",,TRUE),4),Table.Settings_Skill.List[Skill Code],0),1)</f>
        <v>Collaboration</v>
      </c>
      <c r="E64" t="str" cm="1">
        <f t="array" ref="E64">INDEX(_xlfn.TEXTSPLIT(C64,"-",,TRUE),5)</f>
        <v>SCE</v>
      </c>
      <c r="F64" t="str">
        <f>IFERROR(INDEX(settings.Table_Engineer.Roles[Department Code],MATCH(PART_NUMBER_GENERATOR_TABLE[[#This Row],[Work Role]],settings.Table_Engineer.Roles[ID],0),1),"PMO")</f>
        <v>ENG</v>
      </c>
      <c r="G64" t="str" cm="1">
        <f t="array" ref="G64">INDEX(_xlfn.TEXTSPLIT(C64,"-",,TRUE),6)</f>
        <v>BH</v>
      </c>
      <c r="H6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6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64" cm="1">
        <f t="array" ref="J64">IF(J$1&lt;&gt;PART_NUMBER_GENERATOR_TABLE[[#This Row],[Work Role]:[Work Role]],0,
IF(RIGHT(J$30,2)&lt;&gt;PART_NUMBER_GENERATOR_TABLE[[#This Row],[Work Type]:[Work Type]],0,
SUMIFS(Input_Tasks[R1 Business Hours],Input_Tasks[[Skill Required]:[Skill Required]],PART_NUMBER_GENERATOR_TABLE[[#This Row],[Tech]:[Tech]])))</f>
        <v>0</v>
      </c>
      <c r="K64" cm="1">
        <f t="array" ref="K64">IF(K$1&lt;&gt;PART_NUMBER_GENERATOR_TABLE[[#This Row],[Work Role]:[Work Role]],0,
IF(RIGHT(K$30,2)&lt;&gt;PART_NUMBER_GENERATOR_TABLE[[#This Row],[Work Type]:[Work Type]],0,
SUMIFS(Input_Tasks[R1 After Hours],Input_Tasks[[Skill Required]:[Skill Required]],PART_NUMBER_GENERATOR_TABLE[[#This Row],[Tech]:[Tech]])))</f>
        <v>0</v>
      </c>
      <c r="L64" cm="1">
        <f t="array" ref="L64">IF(L$1&lt;&gt;PART_NUMBER_GENERATOR_TABLE[[#This Row],[Work Role]:[Work Role]],0,
IF(RIGHT(L$30,2)&lt;&gt;PART_NUMBER_GENERATOR_TABLE[[#This Row],[Work Type]:[Work Type]],0,
SUMIFS(Input_Tasks[R2 Business Hours],Input_Tasks[[Skill Required]:[Skill Required]],PART_NUMBER_GENERATOR_TABLE[[#This Row],[Tech]:[Tech]])))</f>
        <v>0</v>
      </c>
      <c r="M64" cm="1">
        <f t="array" ref="M64">IF(M$1&lt;&gt;PART_NUMBER_GENERATOR_TABLE[[#This Row],[Work Role]:[Work Role]],0,
IF(RIGHT(M$30,2)&lt;&gt;PART_NUMBER_GENERATOR_TABLE[[#This Row],[Work Type]:[Work Type]],0,
SUMIFS(Input_Tasks[R2 After Hours],Input_Tasks[[Skill Required]:[Skill Required]],PART_NUMBER_GENERATOR_TABLE[[#This Row],[Tech]:[Tech]])))</f>
        <v>0</v>
      </c>
      <c r="N64" cm="1">
        <f t="array" ref="N64">IF(N$1&lt;&gt;PART_NUMBER_GENERATOR_TABLE[[#This Row],[Work Role]:[Work Role]],0,
IF(RIGHT(N$30,2)&lt;&gt;PART_NUMBER_GENERATOR_TABLE[[#This Row],[Work Type]:[Work Type]],0,
SUMIFS(Input_Tasks[R3 Business Hours],Input_Tasks[[Skill Required]:[Skill Required]],PART_NUMBER_GENERATOR_TABLE[[#This Row],[Tech]:[Tech]])))</f>
        <v>0</v>
      </c>
      <c r="O64" cm="1">
        <f t="array" ref="O64">IF(O$1&lt;&gt;PART_NUMBER_GENERATOR_TABLE[[#This Row],[Work Role]:[Work Role]],0,
IF(RIGHT(O$30,2)&lt;&gt;PART_NUMBER_GENERATOR_TABLE[[#This Row],[Work Type]:[Work Type]],0,
SUMIFS(Input_Tasks[R3 After Hours],Input_Tasks[[Skill Required]:[Skill Required]],PART_NUMBER_GENERATOR_TABLE[[#This Row],[Tech]:[Tech]])))</f>
        <v>0</v>
      </c>
      <c r="P64" cm="1">
        <f t="array" ref="P64">IF(P$1&lt;&gt;PART_NUMBER_GENERATOR_TABLE[[#This Row],[Work Role]:[Work Role]],0,
IF(RIGHT(P$30,2)&lt;&gt;PART_NUMBER_GENERATOR_TABLE[[#This Row],[Work Type]:[Work Type]],0,
SUMIFS(Input_Tasks[R4 Business Hours],Input_Tasks[[Skill Required]:[Skill Required]],PART_NUMBER_GENERATOR_TABLE[[#This Row],[Tech]:[Tech]])))</f>
        <v>0</v>
      </c>
      <c r="Q64" cm="1">
        <f t="array" ref="Q64">IF(Q$1&lt;&gt;PART_NUMBER_GENERATOR_TABLE[[#This Row],[Work Role]:[Work Role]],0,
IF(RIGHT(Q$30,2)&lt;&gt;PART_NUMBER_GENERATOR_TABLE[[#This Row],[Work Type]:[Work Type]],0,
SUMIFS(Input_Tasks[R4 After Hours],Input_Tasks[[Skill Required]:[Skill Required]],PART_NUMBER_GENERATOR_TABLE[[#This Row],[Tech]:[Tech]])))</f>
        <v>0</v>
      </c>
      <c r="R64" cm="1">
        <f t="array" ref="R64">IF(R$1&lt;&gt;PART_NUMBER_GENERATOR_TABLE[[#This Row],[Work Role]:[Work Role]],0,
IF(RIGHT(R$30,2)&lt;&gt;PART_NUMBER_GENERATOR_TABLE[[#This Row],[Work Type]:[Work Type]],0,
SUMIFS(Input_Tasks[R5 Business Hours],Input_Tasks[[Skill Required]:[Skill Required]],PART_NUMBER_GENERATOR_TABLE[[#This Row],[Tech]:[Tech]])))</f>
        <v>0</v>
      </c>
      <c r="S64" cm="1">
        <f t="array" ref="S64">IF(S$1&lt;&gt;PART_NUMBER_GENERATOR_TABLE[[#This Row],[Work Role]:[Work Role]],0,
IF(RIGHT(S$30,2)&lt;&gt;PART_NUMBER_GENERATOR_TABLE[[#This Row],[Work Type]:[Work Type]],0,
SUMIFS(Input_Tasks[R5 After Hours],Input_Tasks[[Skill Required]:[Skill Required]],PART_NUMBER_GENERATOR_TABLE[[#This Row],[Tech]:[Tech]])))</f>
        <v>0</v>
      </c>
      <c r="T64" cm="1">
        <f t="array" ref="T64">IF(PART_NUMBER_GENERATOR_TABLE[[#This Row],[Work Role]:[Work Role]]&lt;&gt;T$1,0,
IF(PART_NUMBER_GENERATOR_TABLE[[#This Row],[Work Type]:[Work Type]]&lt;&gt;"BH",0,
SUMIFS(T$9:T$24,$M$9:$M$24,PART_NUMBER_GENERATOR_TABLE[[#This Row],[Tech]:[Tech]])))</f>
        <v>0</v>
      </c>
      <c r="U64" cm="1">
        <f t="array" ref="U64">IF(PART_NUMBER_GENERATOR_TABLE[[#This Row],[Work Role]:[Work Role]]&lt;&gt;U$1,0,
IF(PART_NUMBER_GENERATOR_TABLE[[#This Row],[Work Type]:[Work Type]]&lt;&gt;"BH",0,
SUMIFS(U$9:U$24,$M$9:$M$24,PART_NUMBER_GENERATOR_TABLE[[#This Row],[Tech]:[Tech]])))</f>
        <v>0</v>
      </c>
      <c r="V64" cm="1">
        <f t="array" ref="V64">IF(PART_NUMBER_GENERATOR_TABLE[[#This Row],[Work Role]:[Work Role]]&lt;&gt;V$1,0,
IF(PART_NUMBER_GENERATOR_TABLE[[#This Row],[Work Type]:[Work Type]]&lt;&gt;"BH",0,
SUMIFS(V$9:V$24,$M$9:$M$24,PART_NUMBER_GENERATOR_TABLE[[#This Row],[Tech]:[Tech]])))</f>
        <v>0</v>
      </c>
      <c r="W64" cm="1">
        <f t="array" ref="W64">IF(PART_NUMBER_GENERATOR_TABLE[[#This Row],[Work Role]:[Work Role]]&lt;&gt;W$1,0,
IF(PART_NUMBER_GENERATOR_TABLE[[#This Row],[Work Type]:[Work Type]]&lt;&gt;"BH",0,
SUMIFS(W$9:W$24,$M$9:$M$24,PART_NUMBER_GENERATOR_TABLE[[#This Row],[Tech]:[Tech]])))</f>
        <v>0</v>
      </c>
      <c r="X64" cm="1">
        <f t="array" ref="X64">IF(PART_NUMBER_GENERATOR_TABLE[[#This Row],[Work Role]:[Work Role]]&lt;&gt;X$1,0,
IF(PART_NUMBER_GENERATOR_TABLE[[#This Row],[Work Type]:[Work Type]]&lt;&gt;"BH",0,
SUMIFS(X$9:X$24,$M$9:$M$24,PART_NUMBER_GENERATOR_TABLE[[#This Row],[Tech]:[Tech]])))</f>
        <v>0</v>
      </c>
      <c r="Y64" cm="1">
        <f t="array" ref="Y64">IF(PART_NUMBER_GENERATOR_TABLE[[#This Row],[Work Role]:[Work Role]]&lt;&gt;Y$1,0,
IF(PART_NUMBER_GENERATOR_TABLE[[#This Row],[Work Type]:[Work Type]]&lt;&gt;"BH",0,
SUMIFS(Y$9:Y$24,$M$9:$M$24,PART_NUMBER_GENERATOR_TABLE[[#This Row],[Tech]:[Tech]])))</f>
        <v>0</v>
      </c>
      <c r="Z64" cm="1">
        <f t="array" ref="Z64">IF(PART_NUMBER_GENERATOR_TABLE[[#This Row],[Work Role]:[Work Role]]&lt;&gt;Z$1,0,
IF(PART_NUMBER_GENERATOR_TABLE[[#This Row],[Work Type]:[Work Type]]&lt;&gt;"BH",0,
SUMIFS(Z$9:Z$24,$M$9:$M$24,PART_NUMBER_GENERATOR_TABLE[[#This Row],[Tech]:[Tech]])))</f>
        <v>0</v>
      </c>
      <c r="AA64" cm="1">
        <f t="array" ref="AA64">IF(PART_NUMBER_GENERATOR_TABLE[[#This Row],[Work Role]:[Work Role]]&lt;&gt;AA$1,0,
IF(PART_NUMBER_GENERATOR_TABLE[[#This Row],[Work Type]:[Work Type]]&lt;&gt;"BH",0,
SUMIFS(AA$9:AA$24,$M$9:$M$24,PART_NUMBER_GENERATOR_TABLE[[#This Row],[Tech]:[Tech]])))</f>
        <v>0</v>
      </c>
      <c r="AB64" cm="1">
        <f t="array" ref="AB64">IF(PART_NUMBER_GENERATOR_TABLE[[#This Row],[Work Role]:[Work Role]]&lt;&gt;AB$1,0,
IF(PART_NUMBER_GENERATOR_TABLE[[#This Row],[Work Type]:[Work Type]]&lt;&gt;"BH",0,
SUMIFS(AB$9:AB$24,$M$9:$M$24,PART_NUMBER_GENERATOR_TABLE[[#This Row],[Tech]:[Tech]])))</f>
        <v>0</v>
      </c>
      <c r="AC64" cm="1">
        <f t="array" ref="AC64">IF(PART_NUMBER_GENERATOR_TABLE[[#This Row],[Work Role]:[Work Role]]&lt;&gt;AC$1,0,
IF(PART_NUMBER_GENERATOR_TABLE[[#This Row],[Work Type]:[Work Type]]&lt;&gt;"BH",0,
SUMIFS(AC$9:AC$24,$M$9:$M$24,PART_NUMBER_GENERATOR_TABLE[[#This Row],[Tech]:[Tech]])))</f>
        <v>0</v>
      </c>
      <c r="AD64" cm="1">
        <f t="array" ref="AD64">IF(PART_NUMBER_GENERATOR_TABLE[[#This Row],[Work Role]:[Work Role]]&lt;&gt;AD$1,0,
IF(PART_NUMBER_GENERATOR_TABLE[[#This Row],[Work Type]:[Work Type]]&lt;&gt;"BH",0,
SUMIFS(AD$9:AD$24,$M$9:$M$24,PART_NUMBER_GENERATOR_TABLE[[#This Row],[Tech]:[Tech]])))</f>
        <v>0</v>
      </c>
      <c r="AE64" cm="1">
        <f t="array" ref="AE64">IF(PART_NUMBER_GENERATOR_TABLE[[#This Row],[Work Role]:[Work Role]]&lt;&gt;AE$1,0,
IF(PART_NUMBER_GENERATOR_TABLE[[#This Row],[Work Type]:[Work Type]]&lt;&gt;"BH",0,
SUMIFS(AE$9:AE$24,$M$9:$M$24,PART_NUMBER_GENERATOR_TABLE[[#This Row],[Tech]:[Tech]])))</f>
        <v>0</v>
      </c>
      <c r="AF64" cm="1">
        <f t="array" ref="AF64">IF(PART_NUMBER_GENERATOR_TABLE[[#This Row],[Work Role]:[Work Role]]&lt;&gt;AF$1,0,
IF(PART_NUMBER_GENERATOR_TABLE[[#This Row],[Work Type]:[Work Type]]&lt;&gt;"BH",0,
SUMIFS(AF$9:AF$24,$M$9:$M$24,PART_NUMBER_GENERATOR_TABLE[[#This Row],[Tech]:[Tech]])))</f>
        <v>0</v>
      </c>
      <c r="AG64" cm="1">
        <f t="array" ref="AG64">IF(PART_NUMBER_GENERATOR_TABLE[[#This Row],[Work Role]:[Work Role]]&lt;&gt;AG$1,0,
IF(PART_NUMBER_GENERATOR_TABLE[[#This Row],[Work Type]:[Work Type]]&lt;&gt;"AH",0,
SUMIFS(AG$9:AG$24,$M$9:$M$24,PART_NUMBER_GENERATOR_TABLE[[#This Row],[Tech]:[Tech]])))</f>
        <v>0</v>
      </c>
      <c r="AH64" cm="1">
        <f t="array" ref="AH64">IF(PART_NUMBER_GENERATOR_TABLE[[#This Row],[Work Role]:[Work Role]]&lt;&gt;AH$1,0,
IF(PART_NUMBER_GENERATOR_TABLE[[#This Row],[Work Type]:[Work Type]]&lt;&gt;"BH",0,
SUMIFS(AH$9:AH$24,$M$9:$M$24,PART_NUMBER_GENERATOR_TABLE[[#This Row],[Tech]:[Tech]])))</f>
        <v>0</v>
      </c>
      <c r="AI64" cm="1">
        <f t="array" ref="AI64">IF(PART_NUMBER_GENERATOR_TABLE[[#This Row],[Work Role]:[Work Role]]&lt;&gt;AI$1,0,
IF(PART_NUMBER_GENERATOR_TABLE[[#This Row],[Work Type]:[Work Type]]&lt;&gt;"BH",0,
SUMIFS(AI$9:AI$24,$M$9:$M$24,PART_NUMBER_GENERATOR_TABLE[[#This Row],[Tech]:[Tech]])))</f>
        <v>0</v>
      </c>
      <c r="AJ64" cm="1">
        <f t="array" ref="AJ64">IF(PART_NUMBER_GENERATOR_TABLE[[#This Row],[Work Role]:[Work Role]]&lt;&gt;AJ$1,0,
IF(PART_NUMBER_GENERATOR_TABLE[[#This Row],[Work Type]:[Work Type]]&lt;&gt;"BH",0,
SUMIFS(AJ$9:AJ$24,$M$9:$M$24,PART_NUMBER_GENERATOR_TABLE[[#This Row],[Tech]:[Tech]])))</f>
        <v>0</v>
      </c>
      <c r="AK64" cm="1">
        <f t="array" ref="AK64">IF(PART_NUMBER_GENERATOR_TABLE[[#This Row],[Work Role]:[Work Role]]&lt;&gt;AK$1,0,
IF(PART_NUMBER_GENERATOR_TABLE[[#This Row],[Work Type]:[Work Type]]&lt;&gt;"AH",0,
SUMIFS(AK$9:AK$24,$M$9:$M$24,PART_NUMBER_GENERATOR_TABLE[[#This Row],[Tech]:[Tech]])))</f>
        <v>0</v>
      </c>
      <c r="AL64" cm="1">
        <f t="array" ref="AL64">IF(PART_NUMBER_GENERATOR_TABLE[[#This Row],[Work Role]:[Work Role]]&lt;&gt;AL$1,0,
IF(PART_NUMBER_GENERATOR_TABLE[[#This Row],[Work Type]:[Work Type]]&lt;&gt;"BH",0,
SUMIFS(AL$9:AL$24,$M$9:$M$24,PART_NUMBER_GENERATOR_TABLE[[#This Row],[Tech]:[Tech]])))</f>
        <v>0</v>
      </c>
      <c r="AM64">
        <f>0</f>
        <v>0</v>
      </c>
      <c r="AN64" cm="1">
        <f t="array" ref="AN64">IF(PART_NUMBER_GENERATOR_TABLE[[#This Row],[Work Role]:[Work Role]]&lt;&gt;AN$1,0,
IF(PART_NUMBER_GENERATOR_TABLE[[#This Row],[Work Type]:[Work Type]]&lt;&gt;"BH",0,
SUMIFS(AN$24,$AM$24,PART_NUMBER_GENERATOR_TABLE[[#This Row],[Tech]:[Tech]])))</f>
        <v>0</v>
      </c>
      <c r="AO64" cm="1">
        <f t="array" ref="AO64">IF(PART_NUMBER_GENERATOR_TABLE[[#This Row],[Work Role]:[Work Role]]&lt;&gt;AO$1,0,
IF(PART_NUMBER_GENERATOR_TABLE[[#This Row],[Work Type]:[Work Type]]&lt;&gt;"BH",0,
SUMIFS(AO$24,$AM$24,PART_NUMBER_GENERATOR_TABLE[[#This Row],[Tech]:[Tech]])))</f>
        <v>0</v>
      </c>
      <c r="AP64" cm="1">
        <f t="array" ref="AP64">IF(PART_NUMBER_GENERATOR_TABLE[[#This Row],[Work Role]:[Work Role]]&lt;&gt;AP$1,0,
IF(PART_NUMBER_GENERATOR_TABLE[[#This Row],[Work Type]:[Work Type]]&lt;&gt;"BH",0,
SUMIFS(AP$24,$AM$24,PART_NUMBER_GENERATOR_TABLE[[#This Row],[Tech]:[Tech]])))</f>
        <v>0</v>
      </c>
      <c r="AQ64" cm="1">
        <f t="array" ref="AQ64">IF(PART_NUMBER_GENERATOR_TABLE[[#This Row],[Work Role]:[Work Role]]&lt;&gt;AQ$1,0,
IF(PART_NUMBER_GENERATOR_TABLE[[#This Row],[Work Type]:[Work Type]]&lt;&gt;"BH",0,
SUMIFS(AQ$24,$AM$24,PART_NUMBER_GENERATOR_TABLE[[#This Row],[Tech]:[Tech]])))</f>
        <v>0</v>
      </c>
      <c r="AR64" cm="1">
        <f t="array" ref="AR64">IF(PART_NUMBER_GENERATOR_TABLE[[#This Row],[Work Role]:[Work Role]]&lt;&gt;AR$1,0,
IF(PART_NUMBER_GENERATOR_TABLE[[#This Row],[Work Type]:[Work Type]]&lt;&gt;"BH",0,
SUMIFS(AR$24,$AM$24,PART_NUMBER_GENERATOR_TABLE[[#This Row],[Tech]:[Tech]])))</f>
        <v>0</v>
      </c>
      <c r="AS64" cm="1">
        <f t="array" ref="AS64">IF(PART_NUMBER_GENERATOR_TABLE[[#This Row],[Work Role]:[Work Role]]&lt;&gt;AS$1,0,
IF(PART_NUMBER_GENERATOR_TABLE[[#This Row],[Work Type]:[Work Type]]&lt;&gt;"BH",0,
SUMIFS(AS$24,$AM$24,PART_NUMBER_GENERATOR_TABLE[[#This Row],[Tech]:[Tech]])))</f>
        <v>0</v>
      </c>
      <c r="AT64" cm="1">
        <f t="array" ref="AT64">IF(PART_NUMBER_GENERATOR_TABLE[[#This Row],[Work Role]:[Work Role]]&lt;&gt;AS$1,0,
IF(PART_NUMBER_GENERATOR_TABLE[[#This Row],[Work Type]:[Work Type]]&lt;&gt;"BH",0,
SUMIFS(AT$24,$AM$24,PART_NUMBER_GENERATOR_TABLE[[#This Row],[Tech]:[Tech]])))</f>
        <v>0</v>
      </c>
      <c r="AU64">
        <f>SUM(PART_NUMBER_GENERATOR_TABLE[[#This Row],[Resource 1 BH]:[Resource 5 AH]],PART_NUMBER_GENERATOR_TABLE[[#This Row],[R1 Mandatory Tasks]:[R5 Mandatory Tasks]],PART_NUMBER_GENERATOR_TABLE[[#This Row],[R1 Remainder]:[R5 Remainder]])</f>
        <v>0</v>
      </c>
      <c r="AV64">
        <f>PART_NUMBER_GENERATOR_TABLE[[#This Row],[Professional Engineering Hours]]*PART_NUMBER_GENERATOR_TABLE[[#This Row],[Sell Rate]]</f>
        <v>0</v>
      </c>
      <c r="AW64">
        <f>PART_NUMBER_GENERATOR_TABLE[[#This Row],[Professional Engineering Hours]]*PART_NUMBER_GENERATOR_TABLE[[#This Row],[Cost Rate]]</f>
        <v>0</v>
      </c>
      <c r="AX64">
        <f>SUM(PART_NUMBER_GENERATOR_TABLE[[#This Row],[PM Trips]:[R5 Trips]])</f>
        <v>0</v>
      </c>
      <c r="AY64">
        <f>PART_NUMBER_GENERATOR_TABLE[[#This Row],[Travel &amp; Accommodation Hours]]*PART_NUMBER_GENERATOR_TABLE[[#This Row],[Sell Rate]]</f>
        <v>0</v>
      </c>
      <c r="AZ64">
        <f>PART_NUMBER_GENERATOR_TABLE[[#This Row],[Travel &amp; Accommodation Hours]]*PART_NUMBER_GENERATOR_TABLE[[#This Row],[Cost Rate]]</f>
        <v>0</v>
      </c>
      <c r="BA64">
        <f>PART_NUMBER_GENERATOR_TABLE[[#This Row],[PM Hours]]+PART_NUMBER_GENERATOR_TABLE[[#This Row],[PM Remainder]]</f>
        <v>0</v>
      </c>
      <c r="BB64">
        <f>PART_NUMBER_GENERATOR_TABLE[[#This Row],[Project Management Hours]]*PART_NUMBER_GENERATOR_TABLE[[#This Row],[Sell Rate]]</f>
        <v>0</v>
      </c>
      <c r="BC64">
        <f>PART_NUMBER_GENERATOR_TABLE[[#This Row],[Project Management Hours]]*PART_NUMBER_GENERATOR_TABLE[[#This Row],[Cost Rate]]</f>
        <v>0</v>
      </c>
      <c r="BD64">
        <f>SUM(PART_NUMBER_GENERATOR_TABLE[[#This Row],[SSE RISK BH]:[PM RISK]],PART_NUMBER_GENERATOR_TABLE[[#This Row],[SSE Remainder RISK BH]:[PM Remainder RISK]])</f>
        <v>0</v>
      </c>
      <c r="BE64">
        <f>PART_NUMBER_GENERATOR_TABLE[[#This Row],[Project Risk Service Hours]]*PART_NUMBER_GENERATOR_TABLE[[#This Row],[Sell Rate]]</f>
        <v>0</v>
      </c>
      <c r="BF64">
        <f>PART_NUMBER_GENERATOR_TABLE[[#This Row],[Project Risk Service Hours]]*PART_NUMBER_GENERATOR_TABLE[[#This Row],[Cost Rate]]</f>
        <v>0</v>
      </c>
      <c r="BG64">
        <f>PART_NUMBER_GENERATOR_TABLE[[#This Row],[SSE RISK TRAVEL]]</f>
        <v>0</v>
      </c>
      <c r="BH64">
        <f>PART_NUMBER_GENERATOR_TABLE[[#This Row],[Sell Rate]]*PART_NUMBER_GENERATOR_TABLE[[#This Row],[Project Risk Travel Hours]]</f>
        <v>0</v>
      </c>
      <c r="BI64">
        <f>PART_NUMBER_GENERATOR_TABLE[[#This Row],[Project Risk Travel Hours]]*PART_NUMBER_GENERATOR_TABLE[[#This Row],[Cost Rate]]</f>
        <v>0</v>
      </c>
      <c r="BJ6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6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64">
        <f>IFERROR(-VLOOKUP(INDEX(ENGINEER_ROLES,MATCH(PART_NUMBER_GENERATOR_TABLE[[#This Row],[Work Role]],settings.Table_Engineer.Roles[ID],0),1),Settings_Hidden!$H$359:$K$366,4,FALSE),0)</f>
        <v>0</v>
      </c>
      <c r="BM64" s="680">
        <f>-Summary!$C$66</f>
        <v>0</v>
      </c>
      <c r="BN64" s="465">
        <f>PART_NUMBER_GENERATOR_TABLE[[#This Row],[Total Base Price]]*MIN(PART_NUMBER_GENERATOR_TABLE[[#This Row],[Rate Service Discount]:[Flat Service Discount]])</f>
        <v>0</v>
      </c>
      <c r="BO64" s="451" t="str">
        <f>IF(PART_NUMBER_GENERATOR_TABLE[[#This Row],[Quantity]]&lt;&gt;0,MAX($BO$30:BO63)+1,"")</f>
        <v/>
      </c>
      <c r="BP64" t="str">
        <f>PART_NUMBER_GENERATOR_TABLE[[#This Row],[Part Number]]</f>
        <v>A-PS-E-COLLAB-SCE-BH</v>
      </c>
      <c r="BQ64">
        <f>PART_NUMBER_GENERATOR_TABLE[[#This Row],[Total Hours]]</f>
        <v>0</v>
      </c>
      <c r="BR64">
        <f>PART_NUMBER_GENERATOR_TABLE[[#This Row],[Cost Rate]]</f>
        <v>167.61034913968996</v>
      </c>
      <c r="BS64" s="465">
        <f>PART_NUMBER_GENERATOR_TABLE[[#This Row],[Sell Rate]]+(PART_NUMBER_GENERATOR_TABLE[[#This Row],[Sell Rate]]*MIN(PART_NUMBER_GENERATOR_TABLE[[#This Row],[Rate Service Discount]:[Flat Service Discount]]))</f>
        <v>315</v>
      </c>
    </row>
    <row r="65" spans="1:71">
      <c r="A65">
        <v>35</v>
      </c>
      <c r="C65" t="s">
        <v>938</v>
      </c>
      <c r="D65" t="str" cm="1">
        <f t="array" ref="D65">INDEX(Table.Settings_Skill.List[Skill Name],MATCH(INDEX(_xlfn.TEXTSPLIT(C65,"-",,TRUE),4),Table.Settings_Skill.List[Skill Code],0),1)</f>
        <v>Data Centre / Cloud</v>
      </c>
      <c r="E65" t="str" cm="1">
        <f t="array" ref="E65">INDEX(_xlfn.TEXTSPLIT(C65,"-",,TRUE),5)</f>
        <v>TA</v>
      </c>
      <c r="F65" t="str">
        <f>IFERROR(INDEX(settings.Table_Engineer.Roles[Department Code],MATCH(PART_NUMBER_GENERATOR_TABLE[[#This Row],[Work Role]],settings.Table_Engineer.Roles[ID],0),1),"PMO")</f>
        <v>ENG</v>
      </c>
      <c r="G65" t="str" cm="1">
        <f t="array" ref="G65">INDEX(_xlfn.TEXTSPLIT(C65,"-",,TRUE),6)</f>
        <v>BH</v>
      </c>
      <c r="H6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155</v>
      </c>
      <c r="I6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81.346799080218702</v>
      </c>
      <c r="J65" cm="1">
        <f t="array" ref="J65">IF(J$1&lt;&gt;PART_NUMBER_GENERATOR_TABLE[[#This Row],[Work Role]:[Work Role]],0,
IF(RIGHT(J$30,2)&lt;&gt;PART_NUMBER_GENERATOR_TABLE[[#This Row],[Work Type]:[Work Type]],0,
SUMIFS(Input_Tasks[R1 Business Hours],Input_Tasks[[Skill Required]:[Skill Required]],PART_NUMBER_GENERATOR_TABLE[[#This Row],[Tech]:[Tech]])))</f>
        <v>0</v>
      </c>
      <c r="K65" cm="1">
        <f t="array" ref="K65">IF(K$1&lt;&gt;PART_NUMBER_GENERATOR_TABLE[[#This Row],[Work Role]:[Work Role]],0,
IF(RIGHT(K$30,2)&lt;&gt;PART_NUMBER_GENERATOR_TABLE[[#This Row],[Work Type]:[Work Type]],0,
SUMIFS(Input_Tasks[R1 After Hours],Input_Tasks[[Skill Required]:[Skill Required]],PART_NUMBER_GENERATOR_TABLE[[#This Row],[Tech]:[Tech]])))</f>
        <v>0</v>
      </c>
      <c r="L65" cm="1">
        <f t="array" ref="L65">IF(L$1&lt;&gt;PART_NUMBER_GENERATOR_TABLE[[#This Row],[Work Role]:[Work Role]],0,
IF(RIGHT(L$30,2)&lt;&gt;PART_NUMBER_GENERATOR_TABLE[[#This Row],[Work Type]:[Work Type]],0,
SUMIFS(Input_Tasks[R2 Business Hours],Input_Tasks[[Skill Required]:[Skill Required]],PART_NUMBER_GENERATOR_TABLE[[#This Row],[Tech]:[Tech]])))</f>
        <v>0</v>
      </c>
      <c r="M65" cm="1">
        <f t="array" ref="M65">IF(M$1&lt;&gt;PART_NUMBER_GENERATOR_TABLE[[#This Row],[Work Role]:[Work Role]],0,
IF(RIGHT(M$30,2)&lt;&gt;PART_NUMBER_GENERATOR_TABLE[[#This Row],[Work Type]:[Work Type]],0,
SUMIFS(Input_Tasks[R2 After Hours],Input_Tasks[[Skill Required]:[Skill Required]],PART_NUMBER_GENERATOR_TABLE[[#This Row],[Tech]:[Tech]])))</f>
        <v>0</v>
      </c>
      <c r="N65" cm="1">
        <f t="array" ref="N65">IF(N$1&lt;&gt;PART_NUMBER_GENERATOR_TABLE[[#This Row],[Work Role]:[Work Role]],0,
IF(RIGHT(N$30,2)&lt;&gt;PART_NUMBER_GENERATOR_TABLE[[#This Row],[Work Type]:[Work Type]],0,
SUMIFS(Input_Tasks[R3 Business Hours],Input_Tasks[[Skill Required]:[Skill Required]],PART_NUMBER_GENERATOR_TABLE[[#This Row],[Tech]:[Tech]])))</f>
        <v>0</v>
      </c>
      <c r="O65" cm="1">
        <f t="array" ref="O65">IF(O$1&lt;&gt;PART_NUMBER_GENERATOR_TABLE[[#This Row],[Work Role]:[Work Role]],0,
IF(RIGHT(O$30,2)&lt;&gt;PART_NUMBER_GENERATOR_TABLE[[#This Row],[Work Type]:[Work Type]],0,
SUMIFS(Input_Tasks[R3 After Hours],Input_Tasks[[Skill Required]:[Skill Required]],PART_NUMBER_GENERATOR_TABLE[[#This Row],[Tech]:[Tech]])))</f>
        <v>0</v>
      </c>
      <c r="P65" cm="1">
        <f t="array" ref="P65">IF(P$1&lt;&gt;PART_NUMBER_GENERATOR_TABLE[[#This Row],[Work Role]:[Work Role]],0,
IF(RIGHT(P$30,2)&lt;&gt;PART_NUMBER_GENERATOR_TABLE[[#This Row],[Work Type]:[Work Type]],0,
SUMIFS(Input_Tasks[R4 Business Hours],Input_Tasks[[Skill Required]:[Skill Required]],PART_NUMBER_GENERATOR_TABLE[[#This Row],[Tech]:[Tech]])))</f>
        <v>0</v>
      </c>
      <c r="Q65" cm="1">
        <f t="array" ref="Q65">IF(Q$1&lt;&gt;PART_NUMBER_GENERATOR_TABLE[[#This Row],[Work Role]:[Work Role]],0,
IF(RIGHT(Q$30,2)&lt;&gt;PART_NUMBER_GENERATOR_TABLE[[#This Row],[Work Type]:[Work Type]],0,
SUMIFS(Input_Tasks[R4 After Hours],Input_Tasks[[Skill Required]:[Skill Required]],PART_NUMBER_GENERATOR_TABLE[[#This Row],[Tech]:[Tech]])))</f>
        <v>0</v>
      </c>
      <c r="R65" cm="1">
        <f t="array" ref="R65">IF(R$1&lt;&gt;PART_NUMBER_GENERATOR_TABLE[[#This Row],[Work Role]:[Work Role]],0,
IF(RIGHT(R$30,2)&lt;&gt;PART_NUMBER_GENERATOR_TABLE[[#This Row],[Work Type]:[Work Type]],0,
SUMIFS(Input_Tasks[R5 Business Hours],Input_Tasks[[Skill Required]:[Skill Required]],PART_NUMBER_GENERATOR_TABLE[[#This Row],[Tech]:[Tech]])))</f>
        <v>0</v>
      </c>
      <c r="S65" cm="1">
        <f t="array" ref="S65">IF(S$1&lt;&gt;PART_NUMBER_GENERATOR_TABLE[[#This Row],[Work Role]:[Work Role]],0,
IF(RIGHT(S$30,2)&lt;&gt;PART_NUMBER_GENERATOR_TABLE[[#This Row],[Work Type]:[Work Type]],0,
SUMIFS(Input_Tasks[R5 After Hours],Input_Tasks[[Skill Required]:[Skill Required]],PART_NUMBER_GENERATOR_TABLE[[#This Row],[Tech]:[Tech]])))</f>
        <v>0</v>
      </c>
      <c r="T65" cm="1">
        <f t="array" ref="T65">IF(PART_NUMBER_GENERATOR_TABLE[[#This Row],[Work Role]:[Work Role]]&lt;&gt;T$1,0,
IF(PART_NUMBER_GENERATOR_TABLE[[#This Row],[Work Type]:[Work Type]]&lt;&gt;"BH",0,
SUMIFS(T$9:T$24,$M$9:$M$24,PART_NUMBER_GENERATOR_TABLE[[#This Row],[Tech]:[Tech]])))</f>
        <v>0</v>
      </c>
      <c r="U65" cm="1">
        <f t="array" ref="U65">IF(PART_NUMBER_GENERATOR_TABLE[[#This Row],[Work Role]:[Work Role]]&lt;&gt;U$1,0,
IF(PART_NUMBER_GENERATOR_TABLE[[#This Row],[Work Type]:[Work Type]]&lt;&gt;"BH",0,
SUMIFS(U$9:U$24,$M$9:$M$24,PART_NUMBER_GENERATOR_TABLE[[#This Row],[Tech]:[Tech]])))</f>
        <v>0</v>
      </c>
      <c r="V65" cm="1">
        <f t="array" ref="V65">IF(PART_NUMBER_GENERATOR_TABLE[[#This Row],[Work Role]:[Work Role]]&lt;&gt;V$1,0,
IF(PART_NUMBER_GENERATOR_TABLE[[#This Row],[Work Type]:[Work Type]]&lt;&gt;"BH",0,
SUMIFS(V$9:V$24,$M$9:$M$24,PART_NUMBER_GENERATOR_TABLE[[#This Row],[Tech]:[Tech]])))</f>
        <v>0</v>
      </c>
      <c r="W65" cm="1">
        <f t="array" ref="W65">IF(PART_NUMBER_GENERATOR_TABLE[[#This Row],[Work Role]:[Work Role]]&lt;&gt;W$1,0,
IF(PART_NUMBER_GENERATOR_TABLE[[#This Row],[Work Type]:[Work Type]]&lt;&gt;"BH",0,
SUMIFS(W$9:W$24,$M$9:$M$24,PART_NUMBER_GENERATOR_TABLE[[#This Row],[Tech]:[Tech]])))</f>
        <v>0</v>
      </c>
      <c r="X65" cm="1">
        <f t="array" ref="X65">IF(PART_NUMBER_GENERATOR_TABLE[[#This Row],[Work Role]:[Work Role]]&lt;&gt;X$1,0,
IF(PART_NUMBER_GENERATOR_TABLE[[#This Row],[Work Type]:[Work Type]]&lt;&gt;"BH",0,
SUMIFS(X$9:X$24,$M$9:$M$24,PART_NUMBER_GENERATOR_TABLE[[#This Row],[Tech]:[Tech]])))</f>
        <v>0</v>
      </c>
      <c r="Y65" cm="1">
        <f t="array" ref="Y65">IF(PART_NUMBER_GENERATOR_TABLE[[#This Row],[Work Role]:[Work Role]]&lt;&gt;Y$1,0,
IF(PART_NUMBER_GENERATOR_TABLE[[#This Row],[Work Type]:[Work Type]]&lt;&gt;"BH",0,
SUMIFS(Y$9:Y$24,$M$9:$M$24,PART_NUMBER_GENERATOR_TABLE[[#This Row],[Tech]:[Tech]])))</f>
        <v>0</v>
      </c>
      <c r="Z65" cm="1">
        <f t="array" ref="Z65">IF(PART_NUMBER_GENERATOR_TABLE[[#This Row],[Work Role]:[Work Role]]&lt;&gt;Z$1,0,
IF(PART_NUMBER_GENERATOR_TABLE[[#This Row],[Work Type]:[Work Type]]&lt;&gt;"BH",0,
SUMIFS(Z$9:Z$24,$M$9:$M$24,PART_NUMBER_GENERATOR_TABLE[[#This Row],[Tech]:[Tech]])))</f>
        <v>0</v>
      </c>
      <c r="AA65" cm="1">
        <f t="array" ref="AA65">IF(PART_NUMBER_GENERATOR_TABLE[[#This Row],[Work Role]:[Work Role]]&lt;&gt;AA$1,0,
IF(PART_NUMBER_GENERATOR_TABLE[[#This Row],[Work Type]:[Work Type]]&lt;&gt;"BH",0,
SUMIFS(AA$9:AA$24,$M$9:$M$24,PART_NUMBER_GENERATOR_TABLE[[#This Row],[Tech]:[Tech]])))</f>
        <v>0</v>
      </c>
      <c r="AB65" cm="1">
        <f t="array" ref="AB65">IF(PART_NUMBER_GENERATOR_TABLE[[#This Row],[Work Role]:[Work Role]]&lt;&gt;AB$1,0,
IF(PART_NUMBER_GENERATOR_TABLE[[#This Row],[Work Type]:[Work Type]]&lt;&gt;"BH",0,
SUMIFS(AB$9:AB$24,$M$9:$M$24,PART_NUMBER_GENERATOR_TABLE[[#This Row],[Tech]:[Tech]])))</f>
        <v>0</v>
      </c>
      <c r="AC65" cm="1">
        <f t="array" ref="AC65">IF(PART_NUMBER_GENERATOR_TABLE[[#This Row],[Work Role]:[Work Role]]&lt;&gt;AC$1,0,
IF(PART_NUMBER_GENERATOR_TABLE[[#This Row],[Work Type]:[Work Type]]&lt;&gt;"BH",0,
SUMIFS(AC$9:AC$24,$M$9:$M$24,PART_NUMBER_GENERATOR_TABLE[[#This Row],[Tech]:[Tech]])))</f>
        <v>0</v>
      </c>
      <c r="AD65" cm="1">
        <f t="array" ref="AD65">IF(PART_NUMBER_GENERATOR_TABLE[[#This Row],[Work Role]:[Work Role]]&lt;&gt;AD$1,0,
IF(PART_NUMBER_GENERATOR_TABLE[[#This Row],[Work Type]:[Work Type]]&lt;&gt;"BH",0,
SUMIFS(AD$9:AD$24,$M$9:$M$24,PART_NUMBER_GENERATOR_TABLE[[#This Row],[Tech]:[Tech]])))</f>
        <v>0</v>
      </c>
      <c r="AE65" cm="1">
        <f t="array" ref="AE65">IF(PART_NUMBER_GENERATOR_TABLE[[#This Row],[Work Role]:[Work Role]]&lt;&gt;AE$1,0,
IF(PART_NUMBER_GENERATOR_TABLE[[#This Row],[Work Type]:[Work Type]]&lt;&gt;"BH",0,
SUMIFS(AE$9:AE$24,$M$9:$M$24,PART_NUMBER_GENERATOR_TABLE[[#This Row],[Tech]:[Tech]])))</f>
        <v>0</v>
      </c>
      <c r="AF65" cm="1">
        <f t="array" ref="AF65">IF(PART_NUMBER_GENERATOR_TABLE[[#This Row],[Work Role]:[Work Role]]&lt;&gt;AF$1,0,
IF(PART_NUMBER_GENERATOR_TABLE[[#This Row],[Work Type]:[Work Type]]&lt;&gt;"BH",0,
SUMIFS(AF$9:AF$24,$M$9:$M$24,PART_NUMBER_GENERATOR_TABLE[[#This Row],[Tech]:[Tech]])))</f>
        <v>0</v>
      </c>
      <c r="AG65" cm="1">
        <f t="array" ref="AG65">IF(PART_NUMBER_GENERATOR_TABLE[[#This Row],[Work Role]:[Work Role]]&lt;&gt;AG$1,0,
IF(PART_NUMBER_GENERATOR_TABLE[[#This Row],[Work Type]:[Work Type]]&lt;&gt;"AH",0,
SUMIFS(AG$9:AG$24,$M$9:$M$24,PART_NUMBER_GENERATOR_TABLE[[#This Row],[Tech]:[Tech]])))</f>
        <v>0</v>
      </c>
      <c r="AH65" cm="1">
        <f t="array" ref="AH65">IF(PART_NUMBER_GENERATOR_TABLE[[#This Row],[Work Role]:[Work Role]]&lt;&gt;AH$1,0,
IF(PART_NUMBER_GENERATOR_TABLE[[#This Row],[Work Type]:[Work Type]]&lt;&gt;"BH",0,
SUMIFS(AH$9:AH$24,$M$9:$M$24,PART_NUMBER_GENERATOR_TABLE[[#This Row],[Tech]:[Tech]])))</f>
        <v>0</v>
      </c>
      <c r="AI65" cm="1">
        <f t="array" ref="AI65">IF(PART_NUMBER_GENERATOR_TABLE[[#This Row],[Work Role]:[Work Role]]&lt;&gt;AI$1,0,
IF(PART_NUMBER_GENERATOR_TABLE[[#This Row],[Work Type]:[Work Type]]&lt;&gt;"BH",0,
SUMIFS(AI$9:AI$24,$M$9:$M$24,PART_NUMBER_GENERATOR_TABLE[[#This Row],[Tech]:[Tech]])))</f>
        <v>0</v>
      </c>
      <c r="AJ65" cm="1">
        <f t="array" ref="AJ65">IF(PART_NUMBER_GENERATOR_TABLE[[#This Row],[Work Role]:[Work Role]]&lt;&gt;AJ$1,0,
IF(PART_NUMBER_GENERATOR_TABLE[[#This Row],[Work Type]:[Work Type]]&lt;&gt;"BH",0,
SUMIFS(AJ$9:AJ$24,$M$9:$M$24,PART_NUMBER_GENERATOR_TABLE[[#This Row],[Tech]:[Tech]])))</f>
        <v>0</v>
      </c>
      <c r="AK65" cm="1">
        <f t="array" ref="AK65">IF(PART_NUMBER_GENERATOR_TABLE[[#This Row],[Work Role]:[Work Role]]&lt;&gt;AK$1,0,
IF(PART_NUMBER_GENERATOR_TABLE[[#This Row],[Work Type]:[Work Type]]&lt;&gt;"AH",0,
SUMIFS(AK$9:AK$24,$M$9:$M$24,PART_NUMBER_GENERATOR_TABLE[[#This Row],[Tech]:[Tech]])))</f>
        <v>0</v>
      </c>
      <c r="AL65" cm="1">
        <f t="array" ref="AL65">IF(PART_NUMBER_GENERATOR_TABLE[[#This Row],[Work Role]:[Work Role]]&lt;&gt;AL$1,0,
IF(PART_NUMBER_GENERATOR_TABLE[[#This Row],[Work Type]:[Work Type]]&lt;&gt;"BH",0,
SUMIFS(AL$9:AL$24,$M$9:$M$24,PART_NUMBER_GENERATOR_TABLE[[#This Row],[Tech]:[Tech]])))</f>
        <v>0</v>
      </c>
      <c r="AM65">
        <f>0</f>
        <v>0</v>
      </c>
      <c r="AN65" cm="1">
        <f t="array" ref="AN65">IF(PART_NUMBER_GENERATOR_TABLE[[#This Row],[Work Role]:[Work Role]]&lt;&gt;AN$1,0,
IF(PART_NUMBER_GENERATOR_TABLE[[#This Row],[Work Type]:[Work Type]]&lt;&gt;"BH",0,
SUMIFS(AN$24,$AM$24,PART_NUMBER_GENERATOR_TABLE[[#This Row],[Tech]:[Tech]])))</f>
        <v>0</v>
      </c>
      <c r="AO65" cm="1">
        <f t="array" ref="AO65">IF(PART_NUMBER_GENERATOR_TABLE[[#This Row],[Work Role]:[Work Role]]&lt;&gt;AO$1,0,
IF(PART_NUMBER_GENERATOR_TABLE[[#This Row],[Work Type]:[Work Type]]&lt;&gt;"BH",0,
SUMIFS(AO$24,$AM$24,PART_NUMBER_GENERATOR_TABLE[[#This Row],[Tech]:[Tech]])))</f>
        <v>0</v>
      </c>
      <c r="AP65" cm="1">
        <f t="array" ref="AP65">IF(PART_NUMBER_GENERATOR_TABLE[[#This Row],[Work Role]:[Work Role]]&lt;&gt;AP$1,0,
IF(PART_NUMBER_GENERATOR_TABLE[[#This Row],[Work Type]:[Work Type]]&lt;&gt;"BH",0,
SUMIFS(AP$24,$AM$24,PART_NUMBER_GENERATOR_TABLE[[#This Row],[Tech]:[Tech]])))</f>
        <v>0</v>
      </c>
      <c r="AQ65" cm="1">
        <f t="array" ref="AQ65">IF(PART_NUMBER_GENERATOR_TABLE[[#This Row],[Work Role]:[Work Role]]&lt;&gt;AQ$1,0,
IF(PART_NUMBER_GENERATOR_TABLE[[#This Row],[Work Type]:[Work Type]]&lt;&gt;"BH",0,
SUMIFS(AQ$24,$AM$24,PART_NUMBER_GENERATOR_TABLE[[#This Row],[Tech]:[Tech]])))</f>
        <v>0</v>
      </c>
      <c r="AR65" cm="1">
        <f t="array" ref="AR65">IF(PART_NUMBER_GENERATOR_TABLE[[#This Row],[Work Role]:[Work Role]]&lt;&gt;AR$1,0,
IF(PART_NUMBER_GENERATOR_TABLE[[#This Row],[Work Type]:[Work Type]]&lt;&gt;"BH",0,
SUMIFS(AR$24,$AM$24,PART_NUMBER_GENERATOR_TABLE[[#This Row],[Tech]:[Tech]])))</f>
        <v>0</v>
      </c>
      <c r="AS65" cm="1">
        <f t="array" ref="AS65">IF(PART_NUMBER_GENERATOR_TABLE[[#This Row],[Work Role]:[Work Role]]&lt;&gt;AS$1,0,
IF(PART_NUMBER_GENERATOR_TABLE[[#This Row],[Work Type]:[Work Type]]&lt;&gt;"BH",0,
SUMIFS(AS$24,$AM$24,PART_NUMBER_GENERATOR_TABLE[[#This Row],[Tech]:[Tech]])))</f>
        <v>0</v>
      </c>
      <c r="AT65" cm="1">
        <f t="array" ref="AT65">IF(PART_NUMBER_GENERATOR_TABLE[[#This Row],[Work Role]:[Work Role]]&lt;&gt;AS$1,0,
IF(PART_NUMBER_GENERATOR_TABLE[[#This Row],[Work Type]:[Work Type]]&lt;&gt;"BH",0,
SUMIFS(AT$24,$AM$24,PART_NUMBER_GENERATOR_TABLE[[#This Row],[Tech]:[Tech]])))</f>
        <v>0</v>
      </c>
      <c r="AU65">
        <f>SUM(PART_NUMBER_GENERATOR_TABLE[[#This Row],[Resource 1 BH]:[Resource 5 AH]],PART_NUMBER_GENERATOR_TABLE[[#This Row],[R1 Mandatory Tasks]:[R5 Mandatory Tasks]],PART_NUMBER_GENERATOR_TABLE[[#This Row],[R1 Remainder]:[R5 Remainder]])</f>
        <v>0</v>
      </c>
      <c r="AV65">
        <f>PART_NUMBER_GENERATOR_TABLE[[#This Row],[Professional Engineering Hours]]*PART_NUMBER_GENERATOR_TABLE[[#This Row],[Sell Rate]]</f>
        <v>0</v>
      </c>
      <c r="AW65">
        <f>PART_NUMBER_GENERATOR_TABLE[[#This Row],[Professional Engineering Hours]]*PART_NUMBER_GENERATOR_TABLE[[#This Row],[Cost Rate]]</f>
        <v>0</v>
      </c>
      <c r="AX65">
        <f>SUM(PART_NUMBER_GENERATOR_TABLE[[#This Row],[PM Trips]:[R5 Trips]])</f>
        <v>0</v>
      </c>
      <c r="AY65">
        <f>PART_NUMBER_GENERATOR_TABLE[[#This Row],[Travel &amp; Accommodation Hours]]*PART_NUMBER_GENERATOR_TABLE[[#This Row],[Sell Rate]]</f>
        <v>0</v>
      </c>
      <c r="AZ65">
        <f>PART_NUMBER_GENERATOR_TABLE[[#This Row],[Travel &amp; Accommodation Hours]]*PART_NUMBER_GENERATOR_TABLE[[#This Row],[Cost Rate]]</f>
        <v>0</v>
      </c>
      <c r="BA65">
        <f>PART_NUMBER_GENERATOR_TABLE[[#This Row],[PM Hours]]+PART_NUMBER_GENERATOR_TABLE[[#This Row],[PM Remainder]]</f>
        <v>0</v>
      </c>
      <c r="BB65">
        <f>PART_NUMBER_GENERATOR_TABLE[[#This Row],[Project Management Hours]]*PART_NUMBER_GENERATOR_TABLE[[#This Row],[Sell Rate]]</f>
        <v>0</v>
      </c>
      <c r="BC65">
        <f>PART_NUMBER_GENERATOR_TABLE[[#This Row],[Project Management Hours]]*PART_NUMBER_GENERATOR_TABLE[[#This Row],[Cost Rate]]</f>
        <v>0</v>
      </c>
      <c r="BD65">
        <f>SUM(PART_NUMBER_GENERATOR_TABLE[[#This Row],[SSE RISK BH]:[PM RISK]],PART_NUMBER_GENERATOR_TABLE[[#This Row],[SSE Remainder RISK BH]:[PM Remainder RISK]])</f>
        <v>0</v>
      </c>
      <c r="BE65">
        <f>PART_NUMBER_GENERATOR_TABLE[[#This Row],[Project Risk Service Hours]]*PART_NUMBER_GENERATOR_TABLE[[#This Row],[Sell Rate]]</f>
        <v>0</v>
      </c>
      <c r="BF65">
        <f>PART_NUMBER_GENERATOR_TABLE[[#This Row],[Project Risk Service Hours]]*PART_NUMBER_GENERATOR_TABLE[[#This Row],[Cost Rate]]</f>
        <v>0</v>
      </c>
      <c r="BG65">
        <f>PART_NUMBER_GENERATOR_TABLE[[#This Row],[SSE RISK TRAVEL]]</f>
        <v>0</v>
      </c>
      <c r="BH65">
        <f>PART_NUMBER_GENERATOR_TABLE[[#This Row],[Sell Rate]]*PART_NUMBER_GENERATOR_TABLE[[#This Row],[Project Risk Travel Hours]]</f>
        <v>0</v>
      </c>
      <c r="BI65">
        <f>PART_NUMBER_GENERATOR_TABLE[[#This Row],[Project Risk Travel Hours]]*PART_NUMBER_GENERATOR_TABLE[[#This Row],[Cost Rate]]</f>
        <v>0</v>
      </c>
      <c r="BJ6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6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65">
        <f>IFERROR(-VLOOKUP(INDEX(ENGINEER_ROLES,MATCH(PART_NUMBER_GENERATOR_TABLE[[#This Row],[Work Role]],settings.Table_Engineer.Roles[ID],0),1),Settings_Hidden!$H$359:$K$366,4,FALSE),0)</f>
        <v>0</v>
      </c>
      <c r="BM65" s="680">
        <f>-Summary!$C$66</f>
        <v>0</v>
      </c>
      <c r="BN65" s="465">
        <f>PART_NUMBER_GENERATOR_TABLE[[#This Row],[Total Base Price]]*MIN(PART_NUMBER_GENERATOR_TABLE[[#This Row],[Rate Service Discount]:[Flat Service Discount]])</f>
        <v>0</v>
      </c>
      <c r="BO65" s="451" t="str">
        <f>IF(PART_NUMBER_GENERATOR_TABLE[[#This Row],[Quantity]]&lt;&gt;0,MAX($BO$30:BO64)+1,"")</f>
        <v/>
      </c>
      <c r="BP65" t="str">
        <f>PART_NUMBER_GENERATOR_TABLE[[#This Row],[Part Number]]</f>
        <v>A-PS-E-DATACC-TA-BH</v>
      </c>
      <c r="BQ65">
        <f>PART_NUMBER_GENERATOR_TABLE[[#This Row],[Total Hours]]</f>
        <v>0</v>
      </c>
      <c r="BR65">
        <f>PART_NUMBER_GENERATOR_TABLE[[#This Row],[Cost Rate]]</f>
        <v>81.346799080218702</v>
      </c>
      <c r="BS65" s="465">
        <f>PART_NUMBER_GENERATOR_TABLE[[#This Row],[Sell Rate]]+(PART_NUMBER_GENERATOR_TABLE[[#This Row],[Sell Rate]]*MIN(PART_NUMBER_GENERATOR_TABLE[[#This Row],[Rate Service Discount]:[Flat Service Discount]]))</f>
        <v>155</v>
      </c>
    </row>
    <row r="66" spans="1:71">
      <c r="A66">
        <v>36</v>
      </c>
      <c r="C66" t="s">
        <v>934</v>
      </c>
      <c r="D66" t="str" cm="1">
        <f t="array" ref="D66">INDEX(Table.Settings_Skill.List[Skill Name],MATCH(INDEX(_xlfn.TEXTSPLIT(C66,"-",,TRUE),4),Table.Settings_Skill.List[Skill Code],0),1)</f>
        <v>Data Centre / Cloud</v>
      </c>
      <c r="E66" t="str" cm="1">
        <f t="array" ref="E66">INDEX(_xlfn.TEXTSPLIT(C66,"-",,TRUE),5)</f>
        <v>SE</v>
      </c>
      <c r="F66" t="str">
        <f>IFERROR(INDEX(settings.Table_Engineer.Roles[Department Code],MATCH(PART_NUMBER_GENERATOR_TABLE[[#This Row],[Work Role]],settings.Table_Engineer.Roles[ID],0),1),"PMO")</f>
        <v>ENG</v>
      </c>
      <c r="G66" t="str" cm="1">
        <f t="array" ref="G66">INDEX(_xlfn.TEXTSPLIT(C66,"-",,TRUE),6)</f>
        <v>BH</v>
      </c>
      <c r="H6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6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66" cm="1">
        <f t="array" ref="J66">IF(J$1&lt;&gt;PART_NUMBER_GENERATOR_TABLE[[#This Row],[Work Role]:[Work Role]],0,
IF(RIGHT(J$30,2)&lt;&gt;PART_NUMBER_GENERATOR_TABLE[[#This Row],[Work Type]:[Work Type]],0,
SUMIFS(Input_Tasks[R1 Business Hours],Input_Tasks[[Skill Required]:[Skill Required]],PART_NUMBER_GENERATOR_TABLE[[#This Row],[Tech]:[Tech]])))</f>
        <v>0</v>
      </c>
      <c r="K66" cm="1">
        <f t="array" ref="K66">IF(K$1&lt;&gt;PART_NUMBER_GENERATOR_TABLE[[#This Row],[Work Role]:[Work Role]],0,
IF(RIGHT(K$30,2)&lt;&gt;PART_NUMBER_GENERATOR_TABLE[[#This Row],[Work Type]:[Work Type]],0,
SUMIFS(Input_Tasks[R1 After Hours],Input_Tasks[[Skill Required]:[Skill Required]],PART_NUMBER_GENERATOR_TABLE[[#This Row],[Tech]:[Tech]])))</f>
        <v>0</v>
      </c>
      <c r="L66" cm="1">
        <f t="array" ref="L66">IF(L$1&lt;&gt;PART_NUMBER_GENERATOR_TABLE[[#This Row],[Work Role]:[Work Role]],0,
IF(RIGHT(L$30,2)&lt;&gt;PART_NUMBER_GENERATOR_TABLE[[#This Row],[Work Type]:[Work Type]],0,
SUMIFS(Input_Tasks[R2 Business Hours],Input_Tasks[[Skill Required]:[Skill Required]],PART_NUMBER_GENERATOR_TABLE[[#This Row],[Tech]:[Tech]])))</f>
        <v>0</v>
      </c>
      <c r="M66" cm="1">
        <f t="array" ref="M66">IF(M$1&lt;&gt;PART_NUMBER_GENERATOR_TABLE[[#This Row],[Work Role]:[Work Role]],0,
IF(RIGHT(M$30,2)&lt;&gt;PART_NUMBER_GENERATOR_TABLE[[#This Row],[Work Type]:[Work Type]],0,
SUMIFS(Input_Tasks[R2 After Hours],Input_Tasks[[Skill Required]:[Skill Required]],PART_NUMBER_GENERATOR_TABLE[[#This Row],[Tech]:[Tech]])))</f>
        <v>0</v>
      </c>
      <c r="N66" cm="1">
        <f t="array" ref="N66">IF(N$1&lt;&gt;PART_NUMBER_GENERATOR_TABLE[[#This Row],[Work Role]:[Work Role]],0,
IF(RIGHT(N$30,2)&lt;&gt;PART_NUMBER_GENERATOR_TABLE[[#This Row],[Work Type]:[Work Type]],0,
SUMIFS(Input_Tasks[R3 Business Hours],Input_Tasks[[Skill Required]:[Skill Required]],PART_NUMBER_GENERATOR_TABLE[[#This Row],[Tech]:[Tech]])))</f>
        <v>0</v>
      </c>
      <c r="O66" cm="1">
        <f t="array" ref="O66">IF(O$1&lt;&gt;PART_NUMBER_GENERATOR_TABLE[[#This Row],[Work Role]:[Work Role]],0,
IF(RIGHT(O$30,2)&lt;&gt;PART_NUMBER_GENERATOR_TABLE[[#This Row],[Work Type]:[Work Type]],0,
SUMIFS(Input_Tasks[R3 After Hours],Input_Tasks[[Skill Required]:[Skill Required]],PART_NUMBER_GENERATOR_TABLE[[#This Row],[Tech]:[Tech]])))</f>
        <v>0</v>
      </c>
      <c r="P66" cm="1">
        <f t="array" ref="P66">IF(P$1&lt;&gt;PART_NUMBER_GENERATOR_TABLE[[#This Row],[Work Role]:[Work Role]],0,
IF(RIGHT(P$30,2)&lt;&gt;PART_NUMBER_GENERATOR_TABLE[[#This Row],[Work Type]:[Work Type]],0,
SUMIFS(Input_Tasks[R4 Business Hours],Input_Tasks[[Skill Required]:[Skill Required]],PART_NUMBER_GENERATOR_TABLE[[#This Row],[Tech]:[Tech]])))</f>
        <v>0</v>
      </c>
      <c r="Q66" cm="1">
        <f t="array" ref="Q66">IF(Q$1&lt;&gt;PART_NUMBER_GENERATOR_TABLE[[#This Row],[Work Role]:[Work Role]],0,
IF(RIGHT(Q$30,2)&lt;&gt;PART_NUMBER_GENERATOR_TABLE[[#This Row],[Work Type]:[Work Type]],0,
SUMIFS(Input_Tasks[R4 After Hours],Input_Tasks[[Skill Required]:[Skill Required]],PART_NUMBER_GENERATOR_TABLE[[#This Row],[Tech]:[Tech]])))</f>
        <v>0</v>
      </c>
      <c r="R66" cm="1">
        <f t="array" ref="R66">IF(R$1&lt;&gt;PART_NUMBER_GENERATOR_TABLE[[#This Row],[Work Role]:[Work Role]],0,
IF(RIGHT(R$30,2)&lt;&gt;PART_NUMBER_GENERATOR_TABLE[[#This Row],[Work Type]:[Work Type]],0,
SUMIFS(Input_Tasks[R5 Business Hours],Input_Tasks[[Skill Required]:[Skill Required]],PART_NUMBER_GENERATOR_TABLE[[#This Row],[Tech]:[Tech]])))</f>
        <v>0</v>
      </c>
      <c r="S66" cm="1">
        <f t="array" ref="S66">IF(S$1&lt;&gt;PART_NUMBER_GENERATOR_TABLE[[#This Row],[Work Role]:[Work Role]],0,
IF(RIGHT(S$30,2)&lt;&gt;PART_NUMBER_GENERATOR_TABLE[[#This Row],[Work Type]:[Work Type]],0,
SUMIFS(Input_Tasks[R5 After Hours],Input_Tasks[[Skill Required]:[Skill Required]],PART_NUMBER_GENERATOR_TABLE[[#This Row],[Tech]:[Tech]])))</f>
        <v>0</v>
      </c>
      <c r="T66" cm="1">
        <f t="array" ref="T66">IF(PART_NUMBER_GENERATOR_TABLE[[#This Row],[Work Role]:[Work Role]]&lt;&gt;T$1,0,
IF(PART_NUMBER_GENERATOR_TABLE[[#This Row],[Work Type]:[Work Type]]&lt;&gt;"BH",0,
SUMIFS(T$9:T$24,$M$9:$M$24,PART_NUMBER_GENERATOR_TABLE[[#This Row],[Tech]:[Tech]])))</f>
        <v>0</v>
      </c>
      <c r="U66" cm="1">
        <f t="array" ref="U66">IF(PART_NUMBER_GENERATOR_TABLE[[#This Row],[Work Role]:[Work Role]]&lt;&gt;U$1,0,
IF(PART_NUMBER_GENERATOR_TABLE[[#This Row],[Work Type]:[Work Type]]&lt;&gt;"BH",0,
SUMIFS(U$9:U$24,$M$9:$M$24,PART_NUMBER_GENERATOR_TABLE[[#This Row],[Tech]:[Tech]])))</f>
        <v>0</v>
      </c>
      <c r="V66" cm="1">
        <f t="array" ref="V66">IF(PART_NUMBER_GENERATOR_TABLE[[#This Row],[Work Role]:[Work Role]]&lt;&gt;V$1,0,
IF(PART_NUMBER_GENERATOR_TABLE[[#This Row],[Work Type]:[Work Type]]&lt;&gt;"BH",0,
SUMIFS(V$9:V$24,$M$9:$M$24,PART_NUMBER_GENERATOR_TABLE[[#This Row],[Tech]:[Tech]])))</f>
        <v>0</v>
      </c>
      <c r="W66" cm="1">
        <f t="array" ref="W66">IF(PART_NUMBER_GENERATOR_TABLE[[#This Row],[Work Role]:[Work Role]]&lt;&gt;W$1,0,
IF(PART_NUMBER_GENERATOR_TABLE[[#This Row],[Work Type]:[Work Type]]&lt;&gt;"BH",0,
SUMIFS(W$9:W$24,$M$9:$M$24,PART_NUMBER_GENERATOR_TABLE[[#This Row],[Tech]:[Tech]])))</f>
        <v>0</v>
      </c>
      <c r="X66" cm="1">
        <f t="array" ref="X66">IF(PART_NUMBER_GENERATOR_TABLE[[#This Row],[Work Role]:[Work Role]]&lt;&gt;X$1,0,
IF(PART_NUMBER_GENERATOR_TABLE[[#This Row],[Work Type]:[Work Type]]&lt;&gt;"BH",0,
SUMIFS(X$9:X$24,$M$9:$M$24,PART_NUMBER_GENERATOR_TABLE[[#This Row],[Tech]:[Tech]])))</f>
        <v>0</v>
      </c>
      <c r="Y66" cm="1">
        <f t="array" ref="Y66">IF(PART_NUMBER_GENERATOR_TABLE[[#This Row],[Work Role]:[Work Role]]&lt;&gt;Y$1,0,
IF(PART_NUMBER_GENERATOR_TABLE[[#This Row],[Work Type]:[Work Type]]&lt;&gt;"BH",0,
SUMIFS(Y$9:Y$24,$M$9:$M$24,PART_NUMBER_GENERATOR_TABLE[[#This Row],[Tech]:[Tech]])))</f>
        <v>0</v>
      </c>
      <c r="Z66" cm="1">
        <f t="array" ref="Z66">IF(PART_NUMBER_GENERATOR_TABLE[[#This Row],[Work Role]:[Work Role]]&lt;&gt;Z$1,0,
IF(PART_NUMBER_GENERATOR_TABLE[[#This Row],[Work Type]:[Work Type]]&lt;&gt;"BH",0,
SUMIFS(Z$9:Z$24,$M$9:$M$24,PART_NUMBER_GENERATOR_TABLE[[#This Row],[Tech]:[Tech]])))</f>
        <v>0</v>
      </c>
      <c r="AA66" cm="1">
        <f t="array" ref="AA66">IF(PART_NUMBER_GENERATOR_TABLE[[#This Row],[Work Role]:[Work Role]]&lt;&gt;AA$1,0,
IF(PART_NUMBER_GENERATOR_TABLE[[#This Row],[Work Type]:[Work Type]]&lt;&gt;"BH",0,
SUMIFS(AA$9:AA$24,$M$9:$M$24,PART_NUMBER_GENERATOR_TABLE[[#This Row],[Tech]:[Tech]])))</f>
        <v>0</v>
      </c>
      <c r="AB66" cm="1">
        <f t="array" ref="AB66">IF(PART_NUMBER_GENERATOR_TABLE[[#This Row],[Work Role]:[Work Role]]&lt;&gt;AB$1,0,
IF(PART_NUMBER_GENERATOR_TABLE[[#This Row],[Work Type]:[Work Type]]&lt;&gt;"BH",0,
SUMIFS(AB$9:AB$24,$M$9:$M$24,PART_NUMBER_GENERATOR_TABLE[[#This Row],[Tech]:[Tech]])))</f>
        <v>0</v>
      </c>
      <c r="AC66" cm="1">
        <f t="array" ref="AC66">IF(PART_NUMBER_GENERATOR_TABLE[[#This Row],[Work Role]:[Work Role]]&lt;&gt;AC$1,0,
IF(PART_NUMBER_GENERATOR_TABLE[[#This Row],[Work Type]:[Work Type]]&lt;&gt;"BH",0,
SUMIFS(AC$9:AC$24,$M$9:$M$24,PART_NUMBER_GENERATOR_TABLE[[#This Row],[Tech]:[Tech]])))</f>
        <v>0</v>
      </c>
      <c r="AD66" cm="1">
        <f t="array" ref="AD66">IF(PART_NUMBER_GENERATOR_TABLE[[#This Row],[Work Role]:[Work Role]]&lt;&gt;AD$1,0,
IF(PART_NUMBER_GENERATOR_TABLE[[#This Row],[Work Type]:[Work Type]]&lt;&gt;"BH",0,
SUMIFS(AD$9:AD$24,$M$9:$M$24,PART_NUMBER_GENERATOR_TABLE[[#This Row],[Tech]:[Tech]])))</f>
        <v>0</v>
      </c>
      <c r="AE66" cm="1">
        <f t="array" ref="AE66">IF(PART_NUMBER_GENERATOR_TABLE[[#This Row],[Work Role]:[Work Role]]&lt;&gt;AE$1,0,
IF(PART_NUMBER_GENERATOR_TABLE[[#This Row],[Work Type]:[Work Type]]&lt;&gt;"BH",0,
SUMIFS(AE$9:AE$24,$M$9:$M$24,PART_NUMBER_GENERATOR_TABLE[[#This Row],[Tech]:[Tech]])))</f>
        <v>0</v>
      </c>
      <c r="AF66" cm="1">
        <f t="array" ref="AF66">IF(PART_NUMBER_GENERATOR_TABLE[[#This Row],[Work Role]:[Work Role]]&lt;&gt;AF$1,0,
IF(PART_NUMBER_GENERATOR_TABLE[[#This Row],[Work Type]:[Work Type]]&lt;&gt;"BH",0,
SUMIFS(AF$9:AF$24,$M$9:$M$24,PART_NUMBER_GENERATOR_TABLE[[#This Row],[Tech]:[Tech]])))</f>
        <v>0</v>
      </c>
      <c r="AG66" cm="1">
        <f t="array" ref="AG66">IF(PART_NUMBER_GENERATOR_TABLE[[#This Row],[Work Role]:[Work Role]]&lt;&gt;AG$1,0,
IF(PART_NUMBER_GENERATOR_TABLE[[#This Row],[Work Type]:[Work Type]]&lt;&gt;"AH",0,
SUMIFS(AG$9:AG$24,$M$9:$M$24,PART_NUMBER_GENERATOR_TABLE[[#This Row],[Tech]:[Tech]])))</f>
        <v>0</v>
      </c>
      <c r="AH66" cm="1">
        <f t="array" ref="AH66">IF(PART_NUMBER_GENERATOR_TABLE[[#This Row],[Work Role]:[Work Role]]&lt;&gt;AH$1,0,
IF(PART_NUMBER_GENERATOR_TABLE[[#This Row],[Work Type]:[Work Type]]&lt;&gt;"BH",0,
SUMIFS(AH$9:AH$24,$M$9:$M$24,PART_NUMBER_GENERATOR_TABLE[[#This Row],[Tech]:[Tech]])))</f>
        <v>0</v>
      </c>
      <c r="AI66" cm="1">
        <f t="array" ref="AI66">IF(PART_NUMBER_GENERATOR_TABLE[[#This Row],[Work Role]:[Work Role]]&lt;&gt;AI$1,0,
IF(PART_NUMBER_GENERATOR_TABLE[[#This Row],[Work Type]:[Work Type]]&lt;&gt;"BH",0,
SUMIFS(AI$9:AI$24,$M$9:$M$24,PART_NUMBER_GENERATOR_TABLE[[#This Row],[Tech]:[Tech]])))</f>
        <v>0</v>
      </c>
      <c r="AJ66" cm="1">
        <f t="array" ref="AJ66">IF(PART_NUMBER_GENERATOR_TABLE[[#This Row],[Work Role]:[Work Role]]&lt;&gt;AJ$1,0,
IF(PART_NUMBER_GENERATOR_TABLE[[#This Row],[Work Type]:[Work Type]]&lt;&gt;"BH",0,
SUMIFS(AJ$9:AJ$24,$M$9:$M$24,PART_NUMBER_GENERATOR_TABLE[[#This Row],[Tech]:[Tech]])))</f>
        <v>0</v>
      </c>
      <c r="AK66" cm="1">
        <f t="array" ref="AK66">IF(PART_NUMBER_GENERATOR_TABLE[[#This Row],[Work Role]:[Work Role]]&lt;&gt;AK$1,0,
IF(PART_NUMBER_GENERATOR_TABLE[[#This Row],[Work Type]:[Work Type]]&lt;&gt;"AH",0,
SUMIFS(AK$9:AK$24,$M$9:$M$24,PART_NUMBER_GENERATOR_TABLE[[#This Row],[Tech]:[Tech]])))</f>
        <v>0</v>
      </c>
      <c r="AL66" cm="1">
        <f t="array" ref="AL66">IF(PART_NUMBER_GENERATOR_TABLE[[#This Row],[Work Role]:[Work Role]]&lt;&gt;AL$1,0,
IF(PART_NUMBER_GENERATOR_TABLE[[#This Row],[Work Type]:[Work Type]]&lt;&gt;"BH",0,
SUMIFS(AL$9:AL$24,$M$9:$M$24,PART_NUMBER_GENERATOR_TABLE[[#This Row],[Tech]:[Tech]])))</f>
        <v>0</v>
      </c>
      <c r="AM66">
        <f>0</f>
        <v>0</v>
      </c>
      <c r="AN66" cm="1">
        <f t="array" ref="AN66">IF(PART_NUMBER_GENERATOR_TABLE[[#This Row],[Work Role]:[Work Role]]&lt;&gt;AN$1,0,
IF(PART_NUMBER_GENERATOR_TABLE[[#This Row],[Work Type]:[Work Type]]&lt;&gt;"BH",0,
SUMIFS(AN$24,$AM$24,PART_NUMBER_GENERATOR_TABLE[[#This Row],[Tech]:[Tech]])))</f>
        <v>0</v>
      </c>
      <c r="AO66" cm="1">
        <f t="array" ref="AO66">IF(PART_NUMBER_GENERATOR_TABLE[[#This Row],[Work Role]:[Work Role]]&lt;&gt;AO$1,0,
IF(PART_NUMBER_GENERATOR_TABLE[[#This Row],[Work Type]:[Work Type]]&lt;&gt;"BH",0,
SUMIFS(AO$24,$AM$24,PART_NUMBER_GENERATOR_TABLE[[#This Row],[Tech]:[Tech]])))</f>
        <v>0</v>
      </c>
      <c r="AP66" cm="1">
        <f t="array" ref="AP66">IF(PART_NUMBER_GENERATOR_TABLE[[#This Row],[Work Role]:[Work Role]]&lt;&gt;AP$1,0,
IF(PART_NUMBER_GENERATOR_TABLE[[#This Row],[Work Type]:[Work Type]]&lt;&gt;"BH",0,
SUMIFS(AP$24,$AM$24,PART_NUMBER_GENERATOR_TABLE[[#This Row],[Tech]:[Tech]])))</f>
        <v>0</v>
      </c>
      <c r="AQ66" cm="1">
        <f t="array" ref="AQ66">IF(PART_NUMBER_GENERATOR_TABLE[[#This Row],[Work Role]:[Work Role]]&lt;&gt;AQ$1,0,
IF(PART_NUMBER_GENERATOR_TABLE[[#This Row],[Work Type]:[Work Type]]&lt;&gt;"BH",0,
SUMIFS(AQ$24,$AM$24,PART_NUMBER_GENERATOR_TABLE[[#This Row],[Tech]:[Tech]])))</f>
        <v>0</v>
      </c>
      <c r="AR66" cm="1">
        <f t="array" ref="AR66">IF(PART_NUMBER_GENERATOR_TABLE[[#This Row],[Work Role]:[Work Role]]&lt;&gt;AR$1,0,
IF(PART_NUMBER_GENERATOR_TABLE[[#This Row],[Work Type]:[Work Type]]&lt;&gt;"BH",0,
SUMIFS(AR$24,$AM$24,PART_NUMBER_GENERATOR_TABLE[[#This Row],[Tech]:[Tech]])))</f>
        <v>0</v>
      </c>
      <c r="AS66" cm="1">
        <f t="array" ref="AS66">IF(PART_NUMBER_GENERATOR_TABLE[[#This Row],[Work Role]:[Work Role]]&lt;&gt;AS$1,0,
IF(PART_NUMBER_GENERATOR_TABLE[[#This Row],[Work Type]:[Work Type]]&lt;&gt;"BH",0,
SUMIFS(AS$24,$AM$24,PART_NUMBER_GENERATOR_TABLE[[#This Row],[Tech]:[Tech]])))</f>
        <v>0</v>
      </c>
      <c r="AT66" cm="1">
        <f t="array" ref="AT66">IF(PART_NUMBER_GENERATOR_TABLE[[#This Row],[Work Role]:[Work Role]]&lt;&gt;AS$1,0,
IF(PART_NUMBER_GENERATOR_TABLE[[#This Row],[Work Type]:[Work Type]]&lt;&gt;"BH",0,
SUMIFS(AT$24,$AM$24,PART_NUMBER_GENERATOR_TABLE[[#This Row],[Tech]:[Tech]])))</f>
        <v>0</v>
      </c>
      <c r="AU66">
        <f>SUM(PART_NUMBER_GENERATOR_TABLE[[#This Row],[Resource 1 BH]:[Resource 5 AH]],PART_NUMBER_GENERATOR_TABLE[[#This Row],[R1 Mandatory Tasks]:[R5 Mandatory Tasks]],PART_NUMBER_GENERATOR_TABLE[[#This Row],[R1 Remainder]:[R5 Remainder]])</f>
        <v>0</v>
      </c>
      <c r="AV66">
        <f>PART_NUMBER_GENERATOR_TABLE[[#This Row],[Professional Engineering Hours]]*PART_NUMBER_GENERATOR_TABLE[[#This Row],[Sell Rate]]</f>
        <v>0</v>
      </c>
      <c r="AW66">
        <f>PART_NUMBER_GENERATOR_TABLE[[#This Row],[Professional Engineering Hours]]*PART_NUMBER_GENERATOR_TABLE[[#This Row],[Cost Rate]]</f>
        <v>0</v>
      </c>
      <c r="AX66">
        <f>SUM(PART_NUMBER_GENERATOR_TABLE[[#This Row],[PM Trips]:[R5 Trips]])</f>
        <v>0</v>
      </c>
      <c r="AY66">
        <f>PART_NUMBER_GENERATOR_TABLE[[#This Row],[Travel &amp; Accommodation Hours]]*PART_NUMBER_GENERATOR_TABLE[[#This Row],[Sell Rate]]</f>
        <v>0</v>
      </c>
      <c r="AZ66">
        <f>PART_NUMBER_GENERATOR_TABLE[[#This Row],[Travel &amp; Accommodation Hours]]*PART_NUMBER_GENERATOR_TABLE[[#This Row],[Cost Rate]]</f>
        <v>0</v>
      </c>
      <c r="BA66">
        <f>PART_NUMBER_GENERATOR_TABLE[[#This Row],[PM Hours]]+PART_NUMBER_GENERATOR_TABLE[[#This Row],[PM Remainder]]</f>
        <v>0</v>
      </c>
      <c r="BB66">
        <f>PART_NUMBER_GENERATOR_TABLE[[#This Row],[Project Management Hours]]*PART_NUMBER_GENERATOR_TABLE[[#This Row],[Sell Rate]]</f>
        <v>0</v>
      </c>
      <c r="BC66">
        <f>PART_NUMBER_GENERATOR_TABLE[[#This Row],[Project Management Hours]]*PART_NUMBER_GENERATOR_TABLE[[#This Row],[Cost Rate]]</f>
        <v>0</v>
      </c>
      <c r="BD66">
        <f>SUM(PART_NUMBER_GENERATOR_TABLE[[#This Row],[SSE RISK BH]:[PM RISK]],PART_NUMBER_GENERATOR_TABLE[[#This Row],[SSE Remainder RISK BH]:[PM Remainder RISK]])</f>
        <v>0</v>
      </c>
      <c r="BE66">
        <f>PART_NUMBER_GENERATOR_TABLE[[#This Row],[Project Risk Service Hours]]*PART_NUMBER_GENERATOR_TABLE[[#This Row],[Sell Rate]]</f>
        <v>0</v>
      </c>
      <c r="BF66">
        <f>PART_NUMBER_GENERATOR_TABLE[[#This Row],[Project Risk Service Hours]]*PART_NUMBER_GENERATOR_TABLE[[#This Row],[Cost Rate]]</f>
        <v>0</v>
      </c>
      <c r="BG66">
        <f>PART_NUMBER_GENERATOR_TABLE[[#This Row],[SSE RISK TRAVEL]]</f>
        <v>0</v>
      </c>
      <c r="BH66">
        <f>PART_NUMBER_GENERATOR_TABLE[[#This Row],[Sell Rate]]*PART_NUMBER_GENERATOR_TABLE[[#This Row],[Project Risk Travel Hours]]</f>
        <v>0</v>
      </c>
      <c r="BI66">
        <f>PART_NUMBER_GENERATOR_TABLE[[#This Row],[Project Risk Travel Hours]]*PART_NUMBER_GENERATOR_TABLE[[#This Row],[Cost Rate]]</f>
        <v>0</v>
      </c>
      <c r="BJ6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6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66">
        <f>IFERROR(-VLOOKUP(INDEX(ENGINEER_ROLES,MATCH(PART_NUMBER_GENERATOR_TABLE[[#This Row],[Work Role]],settings.Table_Engineer.Roles[ID],0),1),Settings_Hidden!$H$359:$K$366,4,FALSE),0)</f>
        <v>0</v>
      </c>
      <c r="BM66" s="680">
        <f>-Summary!$C$66</f>
        <v>0</v>
      </c>
      <c r="BN66" s="465">
        <f>PART_NUMBER_GENERATOR_TABLE[[#This Row],[Total Base Price]]*MIN(PART_NUMBER_GENERATOR_TABLE[[#This Row],[Rate Service Discount]:[Flat Service Discount]])</f>
        <v>0</v>
      </c>
      <c r="BO66" s="451" t="str">
        <f>IF(PART_NUMBER_GENERATOR_TABLE[[#This Row],[Quantity]]&lt;&gt;0,MAX($BO$30:BO65)+1,"")</f>
        <v/>
      </c>
      <c r="BP66" t="str">
        <f>PART_NUMBER_GENERATOR_TABLE[[#This Row],[Part Number]]</f>
        <v>A-PS-E-DATACC-SE-BH</v>
      </c>
      <c r="BQ66">
        <f>PART_NUMBER_GENERATOR_TABLE[[#This Row],[Total Hours]]</f>
        <v>0</v>
      </c>
      <c r="BR66">
        <f>PART_NUMBER_GENERATOR_TABLE[[#This Row],[Cost Rate]]</f>
        <v>126.11855927829811</v>
      </c>
      <c r="BS66" s="465">
        <f>PART_NUMBER_GENERATOR_TABLE[[#This Row],[Sell Rate]]+(PART_NUMBER_GENERATOR_TABLE[[#This Row],[Sell Rate]]*MIN(PART_NUMBER_GENERATOR_TABLE[[#This Row],[Rate Service Discount]:[Flat Service Discount]]))</f>
        <v>235</v>
      </c>
    </row>
    <row r="67" spans="1:71">
      <c r="A67">
        <v>37</v>
      </c>
      <c r="C67" t="s">
        <v>928</v>
      </c>
      <c r="D67" t="str" cm="1">
        <f t="array" ref="D67">INDEX(Table.Settings_Skill.List[Skill Name],MATCH(INDEX(_xlfn.TEXTSPLIT(C67,"-",,TRUE),4),Table.Settings_Skill.List[Skill Code],0),1)</f>
        <v>Data Centre / Cloud</v>
      </c>
      <c r="E67" t="str" cm="1">
        <f t="array" ref="E67">INDEX(_xlfn.TEXTSPLIT(C67,"-",,TRUE),5)</f>
        <v>SSE</v>
      </c>
      <c r="F67" t="str">
        <f>IFERROR(INDEX(settings.Table_Engineer.Roles[Department Code],MATCH(PART_NUMBER_GENERATOR_TABLE[[#This Row],[Work Role]],settings.Table_Engineer.Roles[ID],0),1),"PMO")</f>
        <v>ENG</v>
      </c>
      <c r="G67" t="str" cm="1">
        <f t="array" ref="G67">INDEX(_xlfn.TEXTSPLIT(C67,"-",,TRUE),6)</f>
        <v>BH</v>
      </c>
      <c r="H6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280.5</v>
      </c>
      <c r="I6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149.91839058446394</v>
      </c>
      <c r="J67" cm="1">
        <f t="array" ref="J67">IF(J$1&lt;&gt;PART_NUMBER_GENERATOR_TABLE[[#This Row],[Work Role]:[Work Role]],0,
IF(RIGHT(J$30,2)&lt;&gt;PART_NUMBER_GENERATOR_TABLE[[#This Row],[Work Type]:[Work Type]],0,
SUMIFS(Input_Tasks[R1 Business Hours],Input_Tasks[[Skill Required]:[Skill Required]],PART_NUMBER_GENERATOR_TABLE[[#This Row],[Tech]:[Tech]])))</f>
        <v>0</v>
      </c>
      <c r="K67" cm="1">
        <f t="array" ref="K67">IF(K$1&lt;&gt;PART_NUMBER_GENERATOR_TABLE[[#This Row],[Work Role]:[Work Role]],0,
IF(RIGHT(K$30,2)&lt;&gt;PART_NUMBER_GENERATOR_TABLE[[#This Row],[Work Type]:[Work Type]],0,
SUMIFS(Input_Tasks[R1 After Hours],Input_Tasks[[Skill Required]:[Skill Required]],PART_NUMBER_GENERATOR_TABLE[[#This Row],[Tech]:[Tech]])))</f>
        <v>0</v>
      </c>
      <c r="L67" cm="1">
        <f t="array" ref="L67">IF(L$1&lt;&gt;PART_NUMBER_GENERATOR_TABLE[[#This Row],[Work Role]:[Work Role]],0,
IF(RIGHT(L$30,2)&lt;&gt;PART_NUMBER_GENERATOR_TABLE[[#This Row],[Work Type]:[Work Type]],0,
SUMIFS(Input_Tasks[R2 Business Hours],Input_Tasks[[Skill Required]:[Skill Required]],PART_NUMBER_GENERATOR_TABLE[[#This Row],[Tech]:[Tech]])))</f>
        <v>0</v>
      </c>
      <c r="M67" cm="1">
        <f t="array" ref="M67">IF(M$1&lt;&gt;PART_NUMBER_GENERATOR_TABLE[[#This Row],[Work Role]:[Work Role]],0,
IF(RIGHT(M$30,2)&lt;&gt;PART_NUMBER_GENERATOR_TABLE[[#This Row],[Work Type]:[Work Type]],0,
SUMIFS(Input_Tasks[R2 After Hours],Input_Tasks[[Skill Required]:[Skill Required]],PART_NUMBER_GENERATOR_TABLE[[#This Row],[Tech]:[Tech]])))</f>
        <v>0</v>
      </c>
      <c r="N67" cm="1">
        <f t="array" ref="N67">IF(N$1&lt;&gt;PART_NUMBER_GENERATOR_TABLE[[#This Row],[Work Role]:[Work Role]],0,
IF(RIGHT(N$30,2)&lt;&gt;PART_NUMBER_GENERATOR_TABLE[[#This Row],[Work Type]:[Work Type]],0,
SUMIFS(Input_Tasks[R3 Business Hours],Input_Tasks[[Skill Required]:[Skill Required]],PART_NUMBER_GENERATOR_TABLE[[#This Row],[Tech]:[Tech]])))</f>
        <v>0</v>
      </c>
      <c r="O67" cm="1">
        <f t="array" ref="O67">IF(O$1&lt;&gt;PART_NUMBER_GENERATOR_TABLE[[#This Row],[Work Role]:[Work Role]],0,
IF(RIGHT(O$30,2)&lt;&gt;PART_NUMBER_GENERATOR_TABLE[[#This Row],[Work Type]:[Work Type]],0,
SUMIFS(Input_Tasks[R3 After Hours],Input_Tasks[[Skill Required]:[Skill Required]],PART_NUMBER_GENERATOR_TABLE[[#This Row],[Tech]:[Tech]])))</f>
        <v>0</v>
      </c>
      <c r="P67" cm="1">
        <f t="array" ref="P67">IF(P$1&lt;&gt;PART_NUMBER_GENERATOR_TABLE[[#This Row],[Work Role]:[Work Role]],0,
IF(RIGHT(P$30,2)&lt;&gt;PART_NUMBER_GENERATOR_TABLE[[#This Row],[Work Type]:[Work Type]],0,
SUMIFS(Input_Tasks[R4 Business Hours],Input_Tasks[[Skill Required]:[Skill Required]],PART_NUMBER_GENERATOR_TABLE[[#This Row],[Tech]:[Tech]])))</f>
        <v>0</v>
      </c>
      <c r="Q67" cm="1">
        <f t="array" ref="Q67">IF(Q$1&lt;&gt;PART_NUMBER_GENERATOR_TABLE[[#This Row],[Work Role]:[Work Role]],0,
IF(RIGHT(Q$30,2)&lt;&gt;PART_NUMBER_GENERATOR_TABLE[[#This Row],[Work Type]:[Work Type]],0,
SUMIFS(Input_Tasks[R4 After Hours],Input_Tasks[[Skill Required]:[Skill Required]],PART_NUMBER_GENERATOR_TABLE[[#This Row],[Tech]:[Tech]])))</f>
        <v>0</v>
      </c>
      <c r="R67" cm="1">
        <f t="array" ref="R67">IF(R$1&lt;&gt;PART_NUMBER_GENERATOR_TABLE[[#This Row],[Work Role]:[Work Role]],0,
IF(RIGHT(R$30,2)&lt;&gt;PART_NUMBER_GENERATOR_TABLE[[#This Row],[Work Type]:[Work Type]],0,
SUMIFS(Input_Tasks[R5 Business Hours],Input_Tasks[[Skill Required]:[Skill Required]],PART_NUMBER_GENERATOR_TABLE[[#This Row],[Tech]:[Tech]])))</f>
        <v>0</v>
      </c>
      <c r="S67" cm="1">
        <f t="array" ref="S67">IF(S$1&lt;&gt;PART_NUMBER_GENERATOR_TABLE[[#This Row],[Work Role]:[Work Role]],0,
IF(RIGHT(S$30,2)&lt;&gt;PART_NUMBER_GENERATOR_TABLE[[#This Row],[Work Type]:[Work Type]],0,
SUMIFS(Input_Tasks[R5 After Hours],Input_Tasks[[Skill Required]:[Skill Required]],PART_NUMBER_GENERATOR_TABLE[[#This Row],[Tech]:[Tech]])))</f>
        <v>0</v>
      </c>
      <c r="T67" cm="1">
        <f t="array" ref="T67">IF(PART_NUMBER_GENERATOR_TABLE[[#This Row],[Work Role]:[Work Role]]&lt;&gt;T$1,0,
IF(PART_NUMBER_GENERATOR_TABLE[[#This Row],[Work Type]:[Work Type]]&lt;&gt;"BH",0,
SUMIFS(T$9:T$24,$M$9:$M$24,PART_NUMBER_GENERATOR_TABLE[[#This Row],[Tech]:[Tech]])))</f>
        <v>0</v>
      </c>
      <c r="U67" cm="1">
        <f t="array" ref="U67">IF(PART_NUMBER_GENERATOR_TABLE[[#This Row],[Work Role]:[Work Role]]&lt;&gt;U$1,0,
IF(PART_NUMBER_GENERATOR_TABLE[[#This Row],[Work Type]:[Work Type]]&lt;&gt;"BH",0,
SUMIFS(U$9:U$24,$M$9:$M$24,PART_NUMBER_GENERATOR_TABLE[[#This Row],[Tech]:[Tech]])))</f>
        <v>0</v>
      </c>
      <c r="V67" cm="1">
        <f t="array" ref="V67">IF(PART_NUMBER_GENERATOR_TABLE[[#This Row],[Work Role]:[Work Role]]&lt;&gt;V$1,0,
IF(PART_NUMBER_GENERATOR_TABLE[[#This Row],[Work Type]:[Work Type]]&lt;&gt;"BH",0,
SUMIFS(V$9:V$24,$M$9:$M$24,PART_NUMBER_GENERATOR_TABLE[[#This Row],[Tech]:[Tech]])))</f>
        <v>0</v>
      </c>
      <c r="W67" cm="1">
        <f t="array" ref="W67">IF(PART_NUMBER_GENERATOR_TABLE[[#This Row],[Work Role]:[Work Role]]&lt;&gt;W$1,0,
IF(PART_NUMBER_GENERATOR_TABLE[[#This Row],[Work Type]:[Work Type]]&lt;&gt;"BH",0,
SUMIFS(W$9:W$24,$M$9:$M$24,PART_NUMBER_GENERATOR_TABLE[[#This Row],[Tech]:[Tech]])))</f>
        <v>0</v>
      </c>
      <c r="X67" cm="1">
        <f t="array" ref="X67">IF(PART_NUMBER_GENERATOR_TABLE[[#This Row],[Work Role]:[Work Role]]&lt;&gt;X$1,0,
IF(PART_NUMBER_GENERATOR_TABLE[[#This Row],[Work Type]:[Work Type]]&lt;&gt;"BH",0,
SUMIFS(X$9:X$24,$M$9:$M$24,PART_NUMBER_GENERATOR_TABLE[[#This Row],[Tech]:[Tech]])))</f>
        <v>0</v>
      </c>
      <c r="Y67" cm="1">
        <f t="array" ref="Y67">IF(PART_NUMBER_GENERATOR_TABLE[[#This Row],[Work Role]:[Work Role]]&lt;&gt;Y$1,0,
IF(PART_NUMBER_GENERATOR_TABLE[[#This Row],[Work Type]:[Work Type]]&lt;&gt;"BH",0,
SUMIFS(Y$9:Y$24,$M$9:$M$24,PART_NUMBER_GENERATOR_TABLE[[#This Row],[Tech]:[Tech]])))</f>
        <v>0</v>
      </c>
      <c r="Z67" cm="1">
        <f t="array" ref="Z67">IF(PART_NUMBER_GENERATOR_TABLE[[#This Row],[Work Role]:[Work Role]]&lt;&gt;Z$1,0,
IF(PART_NUMBER_GENERATOR_TABLE[[#This Row],[Work Type]:[Work Type]]&lt;&gt;"BH",0,
SUMIFS(Z$9:Z$24,$M$9:$M$24,PART_NUMBER_GENERATOR_TABLE[[#This Row],[Tech]:[Tech]])))</f>
        <v>0</v>
      </c>
      <c r="AA67" cm="1">
        <f t="array" ref="AA67">IF(PART_NUMBER_GENERATOR_TABLE[[#This Row],[Work Role]:[Work Role]]&lt;&gt;AA$1,0,
IF(PART_NUMBER_GENERATOR_TABLE[[#This Row],[Work Type]:[Work Type]]&lt;&gt;"BH",0,
SUMIFS(AA$9:AA$24,$M$9:$M$24,PART_NUMBER_GENERATOR_TABLE[[#This Row],[Tech]:[Tech]])))</f>
        <v>0</v>
      </c>
      <c r="AB67" cm="1">
        <f t="array" ref="AB67">IF(PART_NUMBER_GENERATOR_TABLE[[#This Row],[Work Role]:[Work Role]]&lt;&gt;AB$1,0,
IF(PART_NUMBER_GENERATOR_TABLE[[#This Row],[Work Type]:[Work Type]]&lt;&gt;"BH",0,
SUMIFS(AB$9:AB$24,$M$9:$M$24,PART_NUMBER_GENERATOR_TABLE[[#This Row],[Tech]:[Tech]])))</f>
        <v>0</v>
      </c>
      <c r="AC67" cm="1">
        <f t="array" ref="AC67">IF(PART_NUMBER_GENERATOR_TABLE[[#This Row],[Work Role]:[Work Role]]&lt;&gt;AC$1,0,
IF(PART_NUMBER_GENERATOR_TABLE[[#This Row],[Work Type]:[Work Type]]&lt;&gt;"BH",0,
SUMIFS(AC$9:AC$24,$M$9:$M$24,PART_NUMBER_GENERATOR_TABLE[[#This Row],[Tech]:[Tech]])))</f>
        <v>0</v>
      </c>
      <c r="AD67" cm="1">
        <f t="array" ref="AD67">IF(PART_NUMBER_GENERATOR_TABLE[[#This Row],[Work Role]:[Work Role]]&lt;&gt;AD$1,0,
IF(PART_NUMBER_GENERATOR_TABLE[[#This Row],[Work Type]:[Work Type]]&lt;&gt;"BH",0,
SUMIFS(AD$9:AD$24,$M$9:$M$24,PART_NUMBER_GENERATOR_TABLE[[#This Row],[Tech]:[Tech]])))</f>
        <v>0</v>
      </c>
      <c r="AE67" cm="1">
        <f t="array" ref="AE67">IF(PART_NUMBER_GENERATOR_TABLE[[#This Row],[Work Role]:[Work Role]]&lt;&gt;AE$1,0,
IF(PART_NUMBER_GENERATOR_TABLE[[#This Row],[Work Type]:[Work Type]]&lt;&gt;"BH",0,
SUMIFS(AE$9:AE$24,$M$9:$M$24,PART_NUMBER_GENERATOR_TABLE[[#This Row],[Tech]:[Tech]])))</f>
        <v>0</v>
      </c>
      <c r="AF67" cm="1">
        <f t="array" ref="AF67">IF(PART_NUMBER_GENERATOR_TABLE[[#This Row],[Work Role]:[Work Role]]&lt;&gt;AF$1,0,
IF(PART_NUMBER_GENERATOR_TABLE[[#This Row],[Work Type]:[Work Type]]&lt;&gt;"BH",0,
SUMIFS(AF$9:AF$24,$M$9:$M$24,PART_NUMBER_GENERATOR_TABLE[[#This Row],[Tech]:[Tech]])))</f>
        <v>0</v>
      </c>
      <c r="AG67" cm="1">
        <f t="array" ref="AG67">IF(PART_NUMBER_GENERATOR_TABLE[[#This Row],[Work Role]:[Work Role]]&lt;&gt;AG$1,0,
IF(PART_NUMBER_GENERATOR_TABLE[[#This Row],[Work Type]:[Work Type]]&lt;&gt;"AH",0,
SUMIFS(AG$9:AG$24,$M$9:$M$24,PART_NUMBER_GENERATOR_TABLE[[#This Row],[Tech]:[Tech]])))</f>
        <v>0</v>
      </c>
      <c r="AH67" cm="1">
        <f t="array" ref="AH67">IF(PART_NUMBER_GENERATOR_TABLE[[#This Row],[Work Role]:[Work Role]]&lt;&gt;AH$1,0,
IF(PART_NUMBER_GENERATOR_TABLE[[#This Row],[Work Type]:[Work Type]]&lt;&gt;"BH",0,
SUMIFS(AH$9:AH$24,$M$9:$M$24,PART_NUMBER_GENERATOR_TABLE[[#This Row],[Tech]:[Tech]])))</f>
        <v>0</v>
      </c>
      <c r="AI67" cm="1">
        <f t="array" ref="AI67">IF(PART_NUMBER_GENERATOR_TABLE[[#This Row],[Work Role]:[Work Role]]&lt;&gt;AI$1,0,
IF(PART_NUMBER_GENERATOR_TABLE[[#This Row],[Work Type]:[Work Type]]&lt;&gt;"BH",0,
SUMIFS(AI$9:AI$24,$M$9:$M$24,PART_NUMBER_GENERATOR_TABLE[[#This Row],[Tech]:[Tech]])))</f>
        <v>0</v>
      </c>
      <c r="AJ67" cm="1">
        <f t="array" ref="AJ67">IF(PART_NUMBER_GENERATOR_TABLE[[#This Row],[Work Role]:[Work Role]]&lt;&gt;AJ$1,0,
IF(PART_NUMBER_GENERATOR_TABLE[[#This Row],[Work Type]:[Work Type]]&lt;&gt;"BH",0,
SUMIFS(AJ$9:AJ$24,$M$9:$M$24,PART_NUMBER_GENERATOR_TABLE[[#This Row],[Tech]:[Tech]])))</f>
        <v>0</v>
      </c>
      <c r="AK67" cm="1">
        <f t="array" ref="AK67">IF(PART_NUMBER_GENERATOR_TABLE[[#This Row],[Work Role]:[Work Role]]&lt;&gt;AK$1,0,
IF(PART_NUMBER_GENERATOR_TABLE[[#This Row],[Work Type]:[Work Type]]&lt;&gt;"AH",0,
SUMIFS(AK$9:AK$24,$M$9:$M$24,PART_NUMBER_GENERATOR_TABLE[[#This Row],[Tech]:[Tech]])))</f>
        <v>0</v>
      </c>
      <c r="AL67" cm="1">
        <f t="array" ref="AL67">IF(PART_NUMBER_GENERATOR_TABLE[[#This Row],[Work Role]:[Work Role]]&lt;&gt;AL$1,0,
IF(PART_NUMBER_GENERATOR_TABLE[[#This Row],[Work Type]:[Work Type]]&lt;&gt;"BH",0,
SUMIFS(AL$9:AL$24,$M$9:$M$24,PART_NUMBER_GENERATOR_TABLE[[#This Row],[Tech]:[Tech]])))</f>
        <v>0</v>
      </c>
      <c r="AM67">
        <f>0</f>
        <v>0</v>
      </c>
      <c r="AN67" cm="1">
        <f t="array" ref="AN67">IF(PART_NUMBER_GENERATOR_TABLE[[#This Row],[Work Role]:[Work Role]]&lt;&gt;AN$1,0,
IF(PART_NUMBER_GENERATOR_TABLE[[#This Row],[Work Type]:[Work Type]]&lt;&gt;"BH",0,
SUMIFS(AN$24,$AM$24,PART_NUMBER_GENERATOR_TABLE[[#This Row],[Tech]:[Tech]])))</f>
        <v>0</v>
      </c>
      <c r="AO67" cm="1">
        <f t="array" ref="AO67">IF(PART_NUMBER_GENERATOR_TABLE[[#This Row],[Work Role]:[Work Role]]&lt;&gt;AO$1,0,
IF(PART_NUMBER_GENERATOR_TABLE[[#This Row],[Work Type]:[Work Type]]&lt;&gt;"BH",0,
SUMIFS(AO$24,$AM$24,PART_NUMBER_GENERATOR_TABLE[[#This Row],[Tech]:[Tech]])))</f>
        <v>0</v>
      </c>
      <c r="AP67" cm="1">
        <f t="array" ref="AP67">IF(PART_NUMBER_GENERATOR_TABLE[[#This Row],[Work Role]:[Work Role]]&lt;&gt;AP$1,0,
IF(PART_NUMBER_GENERATOR_TABLE[[#This Row],[Work Type]:[Work Type]]&lt;&gt;"BH",0,
SUMIFS(AP$24,$AM$24,PART_NUMBER_GENERATOR_TABLE[[#This Row],[Tech]:[Tech]])))</f>
        <v>0</v>
      </c>
      <c r="AQ67" cm="1">
        <f t="array" ref="AQ67">IF(PART_NUMBER_GENERATOR_TABLE[[#This Row],[Work Role]:[Work Role]]&lt;&gt;AQ$1,0,
IF(PART_NUMBER_GENERATOR_TABLE[[#This Row],[Work Type]:[Work Type]]&lt;&gt;"BH",0,
SUMIFS(AQ$24,$AM$24,PART_NUMBER_GENERATOR_TABLE[[#This Row],[Tech]:[Tech]])))</f>
        <v>0</v>
      </c>
      <c r="AR67" cm="1">
        <f t="array" ref="AR67">IF(PART_NUMBER_GENERATOR_TABLE[[#This Row],[Work Role]:[Work Role]]&lt;&gt;AR$1,0,
IF(PART_NUMBER_GENERATOR_TABLE[[#This Row],[Work Type]:[Work Type]]&lt;&gt;"BH",0,
SUMIFS(AR$24,$AM$24,PART_NUMBER_GENERATOR_TABLE[[#This Row],[Tech]:[Tech]])))</f>
        <v>0</v>
      </c>
      <c r="AS67" cm="1">
        <f t="array" ref="AS67">IF(PART_NUMBER_GENERATOR_TABLE[[#This Row],[Work Role]:[Work Role]]&lt;&gt;AS$1,0,
IF(PART_NUMBER_GENERATOR_TABLE[[#This Row],[Work Type]:[Work Type]]&lt;&gt;"BH",0,
SUMIFS(AS$24,$AM$24,PART_NUMBER_GENERATOR_TABLE[[#This Row],[Tech]:[Tech]])))</f>
        <v>0</v>
      </c>
      <c r="AT67" cm="1">
        <f t="array" ref="AT67">IF(PART_NUMBER_GENERATOR_TABLE[[#This Row],[Work Role]:[Work Role]]&lt;&gt;AS$1,0,
IF(PART_NUMBER_GENERATOR_TABLE[[#This Row],[Work Type]:[Work Type]]&lt;&gt;"BH",0,
SUMIFS(AT$24,$AM$24,PART_NUMBER_GENERATOR_TABLE[[#This Row],[Tech]:[Tech]])))</f>
        <v>0</v>
      </c>
      <c r="AU67">
        <f>SUM(PART_NUMBER_GENERATOR_TABLE[[#This Row],[Resource 1 BH]:[Resource 5 AH]],PART_NUMBER_GENERATOR_TABLE[[#This Row],[R1 Mandatory Tasks]:[R5 Mandatory Tasks]],PART_NUMBER_GENERATOR_TABLE[[#This Row],[R1 Remainder]:[R5 Remainder]])</f>
        <v>0</v>
      </c>
      <c r="AV67">
        <f>PART_NUMBER_GENERATOR_TABLE[[#This Row],[Professional Engineering Hours]]*PART_NUMBER_GENERATOR_TABLE[[#This Row],[Sell Rate]]</f>
        <v>0</v>
      </c>
      <c r="AW67">
        <f>PART_NUMBER_GENERATOR_TABLE[[#This Row],[Professional Engineering Hours]]*PART_NUMBER_GENERATOR_TABLE[[#This Row],[Cost Rate]]</f>
        <v>0</v>
      </c>
      <c r="AX67">
        <f>SUM(PART_NUMBER_GENERATOR_TABLE[[#This Row],[PM Trips]:[R5 Trips]])</f>
        <v>0</v>
      </c>
      <c r="AY67">
        <f>PART_NUMBER_GENERATOR_TABLE[[#This Row],[Travel &amp; Accommodation Hours]]*PART_NUMBER_GENERATOR_TABLE[[#This Row],[Sell Rate]]</f>
        <v>0</v>
      </c>
      <c r="AZ67">
        <f>PART_NUMBER_GENERATOR_TABLE[[#This Row],[Travel &amp; Accommodation Hours]]*PART_NUMBER_GENERATOR_TABLE[[#This Row],[Cost Rate]]</f>
        <v>0</v>
      </c>
      <c r="BA67">
        <f>PART_NUMBER_GENERATOR_TABLE[[#This Row],[PM Hours]]+PART_NUMBER_GENERATOR_TABLE[[#This Row],[PM Remainder]]</f>
        <v>0</v>
      </c>
      <c r="BB67">
        <f>PART_NUMBER_GENERATOR_TABLE[[#This Row],[Project Management Hours]]*PART_NUMBER_GENERATOR_TABLE[[#This Row],[Sell Rate]]</f>
        <v>0</v>
      </c>
      <c r="BC67">
        <f>PART_NUMBER_GENERATOR_TABLE[[#This Row],[Project Management Hours]]*PART_NUMBER_GENERATOR_TABLE[[#This Row],[Cost Rate]]</f>
        <v>0</v>
      </c>
      <c r="BD67">
        <f>SUM(PART_NUMBER_GENERATOR_TABLE[[#This Row],[SSE RISK BH]:[PM RISK]],PART_NUMBER_GENERATOR_TABLE[[#This Row],[SSE Remainder RISK BH]:[PM Remainder RISK]])</f>
        <v>0</v>
      </c>
      <c r="BE67">
        <f>PART_NUMBER_GENERATOR_TABLE[[#This Row],[Project Risk Service Hours]]*PART_NUMBER_GENERATOR_TABLE[[#This Row],[Sell Rate]]</f>
        <v>0</v>
      </c>
      <c r="BF67">
        <f>PART_NUMBER_GENERATOR_TABLE[[#This Row],[Project Risk Service Hours]]*PART_NUMBER_GENERATOR_TABLE[[#This Row],[Cost Rate]]</f>
        <v>0</v>
      </c>
      <c r="BG67">
        <f>PART_NUMBER_GENERATOR_TABLE[[#This Row],[SSE RISK TRAVEL]]</f>
        <v>0</v>
      </c>
      <c r="BH67">
        <f>PART_NUMBER_GENERATOR_TABLE[[#This Row],[Sell Rate]]*PART_NUMBER_GENERATOR_TABLE[[#This Row],[Project Risk Travel Hours]]</f>
        <v>0</v>
      </c>
      <c r="BI67">
        <f>PART_NUMBER_GENERATOR_TABLE[[#This Row],[Project Risk Travel Hours]]*PART_NUMBER_GENERATOR_TABLE[[#This Row],[Cost Rate]]</f>
        <v>0</v>
      </c>
      <c r="BJ6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6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67">
        <f>IFERROR(-VLOOKUP(INDEX(ENGINEER_ROLES,MATCH(PART_NUMBER_GENERATOR_TABLE[[#This Row],[Work Role]],settings.Table_Engineer.Roles[ID],0),1),Settings_Hidden!$H$359:$K$366,4,FALSE),0)</f>
        <v>0</v>
      </c>
      <c r="BM67" s="680">
        <f>-Summary!$C$66</f>
        <v>0</v>
      </c>
      <c r="BN67" s="465">
        <f>PART_NUMBER_GENERATOR_TABLE[[#This Row],[Total Base Price]]*MIN(PART_NUMBER_GENERATOR_TABLE[[#This Row],[Rate Service Discount]:[Flat Service Discount]])</f>
        <v>0</v>
      </c>
      <c r="BO67" s="451" t="str">
        <f>IF(PART_NUMBER_GENERATOR_TABLE[[#This Row],[Quantity]]&lt;&gt;0,MAX($BO$30:BO66)+1,"")</f>
        <v/>
      </c>
      <c r="BP67" t="str">
        <f>PART_NUMBER_GENERATOR_TABLE[[#This Row],[Part Number]]</f>
        <v>A-PS-E-DATACC-SSE-BH</v>
      </c>
      <c r="BQ67">
        <f>PART_NUMBER_GENERATOR_TABLE[[#This Row],[Total Hours]]</f>
        <v>0</v>
      </c>
      <c r="BR67">
        <f>PART_NUMBER_GENERATOR_TABLE[[#This Row],[Cost Rate]]</f>
        <v>149.91839058446394</v>
      </c>
      <c r="BS67" s="465">
        <f>PART_NUMBER_GENERATOR_TABLE[[#This Row],[Sell Rate]]+(PART_NUMBER_GENERATOR_TABLE[[#This Row],[Sell Rate]]*MIN(PART_NUMBER_GENERATOR_TABLE[[#This Row],[Rate Service Discount]:[Flat Service Discount]]))</f>
        <v>280.5</v>
      </c>
    </row>
    <row r="68" spans="1:71">
      <c r="A68">
        <v>38</v>
      </c>
      <c r="C68" t="s">
        <v>920</v>
      </c>
      <c r="D68" t="str" cm="1">
        <f t="array" ref="D68">INDEX(Table.Settings_Skill.List[Skill Name],MATCH(INDEX(_xlfn.TEXTSPLIT(C68,"-",,TRUE),4),Table.Settings_Skill.List[Skill Code],0),1)</f>
        <v>Data Centre / Cloud</v>
      </c>
      <c r="E68" t="str" cm="1">
        <f t="array" ref="E68">INDEX(_xlfn.TEXTSPLIT(C68,"-",,TRUE),5)</f>
        <v>SCE</v>
      </c>
      <c r="F68" t="str">
        <f>IFERROR(INDEX(settings.Table_Engineer.Roles[Department Code],MATCH(PART_NUMBER_GENERATOR_TABLE[[#This Row],[Work Role]],settings.Table_Engineer.Roles[ID],0),1),"PMO")</f>
        <v>ENG</v>
      </c>
      <c r="G68" t="str" cm="1">
        <f t="array" ref="G68">INDEX(_xlfn.TEXTSPLIT(C68,"-",,TRUE),6)</f>
        <v>BH</v>
      </c>
      <c r="H6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6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68" cm="1">
        <f t="array" ref="J68">IF(J$1&lt;&gt;PART_NUMBER_GENERATOR_TABLE[[#This Row],[Work Role]:[Work Role]],0,
IF(RIGHT(J$30,2)&lt;&gt;PART_NUMBER_GENERATOR_TABLE[[#This Row],[Work Type]:[Work Type]],0,
SUMIFS(Input_Tasks[R1 Business Hours],Input_Tasks[[Skill Required]:[Skill Required]],PART_NUMBER_GENERATOR_TABLE[[#This Row],[Tech]:[Tech]])))</f>
        <v>0</v>
      </c>
      <c r="K68" cm="1">
        <f t="array" ref="K68">IF(K$1&lt;&gt;PART_NUMBER_GENERATOR_TABLE[[#This Row],[Work Role]:[Work Role]],0,
IF(RIGHT(K$30,2)&lt;&gt;PART_NUMBER_GENERATOR_TABLE[[#This Row],[Work Type]:[Work Type]],0,
SUMIFS(Input_Tasks[R1 After Hours],Input_Tasks[[Skill Required]:[Skill Required]],PART_NUMBER_GENERATOR_TABLE[[#This Row],[Tech]:[Tech]])))</f>
        <v>0</v>
      </c>
      <c r="L68" cm="1">
        <f t="array" ref="L68">IF(L$1&lt;&gt;PART_NUMBER_GENERATOR_TABLE[[#This Row],[Work Role]:[Work Role]],0,
IF(RIGHT(L$30,2)&lt;&gt;PART_NUMBER_GENERATOR_TABLE[[#This Row],[Work Type]:[Work Type]],0,
SUMIFS(Input_Tasks[R2 Business Hours],Input_Tasks[[Skill Required]:[Skill Required]],PART_NUMBER_GENERATOR_TABLE[[#This Row],[Tech]:[Tech]])))</f>
        <v>0</v>
      </c>
      <c r="M68" cm="1">
        <f t="array" ref="M68">IF(M$1&lt;&gt;PART_NUMBER_GENERATOR_TABLE[[#This Row],[Work Role]:[Work Role]],0,
IF(RIGHT(M$30,2)&lt;&gt;PART_NUMBER_GENERATOR_TABLE[[#This Row],[Work Type]:[Work Type]],0,
SUMIFS(Input_Tasks[R2 After Hours],Input_Tasks[[Skill Required]:[Skill Required]],PART_NUMBER_GENERATOR_TABLE[[#This Row],[Tech]:[Tech]])))</f>
        <v>0</v>
      </c>
      <c r="N68" cm="1">
        <f t="array" ref="N68">IF(N$1&lt;&gt;PART_NUMBER_GENERATOR_TABLE[[#This Row],[Work Role]:[Work Role]],0,
IF(RIGHT(N$30,2)&lt;&gt;PART_NUMBER_GENERATOR_TABLE[[#This Row],[Work Type]:[Work Type]],0,
SUMIFS(Input_Tasks[R3 Business Hours],Input_Tasks[[Skill Required]:[Skill Required]],PART_NUMBER_GENERATOR_TABLE[[#This Row],[Tech]:[Tech]])))</f>
        <v>0</v>
      </c>
      <c r="O68" cm="1">
        <f t="array" ref="O68">IF(O$1&lt;&gt;PART_NUMBER_GENERATOR_TABLE[[#This Row],[Work Role]:[Work Role]],0,
IF(RIGHT(O$30,2)&lt;&gt;PART_NUMBER_GENERATOR_TABLE[[#This Row],[Work Type]:[Work Type]],0,
SUMIFS(Input_Tasks[R3 After Hours],Input_Tasks[[Skill Required]:[Skill Required]],PART_NUMBER_GENERATOR_TABLE[[#This Row],[Tech]:[Tech]])))</f>
        <v>0</v>
      </c>
      <c r="P68" cm="1">
        <f t="array" ref="P68">IF(P$1&lt;&gt;PART_NUMBER_GENERATOR_TABLE[[#This Row],[Work Role]:[Work Role]],0,
IF(RIGHT(P$30,2)&lt;&gt;PART_NUMBER_GENERATOR_TABLE[[#This Row],[Work Type]:[Work Type]],0,
SUMIFS(Input_Tasks[R4 Business Hours],Input_Tasks[[Skill Required]:[Skill Required]],PART_NUMBER_GENERATOR_TABLE[[#This Row],[Tech]:[Tech]])))</f>
        <v>0</v>
      </c>
      <c r="Q68" cm="1">
        <f t="array" ref="Q68">IF(Q$1&lt;&gt;PART_NUMBER_GENERATOR_TABLE[[#This Row],[Work Role]:[Work Role]],0,
IF(RIGHT(Q$30,2)&lt;&gt;PART_NUMBER_GENERATOR_TABLE[[#This Row],[Work Type]:[Work Type]],0,
SUMIFS(Input_Tasks[R4 After Hours],Input_Tasks[[Skill Required]:[Skill Required]],PART_NUMBER_GENERATOR_TABLE[[#This Row],[Tech]:[Tech]])))</f>
        <v>0</v>
      </c>
      <c r="R68" cm="1">
        <f t="array" ref="R68">IF(R$1&lt;&gt;PART_NUMBER_GENERATOR_TABLE[[#This Row],[Work Role]:[Work Role]],0,
IF(RIGHT(R$30,2)&lt;&gt;PART_NUMBER_GENERATOR_TABLE[[#This Row],[Work Type]:[Work Type]],0,
SUMIFS(Input_Tasks[R5 Business Hours],Input_Tasks[[Skill Required]:[Skill Required]],PART_NUMBER_GENERATOR_TABLE[[#This Row],[Tech]:[Tech]])))</f>
        <v>0</v>
      </c>
      <c r="S68" cm="1">
        <f t="array" ref="S68">IF(S$1&lt;&gt;PART_NUMBER_GENERATOR_TABLE[[#This Row],[Work Role]:[Work Role]],0,
IF(RIGHT(S$30,2)&lt;&gt;PART_NUMBER_GENERATOR_TABLE[[#This Row],[Work Type]:[Work Type]],0,
SUMIFS(Input_Tasks[R5 After Hours],Input_Tasks[[Skill Required]:[Skill Required]],PART_NUMBER_GENERATOR_TABLE[[#This Row],[Tech]:[Tech]])))</f>
        <v>0</v>
      </c>
      <c r="T68" cm="1">
        <f t="array" ref="T68">IF(PART_NUMBER_GENERATOR_TABLE[[#This Row],[Work Role]:[Work Role]]&lt;&gt;T$1,0,
IF(PART_NUMBER_GENERATOR_TABLE[[#This Row],[Work Type]:[Work Type]]&lt;&gt;"BH",0,
SUMIFS(T$9:T$24,$M$9:$M$24,PART_NUMBER_GENERATOR_TABLE[[#This Row],[Tech]:[Tech]])))</f>
        <v>0</v>
      </c>
      <c r="U68" cm="1">
        <f t="array" ref="U68">IF(PART_NUMBER_GENERATOR_TABLE[[#This Row],[Work Role]:[Work Role]]&lt;&gt;U$1,0,
IF(PART_NUMBER_GENERATOR_TABLE[[#This Row],[Work Type]:[Work Type]]&lt;&gt;"BH",0,
SUMIFS(U$9:U$24,$M$9:$M$24,PART_NUMBER_GENERATOR_TABLE[[#This Row],[Tech]:[Tech]])))</f>
        <v>0</v>
      </c>
      <c r="V68" cm="1">
        <f t="array" ref="V68">IF(PART_NUMBER_GENERATOR_TABLE[[#This Row],[Work Role]:[Work Role]]&lt;&gt;V$1,0,
IF(PART_NUMBER_GENERATOR_TABLE[[#This Row],[Work Type]:[Work Type]]&lt;&gt;"BH",0,
SUMIFS(V$9:V$24,$M$9:$M$24,PART_NUMBER_GENERATOR_TABLE[[#This Row],[Tech]:[Tech]])))</f>
        <v>0</v>
      </c>
      <c r="W68" cm="1">
        <f t="array" ref="W68">IF(PART_NUMBER_GENERATOR_TABLE[[#This Row],[Work Role]:[Work Role]]&lt;&gt;W$1,0,
IF(PART_NUMBER_GENERATOR_TABLE[[#This Row],[Work Type]:[Work Type]]&lt;&gt;"BH",0,
SUMIFS(W$9:W$24,$M$9:$M$24,PART_NUMBER_GENERATOR_TABLE[[#This Row],[Tech]:[Tech]])))</f>
        <v>0</v>
      </c>
      <c r="X68" cm="1">
        <f t="array" ref="X68">IF(PART_NUMBER_GENERATOR_TABLE[[#This Row],[Work Role]:[Work Role]]&lt;&gt;X$1,0,
IF(PART_NUMBER_GENERATOR_TABLE[[#This Row],[Work Type]:[Work Type]]&lt;&gt;"BH",0,
SUMIFS(X$9:X$24,$M$9:$M$24,PART_NUMBER_GENERATOR_TABLE[[#This Row],[Tech]:[Tech]])))</f>
        <v>0</v>
      </c>
      <c r="Y68" cm="1">
        <f t="array" ref="Y68">IF(PART_NUMBER_GENERATOR_TABLE[[#This Row],[Work Role]:[Work Role]]&lt;&gt;Y$1,0,
IF(PART_NUMBER_GENERATOR_TABLE[[#This Row],[Work Type]:[Work Type]]&lt;&gt;"BH",0,
SUMIFS(Y$9:Y$24,$M$9:$M$24,PART_NUMBER_GENERATOR_TABLE[[#This Row],[Tech]:[Tech]])))</f>
        <v>0</v>
      </c>
      <c r="Z68" cm="1">
        <f t="array" ref="Z68">IF(PART_NUMBER_GENERATOR_TABLE[[#This Row],[Work Role]:[Work Role]]&lt;&gt;Z$1,0,
IF(PART_NUMBER_GENERATOR_TABLE[[#This Row],[Work Type]:[Work Type]]&lt;&gt;"BH",0,
SUMIFS(Z$9:Z$24,$M$9:$M$24,PART_NUMBER_GENERATOR_TABLE[[#This Row],[Tech]:[Tech]])))</f>
        <v>0</v>
      </c>
      <c r="AA68" cm="1">
        <f t="array" ref="AA68">IF(PART_NUMBER_GENERATOR_TABLE[[#This Row],[Work Role]:[Work Role]]&lt;&gt;AA$1,0,
IF(PART_NUMBER_GENERATOR_TABLE[[#This Row],[Work Type]:[Work Type]]&lt;&gt;"BH",0,
SUMIFS(AA$9:AA$24,$M$9:$M$24,PART_NUMBER_GENERATOR_TABLE[[#This Row],[Tech]:[Tech]])))</f>
        <v>0</v>
      </c>
      <c r="AB68" cm="1">
        <f t="array" ref="AB68">IF(PART_NUMBER_GENERATOR_TABLE[[#This Row],[Work Role]:[Work Role]]&lt;&gt;AB$1,0,
IF(PART_NUMBER_GENERATOR_TABLE[[#This Row],[Work Type]:[Work Type]]&lt;&gt;"BH",0,
SUMIFS(AB$9:AB$24,$M$9:$M$24,PART_NUMBER_GENERATOR_TABLE[[#This Row],[Tech]:[Tech]])))</f>
        <v>0</v>
      </c>
      <c r="AC68" cm="1">
        <f t="array" ref="AC68">IF(PART_NUMBER_GENERATOR_TABLE[[#This Row],[Work Role]:[Work Role]]&lt;&gt;AC$1,0,
IF(PART_NUMBER_GENERATOR_TABLE[[#This Row],[Work Type]:[Work Type]]&lt;&gt;"BH",0,
SUMIFS(AC$9:AC$24,$M$9:$M$24,PART_NUMBER_GENERATOR_TABLE[[#This Row],[Tech]:[Tech]])))</f>
        <v>0</v>
      </c>
      <c r="AD68" cm="1">
        <f t="array" ref="AD68">IF(PART_NUMBER_GENERATOR_TABLE[[#This Row],[Work Role]:[Work Role]]&lt;&gt;AD$1,0,
IF(PART_NUMBER_GENERATOR_TABLE[[#This Row],[Work Type]:[Work Type]]&lt;&gt;"BH",0,
SUMIFS(AD$9:AD$24,$M$9:$M$24,PART_NUMBER_GENERATOR_TABLE[[#This Row],[Tech]:[Tech]])))</f>
        <v>0</v>
      </c>
      <c r="AE68" cm="1">
        <f t="array" ref="AE68">IF(PART_NUMBER_GENERATOR_TABLE[[#This Row],[Work Role]:[Work Role]]&lt;&gt;AE$1,0,
IF(PART_NUMBER_GENERATOR_TABLE[[#This Row],[Work Type]:[Work Type]]&lt;&gt;"BH",0,
SUMIFS(AE$9:AE$24,$M$9:$M$24,PART_NUMBER_GENERATOR_TABLE[[#This Row],[Tech]:[Tech]])))</f>
        <v>0</v>
      </c>
      <c r="AF68" cm="1">
        <f t="array" ref="AF68">IF(PART_NUMBER_GENERATOR_TABLE[[#This Row],[Work Role]:[Work Role]]&lt;&gt;AF$1,0,
IF(PART_NUMBER_GENERATOR_TABLE[[#This Row],[Work Type]:[Work Type]]&lt;&gt;"BH",0,
SUMIFS(AF$9:AF$24,$M$9:$M$24,PART_NUMBER_GENERATOR_TABLE[[#This Row],[Tech]:[Tech]])))</f>
        <v>0</v>
      </c>
      <c r="AG68" cm="1">
        <f t="array" ref="AG68">IF(PART_NUMBER_GENERATOR_TABLE[[#This Row],[Work Role]:[Work Role]]&lt;&gt;AG$1,0,
IF(PART_NUMBER_GENERATOR_TABLE[[#This Row],[Work Type]:[Work Type]]&lt;&gt;"AH",0,
SUMIFS(AG$9:AG$24,$M$9:$M$24,PART_NUMBER_GENERATOR_TABLE[[#This Row],[Tech]:[Tech]])))</f>
        <v>0</v>
      </c>
      <c r="AH68" cm="1">
        <f t="array" ref="AH68">IF(PART_NUMBER_GENERATOR_TABLE[[#This Row],[Work Role]:[Work Role]]&lt;&gt;AH$1,0,
IF(PART_NUMBER_GENERATOR_TABLE[[#This Row],[Work Type]:[Work Type]]&lt;&gt;"BH",0,
SUMIFS(AH$9:AH$24,$M$9:$M$24,PART_NUMBER_GENERATOR_TABLE[[#This Row],[Tech]:[Tech]])))</f>
        <v>0</v>
      </c>
      <c r="AI68" cm="1">
        <f t="array" ref="AI68">IF(PART_NUMBER_GENERATOR_TABLE[[#This Row],[Work Role]:[Work Role]]&lt;&gt;AI$1,0,
IF(PART_NUMBER_GENERATOR_TABLE[[#This Row],[Work Type]:[Work Type]]&lt;&gt;"BH",0,
SUMIFS(AI$9:AI$24,$M$9:$M$24,PART_NUMBER_GENERATOR_TABLE[[#This Row],[Tech]:[Tech]])))</f>
        <v>0</v>
      </c>
      <c r="AJ68" cm="1">
        <f t="array" ref="AJ68">IF(PART_NUMBER_GENERATOR_TABLE[[#This Row],[Work Role]:[Work Role]]&lt;&gt;AJ$1,0,
IF(PART_NUMBER_GENERATOR_TABLE[[#This Row],[Work Type]:[Work Type]]&lt;&gt;"BH",0,
SUMIFS(AJ$9:AJ$24,$M$9:$M$24,PART_NUMBER_GENERATOR_TABLE[[#This Row],[Tech]:[Tech]])))</f>
        <v>0</v>
      </c>
      <c r="AK68" cm="1">
        <f t="array" ref="AK68">IF(PART_NUMBER_GENERATOR_TABLE[[#This Row],[Work Role]:[Work Role]]&lt;&gt;AK$1,0,
IF(PART_NUMBER_GENERATOR_TABLE[[#This Row],[Work Type]:[Work Type]]&lt;&gt;"AH",0,
SUMIFS(AK$9:AK$24,$M$9:$M$24,PART_NUMBER_GENERATOR_TABLE[[#This Row],[Tech]:[Tech]])))</f>
        <v>0</v>
      </c>
      <c r="AL68" cm="1">
        <f t="array" ref="AL68">IF(PART_NUMBER_GENERATOR_TABLE[[#This Row],[Work Role]:[Work Role]]&lt;&gt;AL$1,0,
IF(PART_NUMBER_GENERATOR_TABLE[[#This Row],[Work Type]:[Work Type]]&lt;&gt;"BH",0,
SUMIFS(AL$9:AL$24,$M$9:$M$24,PART_NUMBER_GENERATOR_TABLE[[#This Row],[Tech]:[Tech]])))</f>
        <v>0</v>
      </c>
      <c r="AM68">
        <f>0</f>
        <v>0</v>
      </c>
      <c r="AN68" cm="1">
        <f t="array" ref="AN68">IF(PART_NUMBER_GENERATOR_TABLE[[#This Row],[Work Role]:[Work Role]]&lt;&gt;AN$1,0,
IF(PART_NUMBER_GENERATOR_TABLE[[#This Row],[Work Type]:[Work Type]]&lt;&gt;"BH",0,
SUMIFS(AN$24,$AM$24,PART_NUMBER_GENERATOR_TABLE[[#This Row],[Tech]:[Tech]])))</f>
        <v>0</v>
      </c>
      <c r="AO68" cm="1">
        <f t="array" ref="AO68">IF(PART_NUMBER_GENERATOR_TABLE[[#This Row],[Work Role]:[Work Role]]&lt;&gt;AO$1,0,
IF(PART_NUMBER_GENERATOR_TABLE[[#This Row],[Work Type]:[Work Type]]&lt;&gt;"BH",0,
SUMIFS(AO$24,$AM$24,PART_NUMBER_GENERATOR_TABLE[[#This Row],[Tech]:[Tech]])))</f>
        <v>0</v>
      </c>
      <c r="AP68" cm="1">
        <f t="array" ref="AP68">IF(PART_NUMBER_GENERATOR_TABLE[[#This Row],[Work Role]:[Work Role]]&lt;&gt;AP$1,0,
IF(PART_NUMBER_GENERATOR_TABLE[[#This Row],[Work Type]:[Work Type]]&lt;&gt;"BH",0,
SUMIFS(AP$24,$AM$24,PART_NUMBER_GENERATOR_TABLE[[#This Row],[Tech]:[Tech]])))</f>
        <v>0</v>
      </c>
      <c r="AQ68" cm="1">
        <f t="array" ref="AQ68">IF(PART_NUMBER_GENERATOR_TABLE[[#This Row],[Work Role]:[Work Role]]&lt;&gt;AQ$1,0,
IF(PART_NUMBER_GENERATOR_TABLE[[#This Row],[Work Type]:[Work Type]]&lt;&gt;"BH",0,
SUMIFS(AQ$24,$AM$24,PART_NUMBER_GENERATOR_TABLE[[#This Row],[Tech]:[Tech]])))</f>
        <v>0</v>
      </c>
      <c r="AR68" cm="1">
        <f t="array" ref="AR68">IF(PART_NUMBER_GENERATOR_TABLE[[#This Row],[Work Role]:[Work Role]]&lt;&gt;AR$1,0,
IF(PART_NUMBER_GENERATOR_TABLE[[#This Row],[Work Type]:[Work Type]]&lt;&gt;"BH",0,
SUMIFS(AR$24,$AM$24,PART_NUMBER_GENERATOR_TABLE[[#This Row],[Tech]:[Tech]])))</f>
        <v>0</v>
      </c>
      <c r="AS68" cm="1">
        <f t="array" ref="AS68">IF(PART_NUMBER_GENERATOR_TABLE[[#This Row],[Work Role]:[Work Role]]&lt;&gt;AS$1,0,
IF(PART_NUMBER_GENERATOR_TABLE[[#This Row],[Work Type]:[Work Type]]&lt;&gt;"BH",0,
SUMIFS(AS$24,$AM$24,PART_NUMBER_GENERATOR_TABLE[[#This Row],[Tech]:[Tech]])))</f>
        <v>0</v>
      </c>
      <c r="AT68" cm="1">
        <f t="array" ref="AT68">IF(PART_NUMBER_GENERATOR_TABLE[[#This Row],[Work Role]:[Work Role]]&lt;&gt;AS$1,0,
IF(PART_NUMBER_GENERATOR_TABLE[[#This Row],[Work Type]:[Work Type]]&lt;&gt;"BH",0,
SUMIFS(AT$24,$AM$24,PART_NUMBER_GENERATOR_TABLE[[#This Row],[Tech]:[Tech]])))</f>
        <v>0</v>
      </c>
      <c r="AU68">
        <f>SUM(PART_NUMBER_GENERATOR_TABLE[[#This Row],[Resource 1 BH]:[Resource 5 AH]],PART_NUMBER_GENERATOR_TABLE[[#This Row],[R1 Mandatory Tasks]:[R5 Mandatory Tasks]],PART_NUMBER_GENERATOR_TABLE[[#This Row],[R1 Remainder]:[R5 Remainder]])</f>
        <v>0</v>
      </c>
      <c r="AV68">
        <f>PART_NUMBER_GENERATOR_TABLE[[#This Row],[Professional Engineering Hours]]*PART_NUMBER_GENERATOR_TABLE[[#This Row],[Sell Rate]]</f>
        <v>0</v>
      </c>
      <c r="AW68">
        <f>PART_NUMBER_GENERATOR_TABLE[[#This Row],[Professional Engineering Hours]]*PART_NUMBER_GENERATOR_TABLE[[#This Row],[Cost Rate]]</f>
        <v>0</v>
      </c>
      <c r="AX68">
        <f>SUM(PART_NUMBER_GENERATOR_TABLE[[#This Row],[PM Trips]:[R5 Trips]])</f>
        <v>0</v>
      </c>
      <c r="AY68">
        <f>PART_NUMBER_GENERATOR_TABLE[[#This Row],[Travel &amp; Accommodation Hours]]*PART_NUMBER_GENERATOR_TABLE[[#This Row],[Sell Rate]]</f>
        <v>0</v>
      </c>
      <c r="AZ68">
        <f>PART_NUMBER_GENERATOR_TABLE[[#This Row],[Travel &amp; Accommodation Hours]]*PART_NUMBER_GENERATOR_TABLE[[#This Row],[Cost Rate]]</f>
        <v>0</v>
      </c>
      <c r="BA68">
        <f>PART_NUMBER_GENERATOR_TABLE[[#This Row],[PM Hours]]+PART_NUMBER_GENERATOR_TABLE[[#This Row],[PM Remainder]]</f>
        <v>0</v>
      </c>
      <c r="BB68">
        <f>PART_NUMBER_GENERATOR_TABLE[[#This Row],[Project Management Hours]]*PART_NUMBER_GENERATOR_TABLE[[#This Row],[Sell Rate]]</f>
        <v>0</v>
      </c>
      <c r="BC68">
        <f>PART_NUMBER_GENERATOR_TABLE[[#This Row],[Project Management Hours]]*PART_NUMBER_GENERATOR_TABLE[[#This Row],[Cost Rate]]</f>
        <v>0</v>
      </c>
      <c r="BD68">
        <f>SUM(PART_NUMBER_GENERATOR_TABLE[[#This Row],[SSE RISK BH]:[PM RISK]],PART_NUMBER_GENERATOR_TABLE[[#This Row],[SSE Remainder RISK BH]:[PM Remainder RISK]])</f>
        <v>0</v>
      </c>
      <c r="BE68">
        <f>PART_NUMBER_GENERATOR_TABLE[[#This Row],[Project Risk Service Hours]]*PART_NUMBER_GENERATOR_TABLE[[#This Row],[Sell Rate]]</f>
        <v>0</v>
      </c>
      <c r="BF68">
        <f>PART_NUMBER_GENERATOR_TABLE[[#This Row],[Project Risk Service Hours]]*PART_NUMBER_GENERATOR_TABLE[[#This Row],[Cost Rate]]</f>
        <v>0</v>
      </c>
      <c r="BG68">
        <f>PART_NUMBER_GENERATOR_TABLE[[#This Row],[SSE RISK TRAVEL]]</f>
        <v>0</v>
      </c>
      <c r="BH68">
        <f>PART_NUMBER_GENERATOR_TABLE[[#This Row],[Sell Rate]]*PART_NUMBER_GENERATOR_TABLE[[#This Row],[Project Risk Travel Hours]]</f>
        <v>0</v>
      </c>
      <c r="BI68">
        <f>PART_NUMBER_GENERATOR_TABLE[[#This Row],[Project Risk Travel Hours]]*PART_NUMBER_GENERATOR_TABLE[[#This Row],[Cost Rate]]</f>
        <v>0</v>
      </c>
      <c r="BJ6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6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68">
        <f>IFERROR(-VLOOKUP(INDEX(ENGINEER_ROLES,MATCH(PART_NUMBER_GENERATOR_TABLE[[#This Row],[Work Role]],settings.Table_Engineer.Roles[ID],0),1),Settings_Hidden!$H$359:$K$366,4,FALSE),0)</f>
        <v>0</v>
      </c>
      <c r="BM68" s="680">
        <f>-Summary!$C$66</f>
        <v>0</v>
      </c>
      <c r="BN68" s="465">
        <f>PART_NUMBER_GENERATOR_TABLE[[#This Row],[Total Base Price]]*MIN(PART_NUMBER_GENERATOR_TABLE[[#This Row],[Rate Service Discount]:[Flat Service Discount]])</f>
        <v>0</v>
      </c>
      <c r="BO68" s="451" t="str">
        <f>IF(PART_NUMBER_GENERATOR_TABLE[[#This Row],[Quantity]]&lt;&gt;0,MAX($BO$30:BO67)+1,"")</f>
        <v/>
      </c>
      <c r="BP68" t="str">
        <f>PART_NUMBER_GENERATOR_TABLE[[#This Row],[Part Number]]</f>
        <v>A-PS-E-DATACC-SCE-BH</v>
      </c>
      <c r="BQ68">
        <f>PART_NUMBER_GENERATOR_TABLE[[#This Row],[Total Hours]]</f>
        <v>0</v>
      </c>
      <c r="BR68">
        <f>PART_NUMBER_GENERATOR_TABLE[[#This Row],[Cost Rate]]</f>
        <v>167.61034913968996</v>
      </c>
      <c r="BS68" s="465">
        <f>PART_NUMBER_GENERATOR_TABLE[[#This Row],[Sell Rate]]+(PART_NUMBER_GENERATOR_TABLE[[#This Row],[Sell Rate]]*MIN(PART_NUMBER_GENERATOR_TABLE[[#This Row],[Rate Service Discount]:[Flat Service Discount]]))</f>
        <v>315</v>
      </c>
    </row>
    <row r="69" spans="1:71">
      <c r="A69">
        <v>39</v>
      </c>
      <c r="C69" t="s">
        <v>964</v>
      </c>
      <c r="D69" t="str" cm="1">
        <f t="array" ref="D69">INDEX(Table.Settings_Skill.List[Skill Name],MATCH(INDEX(_xlfn.TEXTSPLIT(C69,"-",,TRUE),4),Table.Settings_Skill.List[Skill Code],0),1)</f>
        <v>Integrated Health</v>
      </c>
      <c r="E69" t="str" cm="1">
        <f t="array" ref="E69">INDEX(_xlfn.TEXTSPLIT(C69,"-",,TRUE),5)</f>
        <v>TA</v>
      </c>
      <c r="F69" t="str">
        <f>IFERROR(INDEX(settings.Table_Engineer.Roles[Department Code],MATCH(PART_NUMBER_GENERATOR_TABLE[[#This Row],[Work Role]],settings.Table_Engineer.Roles[ID],0),1),"PMO")</f>
        <v>ENG</v>
      </c>
      <c r="G69" t="str" cm="1">
        <f t="array" ref="G69">INDEX(_xlfn.TEXTSPLIT(C69,"-",,TRUE),6)</f>
        <v>BH</v>
      </c>
      <c r="H6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155</v>
      </c>
      <c r="I6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81.346799080218702</v>
      </c>
      <c r="J69" cm="1">
        <f t="array" ref="J69">IF(J$1&lt;&gt;PART_NUMBER_GENERATOR_TABLE[[#This Row],[Work Role]:[Work Role]],0,
IF(RIGHT(J$30,2)&lt;&gt;PART_NUMBER_GENERATOR_TABLE[[#This Row],[Work Type]:[Work Type]],0,
SUMIFS(Input_Tasks[R1 Business Hours],Input_Tasks[[Skill Required]:[Skill Required]],PART_NUMBER_GENERATOR_TABLE[[#This Row],[Tech]:[Tech]])))</f>
        <v>0</v>
      </c>
      <c r="K69" cm="1">
        <f t="array" ref="K69">IF(K$1&lt;&gt;PART_NUMBER_GENERATOR_TABLE[[#This Row],[Work Role]:[Work Role]],0,
IF(RIGHT(K$30,2)&lt;&gt;PART_NUMBER_GENERATOR_TABLE[[#This Row],[Work Type]:[Work Type]],0,
SUMIFS(Input_Tasks[R1 After Hours],Input_Tasks[[Skill Required]:[Skill Required]],PART_NUMBER_GENERATOR_TABLE[[#This Row],[Tech]:[Tech]])))</f>
        <v>0</v>
      </c>
      <c r="L69" cm="1">
        <f t="array" ref="L69">IF(L$1&lt;&gt;PART_NUMBER_GENERATOR_TABLE[[#This Row],[Work Role]:[Work Role]],0,
IF(RIGHT(L$30,2)&lt;&gt;PART_NUMBER_GENERATOR_TABLE[[#This Row],[Work Type]:[Work Type]],0,
SUMIFS(Input_Tasks[R2 Business Hours],Input_Tasks[[Skill Required]:[Skill Required]],PART_NUMBER_GENERATOR_TABLE[[#This Row],[Tech]:[Tech]])))</f>
        <v>0</v>
      </c>
      <c r="M69" cm="1">
        <f t="array" ref="M69">IF(M$1&lt;&gt;PART_NUMBER_GENERATOR_TABLE[[#This Row],[Work Role]:[Work Role]],0,
IF(RIGHT(M$30,2)&lt;&gt;PART_NUMBER_GENERATOR_TABLE[[#This Row],[Work Type]:[Work Type]],0,
SUMIFS(Input_Tasks[R2 After Hours],Input_Tasks[[Skill Required]:[Skill Required]],PART_NUMBER_GENERATOR_TABLE[[#This Row],[Tech]:[Tech]])))</f>
        <v>0</v>
      </c>
      <c r="N69" cm="1">
        <f t="array" ref="N69">IF(N$1&lt;&gt;PART_NUMBER_GENERATOR_TABLE[[#This Row],[Work Role]:[Work Role]],0,
IF(RIGHT(N$30,2)&lt;&gt;PART_NUMBER_GENERATOR_TABLE[[#This Row],[Work Type]:[Work Type]],0,
SUMIFS(Input_Tasks[R3 Business Hours],Input_Tasks[[Skill Required]:[Skill Required]],PART_NUMBER_GENERATOR_TABLE[[#This Row],[Tech]:[Tech]])))</f>
        <v>0</v>
      </c>
      <c r="O69" cm="1">
        <f t="array" ref="O69">IF(O$1&lt;&gt;PART_NUMBER_GENERATOR_TABLE[[#This Row],[Work Role]:[Work Role]],0,
IF(RIGHT(O$30,2)&lt;&gt;PART_NUMBER_GENERATOR_TABLE[[#This Row],[Work Type]:[Work Type]],0,
SUMIFS(Input_Tasks[R3 After Hours],Input_Tasks[[Skill Required]:[Skill Required]],PART_NUMBER_GENERATOR_TABLE[[#This Row],[Tech]:[Tech]])))</f>
        <v>0</v>
      </c>
      <c r="P69" cm="1">
        <f t="array" ref="P69">IF(P$1&lt;&gt;PART_NUMBER_GENERATOR_TABLE[[#This Row],[Work Role]:[Work Role]],0,
IF(RIGHT(P$30,2)&lt;&gt;PART_NUMBER_GENERATOR_TABLE[[#This Row],[Work Type]:[Work Type]],0,
SUMIFS(Input_Tasks[R4 Business Hours],Input_Tasks[[Skill Required]:[Skill Required]],PART_NUMBER_GENERATOR_TABLE[[#This Row],[Tech]:[Tech]])))</f>
        <v>0</v>
      </c>
      <c r="Q69" cm="1">
        <f t="array" ref="Q69">IF(Q$1&lt;&gt;PART_NUMBER_GENERATOR_TABLE[[#This Row],[Work Role]:[Work Role]],0,
IF(RIGHT(Q$30,2)&lt;&gt;PART_NUMBER_GENERATOR_TABLE[[#This Row],[Work Type]:[Work Type]],0,
SUMIFS(Input_Tasks[R4 After Hours],Input_Tasks[[Skill Required]:[Skill Required]],PART_NUMBER_GENERATOR_TABLE[[#This Row],[Tech]:[Tech]])))</f>
        <v>0</v>
      </c>
      <c r="R69" cm="1">
        <f t="array" ref="R69">IF(R$1&lt;&gt;PART_NUMBER_GENERATOR_TABLE[[#This Row],[Work Role]:[Work Role]],0,
IF(RIGHT(R$30,2)&lt;&gt;PART_NUMBER_GENERATOR_TABLE[[#This Row],[Work Type]:[Work Type]],0,
SUMIFS(Input_Tasks[R5 Business Hours],Input_Tasks[[Skill Required]:[Skill Required]],PART_NUMBER_GENERATOR_TABLE[[#This Row],[Tech]:[Tech]])))</f>
        <v>0</v>
      </c>
      <c r="S69" cm="1">
        <f t="array" ref="S69">IF(S$1&lt;&gt;PART_NUMBER_GENERATOR_TABLE[[#This Row],[Work Role]:[Work Role]],0,
IF(RIGHT(S$30,2)&lt;&gt;PART_NUMBER_GENERATOR_TABLE[[#This Row],[Work Type]:[Work Type]],0,
SUMIFS(Input_Tasks[R5 After Hours],Input_Tasks[[Skill Required]:[Skill Required]],PART_NUMBER_GENERATOR_TABLE[[#This Row],[Tech]:[Tech]])))</f>
        <v>0</v>
      </c>
      <c r="T69" cm="1">
        <f t="array" ref="T69">IF(PART_NUMBER_GENERATOR_TABLE[[#This Row],[Work Role]:[Work Role]]&lt;&gt;T$1,0,
IF(PART_NUMBER_GENERATOR_TABLE[[#This Row],[Work Type]:[Work Type]]&lt;&gt;"BH",0,
SUMIFS(T$9:T$24,$M$9:$M$24,PART_NUMBER_GENERATOR_TABLE[[#This Row],[Tech]:[Tech]])))</f>
        <v>0</v>
      </c>
      <c r="U69" cm="1">
        <f t="array" ref="U69">IF(PART_NUMBER_GENERATOR_TABLE[[#This Row],[Work Role]:[Work Role]]&lt;&gt;U$1,0,
IF(PART_NUMBER_GENERATOR_TABLE[[#This Row],[Work Type]:[Work Type]]&lt;&gt;"BH",0,
SUMIFS(U$9:U$24,$M$9:$M$24,PART_NUMBER_GENERATOR_TABLE[[#This Row],[Tech]:[Tech]])))</f>
        <v>0</v>
      </c>
      <c r="V69" cm="1">
        <f t="array" ref="V69">IF(PART_NUMBER_GENERATOR_TABLE[[#This Row],[Work Role]:[Work Role]]&lt;&gt;V$1,0,
IF(PART_NUMBER_GENERATOR_TABLE[[#This Row],[Work Type]:[Work Type]]&lt;&gt;"BH",0,
SUMIFS(V$9:V$24,$M$9:$M$24,PART_NUMBER_GENERATOR_TABLE[[#This Row],[Tech]:[Tech]])))</f>
        <v>0</v>
      </c>
      <c r="W69" cm="1">
        <f t="array" ref="W69">IF(PART_NUMBER_GENERATOR_TABLE[[#This Row],[Work Role]:[Work Role]]&lt;&gt;W$1,0,
IF(PART_NUMBER_GENERATOR_TABLE[[#This Row],[Work Type]:[Work Type]]&lt;&gt;"BH",0,
SUMIFS(W$9:W$24,$M$9:$M$24,PART_NUMBER_GENERATOR_TABLE[[#This Row],[Tech]:[Tech]])))</f>
        <v>0</v>
      </c>
      <c r="X69" cm="1">
        <f t="array" ref="X69">IF(PART_NUMBER_GENERATOR_TABLE[[#This Row],[Work Role]:[Work Role]]&lt;&gt;X$1,0,
IF(PART_NUMBER_GENERATOR_TABLE[[#This Row],[Work Type]:[Work Type]]&lt;&gt;"BH",0,
SUMIFS(X$9:X$24,$M$9:$M$24,PART_NUMBER_GENERATOR_TABLE[[#This Row],[Tech]:[Tech]])))</f>
        <v>0</v>
      </c>
      <c r="Y69" cm="1">
        <f t="array" ref="Y69">IF(PART_NUMBER_GENERATOR_TABLE[[#This Row],[Work Role]:[Work Role]]&lt;&gt;Y$1,0,
IF(PART_NUMBER_GENERATOR_TABLE[[#This Row],[Work Type]:[Work Type]]&lt;&gt;"BH",0,
SUMIFS(Y$9:Y$24,$M$9:$M$24,PART_NUMBER_GENERATOR_TABLE[[#This Row],[Tech]:[Tech]])))</f>
        <v>0</v>
      </c>
      <c r="Z69" cm="1">
        <f t="array" ref="Z69">IF(PART_NUMBER_GENERATOR_TABLE[[#This Row],[Work Role]:[Work Role]]&lt;&gt;Z$1,0,
IF(PART_NUMBER_GENERATOR_TABLE[[#This Row],[Work Type]:[Work Type]]&lt;&gt;"BH",0,
SUMIFS(Z$9:Z$24,$M$9:$M$24,PART_NUMBER_GENERATOR_TABLE[[#This Row],[Tech]:[Tech]])))</f>
        <v>0</v>
      </c>
      <c r="AA69" cm="1">
        <f t="array" ref="AA69">IF(PART_NUMBER_GENERATOR_TABLE[[#This Row],[Work Role]:[Work Role]]&lt;&gt;AA$1,0,
IF(PART_NUMBER_GENERATOR_TABLE[[#This Row],[Work Type]:[Work Type]]&lt;&gt;"BH",0,
SUMIFS(AA$9:AA$24,$M$9:$M$24,PART_NUMBER_GENERATOR_TABLE[[#This Row],[Tech]:[Tech]])))</f>
        <v>0</v>
      </c>
      <c r="AB69" cm="1">
        <f t="array" ref="AB69">IF(PART_NUMBER_GENERATOR_TABLE[[#This Row],[Work Role]:[Work Role]]&lt;&gt;AB$1,0,
IF(PART_NUMBER_GENERATOR_TABLE[[#This Row],[Work Type]:[Work Type]]&lt;&gt;"BH",0,
SUMIFS(AB$9:AB$24,$M$9:$M$24,PART_NUMBER_GENERATOR_TABLE[[#This Row],[Tech]:[Tech]])))</f>
        <v>0</v>
      </c>
      <c r="AC69" cm="1">
        <f t="array" ref="AC69">IF(PART_NUMBER_GENERATOR_TABLE[[#This Row],[Work Role]:[Work Role]]&lt;&gt;AC$1,0,
IF(PART_NUMBER_GENERATOR_TABLE[[#This Row],[Work Type]:[Work Type]]&lt;&gt;"BH",0,
SUMIFS(AC$9:AC$24,$M$9:$M$24,PART_NUMBER_GENERATOR_TABLE[[#This Row],[Tech]:[Tech]])))</f>
        <v>0</v>
      </c>
      <c r="AD69" cm="1">
        <f t="array" ref="AD69">IF(PART_NUMBER_GENERATOR_TABLE[[#This Row],[Work Role]:[Work Role]]&lt;&gt;AD$1,0,
IF(PART_NUMBER_GENERATOR_TABLE[[#This Row],[Work Type]:[Work Type]]&lt;&gt;"BH",0,
SUMIFS(AD$9:AD$24,$M$9:$M$24,PART_NUMBER_GENERATOR_TABLE[[#This Row],[Tech]:[Tech]])))</f>
        <v>0</v>
      </c>
      <c r="AE69" cm="1">
        <f t="array" ref="AE69">IF(PART_NUMBER_GENERATOR_TABLE[[#This Row],[Work Role]:[Work Role]]&lt;&gt;AE$1,0,
IF(PART_NUMBER_GENERATOR_TABLE[[#This Row],[Work Type]:[Work Type]]&lt;&gt;"BH",0,
SUMIFS(AE$9:AE$24,$M$9:$M$24,PART_NUMBER_GENERATOR_TABLE[[#This Row],[Tech]:[Tech]])))</f>
        <v>0</v>
      </c>
      <c r="AF69" cm="1">
        <f t="array" ref="AF69">IF(PART_NUMBER_GENERATOR_TABLE[[#This Row],[Work Role]:[Work Role]]&lt;&gt;AF$1,0,
IF(PART_NUMBER_GENERATOR_TABLE[[#This Row],[Work Type]:[Work Type]]&lt;&gt;"BH",0,
SUMIFS(AF$9:AF$24,$M$9:$M$24,PART_NUMBER_GENERATOR_TABLE[[#This Row],[Tech]:[Tech]])))</f>
        <v>0</v>
      </c>
      <c r="AG69" cm="1">
        <f t="array" ref="AG69">IF(PART_NUMBER_GENERATOR_TABLE[[#This Row],[Work Role]:[Work Role]]&lt;&gt;AG$1,0,
IF(PART_NUMBER_GENERATOR_TABLE[[#This Row],[Work Type]:[Work Type]]&lt;&gt;"AH",0,
SUMIFS(AG$9:AG$24,$M$9:$M$24,PART_NUMBER_GENERATOR_TABLE[[#This Row],[Tech]:[Tech]])))</f>
        <v>0</v>
      </c>
      <c r="AH69" cm="1">
        <f t="array" ref="AH69">IF(PART_NUMBER_GENERATOR_TABLE[[#This Row],[Work Role]:[Work Role]]&lt;&gt;AH$1,0,
IF(PART_NUMBER_GENERATOR_TABLE[[#This Row],[Work Type]:[Work Type]]&lt;&gt;"BH",0,
SUMIFS(AH$9:AH$24,$M$9:$M$24,PART_NUMBER_GENERATOR_TABLE[[#This Row],[Tech]:[Tech]])))</f>
        <v>0</v>
      </c>
      <c r="AI69" cm="1">
        <f t="array" ref="AI69">IF(PART_NUMBER_GENERATOR_TABLE[[#This Row],[Work Role]:[Work Role]]&lt;&gt;AI$1,0,
IF(PART_NUMBER_GENERATOR_TABLE[[#This Row],[Work Type]:[Work Type]]&lt;&gt;"BH",0,
SUMIFS(AI$9:AI$24,$M$9:$M$24,PART_NUMBER_GENERATOR_TABLE[[#This Row],[Tech]:[Tech]])))</f>
        <v>0</v>
      </c>
      <c r="AJ69" cm="1">
        <f t="array" ref="AJ69">IF(PART_NUMBER_GENERATOR_TABLE[[#This Row],[Work Role]:[Work Role]]&lt;&gt;AJ$1,0,
IF(PART_NUMBER_GENERATOR_TABLE[[#This Row],[Work Type]:[Work Type]]&lt;&gt;"BH",0,
SUMIFS(AJ$9:AJ$24,$M$9:$M$24,PART_NUMBER_GENERATOR_TABLE[[#This Row],[Tech]:[Tech]])))</f>
        <v>0</v>
      </c>
      <c r="AK69" cm="1">
        <f t="array" ref="AK69">IF(PART_NUMBER_GENERATOR_TABLE[[#This Row],[Work Role]:[Work Role]]&lt;&gt;AK$1,0,
IF(PART_NUMBER_GENERATOR_TABLE[[#This Row],[Work Type]:[Work Type]]&lt;&gt;"AH",0,
SUMIFS(AK$9:AK$24,$M$9:$M$24,PART_NUMBER_GENERATOR_TABLE[[#This Row],[Tech]:[Tech]])))</f>
        <v>0</v>
      </c>
      <c r="AL69" cm="1">
        <f t="array" ref="AL69">IF(PART_NUMBER_GENERATOR_TABLE[[#This Row],[Work Role]:[Work Role]]&lt;&gt;AL$1,0,
IF(PART_NUMBER_GENERATOR_TABLE[[#This Row],[Work Type]:[Work Type]]&lt;&gt;"BH",0,
SUMIFS(AL$9:AL$24,$M$9:$M$24,PART_NUMBER_GENERATOR_TABLE[[#This Row],[Tech]:[Tech]])))</f>
        <v>0</v>
      </c>
      <c r="AM69">
        <f>0</f>
        <v>0</v>
      </c>
      <c r="AN69" cm="1">
        <f t="array" ref="AN69">IF(PART_NUMBER_GENERATOR_TABLE[[#This Row],[Work Role]:[Work Role]]&lt;&gt;AN$1,0,
IF(PART_NUMBER_GENERATOR_TABLE[[#This Row],[Work Type]:[Work Type]]&lt;&gt;"BH",0,
SUMIFS(AN$24,$AM$24,PART_NUMBER_GENERATOR_TABLE[[#This Row],[Tech]:[Tech]])))</f>
        <v>0</v>
      </c>
      <c r="AO69" cm="1">
        <f t="array" ref="AO69">IF(PART_NUMBER_GENERATOR_TABLE[[#This Row],[Work Role]:[Work Role]]&lt;&gt;AO$1,0,
IF(PART_NUMBER_GENERATOR_TABLE[[#This Row],[Work Type]:[Work Type]]&lt;&gt;"BH",0,
SUMIFS(AO$24,$AM$24,PART_NUMBER_GENERATOR_TABLE[[#This Row],[Tech]:[Tech]])))</f>
        <v>0</v>
      </c>
      <c r="AP69" cm="1">
        <f t="array" ref="AP69">IF(PART_NUMBER_GENERATOR_TABLE[[#This Row],[Work Role]:[Work Role]]&lt;&gt;AP$1,0,
IF(PART_NUMBER_GENERATOR_TABLE[[#This Row],[Work Type]:[Work Type]]&lt;&gt;"BH",0,
SUMIFS(AP$24,$AM$24,PART_NUMBER_GENERATOR_TABLE[[#This Row],[Tech]:[Tech]])))</f>
        <v>0</v>
      </c>
      <c r="AQ69" cm="1">
        <f t="array" ref="AQ69">IF(PART_NUMBER_GENERATOR_TABLE[[#This Row],[Work Role]:[Work Role]]&lt;&gt;AQ$1,0,
IF(PART_NUMBER_GENERATOR_TABLE[[#This Row],[Work Type]:[Work Type]]&lt;&gt;"BH",0,
SUMIFS(AQ$24,$AM$24,PART_NUMBER_GENERATOR_TABLE[[#This Row],[Tech]:[Tech]])))</f>
        <v>0</v>
      </c>
      <c r="AR69" cm="1">
        <f t="array" ref="AR69">IF(PART_NUMBER_GENERATOR_TABLE[[#This Row],[Work Role]:[Work Role]]&lt;&gt;AR$1,0,
IF(PART_NUMBER_GENERATOR_TABLE[[#This Row],[Work Type]:[Work Type]]&lt;&gt;"BH",0,
SUMIFS(AR$24,$AM$24,PART_NUMBER_GENERATOR_TABLE[[#This Row],[Tech]:[Tech]])))</f>
        <v>0</v>
      </c>
      <c r="AS69" cm="1">
        <f t="array" ref="AS69">IF(PART_NUMBER_GENERATOR_TABLE[[#This Row],[Work Role]:[Work Role]]&lt;&gt;AS$1,0,
IF(PART_NUMBER_GENERATOR_TABLE[[#This Row],[Work Type]:[Work Type]]&lt;&gt;"BH",0,
SUMIFS(AS$24,$AM$24,PART_NUMBER_GENERATOR_TABLE[[#This Row],[Tech]:[Tech]])))</f>
        <v>0</v>
      </c>
      <c r="AT69" cm="1">
        <f t="array" ref="AT69">IF(PART_NUMBER_GENERATOR_TABLE[[#This Row],[Work Role]:[Work Role]]&lt;&gt;AS$1,0,
IF(PART_NUMBER_GENERATOR_TABLE[[#This Row],[Work Type]:[Work Type]]&lt;&gt;"BH",0,
SUMIFS(AT$24,$AM$24,PART_NUMBER_GENERATOR_TABLE[[#This Row],[Tech]:[Tech]])))</f>
        <v>0</v>
      </c>
      <c r="AU69">
        <f>SUM(PART_NUMBER_GENERATOR_TABLE[[#This Row],[Resource 1 BH]:[Resource 5 AH]],PART_NUMBER_GENERATOR_TABLE[[#This Row],[R1 Mandatory Tasks]:[R5 Mandatory Tasks]],PART_NUMBER_GENERATOR_TABLE[[#This Row],[R1 Remainder]:[R5 Remainder]])</f>
        <v>0</v>
      </c>
      <c r="AV69">
        <f>PART_NUMBER_GENERATOR_TABLE[[#This Row],[Professional Engineering Hours]]*PART_NUMBER_GENERATOR_TABLE[[#This Row],[Sell Rate]]</f>
        <v>0</v>
      </c>
      <c r="AW69">
        <f>PART_NUMBER_GENERATOR_TABLE[[#This Row],[Professional Engineering Hours]]*PART_NUMBER_GENERATOR_TABLE[[#This Row],[Cost Rate]]</f>
        <v>0</v>
      </c>
      <c r="AX69">
        <f>SUM(PART_NUMBER_GENERATOR_TABLE[[#This Row],[PM Trips]:[R5 Trips]])</f>
        <v>0</v>
      </c>
      <c r="AY69">
        <f>PART_NUMBER_GENERATOR_TABLE[[#This Row],[Travel &amp; Accommodation Hours]]*PART_NUMBER_GENERATOR_TABLE[[#This Row],[Sell Rate]]</f>
        <v>0</v>
      </c>
      <c r="AZ69">
        <f>PART_NUMBER_GENERATOR_TABLE[[#This Row],[Travel &amp; Accommodation Hours]]*PART_NUMBER_GENERATOR_TABLE[[#This Row],[Cost Rate]]</f>
        <v>0</v>
      </c>
      <c r="BA69">
        <f>PART_NUMBER_GENERATOR_TABLE[[#This Row],[PM Hours]]+PART_NUMBER_GENERATOR_TABLE[[#This Row],[PM Remainder]]</f>
        <v>0</v>
      </c>
      <c r="BB69">
        <f>PART_NUMBER_GENERATOR_TABLE[[#This Row],[Project Management Hours]]*PART_NUMBER_GENERATOR_TABLE[[#This Row],[Sell Rate]]</f>
        <v>0</v>
      </c>
      <c r="BC69">
        <f>PART_NUMBER_GENERATOR_TABLE[[#This Row],[Project Management Hours]]*PART_NUMBER_GENERATOR_TABLE[[#This Row],[Cost Rate]]</f>
        <v>0</v>
      </c>
      <c r="BD69">
        <f>SUM(PART_NUMBER_GENERATOR_TABLE[[#This Row],[SSE RISK BH]:[PM RISK]],PART_NUMBER_GENERATOR_TABLE[[#This Row],[SSE Remainder RISK BH]:[PM Remainder RISK]])</f>
        <v>0</v>
      </c>
      <c r="BE69">
        <f>PART_NUMBER_GENERATOR_TABLE[[#This Row],[Project Risk Service Hours]]*PART_NUMBER_GENERATOR_TABLE[[#This Row],[Sell Rate]]</f>
        <v>0</v>
      </c>
      <c r="BF69">
        <f>PART_NUMBER_GENERATOR_TABLE[[#This Row],[Project Risk Service Hours]]*PART_NUMBER_GENERATOR_TABLE[[#This Row],[Cost Rate]]</f>
        <v>0</v>
      </c>
      <c r="BG69">
        <f>PART_NUMBER_GENERATOR_TABLE[[#This Row],[SSE RISK TRAVEL]]</f>
        <v>0</v>
      </c>
      <c r="BH69">
        <f>PART_NUMBER_GENERATOR_TABLE[[#This Row],[Sell Rate]]*PART_NUMBER_GENERATOR_TABLE[[#This Row],[Project Risk Travel Hours]]</f>
        <v>0</v>
      </c>
      <c r="BI69">
        <f>PART_NUMBER_GENERATOR_TABLE[[#This Row],[Project Risk Travel Hours]]*PART_NUMBER_GENERATOR_TABLE[[#This Row],[Cost Rate]]</f>
        <v>0</v>
      </c>
      <c r="BJ6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6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69">
        <f>IFERROR(-VLOOKUP(INDEX(ENGINEER_ROLES,MATCH(PART_NUMBER_GENERATOR_TABLE[[#This Row],[Work Role]],settings.Table_Engineer.Roles[ID],0),1),Settings_Hidden!$H$359:$K$366,4,FALSE),0)</f>
        <v>0</v>
      </c>
      <c r="BM69" s="680">
        <f>-Summary!$C$66</f>
        <v>0</v>
      </c>
      <c r="BN69" s="465">
        <f>PART_NUMBER_GENERATOR_TABLE[[#This Row],[Total Base Price]]*MIN(PART_NUMBER_GENERATOR_TABLE[[#This Row],[Rate Service Discount]:[Flat Service Discount]])</f>
        <v>0</v>
      </c>
      <c r="BO69" s="451" t="str">
        <f>IF(PART_NUMBER_GENERATOR_TABLE[[#This Row],[Quantity]]&lt;&gt;0,MAX($BO$30:BO68)+1,"")</f>
        <v/>
      </c>
      <c r="BP69" t="str">
        <f>PART_NUMBER_GENERATOR_TABLE[[#This Row],[Part Number]]</f>
        <v>A-PS-E-INTHLT-TA-BH</v>
      </c>
      <c r="BQ69">
        <f>PART_NUMBER_GENERATOR_TABLE[[#This Row],[Total Hours]]</f>
        <v>0</v>
      </c>
      <c r="BR69">
        <f>PART_NUMBER_GENERATOR_TABLE[[#This Row],[Cost Rate]]</f>
        <v>81.346799080218702</v>
      </c>
      <c r="BS69" s="465">
        <f>PART_NUMBER_GENERATOR_TABLE[[#This Row],[Sell Rate]]+(PART_NUMBER_GENERATOR_TABLE[[#This Row],[Sell Rate]]*MIN(PART_NUMBER_GENERATOR_TABLE[[#This Row],[Rate Service Discount]:[Flat Service Discount]]))</f>
        <v>155</v>
      </c>
    </row>
    <row r="70" spans="1:71">
      <c r="A70">
        <v>40</v>
      </c>
      <c r="C70" t="s">
        <v>960</v>
      </c>
      <c r="D70" t="str" cm="1">
        <f t="array" ref="D70">INDEX(Table.Settings_Skill.List[Skill Name],MATCH(INDEX(_xlfn.TEXTSPLIT(C70,"-",,TRUE),4),Table.Settings_Skill.List[Skill Code],0),1)</f>
        <v>Integrated Health</v>
      </c>
      <c r="E70" t="str" cm="1">
        <f t="array" ref="E70">INDEX(_xlfn.TEXTSPLIT(C70,"-",,TRUE),5)</f>
        <v>SE</v>
      </c>
      <c r="F70" t="str">
        <f>IFERROR(INDEX(settings.Table_Engineer.Roles[Department Code],MATCH(PART_NUMBER_GENERATOR_TABLE[[#This Row],[Work Role]],settings.Table_Engineer.Roles[ID],0),1),"PMO")</f>
        <v>ENG</v>
      </c>
      <c r="G70" t="str" cm="1">
        <f t="array" ref="G70">INDEX(_xlfn.TEXTSPLIT(C70,"-",,TRUE),6)</f>
        <v>BH</v>
      </c>
      <c r="H7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7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70" cm="1">
        <f t="array" ref="J70">IF(J$1&lt;&gt;PART_NUMBER_GENERATOR_TABLE[[#This Row],[Work Role]:[Work Role]],0,
IF(RIGHT(J$30,2)&lt;&gt;PART_NUMBER_GENERATOR_TABLE[[#This Row],[Work Type]:[Work Type]],0,
SUMIFS(Input_Tasks[R1 Business Hours],Input_Tasks[[Skill Required]:[Skill Required]],PART_NUMBER_GENERATOR_TABLE[[#This Row],[Tech]:[Tech]])))</f>
        <v>0</v>
      </c>
      <c r="K70" cm="1">
        <f t="array" ref="K70">IF(K$1&lt;&gt;PART_NUMBER_GENERATOR_TABLE[[#This Row],[Work Role]:[Work Role]],0,
IF(RIGHT(K$30,2)&lt;&gt;PART_NUMBER_GENERATOR_TABLE[[#This Row],[Work Type]:[Work Type]],0,
SUMIFS(Input_Tasks[R1 After Hours],Input_Tasks[[Skill Required]:[Skill Required]],PART_NUMBER_GENERATOR_TABLE[[#This Row],[Tech]:[Tech]])))</f>
        <v>0</v>
      </c>
      <c r="L70" cm="1">
        <f t="array" ref="L70">IF(L$1&lt;&gt;PART_NUMBER_GENERATOR_TABLE[[#This Row],[Work Role]:[Work Role]],0,
IF(RIGHT(L$30,2)&lt;&gt;PART_NUMBER_GENERATOR_TABLE[[#This Row],[Work Type]:[Work Type]],0,
SUMIFS(Input_Tasks[R2 Business Hours],Input_Tasks[[Skill Required]:[Skill Required]],PART_NUMBER_GENERATOR_TABLE[[#This Row],[Tech]:[Tech]])))</f>
        <v>0</v>
      </c>
      <c r="M70" cm="1">
        <f t="array" ref="M70">IF(M$1&lt;&gt;PART_NUMBER_GENERATOR_TABLE[[#This Row],[Work Role]:[Work Role]],0,
IF(RIGHT(M$30,2)&lt;&gt;PART_NUMBER_GENERATOR_TABLE[[#This Row],[Work Type]:[Work Type]],0,
SUMIFS(Input_Tasks[R2 After Hours],Input_Tasks[[Skill Required]:[Skill Required]],PART_NUMBER_GENERATOR_TABLE[[#This Row],[Tech]:[Tech]])))</f>
        <v>0</v>
      </c>
      <c r="N70" cm="1">
        <f t="array" ref="N70">IF(N$1&lt;&gt;PART_NUMBER_GENERATOR_TABLE[[#This Row],[Work Role]:[Work Role]],0,
IF(RIGHT(N$30,2)&lt;&gt;PART_NUMBER_GENERATOR_TABLE[[#This Row],[Work Type]:[Work Type]],0,
SUMIFS(Input_Tasks[R3 Business Hours],Input_Tasks[[Skill Required]:[Skill Required]],PART_NUMBER_GENERATOR_TABLE[[#This Row],[Tech]:[Tech]])))</f>
        <v>0</v>
      </c>
      <c r="O70" cm="1">
        <f t="array" ref="O70">IF(O$1&lt;&gt;PART_NUMBER_GENERATOR_TABLE[[#This Row],[Work Role]:[Work Role]],0,
IF(RIGHT(O$30,2)&lt;&gt;PART_NUMBER_GENERATOR_TABLE[[#This Row],[Work Type]:[Work Type]],0,
SUMIFS(Input_Tasks[R3 After Hours],Input_Tasks[[Skill Required]:[Skill Required]],PART_NUMBER_GENERATOR_TABLE[[#This Row],[Tech]:[Tech]])))</f>
        <v>0</v>
      </c>
      <c r="P70" cm="1">
        <f t="array" ref="P70">IF(P$1&lt;&gt;PART_NUMBER_GENERATOR_TABLE[[#This Row],[Work Role]:[Work Role]],0,
IF(RIGHT(P$30,2)&lt;&gt;PART_NUMBER_GENERATOR_TABLE[[#This Row],[Work Type]:[Work Type]],0,
SUMIFS(Input_Tasks[R4 Business Hours],Input_Tasks[[Skill Required]:[Skill Required]],PART_NUMBER_GENERATOR_TABLE[[#This Row],[Tech]:[Tech]])))</f>
        <v>0</v>
      </c>
      <c r="Q70" cm="1">
        <f t="array" ref="Q70">IF(Q$1&lt;&gt;PART_NUMBER_GENERATOR_TABLE[[#This Row],[Work Role]:[Work Role]],0,
IF(RIGHT(Q$30,2)&lt;&gt;PART_NUMBER_GENERATOR_TABLE[[#This Row],[Work Type]:[Work Type]],0,
SUMIFS(Input_Tasks[R4 After Hours],Input_Tasks[[Skill Required]:[Skill Required]],PART_NUMBER_GENERATOR_TABLE[[#This Row],[Tech]:[Tech]])))</f>
        <v>0</v>
      </c>
      <c r="R70" cm="1">
        <f t="array" ref="R70">IF(R$1&lt;&gt;PART_NUMBER_GENERATOR_TABLE[[#This Row],[Work Role]:[Work Role]],0,
IF(RIGHT(R$30,2)&lt;&gt;PART_NUMBER_GENERATOR_TABLE[[#This Row],[Work Type]:[Work Type]],0,
SUMIFS(Input_Tasks[R5 Business Hours],Input_Tasks[[Skill Required]:[Skill Required]],PART_NUMBER_GENERATOR_TABLE[[#This Row],[Tech]:[Tech]])))</f>
        <v>0</v>
      </c>
      <c r="S70" cm="1">
        <f t="array" ref="S70">IF(S$1&lt;&gt;PART_NUMBER_GENERATOR_TABLE[[#This Row],[Work Role]:[Work Role]],0,
IF(RIGHT(S$30,2)&lt;&gt;PART_NUMBER_GENERATOR_TABLE[[#This Row],[Work Type]:[Work Type]],0,
SUMIFS(Input_Tasks[R5 After Hours],Input_Tasks[[Skill Required]:[Skill Required]],PART_NUMBER_GENERATOR_TABLE[[#This Row],[Tech]:[Tech]])))</f>
        <v>0</v>
      </c>
      <c r="T70" cm="1">
        <f t="array" ref="T70">IF(PART_NUMBER_GENERATOR_TABLE[[#This Row],[Work Role]:[Work Role]]&lt;&gt;T$1,0,
IF(PART_NUMBER_GENERATOR_TABLE[[#This Row],[Work Type]:[Work Type]]&lt;&gt;"BH",0,
SUMIFS(T$9:T$24,$M$9:$M$24,PART_NUMBER_GENERATOR_TABLE[[#This Row],[Tech]:[Tech]])))</f>
        <v>0</v>
      </c>
      <c r="U70" cm="1">
        <f t="array" ref="U70">IF(PART_NUMBER_GENERATOR_TABLE[[#This Row],[Work Role]:[Work Role]]&lt;&gt;U$1,0,
IF(PART_NUMBER_GENERATOR_TABLE[[#This Row],[Work Type]:[Work Type]]&lt;&gt;"BH",0,
SUMIFS(U$9:U$24,$M$9:$M$24,PART_NUMBER_GENERATOR_TABLE[[#This Row],[Tech]:[Tech]])))</f>
        <v>0</v>
      </c>
      <c r="V70" cm="1">
        <f t="array" ref="V70">IF(PART_NUMBER_GENERATOR_TABLE[[#This Row],[Work Role]:[Work Role]]&lt;&gt;V$1,0,
IF(PART_NUMBER_GENERATOR_TABLE[[#This Row],[Work Type]:[Work Type]]&lt;&gt;"BH",0,
SUMIFS(V$9:V$24,$M$9:$M$24,PART_NUMBER_GENERATOR_TABLE[[#This Row],[Tech]:[Tech]])))</f>
        <v>0</v>
      </c>
      <c r="W70" cm="1">
        <f t="array" ref="W70">IF(PART_NUMBER_GENERATOR_TABLE[[#This Row],[Work Role]:[Work Role]]&lt;&gt;W$1,0,
IF(PART_NUMBER_GENERATOR_TABLE[[#This Row],[Work Type]:[Work Type]]&lt;&gt;"BH",0,
SUMIFS(W$9:W$24,$M$9:$M$24,PART_NUMBER_GENERATOR_TABLE[[#This Row],[Tech]:[Tech]])))</f>
        <v>0</v>
      </c>
      <c r="X70" cm="1">
        <f t="array" ref="X70">IF(PART_NUMBER_GENERATOR_TABLE[[#This Row],[Work Role]:[Work Role]]&lt;&gt;X$1,0,
IF(PART_NUMBER_GENERATOR_TABLE[[#This Row],[Work Type]:[Work Type]]&lt;&gt;"BH",0,
SUMIFS(X$9:X$24,$M$9:$M$24,PART_NUMBER_GENERATOR_TABLE[[#This Row],[Tech]:[Tech]])))</f>
        <v>0</v>
      </c>
      <c r="Y70" cm="1">
        <f t="array" ref="Y70">IF(PART_NUMBER_GENERATOR_TABLE[[#This Row],[Work Role]:[Work Role]]&lt;&gt;Y$1,0,
IF(PART_NUMBER_GENERATOR_TABLE[[#This Row],[Work Type]:[Work Type]]&lt;&gt;"BH",0,
SUMIFS(Y$9:Y$24,$M$9:$M$24,PART_NUMBER_GENERATOR_TABLE[[#This Row],[Tech]:[Tech]])))</f>
        <v>0</v>
      </c>
      <c r="Z70" cm="1">
        <f t="array" ref="Z70">IF(PART_NUMBER_GENERATOR_TABLE[[#This Row],[Work Role]:[Work Role]]&lt;&gt;Z$1,0,
IF(PART_NUMBER_GENERATOR_TABLE[[#This Row],[Work Type]:[Work Type]]&lt;&gt;"BH",0,
SUMIFS(Z$9:Z$24,$M$9:$M$24,PART_NUMBER_GENERATOR_TABLE[[#This Row],[Tech]:[Tech]])))</f>
        <v>0</v>
      </c>
      <c r="AA70" cm="1">
        <f t="array" ref="AA70">IF(PART_NUMBER_GENERATOR_TABLE[[#This Row],[Work Role]:[Work Role]]&lt;&gt;AA$1,0,
IF(PART_NUMBER_GENERATOR_TABLE[[#This Row],[Work Type]:[Work Type]]&lt;&gt;"BH",0,
SUMIFS(AA$9:AA$24,$M$9:$M$24,PART_NUMBER_GENERATOR_TABLE[[#This Row],[Tech]:[Tech]])))</f>
        <v>0</v>
      </c>
      <c r="AB70" cm="1">
        <f t="array" ref="AB70">IF(PART_NUMBER_GENERATOR_TABLE[[#This Row],[Work Role]:[Work Role]]&lt;&gt;AB$1,0,
IF(PART_NUMBER_GENERATOR_TABLE[[#This Row],[Work Type]:[Work Type]]&lt;&gt;"BH",0,
SUMIFS(AB$9:AB$24,$M$9:$M$24,PART_NUMBER_GENERATOR_TABLE[[#This Row],[Tech]:[Tech]])))</f>
        <v>0</v>
      </c>
      <c r="AC70" cm="1">
        <f t="array" ref="AC70">IF(PART_NUMBER_GENERATOR_TABLE[[#This Row],[Work Role]:[Work Role]]&lt;&gt;AC$1,0,
IF(PART_NUMBER_GENERATOR_TABLE[[#This Row],[Work Type]:[Work Type]]&lt;&gt;"BH",0,
SUMIFS(AC$9:AC$24,$M$9:$M$24,PART_NUMBER_GENERATOR_TABLE[[#This Row],[Tech]:[Tech]])))</f>
        <v>0</v>
      </c>
      <c r="AD70" cm="1">
        <f t="array" ref="AD70">IF(PART_NUMBER_GENERATOR_TABLE[[#This Row],[Work Role]:[Work Role]]&lt;&gt;AD$1,0,
IF(PART_NUMBER_GENERATOR_TABLE[[#This Row],[Work Type]:[Work Type]]&lt;&gt;"BH",0,
SUMIFS(AD$9:AD$24,$M$9:$M$24,PART_NUMBER_GENERATOR_TABLE[[#This Row],[Tech]:[Tech]])))</f>
        <v>0</v>
      </c>
      <c r="AE70" cm="1">
        <f t="array" ref="AE70">IF(PART_NUMBER_GENERATOR_TABLE[[#This Row],[Work Role]:[Work Role]]&lt;&gt;AE$1,0,
IF(PART_NUMBER_GENERATOR_TABLE[[#This Row],[Work Type]:[Work Type]]&lt;&gt;"BH",0,
SUMIFS(AE$9:AE$24,$M$9:$M$24,PART_NUMBER_GENERATOR_TABLE[[#This Row],[Tech]:[Tech]])))</f>
        <v>0</v>
      </c>
      <c r="AF70" cm="1">
        <f t="array" ref="AF70">IF(PART_NUMBER_GENERATOR_TABLE[[#This Row],[Work Role]:[Work Role]]&lt;&gt;AF$1,0,
IF(PART_NUMBER_GENERATOR_TABLE[[#This Row],[Work Type]:[Work Type]]&lt;&gt;"BH",0,
SUMIFS(AF$9:AF$24,$M$9:$M$24,PART_NUMBER_GENERATOR_TABLE[[#This Row],[Tech]:[Tech]])))</f>
        <v>0</v>
      </c>
      <c r="AG70" cm="1">
        <f t="array" ref="AG70">IF(PART_NUMBER_GENERATOR_TABLE[[#This Row],[Work Role]:[Work Role]]&lt;&gt;AG$1,0,
IF(PART_NUMBER_GENERATOR_TABLE[[#This Row],[Work Type]:[Work Type]]&lt;&gt;"AH",0,
SUMIFS(AG$9:AG$24,$M$9:$M$24,PART_NUMBER_GENERATOR_TABLE[[#This Row],[Tech]:[Tech]])))</f>
        <v>0</v>
      </c>
      <c r="AH70" cm="1">
        <f t="array" ref="AH70">IF(PART_NUMBER_GENERATOR_TABLE[[#This Row],[Work Role]:[Work Role]]&lt;&gt;AH$1,0,
IF(PART_NUMBER_GENERATOR_TABLE[[#This Row],[Work Type]:[Work Type]]&lt;&gt;"BH",0,
SUMIFS(AH$9:AH$24,$M$9:$M$24,PART_NUMBER_GENERATOR_TABLE[[#This Row],[Tech]:[Tech]])))</f>
        <v>0</v>
      </c>
      <c r="AI70" cm="1">
        <f t="array" ref="AI70">IF(PART_NUMBER_GENERATOR_TABLE[[#This Row],[Work Role]:[Work Role]]&lt;&gt;AI$1,0,
IF(PART_NUMBER_GENERATOR_TABLE[[#This Row],[Work Type]:[Work Type]]&lt;&gt;"BH",0,
SUMIFS(AI$9:AI$24,$M$9:$M$24,PART_NUMBER_GENERATOR_TABLE[[#This Row],[Tech]:[Tech]])))</f>
        <v>0</v>
      </c>
      <c r="AJ70" cm="1">
        <f t="array" ref="AJ70">IF(PART_NUMBER_GENERATOR_TABLE[[#This Row],[Work Role]:[Work Role]]&lt;&gt;AJ$1,0,
IF(PART_NUMBER_GENERATOR_TABLE[[#This Row],[Work Type]:[Work Type]]&lt;&gt;"BH",0,
SUMIFS(AJ$9:AJ$24,$M$9:$M$24,PART_NUMBER_GENERATOR_TABLE[[#This Row],[Tech]:[Tech]])))</f>
        <v>0</v>
      </c>
      <c r="AK70" cm="1">
        <f t="array" ref="AK70">IF(PART_NUMBER_GENERATOR_TABLE[[#This Row],[Work Role]:[Work Role]]&lt;&gt;AK$1,0,
IF(PART_NUMBER_GENERATOR_TABLE[[#This Row],[Work Type]:[Work Type]]&lt;&gt;"AH",0,
SUMIFS(AK$9:AK$24,$M$9:$M$24,PART_NUMBER_GENERATOR_TABLE[[#This Row],[Tech]:[Tech]])))</f>
        <v>0</v>
      </c>
      <c r="AL70" cm="1">
        <f t="array" ref="AL70">IF(PART_NUMBER_GENERATOR_TABLE[[#This Row],[Work Role]:[Work Role]]&lt;&gt;AL$1,0,
IF(PART_NUMBER_GENERATOR_TABLE[[#This Row],[Work Type]:[Work Type]]&lt;&gt;"BH",0,
SUMIFS(AL$9:AL$24,$M$9:$M$24,PART_NUMBER_GENERATOR_TABLE[[#This Row],[Tech]:[Tech]])))</f>
        <v>0</v>
      </c>
      <c r="AM70">
        <f>0</f>
        <v>0</v>
      </c>
      <c r="AN70" cm="1">
        <f t="array" ref="AN70">IF(PART_NUMBER_GENERATOR_TABLE[[#This Row],[Work Role]:[Work Role]]&lt;&gt;AN$1,0,
IF(PART_NUMBER_GENERATOR_TABLE[[#This Row],[Work Type]:[Work Type]]&lt;&gt;"BH",0,
SUMIFS(AN$24,$AM$24,PART_NUMBER_GENERATOR_TABLE[[#This Row],[Tech]:[Tech]])))</f>
        <v>0</v>
      </c>
      <c r="AO70" cm="1">
        <f t="array" ref="AO70">IF(PART_NUMBER_GENERATOR_TABLE[[#This Row],[Work Role]:[Work Role]]&lt;&gt;AO$1,0,
IF(PART_NUMBER_GENERATOR_TABLE[[#This Row],[Work Type]:[Work Type]]&lt;&gt;"BH",0,
SUMIFS(AO$24,$AM$24,PART_NUMBER_GENERATOR_TABLE[[#This Row],[Tech]:[Tech]])))</f>
        <v>0</v>
      </c>
      <c r="AP70" cm="1">
        <f t="array" ref="AP70">IF(PART_NUMBER_GENERATOR_TABLE[[#This Row],[Work Role]:[Work Role]]&lt;&gt;AP$1,0,
IF(PART_NUMBER_GENERATOR_TABLE[[#This Row],[Work Type]:[Work Type]]&lt;&gt;"BH",0,
SUMIFS(AP$24,$AM$24,PART_NUMBER_GENERATOR_TABLE[[#This Row],[Tech]:[Tech]])))</f>
        <v>0</v>
      </c>
      <c r="AQ70" cm="1">
        <f t="array" ref="AQ70">IF(PART_NUMBER_GENERATOR_TABLE[[#This Row],[Work Role]:[Work Role]]&lt;&gt;AQ$1,0,
IF(PART_NUMBER_GENERATOR_TABLE[[#This Row],[Work Type]:[Work Type]]&lt;&gt;"BH",0,
SUMIFS(AQ$24,$AM$24,PART_NUMBER_GENERATOR_TABLE[[#This Row],[Tech]:[Tech]])))</f>
        <v>0</v>
      </c>
      <c r="AR70" cm="1">
        <f t="array" ref="AR70">IF(PART_NUMBER_GENERATOR_TABLE[[#This Row],[Work Role]:[Work Role]]&lt;&gt;AR$1,0,
IF(PART_NUMBER_GENERATOR_TABLE[[#This Row],[Work Type]:[Work Type]]&lt;&gt;"BH",0,
SUMIFS(AR$24,$AM$24,PART_NUMBER_GENERATOR_TABLE[[#This Row],[Tech]:[Tech]])))</f>
        <v>0</v>
      </c>
      <c r="AS70" cm="1">
        <f t="array" ref="AS70">IF(PART_NUMBER_GENERATOR_TABLE[[#This Row],[Work Role]:[Work Role]]&lt;&gt;AS$1,0,
IF(PART_NUMBER_GENERATOR_TABLE[[#This Row],[Work Type]:[Work Type]]&lt;&gt;"BH",0,
SUMIFS(AS$24,$AM$24,PART_NUMBER_GENERATOR_TABLE[[#This Row],[Tech]:[Tech]])))</f>
        <v>0</v>
      </c>
      <c r="AT70" cm="1">
        <f t="array" ref="AT70">IF(PART_NUMBER_GENERATOR_TABLE[[#This Row],[Work Role]:[Work Role]]&lt;&gt;AS$1,0,
IF(PART_NUMBER_GENERATOR_TABLE[[#This Row],[Work Type]:[Work Type]]&lt;&gt;"BH",0,
SUMIFS(AT$24,$AM$24,PART_NUMBER_GENERATOR_TABLE[[#This Row],[Tech]:[Tech]])))</f>
        <v>0</v>
      </c>
      <c r="AU70">
        <f>SUM(PART_NUMBER_GENERATOR_TABLE[[#This Row],[Resource 1 BH]:[Resource 5 AH]],PART_NUMBER_GENERATOR_TABLE[[#This Row],[R1 Mandatory Tasks]:[R5 Mandatory Tasks]],PART_NUMBER_GENERATOR_TABLE[[#This Row],[R1 Remainder]:[R5 Remainder]])</f>
        <v>0</v>
      </c>
      <c r="AV70">
        <f>PART_NUMBER_GENERATOR_TABLE[[#This Row],[Professional Engineering Hours]]*PART_NUMBER_GENERATOR_TABLE[[#This Row],[Sell Rate]]</f>
        <v>0</v>
      </c>
      <c r="AW70">
        <f>PART_NUMBER_GENERATOR_TABLE[[#This Row],[Professional Engineering Hours]]*PART_NUMBER_GENERATOR_TABLE[[#This Row],[Cost Rate]]</f>
        <v>0</v>
      </c>
      <c r="AX70">
        <f>SUM(PART_NUMBER_GENERATOR_TABLE[[#This Row],[PM Trips]:[R5 Trips]])</f>
        <v>0</v>
      </c>
      <c r="AY70">
        <f>PART_NUMBER_GENERATOR_TABLE[[#This Row],[Travel &amp; Accommodation Hours]]*PART_NUMBER_GENERATOR_TABLE[[#This Row],[Sell Rate]]</f>
        <v>0</v>
      </c>
      <c r="AZ70">
        <f>PART_NUMBER_GENERATOR_TABLE[[#This Row],[Travel &amp; Accommodation Hours]]*PART_NUMBER_GENERATOR_TABLE[[#This Row],[Cost Rate]]</f>
        <v>0</v>
      </c>
      <c r="BA70">
        <f>PART_NUMBER_GENERATOR_TABLE[[#This Row],[PM Hours]]+PART_NUMBER_GENERATOR_TABLE[[#This Row],[PM Remainder]]</f>
        <v>0</v>
      </c>
      <c r="BB70">
        <f>PART_NUMBER_GENERATOR_TABLE[[#This Row],[Project Management Hours]]*PART_NUMBER_GENERATOR_TABLE[[#This Row],[Sell Rate]]</f>
        <v>0</v>
      </c>
      <c r="BC70">
        <f>PART_NUMBER_GENERATOR_TABLE[[#This Row],[Project Management Hours]]*PART_NUMBER_GENERATOR_TABLE[[#This Row],[Cost Rate]]</f>
        <v>0</v>
      </c>
      <c r="BD70">
        <f>SUM(PART_NUMBER_GENERATOR_TABLE[[#This Row],[SSE RISK BH]:[PM RISK]],PART_NUMBER_GENERATOR_TABLE[[#This Row],[SSE Remainder RISK BH]:[PM Remainder RISK]])</f>
        <v>0</v>
      </c>
      <c r="BE70">
        <f>PART_NUMBER_GENERATOR_TABLE[[#This Row],[Project Risk Service Hours]]*PART_NUMBER_GENERATOR_TABLE[[#This Row],[Sell Rate]]</f>
        <v>0</v>
      </c>
      <c r="BF70">
        <f>PART_NUMBER_GENERATOR_TABLE[[#This Row],[Project Risk Service Hours]]*PART_NUMBER_GENERATOR_TABLE[[#This Row],[Cost Rate]]</f>
        <v>0</v>
      </c>
      <c r="BG70">
        <f>PART_NUMBER_GENERATOR_TABLE[[#This Row],[SSE RISK TRAVEL]]</f>
        <v>0</v>
      </c>
      <c r="BH70">
        <f>PART_NUMBER_GENERATOR_TABLE[[#This Row],[Sell Rate]]*PART_NUMBER_GENERATOR_TABLE[[#This Row],[Project Risk Travel Hours]]</f>
        <v>0</v>
      </c>
      <c r="BI70">
        <f>PART_NUMBER_GENERATOR_TABLE[[#This Row],[Project Risk Travel Hours]]*PART_NUMBER_GENERATOR_TABLE[[#This Row],[Cost Rate]]</f>
        <v>0</v>
      </c>
      <c r="BJ7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7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70">
        <f>IFERROR(-VLOOKUP(INDEX(ENGINEER_ROLES,MATCH(PART_NUMBER_GENERATOR_TABLE[[#This Row],[Work Role]],settings.Table_Engineer.Roles[ID],0),1),Settings_Hidden!$H$359:$K$366,4,FALSE),0)</f>
        <v>0</v>
      </c>
      <c r="BM70" s="680">
        <f>-Summary!$C$66</f>
        <v>0</v>
      </c>
      <c r="BN70" s="465">
        <f>PART_NUMBER_GENERATOR_TABLE[[#This Row],[Total Base Price]]*MIN(PART_NUMBER_GENERATOR_TABLE[[#This Row],[Rate Service Discount]:[Flat Service Discount]])</f>
        <v>0</v>
      </c>
      <c r="BO70" s="451" t="str">
        <f>IF(PART_NUMBER_GENERATOR_TABLE[[#This Row],[Quantity]]&lt;&gt;0,MAX($BO$30:BO69)+1,"")</f>
        <v/>
      </c>
      <c r="BP70" t="str">
        <f>PART_NUMBER_GENERATOR_TABLE[[#This Row],[Part Number]]</f>
        <v>A-PS-E-INTHLT-SE-BH</v>
      </c>
      <c r="BQ70">
        <f>PART_NUMBER_GENERATOR_TABLE[[#This Row],[Total Hours]]</f>
        <v>0</v>
      </c>
      <c r="BR70">
        <f>PART_NUMBER_GENERATOR_TABLE[[#This Row],[Cost Rate]]</f>
        <v>126.11855927829811</v>
      </c>
      <c r="BS70" s="465">
        <f>PART_NUMBER_GENERATOR_TABLE[[#This Row],[Sell Rate]]+(PART_NUMBER_GENERATOR_TABLE[[#This Row],[Sell Rate]]*MIN(PART_NUMBER_GENERATOR_TABLE[[#This Row],[Rate Service Discount]:[Flat Service Discount]]))</f>
        <v>235</v>
      </c>
    </row>
    <row r="71" spans="1:71">
      <c r="A71">
        <v>41</v>
      </c>
      <c r="C71" t="s">
        <v>954</v>
      </c>
      <c r="D71" t="str" cm="1">
        <f t="array" ref="D71">INDEX(Table.Settings_Skill.List[Skill Name],MATCH(INDEX(_xlfn.TEXTSPLIT(C71,"-",,TRUE),4),Table.Settings_Skill.List[Skill Code],0),1)</f>
        <v>Integrated Health</v>
      </c>
      <c r="E71" t="str" cm="1">
        <f t="array" ref="E71">INDEX(_xlfn.TEXTSPLIT(C71,"-",,TRUE),5)</f>
        <v>SSE</v>
      </c>
      <c r="F71" t="str">
        <f>IFERROR(INDEX(settings.Table_Engineer.Roles[Department Code],MATCH(PART_NUMBER_GENERATOR_TABLE[[#This Row],[Work Role]],settings.Table_Engineer.Roles[ID],0),1),"PMO")</f>
        <v>ENG</v>
      </c>
      <c r="G71" t="str" cm="1">
        <f t="array" ref="G71">INDEX(_xlfn.TEXTSPLIT(C71,"-",,TRUE),6)</f>
        <v>BH</v>
      </c>
      <c r="H7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280.5</v>
      </c>
      <c r="I7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149.91839058446394</v>
      </c>
      <c r="J71" cm="1">
        <f t="array" ref="J71">IF(J$1&lt;&gt;PART_NUMBER_GENERATOR_TABLE[[#This Row],[Work Role]:[Work Role]],0,
IF(RIGHT(J$30,2)&lt;&gt;PART_NUMBER_GENERATOR_TABLE[[#This Row],[Work Type]:[Work Type]],0,
SUMIFS(Input_Tasks[R1 Business Hours],Input_Tasks[[Skill Required]:[Skill Required]],PART_NUMBER_GENERATOR_TABLE[[#This Row],[Tech]:[Tech]])))</f>
        <v>0</v>
      </c>
      <c r="K71" cm="1">
        <f t="array" ref="K71">IF(K$1&lt;&gt;PART_NUMBER_GENERATOR_TABLE[[#This Row],[Work Role]:[Work Role]],0,
IF(RIGHT(K$30,2)&lt;&gt;PART_NUMBER_GENERATOR_TABLE[[#This Row],[Work Type]:[Work Type]],0,
SUMIFS(Input_Tasks[R1 After Hours],Input_Tasks[[Skill Required]:[Skill Required]],PART_NUMBER_GENERATOR_TABLE[[#This Row],[Tech]:[Tech]])))</f>
        <v>0</v>
      </c>
      <c r="L71" cm="1">
        <f t="array" ref="L71">IF(L$1&lt;&gt;PART_NUMBER_GENERATOR_TABLE[[#This Row],[Work Role]:[Work Role]],0,
IF(RIGHT(L$30,2)&lt;&gt;PART_NUMBER_GENERATOR_TABLE[[#This Row],[Work Type]:[Work Type]],0,
SUMIFS(Input_Tasks[R2 Business Hours],Input_Tasks[[Skill Required]:[Skill Required]],PART_NUMBER_GENERATOR_TABLE[[#This Row],[Tech]:[Tech]])))</f>
        <v>0</v>
      </c>
      <c r="M71" cm="1">
        <f t="array" ref="M71">IF(M$1&lt;&gt;PART_NUMBER_GENERATOR_TABLE[[#This Row],[Work Role]:[Work Role]],0,
IF(RIGHT(M$30,2)&lt;&gt;PART_NUMBER_GENERATOR_TABLE[[#This Row],[Work Type]:[Work Type]],0,
SUMIFS(Input_Tasks[R2 After Hours],Input_Tasks[[Skill Required]:[Skill Required]],PART_NUMBER_GENERATOR_TABLE[[#This Row],[Tech]:[Tech]])))</f>
        <v>0</v>
      </c>
      <c r="N71" cm="1">
        <f t="array" ref="N71">IF(N$1&lt;&gt;PART_NUMBER_GENERATOR_TABLE[[#This Row],[Work Role]:[Work Role]],0,
IF(RIGHT(N$30,2)&lt;&gt;PART_NUMBER_GENERATOR_TABLE[[#This Row],[Work Type]:[Work Type]],0,
SUMIFS(Input_Tasks[R3 Business Hours],Input_Tasks[[Skill Required]:[Skill Required]],PART_NUMBER_GENERATOR_TABLE[[#This Row],[Tech]:[Tech]])))</f>
        <v>0</v>
      </c>
      <c r="O71" cm="1">
        <f t="array" ref="O71">IF(O$1&lt;&gt;PART_NUMBER_GENERATOR_TABLE[[#This Row],[Work Role]:[Work Role]],0,
IF(RIGHT(O$30,2)&lt;&gt;PART_NUMBER_GENERATOR_TABLE[[#This Row],[Work Type]:[Work Type]],0,
SUMIFS(Input_Tasks[R3 After Hours],Input_Tasks[[Skill Required]:[Skill Required]],PART_NUMBER_GENERATOR_TABLE[[#This Row],[Tech]:[Tech]])))</f>
        <v>0</v>
      </c>
      <c r="P71" cm="1">
        <f t="array" ref="P71">IF(P$1&lt;&gt;PART_NUMBER_GENERATOR_TABLE[[#This Row],[Work Role]:[Work Role]],0,
IF(RIGHT(P$30,2)&lt;&gt;PART_NUMBER_GENERATOR_TABLE[[#This Row],[Work Type]:[Work Type]],0,
SUMIFS(Input_Tasks[R4 Business Hours],Input_Tasks[[Skill Required]:[Skill Required]],PART_NUMBER_GENERATOR_TABLE[[#This Row],[Tech]:[Tech]])))</f>
        <v>0</v>
      </c>
      <c r="Q71" cm="1">
        <f t="array" ref="Q71">IF(Q$1&lt;&gt;PART_NUMBER_GENERATOR_TABLE[[#This Row],[Work Role]:[Work Role]],0,
IF(RIGHT(Q$30,2)&lt;&gt;PART_NUMBER_GENERATOR_TABLE[[#This Row],[Work Type]:[Work Type]],0,
SUMIFS(Input_Tasks[R4 After Hours],Input_Tasks[[Skill Required]:[Skill Required]],PART_NUMBER_GENERATOR_TABLE[[#This Row],[Tech]:[Tech]])))</f>
        <v>0</v>
      </c>
      <c r="R71" cm="1">
        <f t="array" ref="R71">IF(R$1&lt;&gt;PART_NUMBER_GENERATOR_TABLE[[#This Row],[Work Role]:[Work Role]],0,
IF(RIGHT(R$30,2)&lt;&gt;PART_NUMBER_GENERATOR_TABLE[[#This Row],[Work Type]:[Work Type]],0,
SUMIFS(Input_Tasks[R5 Business Hours],Input_Tasks[[Skill Required]:[Skill Required]],PART_NUMBER_GENERATOR_TABLE[[#This Row],[Tech]:[Tech]])))</f>
        <v>0</v>
      </c>
      <c r="S71" cm="1">
        <f t="array" ref="S71">IF(S$1&lt;&gt;PART_NUMBER_GENERATOR_TABLE[[#This Row],[Work Role]:[Work Role]],0,
IF(RIGHT(S$30,2)&lt;&gt;PART_NUMBER_GENERATOR_TABLE[[#This Row],[Work Type]:[Work Type]],0,
SUMIFS(Input_Tasks[R5 After Hours],Input_Tasks[[Skill Required]:[Skill Required]],PART_NUMBER_GENERATOR_TABLE[[#This Row],[Tech]:[Tech]])))</f>
        <v>0</v>
      </c>
      <c r="T71" cm="1">
        <f t="array" ref="T71">IF(PART_NUMBER_GENERATOR_TABLE[[#This Row],[Work Role]:[Work Role]]&lt;&gt;T$1,0,
IF(PART_NUMBER_GENERATOR_TABLE[[#This Row],[Work Type]:[Work Type]]&lt;&gt;"BH",0,
SUMIFS(T$9:T$24,$M$9:$M$24,PART_NUMBER_GENERATOR_TABLE[[#This Row],[Tech]:[Tech]])))</f>
        <v>0</v>
      </c>
      <c r="U71" cm="1">
        <f t="array" ref="U71">IF(PART_NUMBER_GENERATOR_TABLE[[#This Row],[Work Role]:[Work Role]]&lt;&gt;U$1,0,
IF(PART_NUMBER_GENERATOR_TABLE[[#This Row],[Work Type]:[Work Type]]&lt;&gt;"BH",0,
SUMIFS(U$9:U$24,$M$9:$M$24,PART_NUMBER_GENERATOR_TABLE[[#This Row],[Tech]:[Tech]])))</f>
        <v>0</v>
      </c>
      <c r="V71" cm="1">
        <f t="array" ref="V71">IF(PART_NUMBER_GENERATOR_TABLE[[#This Row],[Work Role]:[Work Role]]&lt;&gt;V$1,0,
IF(PART_NUMBER_GENERATOR_TABLE[[#This Row],[Work Type]:[Work Type]]&lt;&gt;"BH",0,
SUMIFS(V$9:V$24,$M$9:$M$24,PART_NUMBER_GENERATOR_TABLE[[#This Row],[Tech]:[Tech]])))</f>
        <v>0</v>
      </c>
      <c r="W71" cm="1">
        <f t="array" ref="W71">IF(PART_NUMBER_GENERATOR_TABLE[[#This Row],[Work Role]:[Work Role]]&lt;&gt;W$1,0,
IF(PART_NUMBER_GENERATOR_TABLE[[#This Row],[Work Type]:[Work Type]]&lt;&gt;"BH",0,
SUMIFS(W$9:W$24,$M$9:$M$24,PART_NUMBER_GENERATOR_TABLE[[#This Row],[Tech]:[Tech]])))</f>
        <v>0</v>
      </c>
      <c r="X71" cm="1">
        <f t="array" ref="X71">IF(PART_NUMBER_GENERATOR_TABLE[[#This Row],[Work Role]:[Work Role]]&lt;&gt;X$1,0,
IF(PART_NUMBER_GENERATOR_TABLE[[#This Row],[Work Type]:[Work Type]]&lt;&gt;"BH",0,
SUMIFS(X$9:X$24,$M$9:$M$24,PART_NUMBER_GENERATOR_TABLE[[#This Row],[Tech]:[Tech]])))</f>
        <v>0</v>
      </c>
      <c r="Y71" cm="1">
        <f t="array" ref="Y71">IF(PART_NUMBER_GENERATOR_TABLE[[#This Row],[Work Role]:[Work Role]]&lt;&gt;Y$1,0,
IF(PART_NUMBER_GENERATOR_TABLE[[#This Row],[Work Type]:[Work Type]]&lt;&gt;"BH",0,
SUMIFS(Y$9:Y$24,$M$9:$M$24,PART_NUMBER_GENERATOR_TABLE[[#This Row],[Tech]:[Tech]])))</f>
        <v>0</v>
      </c>
      <c r="Z71" cm="1">
        <f t="array" ref="Z71">IF(PART_NUMBER_GENERATOR_TABLE[[#This Row],[Work Role]:[Work Role]]&lt;&gt;Z$1,0,
IF(PART_NUMBER_GENERATOR_TABLE[[#This Row],[Work Type]:[Work Type]]&lt;&gt;"BH",0,
SUMIFS(Z$9:Z$24,$M$9:$M$24,PART_NUMBER_GENERATOR_TABLE[[#This Row],[Tech]:[Tech]])))</f>
        <v>0</v>
      </c>
      <c r="AA71" cm="1">
        <f t="array" ref="AA71">IF(PART_NUMBER_GENERATOR_TABLE[[#This Row],[Work Role]:[Work Role]]&lt;&gt;AA$1,0,
IF(PART_NUMBER_GENERATOR_TABLE[[#This Row],[Work Type]:[Work Type]]&lt;&gt;"BH",0,
SUMIFS(AA$9:AA$24,$M$9:$M$24,PART_NUMBER_GENERATOR_TABLE[[#This Row],[Tech]:[Tech]])))</f>
        <v>0</v>
      </c>
      <c r="AB71" cm="1">
        <f t="array" ref="AB71">IF(PART_NUMBER_GENERATOR_TABLE[[#This Row],[Work Role]:[Work Role]]&lt;&gt;AB$1,0,
IF(PART_NUMBER_GENERATOR_TABLE[[#This Row],[Work Type]:[Work Type]]&lt;&gt;"BH",0,
SUMIFS(AB$9:AB$24,$M$9:$M$24,PART_NUMBER_GENERATOR_TABLE[[#This Row],[Tech]:[Tech]])))</f>
        <v>0</v>
      </c>
      <c r="AC71" cm="1">
        <f t="array" ref="AC71">IF(PART_NUMBER_GENERATOR_TABLE[[#This Row],[Work Role]:[Work Role]]&lt;&gt;AC$1,0,
IF(PART_NUMBER_GENERATOR_TABLE[[#This Row],[Work Type]:[Work Type]]&lt;&gt;"BH",0,
SUMIFS(AC$9:AC$24,$M$9:$M$24,PART_NUMBER_GENERATOR_TABLE[[#This Row],[Tech]:[Tech]])))</f>
        <v>0</v>
      </c>
      <c r="AD71" cm="1">
        <f t="array" ref="AD71">IF(PART_NUMBER_GENERATOR_TABLE[[#This Row],[Work Role]:[Work Role]]&lt;&gt;AD$1,0,
IF(PART_NUMBER_GENERATOR_TABLE[[#This Row],[Work Type]:[Work Type]]&lt;&gt;"BH",0,
SUMIFS(AD$9:AD$24,$M$9:$M$24,PART_NUMBER_GENERATOR_TABLE[[#This Row],[Tech]:[Tech]])))</f>
        <v>0</v>
      </c>
      <c r="AE71" cm="1">
        <f t="array" ref="AE71">IF(PART_NUMBER_GENERATOR_TABLE[[#This Row],[Work Role]:[Work Role]]&lt;&gt;AE$1,0,
IF(PART_NUMBER_GENERATOR_TABLE[[#This Row],[Work Type]:[Work Type]]&lt;&gt;"BH",0,
SUMIFS(AE$9:AE$24,$M$9:$M$24,PART_NUMBER_GENERATOR_TABLE[[#This Row],[Tech]:[Tech]])))</f>
        <v>0</v>
      </c>
      <c r="AF71" cm="1">
        <f t="array" ref="AF71">IF(PART_NUMBER_GENERATOR_TABLE[[#This Row],[Work Role]:[Work Role]]&lt;&gt;AF$1,0,
IF(PART_NUMBER_GENERATOR_TABLE[[#This Row],[Work Type]:[Work Type]]&lt;&gt;"BH",0,
SUMIFS(AF$9:AF$24,$M$9:$M$24,PART_NUMBER_GENERATOR_TABLE[[#This Row],[Tech]:[Tech]])))</f>
        <v>0</v>
      </c>
      <c r="AG71" cm="1">
        <f t="array" ref="AG71">IF(PART_NUMBER_GENERATOR_TABLE[[#This Row],[Work Role]:[Work Role]]&lt;&gt;AG$1,0,
IF(PART_NUMBER_GENERATOR_TABLE[[#This Row],[Work Type]:[Work Type]]&lt;&gt;"AH",0,
SUMIFS(AG$9:AG$24,$M$9:$M$24,PART_NUMBER_GENERATOR_TABLE[[#This Row],[Tech]:[Tech]])))</f>
        <v>0</v>
      </c>
      <c r="AH71" cm="1">
        <f t="array" ref="AH71">IF(PART_NUMBER_GENERATOR_TABLE[[#This Row],[Work Role]:[Work Role]]&lt;&gt;AH$1,0,
IF(PART_NUMBER_GENERATOR_TABLE[[#This Row],[Work Type]:[Work Type]]&lt;&gt;"BH",0,
SUMIFS(AH$9:AH$24,$M$9:$M$24,PART_NUMBER_GENERATOR_TABLE[[#This Row],[Tech]:[Tech]])))</f>
        <v>0</v>
      </c>
      <c r="AI71" cm="1">
        <f t="array" ref="AI71">IF(PART_NUMBER_GENERATOR_TABLE[[#This Row],[Work Role]:[Work Role]]&lt;&gt;AI$1,0,
IF(PART_NUMBER_GENERATOR_TABLE[[#This Row],[Work Type]:[Work Type]]&lt;&gt;"BH",0,
SUMIFS(AI$9:AI$24,$M$9:$M$24,PART_NUMBER_GENERATOR_TABLE[[#This Row],[Tech]:[Tech]])))</f>
        <v>0</v>
      </c>
      <c r="AJ71" cm="1">
        <f t="array" ref="AJ71">IF(PART_NUMBER_GENERATOR_TABLE[[#This Row],[Work Role]:[Work Role]]&lt;&gt;AJ$1,0,
IF(PART_NUMBER_GENERATOR_TABLE[[#This Row],[Work Type]:[Work Type]]&lt;&gt;"BH",0,
SUMIFS(AJ$9:AJ$24,$M$9:$M$24,PART_NUMBER_GENERATOR_TABLE[[#This Row],[Tech]:[Tech]])))</f>
        <v>0</v>
      </c>
      <c r="AK71" cm="1">
        <f t="array" ref="AK71">IF(PART_NUMBER_GENERATOR_TABLE[[#This Row],[Work Role]:[Work Role]]&lt;&gt;AK$1,0,
IF(PART_NUMBER_GENERATOR_TABLE[[#This Row],[Work Type]:[Work Type]]&lt;&gt;"AH",0,
SUMIFS(AK$9:AK$24,$M$9:$M$24,PART_NUMBER_GENERATOR_TABLE[[#This Row],[Tech]:[Tech]])))</f>
        <v>0</v>
      </c>
      <c r="AL71" cm="1">
        <f t="array" ref="AL71">IF(PART_NUMBER_GENERATOR_TABLE[[#This Row],[Work Role]:[Work Role]]&lt;&gt;AL$1,0,
IF(PART_NUMBER_GENERATOR_TABLE[[#This Row],[Work Type]:[Work Type]]&lt;&gt;"BH",0,
SUMIFS(AL$9:AL$24,$M$9:$M$24,PART_NUMBER_GENERATOR_TABLE[[#This Row],[Tech]:[Tech]])))</f>
        <v>0</v>
      </c>
      <c r="AM71">
        <f>0</f>
        <v>0</v>
      </c>
      <c r="AN71" cm="1">
        <f t="array" ref="AN71">IF(PART_NUMBER_GENERATOR_TABLE[[#This Row],[Work Role]:[Work Role]]&lt;&gt;AN$1,0,
IF(PART_NUMBER_GENERATOR_TABLE[[#This Row],[Work Type]:[Work Type]]&lt;&gt;"BH",0,
SUMIFS(AN$24,$AM$24,PART_NUMBER_GENERATOR_TABLE[[#This Row],[Tech]:[Tech]])))</f>
        <v>0</v>
      </c>
      <c r="AO71" cm="1">
        <f t="array" ref="AO71">IF(PART_NUMBER_GENERATOR_TABLE[[#This Row],[Work Role]:[Work Role]]&lt;&gt;AO$1,0,
IF(PART_NUMBER_GENERATOR_TABLE[[#This Row],[Work Type]:[Work Type]]&lt;&gt;"BH",0,
SUMIFS(AO$24,$AM$24,PART_NUMBER_GENERATOR_TABLE[[#This Row],[Tech]:[Tech]])))</f>
        <v>0</v>
      </c>
      <c r="AP71" cm="1">
        <f t="array" ref="AP71">IF(PART_NUMBER_GENERATOR_TABLE[[#This Row],[Work Role]:[Work Role]]&lt;&gt;AP$1,0,
IF(PART_NUMBER_GENERATOR_TABLE[[#This Row],[Work Type]:[Work Type]]&lt;&gt;"BH",0,
SUMIFS(AP$24,$AM$24,PART_NUMBER_GENERATOR_TABLE[[#This Row],[Tech]:[Tech]])))</f>
        <v>0</v>
      </c>
      <c r="AQ71" cm="1">
        <f t="array" ref="AQ71">IF(PART_NUMBER_GENERATOR_TABLE[[#This Row],[Work Role]:[Work Role]]&lt;&gt;AQ$1,0,
IF(PART_NUMBER_GENERATOR_TABLE[[#This Row],[Work Type]:[Work Type]]&lt;&gt;"BH",0,
SUMIFS(AQ$24,$AM$24,PART_NUMBER_GENERATOR_TABLE[[#This Row],[Tech]:[Tech]])))</f>
        <v>0</v>
      </c>
      <c r="AR71" cm="1">
        <f t="array" ref="AR71">IF(PART_NUMBER_GENERATOR_TABLE[[#This Row],[Work Role]:[Work Role]]&lt;&gt;AR$1,0,
IF(PART_NUMBER_GENERATOR_TABLE[[#This Row],[Work Type]:[Work Type]]&lt;&gt;"BH",0,
SUMIFS(AR$24,$AM$24,PART_NUMBER_GENERATOR_TABLE[[#This Row],[Tech]:[Tech]])))</f>
        <v>0</v>
      </c>
      <c r="AS71" cm="1">
        <f t="array" ref="AS71">IF(PART_NUMBER_GENERATOR_TABLE[[#This Row],[Work Role]:[Work Role]]&lt;&gt;AS$1,0,
IF(PART_NUMBER_GENERATOR_TABLE[[#This Row],[Work Type]:[Work Type]]&lt;&gt;"BH",0,
SUMIFS(AS$24,$AM$24,PART_NUMBER_GENERATOR_TABLE[[#This Row],[Tech]:[Tech]])))</f>
        <v>0</v>
      </c>
      <c r="AT71" cm="1">
        <f t="array" ref="AT71">IF(PART_NUMBER_GENERATOR_TABLE[[#This Row],[Work Role]:[Work Role]]&lt;&gt;AS$1,0,
IF(PART_NUMBER_GENERATOR_TABLE[[#This Row],[Work Type]:[Work Type]]&lt;&gt;"BH",0,
SUMIFS(AT$24,$AM$24,PART_NUMBER_GENERATOR_TABLE[[#This Row],[Tech]:[Tech]])))</f>
        <v>0</v>
      </c>
      <c r="AU71">
        <f>SUM(PART_NUMBER_GENERATOR_TABLE[[#This Row],[Resource 1 BH]:[Resource 5 AH]],PART_NUMBER_GENERATOR_TABLE[[#This Row],[R1 Mandatory Tasks]:[R5 Mandatory Tasks]],PART_NUMBER_GENERATOR_TABLE[[#This Row],[R1 Remainder]:[R5 Remainder]])</f>
        <v>0</v>
      </c>
      <c r="AV71">
        <f>PART_NUMBER_GENERATOR_TABLE[[#This Row],[Professional Engineering Hours]]*PART_NUMBER_GENERATOR_TABLE[[#This Row],[Sell Rate]]</f>
        <v>0</v>
      </c>
      <c r="AW71">
        <f>PART_NUMBER_GENERATOR_TABLE[[#This Row],[Professional Engineering Hours]]*PART_NUMBER_GENERATOR_TABLE[[#This Row],[Cost Rate]]</f>
        <v>0</v>
      </c>
      <c r="AX71">
        <f>SUM(PART_NUMBER_GENERATOR_TABLE[[#This Row],[PM Trips]:[R5 Trips]])</f>
        <v>0</v>
      </c>
      <c r="AY71">
        <f>PART_NUMBER_GENERATOR_TABLE[[#This Row],[Travel &amp; Accommodation Hours]]*PART_NUMBER_GENERATOR_TABLE[[#This Row],[Sell Rate]]</f>
        <v>0</v>
      </c>
      <c r="AZ71">
        <f>PART_NUMBER_GENERATOR_TABLE[[#This Row],[Travel &amp; Accommodation Hours]]*PART_NUMBER_GENERATOR_TABLE[[#This Row],[Cost Rate]]</f>
        <v>0</v>
      </c>
      <c r="BA71">
        <f>PART_NUMBER_GENERATOR_TABLE[[#This Row],[PM Hours]]+PART_NUMBER_GENERATOR_TABLE[[#This Row],[PM Remainder]]</f>
        <v>0</v>
      </c>
      <c r="BB71">
        <f>PART_NUMBER_GENERATOR_TABLE[[#This Row],[Project Management Hours]]*PART_NUMBER_GENERATOR_TABLE[[#This Row],[Sell Rate]]</f>
        <v>0</v>
      </c>
      <c r="BC71">
        <f>PART_NUMBER_GENERATOR_TABLE[[#This Row],[Project Management Hours]]*PART_NUMBER_GENERATOR_TABLE[[#This Row],[Cost Rate]]</f>
        <v>0</v>
      </c>
      <c r="BD71">
        <f>SUM(PART_NUMBER_GENERATOR_TABLE[[#This Row],[SSE RISK BH]:[PM RISK]],PART_NUMBER_GENERATOR_TABLE[[#This Row],[SSE Remainder RISK BH]:[PM Remainder RISK]])</f>
        <v>0</v>
      </c>
      <c r="BE71">
        <f>PART_NUMBER_GENERATOR_TABLE[[#This Row],[Project Risk Service Hours]]*PART_NUMBER_GENERATOR_TABLE[[#This Row],[Sell Rate]]</f>
        <v>0</v>
      </c>
      <c r="BF71">
        <f>PART_NUMBER_GENERATOR_TABLE[[#This Row],[Project Risk Service Hours]]*PART_NUMBER_GENERATOR_TABLE[[#This Row],[Cost Rate]]</f>
        <v>0</v>
      </c>
      <c r="BG71">
        <f>PART_NUMBER_GENERATOR_TABLE[[#This Row],[SSE RISK TRAVEL]]</f>
        <v>0</v>
      </c>
      <c r="BH71">
        <f>PART_NUMBER_GENERATOR_TABLE[[#This Row],[Sell Rate]]*PART_NUMBER_GENERATOR_TABLE[[#This Row],[Project Risk Travel Hours]]</f>
        <v>0</v>
      </c>
      <c r="BI71">
        <f>PART_NUMBER_GENERATOR_TABLE[[#This Row],[Project Risk Travel Hours]]*PART_NUMBER_GENERATOR_TABLE[[#This Row],[Cost Rate]]</f>
        <v>0</v>
      </c>
      <c r="BJ7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7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71">
        <f>IFERROR(-VLOOKUP(INDEX(ENGINEER_ROLES,MATCH(PART_NUMBER_GENERATOR_TABLE[[#This Row],[Work Role]],settings.Table_Engineer.Roles[ID],0),1),Settings_Hidden!$H$359:$K$366,4,FALSE),0)</f>
        <v>0</v>
      </c>
      <c r="BM71" s="680">
        <f>-Summary!$C$66</f>
        <v>0</v>
      </c>
      <c r="BN71" s="465">
        <f>PART_NUMBER_GENERATOR_TABLE[[#This Row],[Total Base Price]]*MIN(PART_NUMBER_GENERATOR_TABLE[[#This Row],[Rate Service Discount]:[Flat Service Discount]])</f>
        <v>0</v>
      </c>
      <c r="BO71" s="451" t="str">
        <f>IF(PART_NUMBER_GENERATOR_TABLE[[#This Row],[Quantity]]&lt;&gt;0,MAX($BO$30:BO70)+1,"")</f>
        <v/>
      </c>
      <c r="BP71" t="str">
        <f>PART_NUMBER_GENERATOR_TABLE[[#This Row],[Part Number]]</f>
        <v>A-PS-E-INTHLT-SSE-BH</v>
      </c>
      <c r="BQ71">
        <f>PART_NUMBER_GENERATOR_TABLE[[#This Row],[Total Hours]]</f>
        <v>0</v>
      </c>
      <c r="BR71">
        <f>PART_NUMBER_GENERATOR_TABLE[[#This Row],[Cost Rate]]</f>
        <v>149.91839058446394</v>
      </c>
      <c r="BS71" s="465">
        <f>PART_NUMBER_GENERATOR_TABLE[[#This Row],[Sell Rate]]+(PART_NUMBER_GENERATOR_TABLE[[#This Row],[Sell Rate]]*MIN(PART_NUMBER_GENERATOR_TABLE[[#This Row],[Rate Service Discount]:[Flat Service Discount]]))</f>
        <v>280.5</v>
      </c>
    </row>
    <row r="72" spans="1:71">
      <c r="A72">
        <v>42</v>
      </c>
      <c r="C72" t="s">
        <v>946</v>
      </c>
      <c r="D72" t="str" cm="1">
        <f t="array" ref="D72">INDEX(Table.Settings_Skill.List[Skill Name],MATCH(INDEX(_xlfn.TEXTSPLIT(C72,"-",,TRUE),4),Table.Settings_Skill.List[Skill Code],0),1)</f>
        <v>Integrated Health</v>
      </c>
      <c r="E72" t="str" cm="1">
        <f t="array" ref="E72">INDEX(_xlfn.TEXTSPLIT(C72,"-",,TRUE),5)</f>
        <v>SCE</v>
      </c>
      <c r="F72" t="str">
        <f>IFERROR(INDEX(settings.Table_Engineer.Roles[Department Code],MATCH(PART_NUMBER_GENERATOR_TABLE[[#This Row],[Work Role]],settings.Table_Engineer.Roles[ID],0),1),"PMO")</f>
        <v>ENG</v>
      </c>
      <c r="G72" t="str" cm="1">
        <f t="array" ref="G72">INDEX(_xlfn.TEXTSPLIT(C72,"-",,TRUE),6)</f>
        <v>BH</v>
      </c>
      <c r="H7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7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72" cm="1">
        <f t="array" ref="J72">IF(J$1&lt;&gt;PART_NUMBER_GENERATOR_TABLE[[#This Row],[Work Role]:[Work Role]],0,
IF(RIGHT(J$30,2)&lt;&gt;PART_NUMBER_GENERATOR_TABLE[[#This Row],[Work Type]:[Work Type]],0,
SUMIFS(Input_Tasks[R1 Business Hours],Input_Tasks[[Skill Required]:[Skill Required]],PART_NUMBER_GENERATOR_TABLE[[#This Row],[Tech]:[Tech]])))</f>
        <v>0</v>
      </c>
      <c r="K72" cm="1">
        <f t="array" ref="K72">IF(K$1&lt;&gt;PART_NUMBER_GENERATOR_TABLE[[#This Row],[Work Role]:[Work Role]],0,
IF(RIGHT(K$30,2)&lt;&gt;PART_NUMBER_GENERATOR_TABLE[[#This Row],[Work Type]:[Work Type]],0,
SUMIFS(Input_Tasks[R1 After Hours],Input_Tasks[[Skill Required]:[Skill Required]],PART_NUMBER_GENERATOR_TABLE[[#This Row],[Tech]:[Tech]])))</f>
        <v>0</v>
      </c>
      <c r="L72" cm="1">
        <f t="array" ref="L72">IF(L$1&lt;&gt;PART_NUMBER_GENERATOR_TABLE[[#This Row],[Work Role]:[Work Role]],0,
IF(RIGHT(L$30,2)&lt;&gt;PART_NUMBER_GENERATOR_TABLE[[#This Row],[Work Type]:[Work Type]],0,
SUMIFS(Input_Tasks[R2 Business Hours],Input_Tasks[[Skill Required]:[Skill Required]],PART_NUMBER_GENERATOR_TABLE[[#This Row],[Tech]:[Tech]])))</f>
        <v>0</v>
      </c>
      <c r="M72" cm="1">
        <f t="array" ref="M72">IF(M$1&lt;&gt;PART_NUMBER_GENERATOR_TABLE[[#This Row],[Work Role]:[Work Role]],0,
IF(RIGHT(M$30,2)&lt;&gt;PART_NUMBER_GENERATOR_TABLE[[#This Row],[Work Type]:[Work Type]],0,
SUMIFS(Input_Tasks[R2 After Hours],Input_Tasks[[Skill Required]:[Skill Required]],PART_NUMBER_GENERATOR_TABLE[[#This Row],[Tech]:[Tech]])))</f>
        <v>0</v>
      </c>
      <c r="N72" cm="1">
        <f t="array" ref="N72">IF(N$1&lt;&gt;PART_NUMBER_GENERATOR_TABLE[[#This Row],[Work Role]:[Work Role]],0,
IF(RIGHT(N$30,2)&lt;&gt;PART_NUMBER_GENERATOR_TABLE[[#This Row],[Work Type]:[Work Type]],0,
SUMIFS(Input_Tasks[R3 Business Hours],Input_Tasks[[Skill Required]:[Skill Required]],PART_NUMBER_GENERATOR_TABLE[[#This Row],[Tech]:[Tech]])))</f>
        <v>0</v>
      </c>
      <c r="O72" cm="1">
        <f t="array" ref="O72">IF(O$1&lt;&gt;PART_NUMBER_GENERATOR_TABLE[[#This Row],[Work Role]:[Work Role]],0,
IF(RIGHT(O$30,2)&lt;&gt;PART_NUMBER_GENERATOR_TABLE[[#This Row],[Work Type]:[Work Type]],0,
SUMIFS(Input_Tasks[R3 After Hours],Input_Tasks[[Skill Required]:[Skill Required]],PART_NUMBER_GENERATOR_TABLE[[#This Row],[Tech]:[Tech]])))</f>
        <v>0</v>
      </c>
      <c r="P72" cm="1">
        <f t="array" ref="P72">IF(P$1&lt;&gt;PART_NUMBER_GENERATOR_TABLE[[#This Row],[Work Role]:[Work Role]],0,
IF(RIGHT(P$30,2)&lt;&gt;PART_NUMBER_GENERATOR_TABLE[[#This Row],[Work Type]:[Work Type]],0,
SUMIFS(Input_Tasks[R4 Business Hours],Input_Tasks[[Skill Required]:[Skill Required]],PART_NUMBER_GENERATOR_TABLE[[#This Row],[Tech]:[Tech]])))</f>
        <v>0</v>
      </c>
      <c r="Q72" cm="1">
        <f t="array" ref="Q72">IF(Q$1&lt;&gt;PART_NUMBER_GENERATOR_TABLE[[#This Row],[Work Role]:[Work Role]],0,
IF(RIGHT(Q$30,2)&lt;&gt;PART_NUMBER_GENERATOR_TABLE[[#This Row],[Work Type]:[Work Type]],0,
SUMIFS(Input_Tasks[R4 After Hours],Input_Tasks[[Skill Required]:[Skill Required]],PART_NUMBER_GENERATOR_TABLE[[#This Row],[Tech]:[Tech]])))</f>
        <v>0</v>
      </c>
      <c r="R72" cm="1">
        <f t="array" ref="R72">IF(R$1&lt;&gt;PART_NUMBER_GENERATOR_TABLE[[#This Row],[Work Role]:[Work Role]],0,
IF(RIGHT(R$30,2)&lt;&gt;PART_NUMBER_GENERATOR_TABLE[[#This Row],[Work Type]:[Work Type]],0,
SUMIFS(Input_Tasks[R5 Business Hours],Input_Tasks[[Skill Required]:[Skill Required]],PART_NUMBER_GENERATOR_TABLE[[#This Row],[Tech]:[Tech]])))</f>
        <v>0</v>
      </c>
      <c r="S72" cm="1">
        <f t="array" ref="S72">IF(S$1&lt;&gt;PART_NUMBER_GENERATOR_TABLE[[#This Row],[Work Role]:[Work Role]],0,
IF(RIGHT(S$30,2)&lt;&gt;PART_NUMBER_GENERATOR_TABLE[[#This Row],[Work Type]:[Work Type]],0,
SUMIFS(Input_Tasks[R5 After Hours],Input_Tasks[[Skill Required]:[Skill Required]],PART_NUMBER_GENERATOR_TABLE[[#This Row],[Tech]:[Tech]])))</f>
        <v>0</v>
      </c>
      <c r="T72" cm="1">
        <f t="array" ref="T72">IF(PART_NUMBER_GENERATOR_TABLE[[#This Row],[Work Role]:[Work Role]]&lt;&gt;T$1,0,
IF(PART_NUMBER_GENERATOR_TABLE[[#This Row],[Work Type]:[Work Type]]&lt;&gt;"BH",0,
SUMIFS(T$9:T$24,$M$9:$M$24,PART_NUMBER_GENERATOR_TABLE[[#This Row],[Tech]:[Tech]])))</f>
        <v>0</v>
      </c>
      <c r="U72" cm="1">
        <f t="array" ref="U72">IF(PART_NUMBER_GENERATOR_TABLE[[#This Row],[Work Role]:[Work Role]]&lt;&gt;U$1,0,
IF(PART_NUMBER_GENERATOR_TABLE[[#This Row],[Work Type]:[Work Type]]&lt;&gt;"BH",0,
SUMIFS(U$9:U$24,$M$9:$M$24,PART_NUMBER_GENERATOR_TABLE[[#This Row],[Tech]:[Tech]])))</f>
        <v>0</v>
      </c>
      <c r="V72" cm="1">
        <f t="array" ref="V72">IF(PART_NUMBER_GENERATOR_TABLE[[#This Row],[Work Role]:[Work Role]]&lt;&gt;V$1,0,
IF(PART_NUMBER_GENERATOR_TABLE[[#This Row],[Work Type]:[Work Type]]&lt;&gt;"BH",0,
SUMIFS(V$9:V$24,$M$9:$M$24,PART_NUMBER_GENERATOR_TABLE[[#This Row],[Tech]:[Tech]])))</f>
        <v>0</v>
      </c>
      <c r="W72" cm="1">
        <f t="array" ref="W72">IF(PART_NUMBER_GENERATOR_TABLE[[#This Row],[Work Role]:[Work Role]]&lt;&gt;W$1,0,
IF(PART_NUMBER_GENERATOR_TABLE[[#This Row],[Work Type]:[Work Type]]&lt;&gt;"BH",0,
SUMIFS(W$9:W$24,$M$9:$M$24,PART_NUMBER_GENERATOR_TABLE[[#This Row],[Tech]:[Tech]])))</f>
        <v>0</v>
      </c>
      <c r="X72" cm="1">
        <f t="array" ref="X72">IF(PART_NUMBER_GENERATOR_TABLE[[#This Row],[Work Role]:[Work Role]]&lt;&gt;X$1,0,
IF(PART_NUMBER_GENERATOR_TABLE[[#This Row],[Work Type]:[Work Type]]&lt;&gt;"BH",0,
SUMIFS(X$9:X$24,$M$9:$M$24,PART_NUMBER_GENERATOR_TABLE[[#This Row],[Tech]:[Tech]])))</f>
        <v>0</v>
      </c>
      <c r="Y72" cm="1">
        <f t="array" ref="Y72">IF(PART_NUMBER_GENERATOR_TABLE[[#This Row],[Work Role]:[Work Role]]&lt;&gt;Y$1,0,
IF(PART_NUMBER_GENERATOR_TABLE[[#This Row],[Work Type]:[Work Type]]&lt;&gt;"BH",0,
SUMIFS(Y$9:Y$24,$M$9:$M$24,PART_NUMBER_GENERATOR_TABLE[[#This Row],[Tech]:[Tech]])))</f>
        <v>0</v>
      </c>
      <c r="Z72" cm="1">
        <f t="array" ref="Z72">IF(PART_NUMBER_GENERATOR_TABLE[[#This Row],[Work Role]:[Work Role]]&lt;&gt;Z$1,0,
IF(PART_NUMBER_GENERATOR_TABLE[[#This Row],[Work Type]:[Work Type]]&lt;&gt;"BH",0,
SUMIFS(Z$9:Z$24,$M$9:$M$24,PART_NUMBER_GENERATOR_TABLE[[#This Row],[Tech]:[Tech]])))</f>
        <v>0</v>
      </c>
      <c r="AA72" cm="1">
        <f t="array" ref="AA72">IF(PART_NUMBER_GENERATOR_TABLE[[#This Row],[Work Role]:[Work Role]]&lt;&gt;AA$1,0,
IF(PART_NUMBER_GENERATOR_TABLE[[#This Row],[Work Type]:[Work Type]]&lt;&gt;"BH",0,
SUMIFS(AA$9:AA$24,$M$9:$M$24,PART_NUMBER_GENERATOR_TABLE[[#This Row],[Tech]:[Tech]])))</f>
        <v>0</v>
      </c>
      <c r="AB72" cm="1">
        <f t="array" ref="AB72">IF(PART_NUMBER_GENERATOR_TABLE[[#This Row],[Work Role]:[Work Role]]&lt;&gt;AB$1,0,
IF(PART_NUMBER_GENERATOR_TABLE[[#This Row],[Work Type]:[Work Type]]&lt;&gt;"BH",0,
SUMIFS(AB$9:AB$24,$M$9:$M$24,PART_NUMBER_GENERATOR_TABLE[[#This Row],[Tech]:[Tech]])))</f>
        <v>0</v>
      </c>
      <c r="AC72" cm="1">
        <f t="array" ref="AC72">IF(PART_NUMBER_GENERATOR_TABLE[[#This Row],[Work Role]:[Work Role]]&lt;&gt;AC$1,0,
IF(PART_NUMBER_GENERATOR_TABLE[[#This Row],[Work Type]:[Work Type]]&lt;&gt;"BH",0,
SUMIFS(AC$9:AC$24,$M$9:$M$24,PART_NUMBER_GENERATOR_TABLE[[#This Row],[Tech]:[Tech]])))</f>
        <v>0</v>
      </c>
      <c r="AD72" cm="1">
        <f t="array" ref="AD72">IF(PART_NUMBER_GENERATOR_TABLE[[#This Row],[Work Role]:[Work Role]]&lt;&gt;AD$1,0,
IF(PART_NUMBER_GENERATOR_TABLE[[#This Row],[Work Type]:[Work Type]]&lt;&gt;"BH",0,
SUMIFS(AD$9:AD$24,$M$9:$M$24,PART_NUMBER_GENERATOR_TABLE[[#This Row],[Tech]:[Tech]])))</f>
        <v>0</v>
      </c>
      <c r="AE72" cm="1">
        <f t="array" ref="AE72">IF(PART_NUMBER_GENERATOR_TABLE[[#This Row],[Work Role]:[Work Role]]&lt;&gt;AE$1,0,
IF(PART_NUMBER_GENERATOR_TABLE[[#This Row],[Work Type]:[Work Type]]&lt;&gt;"BH",0,
SUMIFS(AE$9:AE$24,$M$9:$M$24,PART_NUMBER_GENERATOR_TABLE[[#This Row],[Tech]:[Tech]])))</f>
        <v>0</v>
      </c>
      <c r="AF72" cm="1">
        <f t="array" ref="AF72">IF(PART_NUMBER_GENERATOR_TABLE[[#This Row],[Work Role]:[Work Role]]&lt;&gt;AF$1,0,
IF(PART_NUMBER_GENERATOR_TABLE[[#This Row],[Work Type]:[Work Type]]&lt;&gt;"BH",0,
SUMIFS(AF$9:AF$24,$M$9:$M$24,PART_NUMBER_GENERATOR_TABLE[[#This Row],[Tech]:[Tech]])))</f>
        <v>0</v>
      </c>
      <c r="AG72" cm="1">
        <f t="array" ref="AG72">IF(PART_NUMBER_GENERATOR_TABLE[[#This Row],[Work Role]:[Work Role]]&lt;&gt;AG$1,0,
IF(PART_NUMBER_GENERATOR_TABLE[[#This Row],[Work Type]:[Work Type]]&lt;&gt;"AH",0,
SUMIFS(AG$9:AG$24,$M$9:$M$24,PART_NUMBER_GENERATOR_TABLE[[#This Row],[Tech]:[Tech]])))</f>
        <v>0</v>
      </c>
      <c r="AH72" cm="1">
        <f t="array" ref="AH72">IF(PART_NUMBER_GENERATOR_TABLE[[#This Row],[Work Role]:[Work Role]]&lt;&gt;AH$1,0,
IF(PART_NUMBER_GENERATOR_TABLE[[#This Row],[Work Type]:[Work Type]]&lt;&gt;"BH",0,
SUMIFS(AH$9:AH$24,$M$9:$M$24,PART_NUMBER_GENERATOR_TABLE[[#This Row],[Tech]:[Tech]])))</f>
        <v>0</v>
      </c>
      <c r="AI72" cm="1">
        <f t="array" ref="AI72">IF(PART_NUMBER_GENERATOR_TABLE[[#This Row],[Work Role]:[Work Role]]&lt;&gt;AI$1,0,
IF(PART_NUMBER_GENERATOR_TABLE[[#This Row],[Work Type]:[Work Type]]&lt;&gt;"BH",0,
SUMIFS(AI$9:AI$24,$M$9:$M$24,PART_NUMBER_GENERATOR_TABLE[[#This Row],[Tech]:[Tech]])))</f>
        <v>0</v>
      </c>
      <c r="AJ72" cm="1">
        <f t="array" ref="AJ72">IF(PART_NUMBER_GENERATOR_TABLE[[#This Row],[Work Role]:[Work Role]]&lt;&gt;AJ$1,0,
IF(PART_NUMBER_GENERATOR_TABLE[[#This Row],[Work Type]:[Work Type]]&lt;&gt;"BH",0,
SUMIFS(AJ$9:AJ$24,$M$9:$M$24,PART_NUMBER_GENERATOR_TABLE[[#This Row],[Tech]:[Tech]])))</f>
        <v>0</v>
      </c>
      <c r="AK72" cm="1">
        <f t="array" ref="AK72">IF(PART_NUMBER_GENERATOR_TABLE[[#This Row],[Work Role]:[Work Role]]&lt;&gt;AK$1,0,
IF(PART_NUMBER_GENERATOR_TABLE[[#This Row],[Work Type]:[Work Type]]&lt;&gt;"AH",0,
SUMIFS(AK$9:AK$24,$M$9:$M$24,PART_NUMBER_GENERATOR_TABLE[[#This Row],[Tech]:[Tech]])))</f>
        <v>0</v>
      </c>
      <c r="AL72" cm="1">
        <f t="array" ref="AL72">IF(PART_NUMBER_GENERATOR_TABLE[[#This Row],[Work Role]:[Work Role]]&lt;&gt;AL$1,0,
IF(PART_NUMBER_GENERATOR_TABLE[[#This Row],[Work Type]:[Work Type]]&lt;&gt;"BH",0,
SUMIFS(AL$9:AL$24,$M$9:$M$24,PART_NUMBER_GENERATOR_TABLE[[#This Row],[Tech]:[Tech]])))</f>
        <v>0</v>
      </c>
      <c r="AM72">
        <f>0</f>
        <v>0</v>
      </c>
      <c r="AN72" cm="1">
        <f t="array" ref="AN72">IF(PART_NUMBER_GENERATOR_TABLE[[#This Row],[Work Role]:[Work Role]]&lt;&gt;AN$1,0,
IF(PART_NUMBER_GENERATOR_TABLE[[#This Row],[Work Type]:[Work Type]]&lt;&gt;"BH",0,
SUMIFS(AN$24,$AM$24,PART_NUMBER_GENERATOR_TABLE[[#This Row],[Tech]:[Tech]])))</f>
        <v>0</v>
      </c>
      <c r="AO72" cm="1">
        <f t="array" ref="AO72">IF(PART_NUMBER_GENERATOR_TABLE[[#This Row],[Work Role]:[Work Role]]&lt;&gt;AO$1,0,
IF(PART_NUMBER_GENERATOR_TABLE[[#This Row],[Work Type]:[Work Type]]&lt;&gt;"BH",0,
SUMIFS(AO$24,$AM$24,PART_NUMBER_GENERATOR_TABLE[[#This Row],[Tech]:[Tech]])))</f>
        <v>0</v>
      </c>
      <c r="AP72" cm="1">
        <f t="array" ref="AP72">IF(PART_NUMBER_GENERATOR_TABLE[[#This Row],[Work Role]:[Work Role]]&lt;&gt;AP$1,0,
IF(PART_NUMBER_GENERATOR_TABLE[[#This Row],[Work Type]:[Work Type]]&lt;&gt;"BH",0,
SUMIFS(AP$24,$AM$24,PART_NUMBER_GENERATOR_TABLE[[#This Row],[Tech]:[Tech]])))</f>
        <v>0</v>
      </c>
      <c r="AQ72" cm="1">
        <f t="array" ref="AQ72">IF(PART_NUMBER_GENERATOR_TABLE[[#This Row],[Work Role]:[Work Role]]&lt;&gt;AQ$1,0,
IF(PART_NUMBER_GENERATOR_TABLE[[#This Row],[Work Type]:[Work Type]]&lt;&gt;"BH",0,
SUMIFS(AQ$24,$AM$24,PART_NUMBER_GENERATOR_TABLE[[#This Row],[Tech]:[Tech]])))</f>
        <v>0</v>
      </c>
      <c r="AR72" cm="1">
        <f t="array" ref="AR72">IF(PART_NUMBER_GENERATOR_TABLE[[#This Row],[Work Role]:[Work Role]]&lt;&gt;AR$1,0,
IF(PART_NUMBER_GENERATOR_TABLE[[#This Row],[Work Type]:[Work Type]]&lt;&gt;"BH",0,
SUMIFS(AR$24,$AM$24,PART_NUMBER_GENERATOR_TABLE[[#This Row],[Tech]:[Tech]])))</f>
        <v>0</v>
      </c>
      <c r="AS72" cm="1">
        <f t="array" ref="AS72">IF(PART_NUMBER_GENERATOR_TABLE[[#This Row],[Work Role]:[Work Role]]&lt;&gt;AS$1,0,
IF(PART_NUMBER_GENERATOR_TABLE[[#This Row],[Work Type]:[Work Type]]&lt;&gt;"BH",0,
SUMIFS(AS$24,$AM$24,PART_NUMBER_GENERATOR_TABLE[[#This Row],[Tech]:[Tech]])))</f>
        <v>0</v>
      </c>
      <c r="AT72" cm="1">
        <f t="array" ref="AT72">IF(PART_NUMBER_GENERATOR_TABLE[[#This Row],[Work Role]:[Work Role]]&lt;&gt;AS$1,0,
IF(PART_NUMBER_GENERATOR_TABLE[[#This Row],[Work Type]:[Work Type]]&lt;&gt;"BH",0,
SUMIFS(AT$24,$AM$24,PART_NUMBER_GENERATOR_TABLE[[#This Row],[Tech]:[Tech]])))</f>
        <v>0</v>
      </c>
      <c r="AU72">
        <f>SUM(PART_NUMBER_GENERATOR_TABLE[[#This Row],[Resource 1 BH]:[Resource 5 AH]],PART_NUMBER_GENERATOR_TABLE[[#This Row],[R1 Mandatory Tasks]:[R5 Mandatory Tasks]],PART_NUMBER_GENERATOR_TABLE[[#This Row],[R1 Remainder]:[R5 Remainder]])</f>
        <v>0</v>
      </c>
      <c r="AV72">
        <f>PART_NUMBER_GENERATOR_TABLE[[#This Row],[Professional Engineering Hours]]*PART_NUMBER_GENERATOR_TABLE[[#This Row],[Sell Rate]]</f>
        <v>0</v>
      </c>
      <c r="AW72">
        <f>PART_NUMBER_GENERATOR_TABLE[[#This Row],[Professional Engineering Hours]]*PART_NUMBER_GENERATOR_TABLE[[#This Row],[Cost Rate]]</f>
        <v>0</v>
      </c>
      <c r="AX72">
        <f>SUM(PART_NUMBER_GENERATOR_TABLE[[#This Row],[PM Trips]:[R5 Trips]])</f>
        <v>0</v>
      </c>
      <c r="AY72">
        <f>PART_NUMBER_GENERATOR_TABLE[[#This Row],[Travel &amp; Accommodation Hours]]*PART_NUMBER_GENERATOR_TABLE[[#This Row],[Sell Rate]]</f>
        <v>0</v>
      </c>
      <c r="AZ72">
        <f>PART_NUMBER_GENERATOR_TABLE[[#This Row],[Travel &amp; Accommodation Hours]]*PART_NUMBER_GENERATOR_TABLE[[#This Row],[Cost Rate]]</f>
        <v>0</v>
      </c>
      <c r="BA72">
        <f>PART_NUMBER_GENERATOR_TABLE[[#This Row],[PM Hours]]+PART_NUMBER_GENERATOR_TABLE[[#This Row],[PM Remainder]]</f>
        <v>0</v>
      </c>
      <c r="BB72">
        <f>PART_NUMBER_GENERATOR_TABLE[[#This Row],[Project Management Hours]]*PART_NUMBER_GENERATOR_TABLE[[#This Row],[Sell Rate]]</f>
        <v>0</v>
      </c>
      <c r="BC72">
        <f>PART_NUMBER_GENERATOR_TABLE[[#This Row],[Project Management Hours]]*PART_NUMBER_GENERATOR_TABLE[[#This Row],[Cost Rate]]</f>
        <v>0</v>
      </c>
      <c r="BD72">
        <f>SUM(PART_NUMBER_GENERATOR_TABLE[[#This Row],[SSE RISK BH]:[PM RISK]],PART_NUMBER_GENERATOR_TABLE[[#This Row],[SSE Remainder RISK BH]:[PM Remainder RISK]])</f>
        <v>0</v>
      </c>
      <c r="BE72">
        <f>PART_NUMBER_GENERATOR_TABLE[[#This Row],[Project Risk Service Hours]]*PART_NUMBER_GENERATOR_TABLE[[#This Row],[Sell Rate]]</f>
        <v>0</v>
      </c>
      <c r="BF72">
        <f>PART_NUMBER_GENERATOR_TABLE[[#This Row],[Project Risk Service Hours]]*PART_NUMBER_GENERATOR_TABLE[[#This Row],[Cost Rate]]</f>
        <v>0</v>
      </c>
      <c r="BG72">
        <f>PART_NUMBER_GENERATOR_TABLE[[#This Row],[SSE RISK TRAVEL]]</f>
        <v>0</v>
      </c>
      <c r="BH72">
        <f>PART_NUMBER_GENERATOR_TABLE[[#This Row],[Sell Rate]]*PART_NUMBER_GENERATOR_TABLE[[#This Row],[Project Risk Travel Hours]]</f>
        <v>0</v>
      </c>
      <c r="BI72">
        <f>PART_NUMBER_GENERATOR_TABLE[[#This Row],[Project Risk Travel Hours]]*PART_NUMBER_GENERATOR_TABLE[[#This Row],[Cost Rate]]</f>
        <v>0</v>
      </c>
      <c r="BJ7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7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72">
        <f>IFERROR(-VLOOKUP(INDEX(ENGINEER_ROLES,MATCH(PART_NUMBER_GENERATOR_TABLE[[#This Row],[Work Role]],settings.Table_Engineer.Roles[ID],0),1),Settings_Hidden!$H$359:$K$366,4,FALSE),0)</f>
        <v>0</v>
      </c>
      <c r="BM72" s="680">
        <f>-Summary!$C$66</f>
        <v>0</v>
      </c>
      <c r="BN72" s="465">
        <f>PART_NUMBER_GENERATOR_TABLE[[#This Row],[Total Base Price]]*MIN(PART_NUMBER_GENERATOR_TABLE[[#This Row],[Rate Service Discount]:[Flat Service Discount]])</f>
        <v>0</v>
      </c>
      <c r="BO72" s="451" t="str">
        <f>IF(PART_NUMBER_GENERATOR_TABLE[[#This Row],[Quantity]]&lt;&gt;0,MAX($BO$30:BO71)+1,"")</f>
        <v/>
      </c>
      <c r="BP72" t="str">
        <f>PART_NUMBER_GENERATOR_TABLE[[#This Row],[Part Number]]</f>
        <v>A-PS-E-INTHLT-SCE-BH</v>
      </c>
      <c r="BQ72">
        <f>PART_NUMBER_GENERATOR_TABLE[[#This Row],[Total Hours]]</f>
        <v>0</v>
      </c>
      <c r="BR72">
        <f>PART_NUMBER_GENERATOR_TABLE[[#This Row],[Cost Rate]]</f>
        <v>167.61034913968996</v>
      </c>
      <c r="BS72" s="465">
        <f>PART_NUMBER_GENERATOR_TABLE[[#This Row],[Sell Rate]]+(PART_NUMBER_GENERATOR_TABLE[[#This Row],[Sell Rate]]*MIN(PART_NUMBER_GENERATOR_TABLE[[#This Row],[Rate Service Discount]:[Flat Service Discount]]))</f>
        <v>315</v>
      </c>
    </row>
    <row r="73" spans="1:71">
      <c r="A73">
        <v>43</v>
      </c>
      <c r="C73" t="s">
        <v>990</v>
      </c>
      <c r="D73" t="str" cm="1">
        <f t="array" ref="D73">INDEX(Table.Settings_Skill.List[Skill Name],MATCH(INDEX(_xlfn.TEXTSPLIT(C73,"-",,TRUE),4),Table.Settings_Skill.List[Skill Code],0),1)</f>
        <v>Networking</v>
      </c>
      <c r="E73" t="str" cm="1">
        <f t="array" ref="E73">INDEX(_xlfn.TEXTSPLIT(C73,"-",,TRUE),5)</f>
        <v>TA</v>
      </c>
      <c r="F73" t="str">
        <f>IFERROR(INDEX(settings.Table_Engineer.Roles[Department Code],MATCH(PART_NUMBER_GENERATOR_TABLE[[#This Row],[Work Role]],settings.Table_Engineer.Roles[ID],0),1),"PMO")</f>
        <v>ENG</v>
      </c>
      <c r="G73" t="str" cm="1">
        <f t="array" ref="G73">INDEX(_xlfn.TEXTSPLIT(C73,"-",,TRUE),6)</f>
        <v>BH</v>
      </c>
      <c r="H7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155</v>
      </c>
      <c r="I7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81.346799080218702</v>
      </c>
      <c r="J73" cm="1">
        <f t="array" ref="J73">IF(J$1&lt;&gt;PART_NUMBER_GENERATOR_TABLE[[#This Row],[Work Role]:[Work Role]],0,
IF(RIGHT(J$30,2)&lt;&gt;PART_NUMBER_GENERATOR_TABLE[[#This Row],[Work Type]:[Work Type]],0,
SUMIFS(Input_Tasks[R1 Business Hours],Input_Tasks[[Skill Required]:[Skill Required]],PART_NUMBER_GENERATOR_TABLE[[#This Row],[Tech]:[Tech]])))</f>
        <v>0</v>
      </c>
      <c r="K73" cm="1">
        <f t="array" ref="K73">IF(K$1&lt;&gt;PART_NUMBER_GENERATOR_TABLE[[#This Row],[Work Role]:[Work Role]],0,
IF(RIGHT(K$30,2)&lt;&gt;PART_NUMBER_GENERATOR_TABLE[[#This Row],[Work Type]:[Work Type]],0,
SUMIFS(Input_Tasks[R1 After Hours],Input_Tasks[[Skill Required]:[Skill Required]],PART_NUMBER_GENERATOR_TABLE[[#This Row],[Tech]:[Tech]])))</f>
        <v>0</v>
      </c>
      <c r="L73" cm="1">
        <f t="array" ref="L73">IF(L$1&lt;&gt;PART_NUMBER_GENERATOR_TABLE[[#This Row],[Work Role]:[Work Role]],0,
IF(RIGHT(L$30,2)&lt;&gt;PART_NUMBER_GENERATOR_TABLE[[#This Row],[Work Type]:[Work Type]],0,
SUMIFS(Input_Tasks[R2 Business Hours],Input_Tasks[[Skill Required]:[Skill Required]],PART_NUMBER_GENERATOR_TABLE[[#This Row],[Tech]:[Tech]])))</f>
        <v>0</v>
      </c>
      <c r="M73" cm="1">
        <f t="array" ref="M73">IF(M$1&lt;&gt;PART_NUMBER_GENERATOR_TABLE[[#This Row],[Work Role]:[Work Role]],0,
IF(RIGHT(M$30,2)&lt;&gt;PART_NUMBER_GENERATOR_TABLE[[#This Row],[Work Type]:[Work Type]],0,
SUMIFS(Input_Tasks[R2 After Hours],Input_Tasks[[Skill Required]:[Skill Required]],PART_NUMBER_GENERATOR_TABLE[[#This Row],[Tech]:[Tech]])))</f>
        <v>0</v>
      </c>
      <c r="N73" cm="1">
        <f t="array" ref="N73">IF(N$1&lt;&gt;PART_NUMBER_GENERATOR_TABLE[[#This Row],[Work Role]:[Work Role]],0,
IF(RIGHT(N$30,2)&lt;&gt;PART_NUMBER_GENERATOR_TABLE[[#This Row],[Work Type]:[Work Type]],0,
SUMIFS(Input_Tasks[R3 Business Hours],Input_Tasks[[Skill Required]:[Skill Required]],PART_NUMBER_GENERATOR_TABLE[[#This Row],[Tech]:[Tech]])))</f>
        <v>0</v>
      </c>
      <c r="O73" cm="1">
        <f t="array" ref="O73">IF(O$1&lt;&gt;PART_NUMBER_GENERATOR_TABLE[[#This Row],[Work Role]:[Work Role]],0,
IF(RIGHT(O$30,2)&lt;&gt;PART_NUMBER_GENERATOR_TABLE[[#This Row],[Work Type]:[Work Type]],0,
SUMIFS(Input_Tasks[R3 After Hours],Input_Tasks[[Skill Required]:[Skill Required]],PART_NUMBER_GENERATOR_TABLE[[#This Row],[Tech]:[Tech]])))</f>
        <v>0</v>
      </c>
      <c r="P73" cm="1">
        <f t="array" ref="P73">IF(P$1&lt;&gt;PART_NUMBER_GENERATOR_TABLE[[#This Row],[Work Role]:[Work Role]],0,
IF(RIGHT(P$30,2)&lt;&gt;PART_NUMBER_GENERATOR_TABLE[[#This Row],[Work Type]:[Work Type]],0,
SUMIFS(Input_Tasks[R4 Business Hours],Input_Tasks[[Skill Required]:[Skill Required]],PART_NUMBER_GENERATOR_TABLE[[#This Row],[Tech]:[Tech]])))</f>
        <v>0</v>
      </c>
      <c r="Q73" cm="1">
        <f t="array" ref="Q73">IF(Q$1&lt;&gt;PART_NUMBER_GENERATOR_TABLE[[#This Row],[Work Role]:[Work Role]],0,
IF(RIGHT(Q$30,2)&lt;&gt;PART_NUMBER_GENERATOR_TABLE[[#This Row],[Work Type]:[Work Type]],0,
SUMIFS(Input_Tasks[R4 After Hours],Input_Tasks[[Skill Required]:[Skill Required]],PART_NUMBER_GENERATOR_TABLE[[#This Row],[Tech]:[Tech]])))</f>
        <v>0</v>
      </c>
      <c r="R73" cm="1">
        <f t="array" ref="R73">IF(R$1&lt;&gt;PART_NUMBER_GENERATOR_TABLE[[#This Row],[Work Role]:[Work Role]],0,
IF(RIGHT(R$30,2)&lt;&gt;PART_NUMBER_GENERATOR_TABLE[[#This Row],[Work Type]:[Work Type]],0,
SUMIFS(Input_Tasks[R5 Business Hours],Input_Tasks[[Skill Required]:[Skill Required]],PART_NUMBER_GENERATOR_TABLE[[#This Row],[Tech]:[Tech]])))</f>
        <v>0</v>
      </c>
      <c r="S73" cm="1">
        <f t="array" ref="S73">IF(S$1&lt;&gt;PART_NUMBER_GENERATOR_TABLE[[#This Row],[Work Role]:[Work Role]],0,
IF(RIGHT(S$30,2)&lt;&gt;PART_NUMBER_GENERATOR_TABLE[[#This Row],[Work Type]:[Work Type]],0,
SUMIFS(Input_Tasks[R5 After Hours],Input_Tasks[[Skill Required]:[Skill Required]],PART_NUMBER_GENERATOR_TABLE[[#This Row],[Tech]:[Tech]])))</f>
        <v>0</v>
      </c>
      <c r="T73" cm="1">
        <f t="array" ref="T73">IF(PART_NUMBER_GENERATOR_TABLE[[#This Row],[Work Role]:[Work Role]]&lt;&gt;T$1,0,
IF(PART_NUMBER_GENERATOR_TABLE[[#This Row],[Work Type]:[Work Type]]&lt;&gt;"BH",0,
SUMIFS(T$9:T$24,$M$9:$M$24,PART_NUMBER_GENERATOR_TABLE[[#This Row],[Tech]:[Tech]])))</f>
        <v>0</v>
      </c>
      <c r="U73" cm="1">
        <f t="array" ref="U73">IF(PART_NUMBER_GENERATOR_TABLE[[#This Row],[Work Role]:[Work Role]]&lt;&gt;U$1,0,
IF(PART_NUMBER_GENERATOR_TABLE[[#This Row],[Work Type]:[Work Type]]&lt;&gt;"BH",0,
SUMIFS(U$9:U$24,$M$9:$M$24,PART_NUMBER_GENERATOR_TABLE[[#This Row],[Tech]:[Tech]])))</f>
        <v>0</v>
      </c>
      <c r="V73" cm="1">
        <f t="array" ref="V73">IF(PART_NUMBER_GENERATOR_TABLE[[#This Row],[Work Role]:[Work Role]]&lt;&gt;V$1,0,
IF(PART_NUMBER_GENERATOR_TABLE[[#This Row],[Work Type]:[Work Type]]&lt;&gt;"BH",0,
SUMIFS(V$9:V$24,$M$9:$M$24,PART_NUMBER_GENERATOR_TABLE[[#This Row],[Tech]:[Tech]])))</f>
        <v>0</v>
      </c>
      <c r="W73" cm="1">
        <f t="array" ref="W73">IF(PART_NUMBER_GENERATOR_TABLE[[#This Row],[Work Role]:[Work Role]]&lt;&gt;W$1,0,
IF(PART_NUMBER_GENERATOR_TABLE[[#This Row],[Work Type]:[Work Type]]&lt;&gt;"BH",0,
SUMIFS(W$9:W$24,$M$9:$M$24,PART_NUMBER_GENERATOR_TABLE[[#This Row],[Tech]:[Tech]])))</f>
        <v>0</v>
      </c>
      <c r="X73" cm="1">
        <f t="array" ref="X73">IF(PART_NUMBER_GENERATOR_TABLE[[#This Row],[Work Role]:[Work Role]]&lt;&gt;X$1,0,
IF(PART_NUMBER_GENERATOR_TABLE[[#This Row],[Work Type]:[Work Type]]&lt;&gt;"BH",0,
SUMIFS(X$9:X$24,$M$9:$M$24,PART_NUMBER_GENERATOR_TABLE[[#This Row],[Tech]:[Tech]])))</f>
        <v>0</v>
      </c>
      <c r="Y73" cm="1">
        <f t="array" ref="Y73">IF(PART_NUMBER_GENERATOR_TABLE[[#This Row],[Work Role]:[Work Role]]&lt;&gt;Y$1,0,
IF(PART_NUMBER_GENERATOR_TABLE[[#This Row],[Work Type]:[Work Type]]&lt;&gt;"BH",0,
SUMIFS(Y$9:Y$24,$M$9:$M$24,PART_NUMBER_GENERATOR_TABLE[[#This Row],[Tech]:[Tech]])))</f>
        <v>0</v>
      </c>
      <c r="Z73" cm="1">
        <f t="array" ref="Z73">IF(PART_NUMBER_GENERATOR_TABLE[[#This Row],[Work Role]:[Work Role]]&lt;&gt;Z$1,0,
IF(PART_NUMBER_GENERATOR_TABLE[[#This Row],[Work Type]:[Work Type]]&lt;&gt;"BH",0,
SUMIFS(Z$9:Z$24,$M$9:$M$24,PART_NUMBER_GENERATOR_TABLE[[#This Row],[Tech]:[Tech]])))</f>
        <v>0</v>
      </c>
      <c r="AA73" cm="1">
        <f t="array" ref="AA73">IF(PART_NUMBER_GENERATOR_TABLE[[#This Row],[Work Role]:[Work Role]]&lt;&gt;AA$1,0,
IF(PART_NUMBER_GENERATOR_TABLE[[#This Row],[Work Type]:[Work Type]]&lt;&gt;"BH",0,
SUMIFS(AA$9:AA$24,$M$9:$M$24,PART_NUMBER_GENERATOR_TABLE[[#This Row],[Tech]:[Tech]])))</f>
        <v>0</v>
      </c>
      <c r="AB73" cm="1">
        <f t="array" ref="AB73">IF(PART_NUMBER_GENERATOR_TABLE[[#This Row],[Work Role]:[Work Role]]&lt;&gt;AB$1,0,
IF(PART_NUMBER_GENERATOR_TABLE[[#This Row],[Work Type]:[Work Type]]&lt;&gt;"BH",0,
SUMIFS(AB$9:AB$24,$M$9:$M$24,PART_NUMBER_GENERATOR_TABLE[[#This Row],[Tech]:[Tech]])))</f>
        <v>0</v>
      </c>
      <c r="AC73" cm="1">
        <f t="array" ref="AC73">IF(PART_NUMBER_GENERATOR_TABLE[[#This Row],[Work Role]:[Work Role]]&lt;&gt;AC$1,0,
IF(PART_NUMBER_GENERATOR_TABLE[[#This Row],[Work Type]:[Work Type]]&lt;&gt;"BH",0,
SUMIFS(AC$9:AC$24,$M$9:$M$24,PART_NUMBER_GENERATOR_TABLE[[#This Row],[Tech]:[Tech]])))</f>
        <v>0</v>
      </c>
      <c r="AD73" cm="1">
        <f t="array" ref="AD73">IF(PART_NUMBER_GENERATOR_TABLE[[#This Row],[Work Role]:[Work Role]]&lt;&gt;AD$1,0,
IF(PART_NUMBER_GENERATOR_TABLE[[#This Row],[Work Type]:[Work Type]]&lt;&gt;"BH",0,
SUMIFS(AD$9:AD$24,$M$9:$M$24,PART_NUMBER_GENERATOR_TABLE[[#This Row],[Tech]:[Tech]])))</f>
        <v>0</v>
      </c>
      <c r="AE73" cm="1">
        <f t="array" ref="AE73">IF(PART_NUMBER_GENERATOR_TABLE[[#This Row],[Work Role]:[Work Role]]&lt;&gt;AE$1,0,
IF(PART_NUMBER_GENERATOR_TABLE[[#This Row],[Work Type]:[Work Type]]&lt;&gt;"BH",0,
SUMIFS(AE$9:AE$24,$M$9:$M$24,PART_NUMBER_GENERATOR_TABLE[[#This Row],[Tech]:[Tech]])))</f>
        <v>0</v>
      </c>
      <c r="AF73" cm="1">
        <f t="array" ref="AF73">IF(PART_NUMBER_GENERATOR_TABLE[[#This Row],[Work Role]:[Work Role]]&lt;&gt;AF$1,0,
IF(PART_NUMBER_GENERATOR_TABLE[[#This Row],[Work Type]:[Work Type]]&lt;&gt;"BH",0,
SUMIFS(AF$9:AF$24,$M$9:$M$24,PART_NUMBER_GENERATOR_TABLE[[#This Row],[Tech]:[Tech]])))</f>
        <v>0</v>
      </c>
      <c r="AG73" cm="1">
        <f t="array" ref="AG73">IF(PART_NUMBER_GENERATOR_TABLE[[#This Row],[Work Role]:[Work Role]]&lt;&gt;AG$1,0,
IF(PART_NUMBER_GENERATOR_TABLE[[#This Row],[Work Type]:[Work Type]]&lt;&gt;"AH",0,
SUMIFS(AG$9:AG$24,$M$9:$M$24,PART_NUMBER_GENERATOR_TABLE[[#This Row],[Tech]:[Tech]])))</f>
        <v>0</v>
      </c>
      <c r="AH73" cm="1">
        <f t="array" ref="AH73">IF(PART_NUMBER_GENERATOR_TABLE[[#This Row],[Work Role]:[Work Role]]&lt;&gt;AH$1,0,
IF(PART_NUMBER_GENERATOR_TABLE[[#This Row],[Work Type]:[Work Type]]&lt;&gt;"BH",0,
SUMIFS(AH$9:AH$24,$M$9:$M$24,PART_NUMBER_GENERATOR_TABLE[[#This Row],[Tech]:[Tech]])))</f>
        <v>0</v>
      </c>
      <c r="AI73" cm="1">
        <f t="array" ref="AI73">IF(PART_NUMBER_GENERATOR_TABLE[[#This Row],[Work Role]:[Work Role]]&lt;&gt;AI$1,0,
IF(PART_NUMBER_GENERATOR_TABLE[[#This Row],[Work Type]:[Work Type]]&lt;&gt;"BH",0,
SUMIFS(AI$9:AI$24,$M$9:$M$24,PART_NUMBER_GENERATOR_TABLE[[#This Row],[Tech]:[Tech]])))</f>
        <v>0</v>
      </c>
      <c r="AJ73" cm="1">
        <f t="array" ref="AJ73">IF(PART_NUMBER_GENERATOR_TABLE[[#This Row],[Work Role]:[Work Role]]&lt;&gt;AJ$1,0,
IF(PART_NUMBER_GENERATOR_TABLE[[#This Row],[Work Type]:[Work Type]]&lt;&gt;"BH",0,
SUMIFS(AJ$9:AJ$24,$M$9:$M$24,PART_NUMBER_GENERATOR_TABLE[[#This Row],[Tech]:[Tech]])))</f>
        <v>0</v>
      </c>
      <c r="AK73" cm="1">
        <f t="array" ref="AK73">IF(PART_NUMBER_GENERATOR_TABLE[[#This Row],[Work Role]:[Work Role]]&lt;&gt;AK$1,0,
IF(PART_NUMBER_GENERATOR_TABLE[[#This Row],[Work Type]:[Work Type]]&lt;&gt;"AH",0,
SUMIFS(AK$9:AK$24,$M$9:$M$24,PART_NUMBER_GENERATOR_TABLE[[#This Row],[Tech]:[Tech]])))</f>
        <v>0</v>
      </c>
      <c r="AL73" cm="1">
        <f t="array" ref="AL73">IF(PART_NUMBER_GENERATOR_TABLE[[#This Row],[Work Role]:[Work Role]]&lt;&gt;AL$1,0,
IF(PART_NUMBER_GENERATOR_TABLE[[#This Row],[Work Type]:[Work Type]]&lt;&gt;"BH",0,
SUMIFS(AL$9:AL$24,$M$9:$M$24,PART_NUMBER_GENERATOR_TABLE[[#This Row],[Tech]:[Tech]])))</f>
        <v>0</v>
      </c>
      <c r="AM73">
        <f>0</f>
        <v>0</v>
      </c>
      <c r="AN73" cm="1">
        <f t="array" ref="AN73">IF(PART_NUMBER_GENERATOR_TABLE[[#This Row],[Work Role]:[Work Role]]&lt;&gt;AN$1,0,
IF(PART_NUMBER_GENERATOR_TABLE[[#This Row],[Work Type]:[Work Type]]&lt;&gt;"BH",0,
SUMIFS(AN$24,$AM$24,PART_NUMBER_GENERATOR_TABLE[[#This Row],[Tech]:[Tech]])))</f>
        <v>0</v>
      </c>
      <c r="AO73" cm="1">
        <f t="array" ref="AO73">IF(PART_NUMBER_GENERATOR_TABLE[[#This Row],[Work Role]:[Work Role]]&lt;&gt;AO$1,0,
IF(PART_NUMBER_GENERATOR_TABLE[[#This Row],[Work Type]:[Work Type]]&lt;&gt;"BH",0,
SUMIFS(AO$24,$AM$24,PART_NUMBER_GENERATOR_TABLE[[#This Row],[Tech]:[Tech]])))</f>
        <v>0</v>
      </c>
      <c r="AP73" cm="1">
        <f t="array" ref="AP73">IF(PART_NUMBER_GENERATOR_TABLE[[#This Row],[Work Role]:[Work Role]]&lt;&gt;AP$1,0,
IF(PART_NUMBER_GENERATOR_TABLE[[#This Row],[Work Type]:[Work Type]]&lt;&gt;"BH",0,
SUMIFS(AP$24,$AM$24,PART_NUMBER_GENERATOR_TABLE[[#This Row],[Tech]:[Tech]])))</f>
        <v>0</v>
      </c>
      <c r="AQ73" cm="1">
        <f t="array" ref="AQ73">IF(PART_NUMBER_GENERATOR_TABLE[[#This Row],[Work Role]:[Work Role]]&lt;&gt;AQ$1,0,
IF(PART_NUMBER_GENERATOR_TABLE[[#This Row],[Work Type]:[Work Type]]&lt;&gt;"BH",0,
SUMIFS(AQ$24,$AM$24,PART_NUMBER_GENERATOR_TABLE[[#This Row],[Tech]:[Tech]])))</f>
        <v>0</v>
      </c>
      <c r="AR73" cm="1">
        <f t="array" ref="AR73">IF(PART_NUMBER_GENERATOR_TABLE[[#This Row],[Work Role]:[Work Role]]&lt;&gt;AR$1,0,
IF(PART_NUMBER_GENERATOR_TABLE[[#This Row],[Work Type]:[Work Type]]&lt;&gt;"BH",0,
SUMIFS(AR$24,$AM$24,PART_NUMBER_GENERATOR_TABLE[[#This Row],[Tech]:[Tech]])))</f>
        <v>0</v>
      </c>
      <c r="AS73" cm="1">
        <f t="array" ref="AS73">IF(PART_NUMBER_GENERATOR_TABLE[[#This Row],[Work Role]:[Work Role]]&lt;&gt;AS$1,0,
IF(PART_NUMBER_GENERATOR_TABLE[[#This Row],[Work Type]:[Work Type]]&lt;&gt;"BH",0,
SUMIFS(AS$24,$AM$24,PART_NUMBER_GENERATOR_TABLE[[#This Row],[Tech]:[Tech]])))</f>
        <v>0</v>
      </c>
      <c r="AT73" cm="1">
        <f t="array" ref="AT73">IF(PART_NUMBER_GENERATOR_TABLE[[#This Row],[Work Role]:[Work Role]]&lt;&gt;AS$1,0,
IF(PART_NUMBER_GENERATOR_TABLE[[#This Row],[Work Type]:[Work Type]]&lt;&gt;"BH",0,
SUMIFS(AT$24,$AM$24,PART_NUMBER_GENERATOR_TABLE[[#This Row],[Tech]:[Tech]])))</f>
        <v>0</v>
      </c>
      <c r="AU73">
        <f>SUM(PART_NUMBER_GENERATOR_TABLE[[#This Row],[Resource 1 BH]:[Resource 5 AH]],PART_NUMBER_GENERATOR_TABLE[[#This Row],[R1 Mandatory Tasks]:[R5 Mandatory Tasks]],PART_NUMBER_GENERATOR_TABLE[[#This Row],[R1 Remainder]:[R5 Remainder]])</f>
        <v>0</v>
      </c>
      <c r="AV73">
        <f>PART_NUMBER_GENERATOR_TABLE[[#This Row],[Professional Engineering Hours]]*PART_NUMBER_GENERATOR_TABLE[[#This Row],[Sell Rate]]</f>
        <v>0</v>
      </c>
      <c r="AW73">
        <f>PART_NUMBER_GENERATOR_TABLE[[#This Row],[Professional Engineering Hours]]*PART_NUMBER_GENERATOR_TABLE[[#This Row],[Cost Rate]]</f>
        <v>0</v>
      </c>
      <c r="AX73">
        <f>SUM(PART_NUMBER_GENERATOR_TABLE[[#This Row],[PM Trips]:[R5 Trips]])</f>
        <v>0</v>
      </c>
      <c r="AY73">
        <f>PART_NUMBER_GENERATOR_TABLE[[#This Row],[Travel &amp; Accommodation Hours]]*PART_NUMBER_GENERATOR_TABLE[[#This Row],[Sell Rate]]</f>
        <v>0</v>
      </c>
      <c r="AZ73">
        <f>PART_NUMBER_GENERATOR_TABLE[[#This Row],[Travel &amp; Accommodation Hours]]*PART_NUMBER_GENERATOR_TABLE[[#This Row],[Cost Rate]]</f>
        <v>0</v>
      </c>
      <c r="BA73">
        <f>PART_NUMBER_GENERATOR_TABLE[[#This Row],[PM Hours]]+PART_NUMBER_GENERATOR_TABLE[[#This Row],[PM Remainder]]</f>
        <v>0</v>
      </c>
      <c r="BB73">
        <f>PART_NUMBER_GENERATOR_TABLE[[#This Row],[Project Management Hours]]*PART_NUMBER_GENERATOR_TABLE[[#This Row],[Sell Rate]]</f>
        <v>0</v>
      </c>
      <c r="BC73">
        <f>PART_NUMBER_GENERATOR_TABLE[[#This Row],[Project Management Hours]]*PART_NUMBER_GENERATOR_TABLE[[#This Row],[Cost Rate]]</f>
        <v>0</v>
      </c>
      <c r="BD73">
        <f>SUM(PART_NUMBER_GENERATOR_TABLE[[#This Row],[SSE RISK BH]:[PM RISK]],PART_NUMBER_GENERATOR_TABLE[[#This Row],[SSE Remainder RISK BH]:[PM Remainder RISK]])</f>
        <v>0</v>
      </c>
      <c r="BE73">
        <f>PART_NUMBER_GENERATOR_TABLE[[#This Row],[Project Risk Service Hours]]*PART_NUMBER_GENERATOR_TABLE[[#This Row],[Sell Rate]]</f>
        <v>0</v>
      </c>
      <c r="BF73">
        <f>PART_NUMBER_GENERATOR_TABLE[[#This Row],[Project Risk Service Hours]]*PART_NUMBER_GENERATOR_TABLE[[#This Row],[Cost Rate]]</f>
        <v>0</v>
      </c>
      <c r="BG73">
        <f>PART_NUMBER_GENERATOR_TABLE[[#This Row],[SSE RISK TRAVEL]]</f>
        <v>0</v>
      </c>
      <c r="BH73">
        <f>PART_NUMBER_GENERATOR_TABLE[[#This Row],[Sell Rate]]*PART_NUMBER_GENERATOR_TABLE[[#This Row],[Project Risk Travel Hours]]</f>
        <v>0</v>
      </c>
      <c r="BI73">
        <f>PART_NUMBER_GENERATOR_TABLE[[#This Row],[Project Risk Travel Hours]]*PART_NUMBER_GENERATOR_TABLE[[#This Row],[Cost Rate]]</f>
        <v>0</v>
      </c>
      <c r="BJ7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7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73">
        <f>IFERROR(-VLOOKUP(INDEX(ENGINEER_ROLES,MATCH(PART_NUMBER_GENERATOR_TABLE[[#This Row],[Work Role]],settings.Table_Engineer.Roles[ID],0),1),Settings_Hidden!$H$359:$K$366,4,FALSE),0)</f>
        <v>0</v>
      </c>
      <c r="BM73" s="680">
        <f>-Summary!$C$66</f>
        <v>0</v>
      </c>
      <c r="BN73" s="465">
        <f>PART_NUMBER_GENERATOR_TABLE[[#This Row],[Total Base Price]]*MIN(PART_NUMBER_GENERATOR_TABLE[[#This Row],[Rate Service Discount]:[Flat Service Discount]])</f>
        <v>0</v>
      </c>
      <c r="BO73" s="451" t="str">
        <f>IF(PART_NUMBER_GENERATOR_TABLE[[#This Row],[Quantity]]&lt;&gt;0,MAX($BO$30:BO72)+1,"")</f>
        <v/>
      </c>
      <c r="BP73" t="str">
        <f>PART_NUMBER_GENERATOR_TABLE[[#This Row],[Part Number]]</f>
        <v>A-PS-E-NETWRK-TA-BH</v>
      </c>
      <c r="BQ73">
        <f>PART_NUMBER_GENERATOR_TABLE[[#This Row],[Total Hours]]</f>
        <v>0</v>
      </c>
      <c r="BR73">
        <f>PART_NUMBER_GENERATOR_TABLE[[#This Row],[Cost Rate]]</f>
        <v>81.346799080218702</v>
      </c>
      <c r="BS73" s="465">
        <f>PART_NUMBER_GENERATOR_TABLE[[#This Row],[Sell Rate]]+(PART_NUMBER_GENERATOR_TABLE[[#This Row],[Sell Rate]]*MIN(PART_NUMBER_GENERATOR_TABLE[[#This Row],[Rate Service Discount]:[Flat Service Discount]]))</f>
        <v>155</v>
      </c>
    </row>
    <row r="74" spans="1:71">
      <c r="A74">
        <v>44</v>
      </c>
      <c r="C74" t="s">
        <v>986</v>
      </c>
      <c r="D74" t="str" cm="1">
        <f t="array" ref="D74">INDEX(Table.Settings_Skill.List[Skill Name],MATCH(INDEX(_xlfn.TEXTSPLIT(C74,"-",,TRUE),4),Table.Settings_Skill.List[Skill Code],0),1)</f>
        <v>Networking</v>
      </c>
      <c r="E74" t="str" cm="1">
        <f t="array" ref="E74">INDEX(_xlfn.TEXTSPLIT(C74,"-",,TRUE),5)</f>
        <v>SE</v>
      </c>
      <c r="F74" t="str">
        <f>IFERROR(INDEX(settings.Table_Engineer.Roles[Department Code],MATCH(PART_NUMBER_GENERATOR_TABLE[[#This Row],[Work Role]],settings.Table_Engineer.Roles[ID],0),1),"PMO")</f>
        <v>ENG</v>
      </c>
      <c r="G74" t="str" cm="1">
        <f t="array" ref="G74">INDEX(_xlfn.TEXTSPLIT(C74,"-",,TRUE),6)</f>
        <v>BH</v>
      </c>
      <c r="H7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7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74" cm="1">
        <f t="array" ref="J74">IF(J$1&lt;&gt;PART_NUMBER_GENERATOR_TABLE[[#This Row],[Work Role]:[Work Role]],0,
IF(RIGHT(J$30,2)&lt;&gt;PART_NUMBER_GENERATOR_TABLE[[#This Row],[Work Type]:[Work Type]],0,
SUMIFS(Input_Tasks[R1 Business Hours],Input_Tasks[[Skill Required]:[Skill Required]],PART_NUMBER_GENERATOR_TABLE[[#This Row],[Tech]:[Tech]])))</f>
        <v>0</v>
      </c>
      <c r="K74" cm="1">
        <f t="array" ref="K74">IF(K$1&lt;&gt;PART_NUMBER_GENERATOR_TABLE[[#This Row],[Work Role]:[Work Role]],0,
IF(RIGHT(K$30,2)&lt;&gt;PART_NUMBER_GENERATOR_TABLE[[#This Row],[Work Type]:[Work Type]],0,
SUMIFS(Input_Tasks[R1 After Hours],Input_Tasks[[Skill Required]:[Skill Required]],PART_NUMBER_GENERATOR_TABLE[[#This Row],[Tech]:[Tech]])))</f>
        <v>0</v>
      </c>
      <c r="L74" cm="1">
        <f t="array" ref="L74">IF(L$1&lt;&gt;PART_NUMBER_GENERATOR_TABLE[[#This Row],[Work Role]:[Work Role]],0,
IF(RIGHT(L$30,2)&lt;&gt;PART_NUMBER_GENERATOR_TABLE[[#This Row],[Work Type]:[Work Type]],0,
SUMIFS(Input_Tasks[R2 Business Hours],Input_Tasks[[Skill Required]:[Skill Required]],PART_NUMBER_GENERATOR_TABLE[[#This Row],[Tech]:[Tech]])))</f>
        <v>0</v>
      </c>
      <c r="M74" cm="1">
        <f t="array" ref="M74">IF(M$1&lt;&gt;PART_NUMBER_GENERATOR_TABLE[[#This Row],[Work Role]:[Work Role]],0,
IF(RIGHT(M$30,2)&lt;&gt;PART_NUMBER_GENERATOR_TABLE[[#This Row],[Work Type]:[Work Type]],0,
SUMIFS(Input_Tasks[R2 After Hours],Input_Tasks[[Skill Required]:[Skill Required]],PART_NUMBER_GENERATOR_TABLE[[#This Row],[Tech]:[Tech]])))</f>
        <v>0</v>
      </c>
      <c r="N74" cm="1">
        <f t="array" ref="N74">IF(N$1&lt;&gt;PART_NUMBER_GENERATOR_TABLE[[#This Row],[Work Role]:[Work Role]],0,
IF(RIGHT(N$30,2)&lt;&gt;PART_NUMBER_GENERATOR_TABLE[[#This Row],[Work Type]:[Work Type]],0,
SUMIFS(Input_Tasks[R3 Business Hours],Input_Tasks[[Skill Required]:[Skill Required]],PART_NUMBER_GENERATOR_TABLE[[#This Row],[Tech]:[Tech]])))</f>
        <v>0</v>
      </c>
      <c r="O74" cm="1">
        <f t="array" ref="O74">IF(O$1&lt;&gt;PART_NUMBER_GENERATOR_TABLE[[#This Row],[Work Role]:[Work Role]],0,
IF(RIGHT(O$30,2)&lt;&gt;PART_NUMBER_GENERATOR_TABLE[[#This Row],[Work Type]:[Work Type]],0,
SUMIFS(Input_Tasks[R3 After Hours],Input_Tasks[[Skill Required]:[Skill Required]],PART_NUMBER_GENERATOR_TABLE[[#This Row],[Tech]:[Tech]])))</f>
        <v>0</v>
      </c>
      <c r="P74" cm="1">
        <f t="array" ref="P74">IF(P$1&lt;&gt;PART_NUMBER_GENERATOR_TABLE[[#This Row],[Work Role]:[Work Role]],0,
IF(RIGHT(P$30,2)&lt;&gt;PART_NUMBER_GENERATOR_TABLE[[#This Row],[Work Type]:[Work Type]],0,
SUMIFS(Input_Tasks[R4 Business Hours],Input_Tasks[[Skill Required]:[Skill Required]],PART_NUMBER_GENERATOR_TABLE[[#This Row],[Tech]:[Tech]])))</f>
        <v>0</v>
      </c>
      <c r="Q74" cm="1">
        <f t="array" ref="Q74">IF(Q$1&lt;&gt;PART_NUMBER_GENERATOR_TABLE[[#This Row],[Work Role]:[Work Role]],0,
IF(RIGHT(Q$30,2)&lt;&gt;PART_NUMBER_GENERATOR_TABLE[[#This Row],[Work Type]:[Work Type]],0,
SUMIFS(Input_Tasks[R4 After Hours],Input_Tasks[[Skill Required]:[Skill Required]],PART_NUMBER_GENERATOR_TABLE[[#This Row],[Tech]:[Tech]])))</f>
        <v>0</v>
      </c>
      <c r="R74" cm="1">
        <f t="array" ref="R74">IF(R$1&lt;&gt;PART_NUMBER_GENERATOR_TABLE[[#This Row],[Work Role]:[Work Role]],0,
IF(RIGHT(R$30,2)&lt;&gt;PART_NUMBER_GENERATOR_TABLE[[#This Row],[Work Type]:[Work Type]],0,
SUMIFS(Input_Tasks[R5 Business Hours],Input_Tasks[[Skill Required]:[Skill Required]],PART_NUMBER_GENERATOR_TABLE[[#This Row],[Tech]:[Tech]])))</f>
        <v>0</v>
      </c>
      <c r="S74" cm="1">
        <f t="array" ref="S74">IF(S$1&lt;&gt;PART_NUMBER_GENERATOR_TABLE[[#This Row],[Work Role]:[Work Role]],0,
IF(RIGHT(S$30,2)&lt;&gt;PART_NUMBER_GENERATOR_TABLE[[#This Row],[Work Type]:[Work Type]],0,
SUMIFS(Input_Tasks[R5 After Hours],Input_Tasks[[Skill Required]:[Skill Required]],PART_NUMBER_GENERATOR_TABLE[[#This Row],[Tech]:[Tech]])))</f>
        <v>0</v>
      </c>
      <c r="T74" cm="1">
        <f t="array" ref="T74">IF(PART_NUMBER_GENERATOR_TABLE[[#This Row],[Work Role]:[Work Role]]&lt;&gt;T$1,0,
IF(PART_NUMBER_GENERATOR_TABLE[[#This Row],[Work Type]:[Work Type]]&lt;&gt;"BH",0,
SUMIFS(T$9:T$24,$M$9:$M$24,PART_NUMBER_GENERATOR_TABLE[[#This Row],[Tech]:[Tech]])))</f>
        <v>0</v>
      </c>
      <c r="U74" cm="1">
        <f t="array" ref="U74">IF(PART_NUMBER_GENERATOR_TABLE[[#This Row],[Work Role]:[Work Role]]&lt;&gt;U$1,0,
IF(PART_NUMBER_GENERATOR_TABLE[[#This Row],[Work Type]:[Work Type]]&lt;&gt;"BH",0,
SUMIFS(U$9:U$24,$M$9:$M$24,PART_NUMBER_GENERATOR_TABLE[[#This Row],[Tech]:[Tech]])))</f>
        <v>0</v>
      </c>
      <c r="V74" cm="1">
        <f t="array" ref="V74">IF(PART_NUMBER_GENERATOR_TABLE[[#This Row],[Work Role]:[Work Role]]&lt;&gt;V$1,0,
IF(PART_NUMBER_GENERATOR_TABLE[[#This Row],[Work Type]:[Work Type]]&lt;&gt;"BH",0,
SUMIFS(V$9:V$24,$M$9:$M$24,PART_NUMBER_GENERATOR_TABLE[[#This Row],[Tech]:[Tech]])))</f>
        <v>0</v>
      </c>
      <c r="W74" cm="1">
        <f t="array" ref="W74">IF(PART_NUMBER_GENERATOR_TABLE[[#This Row],[Work Role]:[Work Role]]&lt;&gt;W$1,0,
IF(PART_NUMBER_GENERATOR_TABLE[[#This Row],[Work Type]:[Work Type]]&lt;&gt;"BH",0,
SUMIFS(W$9:W$24,$M$9:$M$24,PART_NUMBER_GENERATOR_TABLE[[#This Row],[Tech]:[Tech]])))</f>
        <v>0</v>
      </c>
      <c r="X74" cm="1">
        <f t="array" ref="X74">IF(PART_NUMBER_GENERATOR_TABLE[[#This Row],[Work Role]:[Work Role]]&lt;&gt;X$1,0,
IF(PART_NUMBER_GENERATOR_TABLE[[#This Row],[Work Type]:[Work Type]]&lt;&gt;"BH",0,
SUMIFS(X$9:X$24,$M$9:$M$24,PART_NUMBER_GENERATOR_TABLE[[#This Row],[Tech]:[Tech]])))</f>
        <v>0</v>
      </c>
      <c r="Y74" cm="1">
        <f t="array" ref="Y74">IF(PART_NUMBER_GENERATOR_TABLE[[#This Row],[Work Role]:[Work Role]]&lt;&gt;Y$1,0,
IF(PART_NUMBER_GENERATOR_TABLE[[#This Row],[Work Type]:[Work Type]]&lt;&gt;"BH",0,
SUMIFS(Y$9:Y$24,$M$9:$M$24,PART_NUMBER_GENERATOR_TABLE[[#This Row],[Tech]:[Tech]])))</f>
        <v>0</v>
      </c>
      <c r="Z74" cm="1">
        <f t="array" ref="Z74">IF(PART_NUMBER_GENERATOR_TABLE[[#This Row],[Work Role]:[Work Role]]&lt;&gt;Z$1,0,
IF(PART_NUMBER_GENERATOR_TABLE[[#This Row],[Work Type]:[Work Type]]&lt;&gt;"BH",0,
SUMIFS(Z$9:Z$24,$M$9:$M$24,PART_NUMBER_GENERATOR_TABLE[[#This Row],[Tech]:[Tech]])))</f>
        <v>0</v>
      </c>
      <c r="AA74" cm="1">
        <f t="array" ref="AA74">IF(PART_NUMBER_GENERATOR_TABLE[[#This Row],[Work Role]:[Work Role]]&lt;&gt;AA$1,0,
IF(PART_NUMBER_GENERATOR_TABLE[[#This Row],[Work Type]:[Work Type]]&lt;&gt;"BH",0,
SUMIFS(AA$9:AA$24,$M$9:$M$24,PART_NUMBER_GENERATOR_TABLE[[#This Row],[Tech]:[Tech]])))</f>
        <v>0</v>
      </c>
      <c r="AB74" cm="1">
        <f t="array" ref="AB74">IF(PART_NUMBER_GENERATOR_TABLE[[#This Row],[Work Role]:[Work Role]]&lt;&gt;AB$1,0,
IF(PART_NUMBER_GENERATOR_TABLE[[#This Row],[Work Type]:[Work Type]]&lt;&gt;"BH",0,
SUMIFS(AB$9:AB$24,$M$9:$M$24,PART_NUMBER_GENERATOR_TABLE[[#This Row],[Tech]:[Tech]])))</f>
        <v>0</v>
      </c>
      <c r="AC74" cm="1">
        <f t="array" ref="AC74">IF(PART_NUMBER_GENERATOR_TABLE[[#This Row],[Work Role]:[Work Role]]&lt;&gt;AC$1,0,
IF(PART_NUMBER_GENERATOR_TABLE[[#This Row],[Work Type]:[Work Type]]&lt;&gt;"BH",0,
SUMIFS(AC$9:AC$24,$M$9:$M$24,PART_NUMBER_GENERATOR_TABLE[[#This Row],[Tech]:[Tech]])))</f>
        <v>0</v>
      </c>
      <c r="AD74" cm="1">
        <f t="array" ref="AD74">IF(PART_NUMBER_GENERATOR_TABLE[[#This Row],[Work Role]:[Work Role]]&lt;&gt;AD$1,0,
IF(PART_NUMBER_GENERATOR_TABLE[[#This Row],[Work Type]:[Work Type]]&lt;&gt;"BH",0,
SUMIFS(AD$9:AD$24,$M$9:$M$24,PART_NUMBER_GENERATOR_TABLE[[#This Row],[Tech]:[Tech]])))</f>
        <v>0</v>
      </c>
      <c r="AE74" cm="1">
        <f t="array" ref="AE74">IF(PART_NUMBER_GENERATOR_TABLE[[#This Row],[Work Role]:[Work Role]]&lt;&gt;AE$1,0,
IF(PART_NUMBER_GENERATOR_TABLE[[#This Row],[Work Type]:[Work Type]]&lt;&gt;"BH",0,
SUMIFS(AE$9:AE$24,$M$9:$M$24,PART_NUMBER_GENERATOR_TABLE[[#This Row],[Tech]:[Tech]])))</f>
        <v>0</v>
      </c>
      <c r="AF74" cm="1">
        <f t="array" ref="AF74">IF(PART_NUMBER_GENERATOR_TABLE[[#This Row],[Work Role]:[Work Role]]&lt;&gt;AF$1,0,
IF(PART_NUMBER_GENERATOR_TABLE[[#This Row],[Work Type]:[Work Type]]&lt;&gt;"BH",0,
SUMIFS(AF$9:AF$24,$M$9:$M$24,PART_NUMBER_GENERATOR_TABLE[[#This Row],[Tech]:[Tech]])))</f>
        <v>0</v>
      </c>
      <c r="AG74" cm="1">
        <f t="array" ref="AG74">IF(PART_NUMBER_GENERATOR_TABLE[[#This Row],[Work Role]:[Work Role]]&lt;&gt;AG$1,0,
IF(PART_NUMBER_GENERATOR_TABLE[[#This Row],[Work Type]:[Work Type]]&lt;&gt;"AH",0,
SUMIFS(AG$9:AG$24,$M$9:$M$24,PART_NUMBER_GENERATOR_TABLE[[#This Row],[Tech]:[Tech]])))</f>
        <v>0</v>
      </c>
      <c r="AH74" cm="1">
        <f t="array" ref="AH74">IF(PART_NUMBER_GENERATOR_TABLE[[#This Row],[Work Role]:[Work Role]]&lt;&gt;AH$1,0,
IF(PART_NUMBER_GENERATOR_TABLE[[#This Row],[Work Type]:[Work Type]]&lt;&gt;"BH",0,
SUMIFS(AH$9:AH$24,$M$9:$M$24,PART_NUMBER_GENERATOR_TABLE[[#This Row],[Tech]:[Tech]])))</f>
        <v>0</v>
      </c>
      <c r="AI74" cm="1">
        <f t="array" ref="AI74">IF(PART_NUMBER_GENERATOR_TABLE[[#This Row],[Work Role]:[Work Role]]&lt;&gt;AI$1,0,
IF(PART_NUMBER_GENERATOR_TABLE[[#This Row],[Work Type]:[Work Type]]&lt;&gt;"BH",0,
SUMIFS(AI$9:AI$24,$M$9:$M$24,PART_NUMBER_GENERATOR_TABLE[[#This Row],[Tech]:[Tech]])))</f>
        <v>0</v>
      </c>
      <c r="AJ74" cm="1">
        <f t="array" ref="AJ74">IF(PART_NUMBER_GENERATOR_TABLE[[#This Row],[Work Role]:[Work Role]]&lt;&gt;AJ$1,0,
IF(PART_NUMBER_GENERATOR_TABLE[[#This Row],[Work Type]:[Work Type]]&lt;&gt;"BH",0,
SUMIFS(AJ$9:AJ$24,$M$9:$M$24,PART_NUMBER_GENERATOR_TABLE[[#This Row],[Tech]:[Tech]])))</f>
        <v>0</v>
      </c>
      <c r="AK74" cm="1">
        <f t="array" ref="AK74">IF(PART_NUMBER_GENERATOR_TABLE[[#This Row],[Work Role]:[Work Role]]&lt;&gt;AK$1,0,
IF(PART_NUMBER_GENERATOR_TABLE[[#This Row],[Work Type]:[Work Type]]&lt;&gt;"AH",0,
SUMIFS(AK$9:AK$24,$M$9:$M$24,PART_NUMBER_GENERATOR_TABLE[[#This Row],[Tech]:[Tech]])))</f>
        <v>0</v>
      </c>
      <c r="AL74" cm="1">
        <f t="array" ref="AL74">IF(PART_NUMBER_GENERATOR_TABLE[[#This Row],[Work Role]:[Work Role]]&lt;&gt;AL$1,0,
IF(PART_NUMBER_GENERATOR_TABLE[[#This Row],[Work Type]:[Work Type]]&lt;&gt;"BH",0,
SUMIFS(AL$9:AL$24,$M$9:$M$24,PART_NUMBER_GENERATOR_TABLE[[#This Row],[Tech]:[Tech]])))</f>
        <v>0</v>
      </c>
      <c r="AM74">
        <f>0</f>
        <v>0</v>
      </c>
      <c r="AN74" cm="1">
        <f t="array" ref="AN74">IF(PART_NUMBER_GENERATOR_TABLE[[#This Row],[Work Role]:[Work Role]]&lt;&gt;AN$1,0,
IF(PART_NUMBER_GENERATOR_TABLE[[#This Row],[Work Type]:[Work Type]]&lt;&gt;"BH",0,
SUMIFS(AN$24,$AM$24,PART_NUMBER_GENERATOR_TABLE[[#This Row],[Tech]:[Tech]])))</f>
        <v>0</v>
      </c>
      <c r="AO74" cm="1">
        <f t="array" ref="AO74">IF(PART_NUMBER_GENERATOR_TABLE[[#This Row],[Work Role]:[Work Role]]&lt;&gt;AO$1,0,
IF(PART_NUMBER_GENERATOR_TABLE[[#This Row],[Work Type]:[Work Type]]&lt;&gt;"BH",0,
SUMIFS(AO$24,$AM$24,PART_NUMBER_GENERATOR_TABLE[[#This Row],[Tech]:[Tech]])))</f>
        <v>0</v>
      </c>
      <c r="AP74" cm="1">
        <f t="array" ref="AP74">IF(PART_NUMBER_GENERATOR_TABLE[[#This Row],[Work Role]:[Work Role]]&lt;&gt;AP$1,0,
IF(PART_NUMBER_GENERATOR_TABLE[[#This Row],[Work Type]:[Work Type]]&lt;&gt;"BH",0,
SUMIFS(AP$24,$AM$24,PART_NUMBER_GENERATOR_TABLE[[#This Row],[Tech]:[Tech]])))</f>
        <v>0</v>
      </c>
      <c r="AQ74" cm="1">
        <f t="array" ref="AQ74">IF(PART_NUMBER_GENERATOR_TABLE[[#This Row],[Work Role]:[Work Role]]&lt;&gt;AQ$1,0,
IF(PART_NUMBER_GENERATOR_TABLE[[#This Row],[Work Type]:[Work Type]]&lt;&gt;"BH",0,
SUMIFS(AQ$24,$AM$24,PART_NUMBER_GENERATOR_TABLE[[#This Row],[Tech]:[Tech]])))</f>
        <v>0</v>
      </c>
      <c r="AR74" cm="1">
        <f t="array" ref="AR74">IF(PART_NUMBER_GENERATOR_TABLE[[#This Row],[Work Role]:[Work Role]]&lt;&gt;AR$1,0,
IF(PART_NUMBER_GENERATOR_TABLE[[#This Row],[Work Type]:[Work Type]]&lt;&gt;"BH",0,
SUMIFS(AR$24,$AM$24,PART_NUMBER_GENERATOR_TABLE[[#This Row],[Tech]:[Tech]])))</f>
        <v>0</v>
      </c>
      <c r="AS74" cm="1">
        <f t="array" ref="AS74">IF(PART_NUMBER_GENERATOR_TABLE[[#This Row],[Work Role]:[Work Role]]&lt;&gt;AS$1,0,
IF(PART_NUMBER_GENERATOR_TABLE[[#This Row],[Work Type]:[Work Type]]&lt;&gt;"BH",0,
SUMIFS(AS$24,$AM$24,PART_NUMBER_GENERATOR_TABLE[[#This Row],[Tech]:[Tech]])))</f>
        <v>0</v>
      </c>
      <c r="AT74" cm="1">
        <f t="array" ref="AT74">IF(PART_NUMBER_GENERATOR_TABLE[[#This Row],[Work Role]:[Work Role]]&lt;&gt;AS$1,0,
IF(PART_NUMBER_GENERATOR_TABLE[[#This Row],[Work Type]:[Work Type]]&lt;&gt;"BH",0,
SUMIFS(AT$24,$AM$24,PART_NUMBER_GENERATOR_TABLE[[#This Row],[Tech]:[Tech]])))</f>
        <v>0</v>
      </c>
      <c r="AU74">
        <f>SUM(PART_NUMBER_GENERATOR_TABLE[[#This Row],[Resource 1 BH]:[Resource 5 AH]],PART_NUMBER_GENERATOR_TABLE[[#This Row],[R1 Mandatory Tasks]:[R5 Mandatory Tasks]],PART_NUMBER_GENERATOR_TABLE[[#This Row],[R1 Remainder]:[R5 Remainder]])</f>
        <v>0</v>
      </c>
      <c r="AV74">
        <f>PART_NUMBER_GENERATOR_TABLE[[#This Row],[Professional Engineering Hours]]*PART_NUMBER_GENERATOR_TABLE[[#This Row],[Sell Rate]]</f>
        <v>0</v>
      </c>
      <c r="AW74">
        <f>PART_NUMBER_GENERATOR_TABLE[[#This Row],[Professional Engineering Hours]]*PART_NUMBER_GENERATOR_TABLE[[#This Row],[Cost Rate]]</f>
        <v>0</v>
      </c>
      <c r="AX74">
        <f>SUM(PART_NUMBER_GENERATOR_TABLE[[#This Row],[PM Trips]:[R5 Trips]])</f>
        <v>0</v>
      </c>
      <c r="AY74">
        <f>PART_NUMBER_GENERATOR_TABLE[[#This Row],[Travel &amp; Accommodation Hours]]*PART_NUMBER_GENERATOR_TABLE[[#This Row],[Sell Rate]]</f>
        <v>0</v>
      </c>
      <c r="AZ74">
        <f>PART_NUMBER_GENERATOR_TABLE[[#This Row],[Travel &amp; Accommodation Hours]]*PART_NUMBER_GENERATOR_TABLE[[#This Row],[Cost Rate]]</f>
        <v>0</v>
      </c>
      <c r="BA74">
        <f>PART_NUMBER_GENERATOR_TABLE[[#This Row],[PM Hours]]+PART_NUMBER_GENERATOR_TABLE[[#This Row],[PM Remainder]]</f>
        <v>0</v>
      </c>
      <c r="BB74">
        <f>PART_NUMBER_GENERATOR_TABLE[[#This Row],[Project Management Hours]]*PART_NUMBER_GENERATOR_TABLE[[#This Row],[Sell Rate]]</f>
        <v>0</v>
      </c>
      <c r="BC74">
        <f>PART_NUMBER_GENERATOR_TABLE[[#This Row],[Project Management Hours]]*PART_NUMBER_GENERATOR_TABLE[[#This Row],[Cost Rate]]</f>
        <v>0</v>
      </c>
      <c r="BD74">
        <f>SUM(PART_NUMBER_GENERATOR_TABLE[[#This Row],[SSE RISK BH]:[PM RISK]],PART_NUMBER_GENERATOR_TABLE[[#This Row],[SSE Remainder RISK BH]:[PM Remainder RISK]])</f>
        <v>0</v>
      </c>
      <c r="BE74">
        <f>PART_NUMBER_GENERATOR_TABLE[[#This Row],[Project Risk Service Hours]]*PART_NUMBER_GENERATOR_TABLE[[#This Row],[Sell Rate]]</f>
        <v>0</v>
      </c>
      <c r="BF74">
        <f>PART_NUMBER_GENERATOR_TABLE[[#This Row],[Project Risk Service Hours]]*PART_NUMBER_GENERATOR_TABLE[[#This Row],[Cost Rate]]</f>
        <v>0</v>
      </c>
      <c r="BG74">
        <f>PART_NUMBER_GENERATOR_TABLE[[#This Row],[SSE RISK TRAVEL]]</f>
        <v>0</v>
      </c>
      <c r="BH74">
        <f>PART_NUMBER_GENERATOR_TABLE[[#This Row],[Sell Rate]]*PART_NUMBER_GENERATOR_TABLE[[#This Row],[Project Risk Travel Hours]]</f>
        <v>0</v>
      </c>
      <c r="BI74">
        <f>PART_NUMBER_GENERATOR_TABLE[[#This Row],[Project Risk Travel Hours]]*PART_NUMBER_GENERATOR_TABLE[[#This Row],[Cost Rate]]</f>
        <v>0</v>
      </c>
      <c r="BJ7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7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74">
        <f>IFERROR(-VLOOKUP(INDEX(ENGINEER_ROLES,MATCH(PART_NUMBER_GENERATOR_TABLE[[#This Row],[Work Role]],settings.Table_Engineer.Roles[ID],0),1),Settings_Hidden!$H$359:$K$366,4,FALSE),0)</f>
        <v>0</v>
      </c>
      <c r="BM74" s="680">
        <f>-Summary!$C$66</f>
        <v>0</v>
      </c>
      <c r="BN74" s="465">
        <f>PART_NUMBER_GENERATOR_TABLE[[#This Row],[Total Base Price]]*MIN(PART_NUMBER_GENERATOR_TABLE[[#This Row],[Rate Service Discount]:[Flat Service Discount]])</f>
        <v>0</v>
      </c>
      <c r="BO74" s="451" t="str">
        <f>IF(PART_NUMBER_GENERATOR_TABLE[[#This Row],[Quantity]]&lt;&gt;0,MAX($BO$30:BO73)+1,"")</f>
        <v/>
      </c>
      <c r="BP74" t="str">
        <f>PART_NUMBER_GENERATOR_TABLE[[#This Row],[Part Number]]</f>
        <v>A-PS-E-NETWRK-SE-BH</v>
      </c>
      <c r="BQ74">
        <f>PART_NUMBER_GENERATOR_TABLE[[#This Row],[Total Hours]]</f>
        <v>0</v>
      </c>
      <c r="BR74">
        <f>PART_NUMBER_GENERATOR_TABLE[[#This Row],[Cost Rate]]</f>
        <v>126.11855927829811</v>
      </c>
      <c r="BS74" s="465">
        <f>PART_NUMBER_GENERATOR_TABLE[[#This Row],[Sell Rate]]+(PART_NUMBER_GENERATOR_TABLE[[#This Row],[Sell Rate]]*MIN(PART_NUMBER_GENERATOR_TABLE[[#This Row],[Rate Service Discount]:[Flat Service Discount]]))</f>
        <v>235</v>
      </c>
    </row>
    <row r="75" spans="1:71">
      <c r="A75">
        <v>45</v>
      </c>
      <c r="C75" t="s">
        <v>980</v>
      </c>
      <c r="D75" t="str" cm="1">
        <f t="array" ref="D75">INDEX(Table.Settings_Skill.List[Skill Name],MATCH(INDEX(_xlfn.TEXTSPLIT(C75,"-",,TRUE),4),Table.Settings_Skill.List[Skill Code],0),1)</f>
        <v>Networking</v>
      </c>
      <c r="E75" t="str" cm="1">
        <f t="array" ref="E75">INDEX(_xlfn.TEXTSPLIT(C75,"-",,TRUE),5)</f>
        <v>SSE</v>
      </c>
      <c r="F75" t="str">
        <f>IFERROR(INDEX(settings.Table_Engineer.Roles[Department Code],MATCH(PART_NUMBER_GENERATOR_TABLE[[#This Row],[Work Role]],settings.Table_Engineer.Roles[ID],0),1),"PMO")</f>
        <v>ENG</v>
      </c>
      <c r="G75" t="str" cm="1">
        <f t="array" ref="G75">INDEX(_xlfn.TEXTSPLIT(C75,"-",,TRUE),6)</f>
        <v>BH</v>
      </c>
      <c r="H7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280.5</v>
      </c>
      <c r="I7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149.91839058446394</v>
      </c>
      <c r="J75" cm="1">
        <f t="array" ref="J75">IF(J$1&lt;&gt;PART_NUMBER_GENERATOR_TABLE[[#This Row],[Work Role]:[Work Role]],0,
IF(RIGHT(J$30,2)&lt;&gt;PART_NUMBER_GENERATOR_TABLE[[#This Row],[Work Type]:[Work Type]],0,
SUMIFS(Input_Tasks[R1 Business Hours],Input_Tasks[[Skill Required]:[Skill Required]],PART_NUMBER_GENERATOR_TABLE[[#This Row],[Tech]:[Tech]])))</f>
        <v>0</v>
      </c>
      <c r="K75" cm="1">
        <f t="array" ref="K75">IF(K$1&lt;&gt;PART_NUMBER_GENERATOR_TABLE[[#This Row],[Work Role]:[Work Role]],0,
IF(RIGHT(K$30,2)&lt;&gt;PART_NUMBER_GENERATOR_TABLE[[#This Row],[Work Type]:[Work Type]],0,
SUMIFS(Input_Tasks[R1 After Hours],Input_Tasks[[Skill Required]:[Skill Required]],PART_NUMBER_GENERATOR_TABLE[[#This Row],[Tech]:[Tech]])))</f>
        <v>0</v>
      </c>
      <c r="L75" cm="1">
        <f t="array" ref="L75">IF(L$1&lt;&gt;PART_NUMBER_GENERATOR_TABLE[[#This Row],[Work Role]:[Work Role]],0,
IF(RIGHT(L$30,2)&lt;&gt;PART_NUMBER_GENERATOR_TABLE[[#This Row],[Work Type]:[Work Type]],0,
SUMIFS(Input_Tasks[R2 Business Hours],Input_Tasks[[Skill Required]:[Skill Required]],PART_NUMBER_GENERATOR_TABLE[[#This Row],[Tech]:[Tech]])))</f>
        <v>0</v>
      </c>
      <c r="M75" cm="1">
        <f t="array" ref="M75">IF(M$1&lt;&gt;PART_NUMBER_GENERATOR_TABLE[[#This Row],[Work Role]:[Work Role]],0,
IF(RIGHT(M$30,2)&lt;&gt;PART_NUMBER_GENERATOR_TABLE[[#This Row],[Work Type]:[Work Type]],0,
SUMIFS(Input_Tasks[R2 After Hours],Input_Tasks[[Skill Required]:[Skill Required]],PART_NUMBER_GENERATOR_TABLE[[#This Row],[Tech]:[Tech]])))</f>
        <v>0</v>
      </c>
      <c r="N75" cm="1">
        <f t="array" ref="N75">IF(N$1&lt;&gt;PART_NUMBER_GENERATOR_TABLE[[#This Row],[Work Role]:[Work Role]],0,
IF(RIGHT(N$30,2)&lt;&gt;PART_NUMBER_GENERATOR_TABLE[[#This Row],[Work Type]:[Work Type]],0,
SUMIFS(Input_Tasks[R3 Business Hours],Input_Tasks[[Skill Required]:[Skill Required]],PART_NUMBER_GENERATOR_TABLE[[#This Row],[Tech]:[Tech]])))</f>
        <v>0</v>
      </c>
      <c r="O75" cm="1">
        <f t="array" ref="O75">IF(O$1&lt;&gt;PART_NUMBER_GENERATOR_TABLE[[#This Row],[Work Role]:[Work Role]],0,
IF(RIGHT(O$30,2)&lt;&gt;PART_NUMBER_GENERATOR_TABLE[[#This Row],[Work Type]:[Work Type]],0,
SUMIFS(Input_Tasks[R3 After Hours],Input_Tasks[[Skill Required]:[Skill Required]],PART_NUMBER_GENERATOR_TABLE[[#This Row],[Tech]:[Tech]])))</f>
        <v>0</v>
      </c>
      <c r="P75" cm="1">
        <f t="array" ref="P75">IF(P$1&lt;&gt;PART_NUMBER_GENERATOR_TABLE[[#This Row],[Work Role]:[Work Role]],0,
IF(RIGHT(P$30,2)&lt;&gt;PART_NUMBER_GENERATOR_TABLE[[#This Row],[Work Type]:[Work Type]],0,
SUMIFS(Input_Tasks[R4 Business Hours],Input_Tasks[[Skill Required]:[Skill Required]],PART_NUMBER_GENERATOR_TABLE[[#This Row],[Tech]:[Tech]])))</f>
        <v>0</v>
      </c>
      <c r="Q75" cm="1">
        <f t="array" ref="Q75">IF(Q$1&lt;&gt;PART_NUMBER_GENERATOR_TABLE[[#This Row],[Work Role]:[Work Role]],0,
IF(RIGHT(Q$30,2)&lt;&gt;PART_NUMBER_GENERATOR_TABLE[[#This Row],[Work Type]:[Work Type]],0,
SUMIFS(Input_Tasks[R4 After Hours],Input_Tasks[[Skill Required]:[Skill Required]],PART_NUMBER_GENERATOR_TABLE[[#This Row],[Tech]:[Tech]])))</f>
        <v>0</v>
      </c>
      <c r="R75" cm="1">
        <f t="array" ref="R75">IF(R$1&lt;&gt;PART_NUMBER_GENERATOR_TABLE[[#This Row],[Work Role]:[Work Role]],0,
IF(RIGHT(R$30,2)&lt;&gt;PART_NUMBER_GENERATOR_TABLE[[#This Row],[Work Type]:[Work Type]],0,
SUMIFS(Input_Tasks[R5 Business Hours],Input_Tasks[[Skill Required]:[Skill Required]],PART_NUMBER_GENERATOR_TABLE[[#This Row],[Tech]:[Tech]])))</f>
        <v>0</v>
      </c>
      <c r="S75" cm="1">
        <f t="array" ref="S75">IF(S$1&lt;&gt;PART_NUMBER_GENERATOR_TABLE[[#This Row],[Work Role]:[Work Role]],0,
IF(RIGHT(S$30,2)&lt;&gt;PART_NUMBER_GENERATOR_TABLE[[#This Row],[Work Type]:[Work Type]],0,
SUMIFS(Input_Tasks[R5 After Hours],Input_Tasks[[Skill Required]:[Skill Required]],PART_NUMBER_GENERATOR_TABLE[[#This Row],[Tech]:[Tech]])))</f>
        <v>0</v>
      </c>
      <c r="T75" cm="1">
        <f t="array" ref="T75">IF(PART_NUMBER_GENERATOR_TABLE[[#This Row],[Work Role]:[Work Role]]&lt;&gt;T$1,0,
IF(PART_NUMBER_GENERATOR_TABLE[[#This Row],[Work Type]:[Work Type]]&lt;&gt;"BH",0,
SUMIFS(T$9:T$24,$M$9:$M$24,PART_NUMBER_GENERATOR_TABLE[[#This Row],[Tech]:[Tech]])))</f>
        <v>0</v>
      </c>
      <c r="U75" cm="1">
        <f t="array" ref="U75">IF(PART_NUMBER_GENERATOR_TABLE[[#This Row],[Work Role]:[Work Role]]&lt;&gt;U$1,0,
IF(PART_NUMBER_GENERATOR_TABLE[[#This Row],[Work Type]:[Work Type]]&lt;&gt;"BH",0,
SUMIFS(U$9:U$24,$M$9:$M$24,PART_NUMBER_GENERATOR_TABLE[[#This Row],[Tech]:[Tech]])))</f>
        <v>0</v>
      </c>
      <c r="V75" cm="1">
        <f t="array" ref="V75">IF(PART_NUMBER_GENERATOR_TABLE[[#This Row],[Work Role]:[Work Role]]&lt;&gt;V$1,0,
IF(PART_NUMBER_GENERATOR_TABLE[[#This Row],[Work Type]:[Work Type]]&lt;&gt;"BH",0,
SUMIFS(V$9:V$24,$M$9:$M$24,PART_NUMBER_GENERATOR_TABLE[[#This Row],[Tech]:[Tech]])))</f>
        <v>0</v>
      </c>
      <c r="W75" cm="1">
        <f t="array" ref="W75">IF(PART_NUMBER_GENERATOR_TABLE[[#This Row],[Work Role]:[Work Role]]&lt;&gt;W$1,0,
IF(PART_NUMBER_GENERATOR_TABLE[[#This Row],[Work Type]:[Work Type]]&lt;&gt;"BH",0,
SUMIFS(W$9:W$24,$M$9:$M$24,PART_NUMBER_GENERATOR_TABLE[[#This Row],[Tech]:[Tech]])))</f>
        <v>0</v>
      </c>
      <c r="X75" cm="1">
        <f t="array" ref="X75">IF(PART_NUMBER_GENERATOR_TABLE[[#This Row],[Work Role]:[Work Role]]&lt;&gt;X$1,0,
IF(PART_NUMBER_GENERATOR_TABLE[[#This Row],[Work Type]:[Work Type]]&lt;&gt;"BH",0,
SUMIFS(X$9:X$24,$M$9:$M$24,PART_NUMBER_GENERATOR_TABLE[[#This Row],[Tech]:[Tech]])))</f>
        <v>0</v>
      </c>
      <c r="Y75" cm="1">
        <f t="array" ref="Y75">IF(PART_NUMBER_GENERATOR_TABLE[[#This Row],[Work Role]:[Work Role]]&lt;&gt;Y$1,0,
IF(PART_NUMBER_GENERATOR_TABLE[[#This Row],[Work Type]:[Work Type]]&lt;&gt;"BH",0,
SUMIFS(Y$9:Y$24,$M$9:$M$24,PART_NUMBER_GENERATOR_TABLE[[#This Row],[Tech]:[Tech]])))</f>
        <v>0</v>
      </c>
      <c r="Z75" cm="1">
        <f t="array" ref="Z75">IF(PART_NUMBER_GENERATOR_TABLE[[#This Row],[Work Role]:[Work Role]]&lt;&gt;Z$1,0,
IF(PART_NUMBER_GENERATOR_TABLE[[#This Row],[Work Type]:[Work Type]]&lt;&gt;"BH",0,
SUMIFS(Z$9:Z$24,$M$9:$M$24,PART_NUMBER_GENERATOR_TABLE[[#This Row],[Tech]:[Tech]])))</f>
        <v>0</v>
      </c>
      <c r="AA75" cm="1">
        <f t="array" ref="AA75">IF(PART_NUMBER_GENERATOR_TABLE[[#This Row],[Work Role]:[Work Role]]&lt;&gt;AA$1,0,
IF(PART_NUMBER_GENERATOR_TABLE[[#This Row],[Work Type]:[Work Type]]&lt;&gt;"BH",0,
SUMIFS(AA$9:AA$24,$M$9:$M$24,PART_NUMBER_GENERATOR_TABLE[[#This Row],[Tech]:[Tech]])))</f>
        <v>0</v>
      </c>
      <c r="AB75" cm="1">
        <f t="array" ref="AB75">IF(PART_NUMBER_GENERATOR_TABLE[[#This Row],[Work Role]:[Work Role]]&lt;&gt;AB$1,0,
IF(PART_NUMBER_GENERATOR_TABLE[[#This Row],[Work Type]:[Work Type]]&lt;&gt;"BH",0,
SUMIFS(AB$9:AB$24,$M$9:$M$24,PART_NUMBER_GENERATOR_TABLE[[#This Row],[Tech]:[Tech]])))</f>
        <v>0</v>
      </c>
      <c r="AC75" cm="1">
        <f t="array" ref="AC75">IF(PART_NUMBER_GENERATOR_TABLE[[#This Row],[Work Role]:[Work Role]]&lt;&gt;AC$1,0,
IF(PART_NUMBER_GENERATOR_TABLE[[#This Row],[Work Type]:[Work Type]]&lt;&gt;"BH",0,
SUMIFS(AC$9:AC$24,$M$9:$M$24,PART_NUMBER_GENERATOR_TABLE[[#This Row],[Tech]:[Tech]])))</f>
        <v>0</v>
      </c>
      <c r="AD75" cm="1">
        <f t="array" ref="AD75">IF(PART_NUMBER_GENERATOR_TABLE[[#This Row],[Work Role]:[Work Role]]&lt;&gt;AD$1,0,
IF(PART_NUMBER_GENERATOR_TABLE[[#This Row],[Work Type]:[Work Type]]&lt;&gt;"BH",0,
SUMIFS(AD$9:AD$24,$M$9:$M$24,PART_NUMBER_GENERATOR_TABLE[[#This Row],[Tech]:[Tech]])))</f>
        <v>0</v>
      </c>
      <c r="AE75" cm="1">
        <f t="array" ref="AE75">IF(PART_NUMBER_GENERATOR_TABLE[[#This Row],[Work Role]:[Work Role]]&lt;&gt;AE$1,0,
IF(PART_NUMBER_GENERATOR_TABLE[[#This Row],[Work Type]:[Work Type]]&lt;&gt;"BH",0,
SUMIFS(AE$9:AE$24,$M$9:$M$24,PART_NUMBER_GENERATOR_TABLE[[#This Row],[Tech]:[Tech]])))</f>
        <v>0</v>
      </c>
      <c r="AF75" cm="1">
        <f t="array" ref="AF75">IF(PART_NUMBER_GENERATOR_TABLE[[#This Row],[Work Role]:[Work Role]]&lt;&gt;AF$1,0,
IF(PART_NUMBER_GENERATOR_TABLE[[#This Row],[Work Type]:[Work Type]]&lt;&gt;"BH",0,
SUMIFS(AF$9:AF$24,$M$9:$M$24,PART_NUMBER_GENERATOR_TABLE[[#This Row],[Tech]:[Tech]])))</f>
        <v>0</v>
      </c>
      <c r="AG75" cm="1">
        <f t="array" ref="AG75">IF(PART_NUMBER_GENERATOR_TABLE[[#This Row],[Work Role]:[Work Role]]&lt;&gt;AG$1,0,
IF(PART_NUMBER_GENERATOR_TABLE[[#This Row],[Work Type]:[Work Type]]&lt;&gt;"AH",0,
SUMIFS(AG$9:AG$24,$M$9:$M$24,PART_NUMBER_GENERATOR_TABLE[[#This Row],[Tech]:[Tech]])))</f>
        <v>0</v>
      </c>
      <c r="AH75" cm="1">
        <f t="array" ref="AH75">IF(PART_NUMBER_GENERATOR_TABLE[[#This Row],[Work Role]:[Work Role]]&lt;&gt;AH$1,0,
IF(PART_NUMBER_GENERATOR_TABLE[[#This Row],[Work Type]:[Work Type]]&lt;&gt;"BH",0,
SUMIFS(AH$9:AH$24,$M$9:$M$24,PART_NUMBER_GENERATOR_TABLE[[#This Row],[Tech]:[Tech]])))</f>
        <v>0</v>
      </c>
      <c r="AI75" cm="1">
        <f t="array" ref="AI75">IF(PART_NUMBER_GENERATOR_TABLE[[#This Row],[Work Role]:[Work Role]]&lt;&gt;AI$1,0,
IF(PART_NUMBER_GENERATOR_TABLE[[#This Row],[Work Type]:[Work Type]]&lt;&gt;"BH",0,
SUMIFS(AI$9:AI$24,$M$9:$M$24,PART_NUMBER_GENERATOR_TABLE[[#This Row],[Tech]:[Tech]])))</f>
        <v>0</v>
      </c>
      <c r="AJ75" cm="1">
        <f t="array" ref="AJ75">IF(PART_NUMBER_GENERATOR_TABLE[[#This Row],[Work Role]:[Work Role]]&lt;&gt;AJ$1,0,
IF(PART_NUMBER_GENERATOR_TABLE[[#This Row],[Work Type]:[Work Type]]&lt;&gt;"BH",0,
SUMIFS(AJ$9:AJ$24,$M$9:$M$24,PART_NUMBER_GENERATOR_TABLE[[#This Row],[Tech]:[Tech]])))</f>
        <v>0</v>
      </c>
      <c r="AK75" cm="1">
        <f t="array" ref="AK75">IF(PART_NUMBER_GENERATOR_TABLE[[#This Row],[Work Role]:[Work Role]]&lt;&gt;AK$1,0,
IF(PART_NUMBER_GENERATOR_TABLE[[#This Row],[Work Type]:[Work Type]]&lt;&gt;"AH",0,
SUMIFS(AK$9:AK$24,$M$9:$M$24,PART_NUMBER_GENERATOR_TABLE[[#This Row],[Tech]:[Tech]])))</f>
        <v>0</v>
      </c>
      <c r="AL75" cm="1">
        <f t="array" ref="AL75">IF(PART_NUMBER_GENERATOR_TABLE[[#This Row],[Work Role]:[Work Role]]&lt;&gt;AL$1,0,
IF(PART_NUMBER_GENERATOR_TABLE[[#This Row],[Work Type]:[Work Type]]&lt;&gt;"BH",0,
SUMIFS(AL$9:AL$24,$M$9:$M$24,PART_NUMBER_GENERATOR_TABLE[[#This Row],[Tech]:[Tech]])))</f>
        <v>0</v>
      </c>
      <c r="AM75">
        <f>0</f>
        <v>0</v>
      </c>
      <c r="AN75" cm="1">
        <f t="array" ref="AN75">IF(PART_NUMBER_GENERATOR_TABLE[[#This Row],[Work Role]:[Work Role]]&lt;&gt;AN$1,0,
IF(PART_NUMBER_GENERATOR_TABLE[[#This Row],[Work Type]:[Work Type]]&lt;&gt;"BH",0,
SUMIFS(AN$24,$AM$24,PART_NUMBER_GENERATOR_TABLE[[#This Row],[Tech]:[Tech]])))</f>
        <v>0</v>
      </c>
      <c r="AO75" cm="1">
        <f t="array" ref="AO75">IF(PART_NUMBER_GENERATOR_TABLE[[#This Row],[Work Role]:[Work Role]]&lt;&gt;AO$1,0,
IF(PART_NUMBER_GENERATOR_TABLE[[#This Row],[Work Type]:[Work Type]]&lt;&gt;"BH",0,
SUMIFS(AO$24,$AM$24,PART_NUMBER_GENERATOR_TABLE[[#This Row],[Tech]:[Tech]])))</f>
        <v>0</v>
      </c>
      <c r="AP75" cm="1">
        <f t="array" ref="AP75">IF(PART_NUMBER_GENERATOR_TABLE[[#This Row],[Work Role]:[Work Role]]&lt;&gt;AP$1,0,
IF(PART_NUMBER_GENERATOR_TABLE[[#This Row],[Work Type]:[Work Type]]&lt;&gt;"BH",0,
SUMIFS(AP$24,$AM$24,PART_NUMBER_GENERATOR_TABLE[[#This Row],[Tech]:[Tech]])))</f>
        <v>0</v>
      </c>
      <c r="AQ75" cm="1">
        <f t="array" ref="AQ75">IF(PART_NUMBER_GENERATOR_TABLE[[#This Row],[Work Role]:[Work Role]]&lt;&gt;AQ$1,0,
IF(PART_NUMBER_GENERATOR_TABLE[[#This Row],[Work Type]:[Work Type]]&lt;&gt;"BH",0,
SUMIFS(AQ$24,$AM$24,PART_NUMBER_GENERATOR_TABLE[[#This Row],[Tech]:[Tech]])))</f>
        <v>0</v>
      </c>
      <c r="AR75" cm="1">
        <f t="array" ref="AR75">IF(PART_NUMBER_GENERATOR_TABLE[[#This Row],[Work Role]:[Work Role]]&lt;&gt;AR$1,0,
IF(PART_NUMBER_GENERATOR_TABLE[[#This Row],[Work Type]:[Work Type]]&lt;&gt;"BH",0,
SUMIFS(AR$24,$AM$24,PART_NUMBER_GENERATOR_TABLE[[#This Row],[Tech]:[Tech]])))</f>
        <v>0</v>
      </c>
      <c r="AS75" cm="1">
        <f t="array" ref="AS75">IF(PART_NUMBER_GENERATOR_TABLE[[#This Row],[Work Role]:[Work Role]]&lt;&gt;AS$1,0,
IF(PART_NUMBER_GENERATOR_TABLE[[#This Row],[Work Type]:[Work Type]]&lt;&gt;"BH",0,
SUMIFS(AS$24,$AM$24,PART_NUMBER_GENERATOR_TABLE[[#This Row],[Tech]:[Tech]])))</f>
        <v>0</v>
      </c>
      <c r="AT75" cm="1">
        <f t="array" ref="AT75">IF(PART_NUMBER_GENERATOR_TABLE[[#This Row],[Work Role]:[Work Role]]&lt;&gt;AS$1,0,
IF(PART_NUMBER_GENERATOR_TABLE[[#This Row],[Work Type]:[Work Type]]&lt;&gt;"BH",0,
SUMIFS(AT$24,$AM$24,PART_NUMBER_GENERATOR_TABLE[[#This Row],[Tech]:[Tech]])))</f>
        <v>0</v>
      </c>
      <c r="AU75">
        <f>SUM(PART_NUMBER_GENERATOR_TABLE[[#This Row],[Resource 1 BH]:[Resource 5 AH]],PART_NUMBER_GENERATOR_TABLE[[#This Row],[R1 Mandatory Tasks]:[R5 Mandatory Tasks]],PART_NUMBER_GENERATOR_TABLE[[#This Row],[R1 Remainder]:[R5 Remainder]])</f>
        <v>0</v>
      </c>
      <c r="AV75">
        <f>PART_NUMBER_GENERATOR_TABLE[[#This Row],[Professional Engineering Hours]]*PART_NUMBER_GENERATOR_TABLE[[#This Row],[Sell Rate]]</f>
        <v>0</v>
      </c>
      <c r="AW75">
        <f>PART_NUMBER_GENERATOR_TABLE[[#This Row],[Professional Engineering Hours]]*PART_NUMBER_GENERATOR_TABLE[[#This Row],[Cost Rate]]</f>
        <v>0</v>
      </c>
      <c r="AX75">
        <f>SUM(PART_NUMBER_GENERATOR_TABLE[[#This Row],[PM Trips]:[R5 Trips]])</f>
        <v>0</v>
      </c>
      <c r="AY75">
        <f>PART_NUMBER_GENERATOR_TABLE[[#This Row],[Travel &amp; Accommodation Hours]]*PART_NUMBER_GENERATOR_TABLE[[#This Row],[Sell Rate]]</f>
        <v>0</v>
      </c>
      <c r="AZ75">
        <f>PART_NUMBER_GENERATOR_TABLE[[#This Row],[Travel &amp; Accommodation Hours]]*PART_NUMBER_GENERATOR_TABLE[[#This Row],[Cost Rate]]</f>
        <v>0</v>
      </c>
      <c r="BA75">
        <f>PART_NUMBER_GENERATOR_TABLE[[#This Row],[PM Hours]]+PART_NUMBER_GENERATOR_TABLE[[#This Row],[PM Remainder]]</f>
        <v>0</v>
      </c>
      <c r="BB75">
        <f>PART_NUMBER_GENERATOR_TABLE[[#This Row],[Project Management Hours]]*PART_NUMBER_GENERATOR_TABLE[[#This Row],[Sell Rate]]</f>
        <v>0</v>
      </c>
      <c r="BC75">
        <f>PART_NUMBER_GENERATOR_TABLE[[#This Row],[Project Management Hours]]*PART_NUMBER_GENERATOR_TABLE[[#This Row],[Cost Rate]]</f>
        <v>0</v>
      </c>
      <c r="BD75">
        <f>SUM(PART_NUMBER_GENERATOR_TABLE[[#This Row],[SSE RISK BH]:[PM RISK]],PART_NUMBER_GENERATOR_TABLE[[#This Row],[SSE Remainder RISK BH]:[PM Remainder RISK]])</f>
        <v>0</v>
      </c>
      <c r="BE75">
        <f>PART_NUMBER_GENERATOR_TABLE[[#This Row],[Project Risk Service Hours]]*PART_NUMBER_GENERATOR_TABLE[[#This Row],[Sell Rate]]</f>
        <v>0</v>
      </c>
      <c r="BF75">
        <f>PART_NUMBER_GENERATOR_TABLE[[#This Row],[Project Risk Service Hours]]*PART_NUMBER_GENERATOR_TABLE[[#This Row],[Cost Rate]]</f>
        <v>0</v>
      </c>
      <c r="BG75">
        <f>PART_NUMBER_GENERATOR_TABLE[[#This Row],[SSE RISK TRAVEL]]</f>
        <v>0</v>
      </c>
      <c r="BH75">
        <f>PART_NUMBER_GENERATOR_TABLE[[#This Row],[Sell Rate]]*PART_NUMBER_GENERATOR_TABLE[[#This Row],[Project Risk Travel Hours]]</f>
        <v>0</v>
      </c>
      <c r="BI75">
        <f>PART_NUMBER_GENERATOR_TABLE[[#This Row],[Project Risk Travel Hours]]*PART_NUMBER_GENERATOR_TABLE[[#This Row],[Cost Rate]]</f>
        <v>0</v>
      </c>
      <c r="BJ7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7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75">
        <f>IFERROR(-VLOOKUP(INDEX(ENGINEER_ROLES,MATCH(PART_NUMBER_GENERATOR_TABLE[[#This Row],[Work Role]],settings.Table_Engineer.Roles[ID],0),1),Settings_Hidden!$H$359:$K$366,4,FALSE),0)</f>
        <v>0</v>
      </c>
      <c r="BM75" s="680">
        <f>-Summary!$C$66</f>
        <v>0</v>
      </c>
      <c r="BN75" s="465">
        <f>PART_NUMBER_GENERATOR_TABLE[[#This Row],[Total Base Price]]*MIN(PART_NUMBER_GENERATOR_TABLE[[#This Row],[Rate Service Discount]:[Flat Service Discount]])</f>
        <v>0</v>
      </c>
      <c r="BO75" s="451" t="str">
        <f>IF(PART_NUMBER_GENERATOR_TABLE[[#This Row],[Quantity]]&lt;&gt;0,MAX($BO$30:BO74)+1,"")</f>
        <v/>
      </c>
      <c r="BP75" t="str">
        <f>PART_NUMBER_GENERATOR_TABLE[[#This Row],[Part Number]]</f>
        <v>A-PS-E-NETWRK-SSE-BH</v>
      </c>
      <c r="BQ75">
        <f>PART_NUMBER_GENERATOR_TABLE[[#This Row],[Total Hours]]</f>
        <v>0</v>
      </c>
      <c r="BR75">
        <f>PART_NUMBER_GENERATOR_TABLE[[#This Row],[Cost Rate]]</f>
        <v>149.91839058446394</v>
      </c>
      <c r="BS75" s="465">
        <f>PART_NUMBER_GENERATOR_TABLE[[#This Row],[Sell Rate]]+(PART_NUMBER_GENERATOR_TABLE[[#This Row],[Sell Rate]]*MIN(PART_NUMBER_GENERATOR_TABLE[[#This Row],[Rate Service Discount]:[Flat Service Discount]]))</f>
        <v>280.5</v>
      </c>
    </row>
    <row r="76" spans="1:71">
      <c r="A76">
        <v>46</v>
      </c>
      <c r="C76" t="s">
        <v>972</v>
      </c>
      <c r="D76" t="str" cm="1">
        <f t="array" ref="D76">INDEX(Table.Settings_Skill.List[Skill Name],MATCH(INDEX(_xlfn.TEXTSPLIT(C76,"-",,TRUE),4),Table.Settings_Skill.List[Skill Code],0),1)</f>
        <v>Networking</v>
      </c>
      <c r="E76" t="str" cm="1">
        <f t="array" ref="E76">INDEX(_xlfn.TEXTSPLIT(C76,"-",,TRUE),5)</f>
        <v>SCE</v>
      </c>
      <c r="F76" t="str">
        <f>IFERROR(INDEX(settings.Table_Engineer.Roles[Department Code],MATCH(PART_NUMBER_GENERATOR_TABLE[[#This Row],[Work Role]],settings.Table_Engineer.Roles[ID],0),1),"PMO")</f>
        <v>ENG</v>
      </c>
      <c r="G76" t="str" cm="1">
        <f t="array" ref="G76">INDEX(_xlfn.TEXTSPLIT(C76,"-",,TRUE),6)</f>
        <v>BH</v>
      </c>
      <c r="H7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7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76" cm="1">
        <f t="array" ref="J76">IF(J$1&lt;&gt;PART_NUMBER_GENERATOR_TABLE[[#This Row],[Work Role]:[Work Role]],0,
IF(RIGHT(J$30,2)&lt;&gt;PART_NUMBER_GENERATOR_TABLE[[#This Row],[Work Type]:[Work Type]],0,
SUMIFS(Input_Tasks[R1 Business Hours],Input_Tasks[[Skill Required]:[Skill Required]],PART_NUMBER_GENERATOR_TABLE[[#This Row],[Tech]:[Tech]])))</f>
        <v>0</v>
      </c>
      <c r="K76" cm="1">
        <f t="array" ref="K76">IF(K$1&lt;&gt;PART_NUMBER_GENERATOR_TABLE[[#This Row],[Work Role]:[Work Role]],0,
IF(RIGHT(K$30,2)&lt;&gt;PART_NUMBER_GENERATOR_TABLE[[#This Row],[Work Type]:[Work Type]],0,
SUMIFS(Input_Tasks[R1 After Hours],Input_Tasks[[Skill Required]:[Skill Required]],PART_NUMBER_GENERATOR_TABLE[[#This Row],[Tech]:[Tech]])))</f>
        <v>0</v>
      </c>
      <c r="L76" cm="1">
        <f t="array" ref="L76">IF(L$1&lt;&gt;PART_NUMBER_GENERATOR_TABLE[[#This Row],[Work Role]:[Work Role]],0,
IF(RIGHT(L$30,2)&lt;&gt;PART_NUMBER_GENERATOR_TABLE[[#This Row],[Work Type]:[Work Type]],0,
SUMIFS(Input_Tasks[R2 Business Hours],Input_Tasks[[Skill Required]:[Skill Required]],PART_NUMBER_GENERATOR_TABLE[[#This Row],[Tech]:[Tech]])))</f>
        <v>0</v>
      </c>
      <c r="M76" cm="1">
        <f t="array" ref="M76">IF(M$1&lt;&gt;PART_NUMBER_GENERATOR_TABLE[[#This Row],[Work Role]:[Work Role]],0,
IF(RIGHT(M$30,2)&lt;&gt;PART_NUMBER_GENERATOR_TABLE[[#This Row],[Work Type]:[Work Type]],0,
SUMIFS(Input_Tasks[R2 After Hours],Input_Tasks[[Skill Required]:[Skill Required]],PART_NUMBER_GENERATOR_TABLE[[#This Row],[Tech]:[Tech]])))</f>
        <v>0</v>
      </c>
      <c r="N76" cm="1">
        <f t="array" ref="N76">IF(N$1&lt;&gt;PART_NUMBER_GENERATOR_TABLE[[#This Row],[Work Role]:[Work Role]],0,
IF(RIGHT(N$30,2)&lt;&gt;PART_NUMBER_GENERATOR_TABLE[[#This Row],[Work Type]:[Work Type]],0,
SUMIFS(Input_Tasks[R3 Business Hours],Input_Tasks[[Skill Required]:[Skill Required]],PART_NUMBER_GENERATOR_TABLE[[#This Row],[Tech]:[Tech]])))</f>
        <v>0</v>
      </c>
      <c r="O76" cm="1">
        <f t="array" ref="O76">IF(O$1&lt;&gt;PART_NUMBER_GENERATOR_TABLE[[#This Row],[Work Role]:[Work Role]],0,
IF(RIGHT(O$30,2)&lt;&gt;PART_NUMBER_GENERATOR_TABLE[[#This Row],[Work Type]:[Work Type]],0,
SUMIFS(Input_Tasks[R3 After Hours],Input_Tasks[[Skill Required]:[Skill Required]],PART_NUMBER_GENERATOR_TABLE[[#This Row],[Tech]:[Tech]])))</f>
        <v>0</v>
      </c>
      <c r="P76" cm="1">
        <f t="array" ref="P76">IF(P$1&lt;&gt;PART_NUMBER_GENERATOR_TABLE[[#This Row],[Work Role]:[Work Role]],0,
IF(RIGHT(P$30,2)&lt;&gt;PART_NUMBER_GENERATOR_TABLE[[#This Row],[Work Type]:[Work Type]],0,
SUMIFS(Input_Tasks[R4 Business Hours],Input_Tasks[[Skill Required]:[Skill Required]],PART_NUMBER_GENERATOR_TABLE[[#This Row],[Tech]:[Tech]])))</f>
        <v>0</v>
      </c>
      <c r="Q76" cm="1">
        <f t="array" ref="Q76">IF(Q$1&lt;&gt;PART_NUMBER_GENERATOR_TABLE[[#This Row],[Work Role]:[Work Role]],0,
IF(RIGHT(Q$30,2)&lt;&gt;PART_NUMBER_GENERATOR_TABLE[[#This Row],[Work Type]:[Work Type]],0,
SUMIFS(Input_Tasks[R4 After Hours],Input_Tasks[[Skill Required]:[Skill Required]],PART_NUMBER_GENERATOR_TABLE[[#This Row],[Tech]:[Tech]])))</f>
        <v>0</v>
      </c>
      <c r="R76" cm="1">
        <f t="array" ref="R76">IF(R$1&lt;&gt;PART_NUMBER_GENERATOR_TABLE[[#This Row],[Work Role]:[Work Role]],0,
IF(RIGHT(R$30,2)&lt;&gt;PART_NUMBER_GENERATOR_TABLE[[#This Row],[Work Type]:[Work Type]],0,
SUMIFS(Input_Tasks[R5 Business Hours],Input_Tasks[[Skill Required]:[Skill Required]],PART_NUMBER_GENERATOR_TABLE[[#This Row],[Tech]:[Tech]])))</f>
        <v>0</v>
      </c>
      <c r="S76" cm="1">
        <f t="array" ref="S76">IF(S$1&lt;&gt;PART_NUMBER_GENERATOR_TABLE[[#This Row],[Work Role]:[Work Role]],0,
IF(RIGHT(S$30,2)&lt;&gt;PART_NUMBER_GENERATOR_TABLE[[#This Row],[Work Type]:[Work Type]],0,
SUMIFS(Input_Tasks[R5 After Hours],Input_Tasks[[Skill Required]:[Skill Required]],PART_NUMBER_GENERATOR_TABLE[[#This Row],[Tech]:[Tech]])))</f>
        <v>0</v>
      </c>
      <c r="T76" cm="1">
        <f t="array" ref="T76">IF(PART_NUMBER_GENERATOR_TABLE[[#This Row],[Work Role]:[Work Role]]&lt;&gt;T$1,0,
IF(PART_NUMBER_GENERATOR_TABLE[[#This Row],[Work Type]:[Work Type]]&lt;&gt;"BH",0,
SUMIFS(T$9:T$24,$M$9:$M$24,PART_NUMBER_GENERATOR_TABLE[[#This Row],[Tech]:[Tech]])))</f>
        <v>0</v>
      </c>
      <c r="U76" cm="1">
        <f t="array" ref="U76">IF(PART_NUMBER_GENERATOR_TABLE[[#This Row],[Work Role]:[Work Role]]&lt;&gt;U$1,0,
IF(PART_NUMBER_GENERATOR_TABLE[[#This Row],[Work Type]:[Work Type]]&lt;&gt;"BH",0,
SUMIFS(U$9:U$24,$M$9:$M$24,PART_NUMBER_GENERATOR_TABLE[[#This Row],[Tech]:[Tech]])))</f>
        <v>0</v>
      </c>
      <c r="V76" cm="1">
        <f t="array" ref="V76">IF(PART_NUMBER_GENERATOR_TABLE[[#This Row],[Work Role]:[Work Role]]&lt;&gt;V$1,0,
IF(PART_NUMBER_GENERATOR_TABLE[[#This Row],[Work Type]:[Work Type]]&lt;&gt;"BH",0,
SUMIFS(V$9:V$24,$M$9:$M$24,PART_NUMBER_GENERATOR_TABLE[[#This Row],[Tech]:[Tech]])))</f>
        <v>0</v>
      </c>
      <c r="W76" cm="1">
        <f t="array" ref="W76">IF(PART_NUMBER_GENERATOR_TABLE[[#This Row],[Work Role]:[Work Role]]&lt;&gt;W$1,0,
IF(PART_NUMBER_GENERATOR_TABLE[[#This Row],[Work Type]:[Work Type]]&lt;&gt;"BH",0,
SUMIFS(W$9:W$24,$M$9:$M$24,PART_NUMBER_GENERATOR_TABLE[[#This Row],[Tech]:[Tech]])))</f>
        <v>0</v>
      </c>
      <c r="X76" cm="1">
        <f t="array" ref="X76">IF(PART_NUMBER_GENERATOR_TABLE[[#This Row],[Work Role]:[Work Role]]&lt;&gt;X$1,0,
IF(PART_NUMBER_GENERATOR_TABLE[[#This Row],[Work Type]:[Work Type]]&lt;&gt;"BH",0,
SUMIFS(X$9:X$24,$M$9:$M$24,PART_NUMBER_GENERATOR_TABLE[[#This Row],[Tech]:[Tech]])))</f>
        <v>0</v>
      </c>
      <c r="Y76" cm="1">
        <f t="array" ref="Y76">IF(PART_NUMBER_GENERATOR_TABLE[[#This Row],[Work Role]:[Work Role]]&lt;&gt;Y$1,0,
IF(PART_NUMBER_GENERATOR_TABLE[[#This Row],[Work Type]:[Work Type]]&lt;&gt;"BH",0,
SUMIFS(Y$9:Y$24,$M$9:$M$24,PART_NUMBER_GENERATOR_TABLE[[#This Row],[Tech]:[Tech]])))</f>
        <v>0</v>
      </c>
      <c r="Z76" cm="1">
        <f t="array" ref="Z76">IF(PART_NUMBER_GENERATOR_TABLE[[#This Row],[Work Role]:[Work Role]]&lt;&gt;Z$1,0,
IF(PART_NUMBER_GENERATOR_TABLE[[#This Row],[Work Type]:[Work Type]]&lt;&gt;"BH",0,
SUMIFS(Z$9:Z$24,$M$9:$M$24,PART_NUMBER_GENERATOR_TABLE[[#This Row],[Tech]:[Tech]])))</f>
        <v>0</v>
      </c>
      <c r="AA76" cm="1">
        <f t="array" ref="AA76">IF(PART_NUMBER_GENERATOR_TABLE[[#This Row],[Work Role]:[Work Role]]&lt;&gt;AA$1,0,
IF(PART_NUMBER_GENERATOR_TABLE[[#This Row],[Work Type]:[Work Type]]&lt;&gt;"BH",0,
SUMIFS(AA$9:AA$24,$M$9:$M$24,PART_NUMBER_GENERATOR_TABLE[[#This Row],[Tech]:[Tech]])))</f>
        <v>0</v>
      </c>
      <c r="AB76" cm="1">
        <f t="array" ref="AB76">IF(PART_NUMBER_GENERATOR_TABLE[[#This Row],[Work Role]:[Work Role]]&lt;&gt;AB$1,0,
IF(PART_NUMBER_GENERATOR_TABLE[[#This Row],[Work Type]:[Work Type]]&lt;&gt;"BH",0,
SUMIFS(AB$9:AB$24,$M$9:$M$24,PART_NUMBER_GENERATOR_TABLE[[#This Row],[Tech]:[Tech]])))</f>
        <v>0</v>
      </c>
      <c r="AC76" cm="1">
        <f t="array" ref="AC76">IF(PART_NUMBER_GENERATOR_TABLE[[#This Row],[Work Role]:[Work Role]]&lt;&gt;AC$1,0,
IF(PART_NUMBER_GENERATOR_TABLE[[#This Row],[Work Type]:[Work Type]]&lt;&gt;"BH",0,
SUMIFS(AC$9:AC$24,$M$9:$M$24,PART_NUMBER_GENERATOR_TABLE[[#This Row],[Tech]:[Tech]])))</f>
        <v>0</v>
      </c>
      <c r="AD76" cm="1">
        <f t="array" ref="AD76">IF(PART_NUMBER_GENERATOR_TABLE[[#This Row],[Work Role]:[Work Role]]&lt;&gt;AD$1,0,
IF(PART_NUMBER_GENERATOR_TABLE[[#This Row],[Work Type]:[Work Type]]&lt;&gt;"BH",0,
SUMIFS(AD$9:AD$24,$M$9:$M$24,PART_NUMBER_GENERATOR_TABLE[[#This Row],[Tech]:[Tech]])))</f>
        <v>0</v>
      </c>
      <c r="AE76" cm="1">
        <f t="array" ref="AE76">IF(PART_NUMBER_GENERATOR_TABLE[[#This Row],[Work Role]:[Work Role]]&lt;&gt;AE$1,0,
IF(PART_NUMBER_GENERATOR_TABLE[[#This Row],[Work Type]:[Work Type]]&lt;&gt;"BH",0,
SUMIFS(AE$9:AE$24,$M$9:$M$24,PART_NUMBER_GENERATOR_TABLE[[#This Row],[Tech]:[Tech]])))</f>
        <v>0</v>
      </c>
      <c r="AF76" cm="1">
        <f t="array" ref="AF76">IF(PART_NUMBER_GENERATOR_TABLE[[#This Row],[Work Role]:[Work Role]]&lt;&gt;AF$1,0,
IF(PART_NUMBER_GENERATOR_TABLE[[#This Row],[Work Type]:[Work Type]]&lt;&gt;"BH",0,
SUMIFS(AF$9:AF$24,$M$9:$M$24,PART_NUMBER_GENERATOR_TABLE[[#This Row],[Tech]:[Tech]])))</f>
        <v>0</v>
      </c>
      <c r="AG76" cm="1">
        <f t="array" ref="AG76">IF(PART_NUMBER_GENERATOR_TABLE[[#This Row],[Work Role]:[Work Role]]&lt;&gt;AG$1,0,
IF(PART_NUMBER_GENERATOR_TABLE[[#This Row],[Work Type]:[Work Type]]&lt;&gt;"AH",0,
SUMIFS(AG$9:AG$24,$M$9:$M$24,PART_NUMBER_GENERATOR_TABLE[[#This Row],[Tech]:[Tech]])))</f>
        <v>0</v>
      </c>
      <c r="AH76" cm="1">
        <f t="array" ref="AH76">IF(PART_NUMBER_GENERATOR_TABLE[[#This Row],[Work Role]:[Work Role]]&lt;&gt;AH$1,0,
IF(PART_NUMBER_GENERATOR_TABLE[[#This Row],[Work Type]:[Work Type]]&lt;&gt;"BH",0,
SUMIFS(AH$9:AH$24,$M$9:$M$24,PART_NUMBER_GENERATOR_TABLE[[#This Row],[Tech]:[Tech]])))</f>
        <v>0</v>
      </c>
      <c r="AI76" cm="1">
        <f t="array" ref="AI76">IF(PART_NUMBER_GENERATOR_TABLE[[#This Row],[Work Role]:[Work Role]]&lt;&gt;AI$1,0,
IF(PART_NUMBER_GENERATOR_TABLE[[#This Row],[Work Type]:[Work Type]]&lt;&gt;"BH",0,
SUMIFS(AI$9:AI$24,$M$9:$M$24,PART_NUMBER_GENERATOR_TABLE[[#This Row],[Tech]:[Tech]])))</f>
        <v>0</v>
      </c>
      <c r="AJ76" cm="1">
        <f t="array" ref="AJ76">IF(PART_NUMBER_GENERATOR_TABLE[[#This Row],[Work Role]:[Work Role]]&lt;&gt;AJ$1,0,
IF(PART_NUMBER_GENERATOR_TABLE[[#This Row],[Work Type]:[Work Type]]&lt;&gt;"BH",0,
SUMIFS(AJ$9:AJ$24,$M$9:$M$24,PART_NUMBER_GENERATOR_TABLE[[#This Row],[Tech]:[Tech]])))</f>
        <v>0</v>
      </c>
      <c r="AK76" cm="1">
        <f t="array" ref="AK76">IF(PART_NUMBER_GENERATOR_TABLE[[#This Row],[Work Role]:[Work Role]]&lt;&gt;AK$1,0,
IF(PART_NUMBER_GENERATOR_TABLE[[#This Row],[Work Type]:[Work Type]]&lt;&gt;"AH",0,
SUMIFS(AK$9:AK$24,$M$9:$M$24,PART_NUMBER_GENERATOR_TABLE[[#This Row],[Tech]:[Tech]])))</f>
        <v>0</v>
      </c>
      <c r="AL76" cm="1">
        <f t="array" ref="AL76">IF(PART_NUMBER_GENERATOR_TABLE[[#This Row],[Work Role]:[Work Role]]&lt;&gt;AL$1,0,
IF(PART_NUMBER_GENERATOR_TABLE[[#This Row],[Work Type]:[Work Type]]&lt;&gt;"BH",0,
SUMIFS(AL$9:AL$24,$M$9:$M$24,PART_NUMBER_GENERATOR_TABLE[[#This Row],[Tech]:[Tech]])))</f>
        <v>0</v>
      </c>
      <c r="AM76">
        <f>0</f>
        <v>0</v>
      </c>
      <c r="AN76" cm="1">
        <f t="array" ref="AN76">IF(PART_NUMBER_GENERATOR_TABLE[[#This Row],[Work Role]:[Work Role]]&lt;&gt;AN$1,0,
IF(PART_NUMBER_GENERATOR_TABLE[[#This Row],[Work Type]:[Work Type]]&lt;&gt;"BH",0,
SUMIFS(AN$24,$AM$24,PART_NUMBER_GENERATOR_TABLE[[#This Row],[Tech]:[Tech]])))</f>
        <v>0</v>
      </c>
      <c r="AO76" cm="1">
        <f t="array" ref="AO76">IF(PART_NUMBER_GENERATOR_TABLE[[#This Row],[Work Role]:[Work Role]]&lt;&gt;AO$1,0,
IF(PART_NUMBER_GENERATOR_TABLE[[#This Row],[Work Type]:[Work Type]]&lt;&gt;"BH",0,
SUMIFS(AO$24,$AM$24,PART_NUMBER_GENERATOR_TABLE[[#This Row],[Tech]:[Tech]])))</f>
        <v>0</v>
      </c>
      <c r="AP76" cm="1">
        <f t="array" ref="AP76">IF(PART_NUMBER_GENERATOR_TABLE[[#This Row],[Work Role]:[Work Role]]&lt;&gt;AP$1,0,
IF(PART_NUMBER_GENERATOR_TABLE[[#This Row],[Work Type]:[Work Type]]&lt;&gt;"BH",0,
SUMIFS(AP$24,$AM$24,PART_NUMBER_GENERATOR_TABLE[[#This Row],[Tech]:[Tech]])))</f>
        <v>0</v>
      </c>
      <c r="AQ76" cm="1">
        <f t="array" ref="AQ76">IF(PART_NUMBER_GENERATOR_TABLE[[#This Row],[Work Role]:[Work Role]]&lt;&gt;AQ$1,0,
IF(PART_NUMBER_GENERATOR_TABLE[[#This Row],[Work Type]:[Work Type]]&lt;&gt;"BH",0,
SUMIFS(AQ$24,$AM$24,PART_NUMBER_GENERATOR_TABLE[[#This Row],[Tech]:[Tech]])))</f>
        <v>0</v>
      </c>
      <c r="AR76" cm="1">
        <f t="array" ref="AR76">IF(PART_NUMBER_GENERATOR_TABLE[[#This Row],[Work Role]:[Work Role]]&lt;&gt;AR$1,0,
IF(PART_NUMBER_GENERATOR_TABLE[[#This Row],[Work Type]:[Work Type]]&lt;&gt;"BH",0,
SUMIFS(AR$24,$AM$24,PART_NUMBER_GENERATOR_TABLE[[#This Row],[Tech]:[Tech]])))</f>
        <v>0</v>
      </c>
      <c r="AS76" cm="1">
        <f t="array" ref="AS76">IF(PART_NUMBER_GENERATOR_TABLE[[#This Row],[Work Role]:[Work Role]]&lt;&gt;AS$1,0,
IF(PART_NUMBER_GENERATOR_TABLE[[#This Row],[Work Type]:[Work Type]]&lt;&gt;"BH",0,
SUMIFS(AS$24,$AM$24,PART_NUMBER_GENERATOR_TABLE[[#This Row],[Tech]:[Tech]])))</f>
        <v>0</v>
      </c>
      <c r="AT76" cm="1">
        <f t="array" ref="AT76">IF(PART_NUMBER_GENERATOR_TABLE[[#This Row],[Work Role]:[Work Role]]&lt;&gt;AS$1,0,
IF(PART_NUMBER_GENERATOR_TABLE[[#This Row],[Work Type]:[Work Type]]&lt;&gt;"BH",0,
SUMIFS(AT$24,$AM$24,PART_NUMBER_GENERATOR_TABLE[[#This Row],[Tech]:[Tech]])))</f>
        <v>0</v>
      </c>
      <c r="AU76">
        <f>SUM(PART_NUMBER_GENERATOR_TABLE[[#This Row],[Resource 1 BH]:[Resource 5 AH]],PART_NUMBER_GENERATOR_TABLE[[#This Row],[R1 Mandatory Tasks]:[R5 Mandatory Tasks]],PART_NUMBER_GENERATOR_TABLE[[#This Row],[R1 Remainder]:[R5 Remainder]])</f>
        <v>0</v>
      </c>
      <c r="AV76">
        <f>PART_NUMBER_GENERATOR_TABLE[[#This Row],[Professional Engineering Hours]]*PART_NUMBER_GENERATOR_TABLE[[#This Row],[Sell Rate]]</f>
        <v>0</v>
      </c>
      <c r="AW76">
        <f>PART_NUMBER_GENERATOR_TABLE[[#This Row],[Professional Engineering Hours]]*PART_NUMBER_GENERATOR_TABLE[[#This Row],[Cost Rate]]</f>
        <v>0</v>
      </c>
      <c r="AX76">
        <f>SUM(PART_NUMBER_GENERATOR_TABLE[[#This Row],[PM Trips]:[R5 Trips]])</f>
        <v>0</v>
      </c>
      <c r="AY76">
        <f>PART_NUMBER_GENERATOR_TABLE[[#This Row],[Travel &amp; Accommodation Hours]]*PART_NUMBER_GENERATOR_TABLE[[#This Row],[Sell Rate]]</f>
        <v>0</v>
      </c>
      <c r="AZ76">
        <f>PART_NUMBER_GENERATOR_TABLE[[#This Row],[Travel &amp; Accommodation Hours]]*PART_NUMBER_GENERATOR_TABLE[[#This Row],[Cost Rate]]</f>
        <v>0</v>
      </c>
      <c r="BA76">
        <f>PART_NUMBER_GENERATOR_TABLE[[#This Row],[PM Hours]]+PART_NUMBER_GENERATOR_TABLE[[#This Row],[PM Remainder]]</f>
        <v>0</v>
      </c>
      <c r="BB76">
        <f>PART_NUMBER_GENERATOR_TABLE[[#This Row],[Project Management Hours]]*PART_NUMBER_GENERATOR_TABLE[[#This Row],[Sell Rate]]</f>
        <v>0</v>
      </c>
      <c r="BC76">
        <f>PART_NUMBER_GENERATOR_TABLE[[#This Row],[Project Management Hours]]*PART_NUMBER_GENERATOR_TABLE[[#This Row],[Cost Rate]]</f>
        <v>0</v>
      </c>
      <c r="BD76">
        <f>SUM(PART_NUMBER_GENERATOR_TABLE[[#This Row],[SSE RISK BH]:[PM RISK]],PART_NUMBER_GENERATOR_TABLE[[#This Row],[SSE Remainder RISK BH]:[PM Remainder RISK]])</f>
        <v>0</v>
      </c>
      <c r="BE76">
        <f>PART_NUMBER_GENERATOR_TABLE[[#This Row],[Project Risk Service Hours]]*PART_NUMBER_GENERATOR_TABLE[[#This Row],[Sell Rate]]</f>
        <v>0</v>
      </c>
      <c r="BF76">
        <f>PART_NUMBER_GENERATOR_TABLE[[#This Row],[Project Risk Service Hours]]*PART_NUMBER_GENERATOR_TABLE[[#This Row],[Cost Rate]]</f>
        <v>0</v>
      </c>
      <c r="BG76">
        <f>PART_NUMBER_GENERATOR_TABLE[[#This Row],[SSE RISK TRAVEL]]</f>
        <v>0</v>
      </c>
      <c r="BH76">
        <f>PART_NUMBER_GENERATOR_TABLE[[#This Row],[Sell Rate]]*PART_NUMBER_GENERATOR_TABLE[[#This Row],[Project Risk Travel Hours]]</f>
        <v>0</v>
      </c>
      <c r="BI76">
        <f>PART_NUMBER_GENERATOR_TABLE[[#This Row],[Project Risk Travel Hours]]*PART_NUMBER_GENERATOR_TABLE[[#This Row],[Cost Rate]]</f>
        <v>0</v>
      </c>
      <c r="BJ7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7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76">
        <f>IFERROR(-VLOOKUP(INDEX(ENGINEER_ROLES,MATCH(PART_NUMBER_GENERATOR_TABLE[[#This Row],[Work Role]],settings.Table_Engineer.Roles[ID],0),1),Settings_Hidden!$H$359:$K$366,4,FALSE),0)</f>
        <v>0</v>
      </c>
      <c r="BM76" s="680">
        <f>-Summary!$C$66</f>
        <v>0</v>
      </c>
      <c r="BN76" s="465">
        <f>PART_NUMBER_GENERATOR_TABLE[[#This Row],[Total Base Price]]*MIN(PART_NUMBER_GENERATOR_TABLE[[#This Row],[Rate Service Discount]:[Flat Service Discount]])</f>
        <v>0</v>
      </c>
      <c r="BO76" s="451" t="str">
        <f>IF(PART_NUMBER_GENERATOR_TABLE[[#This Row],[Quantity]]&lt;&gt;0,MAX($BO$30:BO75)+1,"")</f>
        <v/>
      </c>
      <c r="BP76" t="str">
        <f>PART_NUMBER_GENERATOR_TABLE[[#This Row],[Part Number]]</f>
        <v>A-PS-E-NETWRK-SCE-BH</v>
      </c>
      <c r="BQ76">
        <f>PART_NUMBER_GENERATOR_TABLE[[#This Row],[Total Hours]]</f>
        <v>0</v>
      </c>
      <c r="BR76">
        <f>PART_NUMBER_GENERATOR_TABLE[[#This Row],[Cost Rate]]</f>
        <v>167.61034913968996</v>
      </c>
      <c r="BS76" s="465">
        <f>PART_NUMBER_GENERATOR_TABLE[[#This Row],[Sell Rate]]+(PART_NUMBER_GENERATOR_TABLE[[#This Row],[Sell Rate]]*MIN(PART_NUMBER_GENERATOR_TABLE[[#This Row],[Rate Service Discount]:[Flat Service Discount]]))</f>
        <v>315</v>
      </c>
    </row>
    <row r="77" spans="1:71">
      <c r="A77">
        <v>47</v>
      </c>
      <c r="C77" t="s">
        <v>1016</v>
      </c>
      <c r="D77" t="str" cm="1">
        <f t="array" ref="D77">INDEX(Table.Settings_Skill.List[Skill Name],MATCH(INDEX(_xlfn.TEXTSPLIT(C77,"-",,TRUE),4),Table.Settings_Skill.List[Skill Code],0),1)</f>
        <v>Operational Technology</v>
      </c>
      <c r="E77" t="str" cm="1">
        <f t="array" ref="E77">INDEX(_xlfn.TEXTSPLIT(C77,"-",,TRUE),5)</f>
        <v>TA</v>
      </c>
      <c r="F77" t="str">
        <f>IFERROR(INDEX(settings.Table_Engineer.Roles[Department Code],MATCH(PART_NUMBER_GENERATOR_TABLE[[#This Row],[Work Role]],settings.Table_Engineer.Roles[ID],0),1),"PMO")</f>
        <v>ENG</v>
      </c>
      <c r="G77" t="str" cm="1">
        <f t="array" ref="G77">INDEX(_xlfn.TEXTSPLIT(C77,"-",,TRUE),6)</f>
        <v>BH</v>
      </c>
      <c r="H7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155</v>
      </c>
      <c r="I7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81.346799080218702</v>
      </c>
      <c r="J77" cm="1">
        <f t="array" ref="J77">IF(J$1&lt;&gt;PART_NUMBER_GENERATOR_TABLE[[#This Row],[Work Role]:[Work Role]],0,
IF(RIGHT(J$30,2)&lt;&gt;PART_NUMBER_GENERATOR_TABLE[[#This Row],[Work Type]:[Work Type]],0,
SUMIFS(Input_Tasks[R1 Business Hours],Input_Tasks[[Skill Required]:[Skill Required]],PART_NUMBER_GENERATOR_TABLE[[#This Row],[Tech]:[Tech]])))</f>
        <v>0</v>
      </c>
      <c r="K77" cm="1">
        <f t="array" ref="K77">IF(K$1&lt;&gt;PART_NUMBER_GENERATOR_TABLE[[#This Row],[Work Role]:[Work Role]],0,
IF(RIGHT(K$30,2)&lt;&gt;PART_NUMBER_GENERATOR_TABLE[[#This Row],[Work Type]:[Work Type]],0,
SUMIFS(Input_Tasks[R1 After Hours],Input_Tasks[[Skill Required]:[Skill Required]],PART_NUMBER_GENERATOR_TABLE[[#This Row],[Tech]:[Tech]])))</f>
        <v>0</v>
      </c>
      <c r="L77" cm="1">
        <f t="array" ref="L77">IF(L$1&lt;&gt;PART_NUMBER_GENERATOR_TABLE[[#This Row],[Work Role]:[Work Role]],0,
IF(RIGHT(L$30,2)&lt;&gt;PART_NUMBER_GENERATOR_TABLE[[#This Row],[Work Type]:[Work Type]],0,
SUMIFS(Input_Tasks[R2 Business Hours],Input_Tasks[[Skill Required]:[Skill Required]],PART_NUMBER_GENERATOR_TABLE[[#This Row],[Tech]:[Tech]])))</f>
        <v>0</v>
      </c>
      <c r="M77" cm="1">
        <f t="array" ref="M77">IF(M$1&lt;&gt;PART_NUMBER_GENERATOR_TABLE[[#This Row],[Work Role]:[Work Role]],0,
IF(RIGHT(M$30,2)&lt;&gt;PART_NUMBER_GENERATOR_TABLE[[#This Row],[Work Type]:[Work Type]],0,
SUMIFS(Input_Tasks[R2 After Hours],Input_Tasks[[Skill Required]:[Skill Required]],PART_NUMBER_GENERATOR_TABLE[[#This Row],[Tech]:[Tech]])))</f>
        <v>0</v>
      </c>
      <c r="N77" cm="1">
        <f t="array" ref="N77">IF(N$1&lt;&gt;PART_NUMBER_GENERATOR_TABLE[[#This Row],[Work Role]:[Work Role]],0,
IF(RIGHT(N$30,2)&lt;&gt;PART_NUMBER_GENERATOR_TABLE[[#This Row],[Work Type]:[Work Type]],0,
SUMIFS(Input_Tasks[R3 Business Hours],Input_Tasks[[Skill Required]:[Skill Required]],PART_NUMBER_GENERATOR_TABLE[[#This Row],[Tech]:[Tech]])))</f>
        <v>0</v>
      </c>
      <c r="O77" cm="1">
        <f t="array" ref="O77">IF(O$1&lt;&gt;PART_NUMBER_GENERATOR_TABLE[[#This Row],[Work Role]:[Work Role]],0,
IF(RIGHT(O$30,2)&lt;&gt;PART_NUMBER_GENERATOR_TABLE[[#This Row],[Work Type]:[Work Type]],0,
SUMIFS(Input_Tasks[R3 After Hours],Input_Tasks[[Skill Required]:[Skill Required]],PART_NUMBER_GENERATOR_TABLE[[#This Row],[Tech]:[Tech]])))</f>
        <v>0</v>
      </c>
      <c r="P77" cm="1">
        <f t="array" ref="P77">IF(P$1&lt;&gt;PART_NUMBER_GENERATOR_TABLE[[#This Row],[Work Role]:[Work Role]],0,
IF(RIGHT(P$30,2)&lt;&gt;PART_NUMBER_GENERATOR_TABLE[[#This Row],[Work Type]:[Work Type]],0,
SUMIFS(Input_Tasks[R4 Business Hours],Input_Tasks[[Skill Required]:[Skill Required]],PART_NUMBER_GENERATOR_TABLE[[#This Row],[Tech]:[Tech]])))</f>
        <v>0</v>
      </c>
      <c r="Q77" cm="1">
        <f t="array" ref="Q77">IF(Q$1&lt;&gt;PART_NUMBER_GENERATOR_TABLE[[#This Row],[Work Role]:[Work Role]],0,
IF(RIGHT(Q$30,2)&lt;&gt;PART_NUMBER_GENERATOR_TABLE[[#This Row],[Work Type]:[Work Type]],0,
SUMIFS(Input_Tasks[R4 After Hours],Input_Tasks[[Skill Required]:[Skill Required]],PART_NUMBER_GENERATOR_TABLE[[#This Row],[Tech]:[Tech]])))</f>
        <v>0</v>
      </c>
      <c r="R77" cm="1">
        <f t="array" ref="R77">IF(R$1&lt;&gt;PART_NUMBER_GENERATOR_TABLE[[#This Row],[Work Role]:[Work Role]],0,
IF(RIGHT(R$30,2)&lt;&gt;PART_NUMBER_GENERATOR_TABLE[[#This Row],[Work Type]:[Work Type]],0,
SUMIFS(Input_Tasks[R5 Business Hours],Input_Tasks[[Skill Required]:[Skill Required]],PART_NUMBER_GENERATOR_TABLE[[#This Row],[Tech]:[Tech]])))</f>
        <v>0</v>
      </c>
      <c r="S77" cm="1">
        <f t="array" ref="S77">IF(S$1&lt;&gt;PART_NUMBER_GENERATOR_TABLE[[#This Row],[Work Role]:[Work Role]],0,
IF(RIGHT(S$30,2)&lt;&gt;PART_NUMBER_GENERATOR_TABLE[[#This Row],[Work Type]:[Work Type]],0,
SUMIFS(Input_Tasks[R5 After Hours],Input_Tasks[[Skill Required]:[Skill Required]],PART_NUMBER_GENERATOR_TABLE[[#This Row],[Tech]:[Tech]])))</f>
        <v>0</v>
      </c>
      <c r="T77" cm="1">
        <f t="array" ref="T77">IF(PART_NUMBER_GENERATOR_TABLE[[#This Row],[Work Role]:[Work Role]]&lt;&gt;T$1,0,
IF(PART_NUMBER_GENERATOR_TABLE[[#This Row],[Work Type]:[Work Type]]&lt;&gt;"BH",0,
SUMIFS(T$9:T$24,$M$9:$M$24,PART_NUMBER_GENERATOR_TABLE[[#This Row],[Tech]:[Tech]])))</f>
        <v>0</v>
      </c>
      <c r="U77" cm="1">
        <f t="array" ref="U77">IF(PART_NUMBER_GENERATOR_TABLE[[#This Row],[Work Role]:[Work Role]]&lt;&gt;U$1,0,
IF(PART_NUMBER_GENERATOR_TABLE[[#This Row],[Work Type]:[Work Type]]&lt;&gt;"BH",0,
SUMIFS(U$9:U$24,$M$9:$M$24,PART_NUMBER_GENERATOR_TABLE[[#This Row],[Tech]:[Tech]])))</f>
        <v>0</v>
      </c>
      <c r="V77" cm="1">
        <f t="array" ref="V77">IF(PART_NUMBER_GENERATOR_TABLE[[#This Row],[Work Role]:[Work Role]]&lt;&gt;V$1,0,
IF(PART_NUMBER_GENERATOR_TABLE[[#This Row],[Work Type]:[Work Type]]&lt;&gt;"BH",0,
SUMIFS(V$9:V$24,$M$9:$M$24,PART_NUMBER_GENERATOR_TABLE[[#This Row],[Tech]:[Tech]])))</f>
        <v>0</v>
      </c>
      <c r="W77" cm="1">
        <f t="array" ref="W77">IF(PART_NUMBER_GENERATOR_TABLE[[#This Row],[Work Role]:[Work Role]]&lt;&gt;W$1,0,
IF(PART_NUMBER_GENERATOR_TABLE[[#This Row],[Work Type]:[Work Type]]&lt;&gt;"BH",0,
SUMIFS(W$9:W$24,$M$9:$M$24,PART_NUMBER_GENERATOR_TABLE[[#This Row],[Tech]:[Tech]])))</f>
        <v>0</v>
      </c>
      <c r="X77" cm="1">
        <f t="array" ref="X77">IF(PART_NUMBER_GENERATOR_TABLE[[#This Row],[Work Role]:[Work Role]]&lt;&gt;X$1,0,
IF(PART_NUMBER_GENERATOR_TABLE[[#This Row],[Work Type]:[Work Type]]&lt;&gt;"BH",0,
SUMIFS(X$9:X$24,$M$9:$M$24,PART_NUMBER_GENERATOR_TABLE[[#This Row],[Tech]:[Tech]])))</f>
        <v>0</v>
      </c>
      <c r="Y77" cm="1">
        <f t="array" ref="Y77">IF(PART_NUMBER_GENERATOR_TABLE[[#This Row],[Work Role]:[Work Role]]&lt;&gt;Y$1,0,
IF(PART_NUMBER_GENERATOR_TABLE[[#This Row],[Work Type]:[Work Type]]&lt;&gt;"BH",0,
SUMIFS(Y$9:Y$24,$M$9:$M$24,PART_NUMBER_GENERATOR_TABLE[[#This Row],[Tech]:[Tech]])))</f>
        <v>0</v>
      </c>
      <c r="Z77" cm="1">
        <f t="array" ref="Z77">IF(PART_NUMBER_GENERATOR_TABLE[[#This Row],[Work Role]:[Work Role]]&lt;&gt;Z$1,0,
IF(PART_NUMBER_GENERATOR_TABLE[[#This Row],[Work Type]:[Work Type]]&lt;&gt;"BH",0,
SUMIFS(Z$9:Z$24,$M$9:$M$24,PART_NUMBER_GENERATOR_TABLE[[#This Row],[Tech]:[Tech]])))</f>
        <v>0</v>
      </c>
      <c r="AA77" cm="1">
        <f t="array" ref="AA77">IF(PART_NUMBER_GENERATOR_TABLE[[#This Row],[Work Role]:[Work Role]]&lt;&gt;AA$1,0,
IF(PART_NUMBER_GENERATOR_TABLE[[#This Row],[Work Type]:[Work Type]]&lt;&gt;"BH",0,
SUMIFS(AA$9:AA$24,$M$9:$M$24,PART_NUMBER_GENERATOR_TABLE[[#This Row],[Tech]:[Tech]])))</f>
        <v>0</v>
      </c>
      <c r="AB77" cm="1">
        <f t="array" ref="AB77">IF(PART_NUMBER_GENERATOR_TABLE[[#This Row],[Work Role]:[Work Role]]&lt;&gt;AB$1,0,
IF(PART_NUMBER_GENERATOR_TABLE[[#This Row],[Work Type]:[Work Type]]&lt;&gt;"BH",0,
SUMIFS(AB$9:AB$24,$M$9:$M$24,PART_NUMBER_GENERATOR_TABLE[[#This Row],[Tech]:[Tech]])))</f>
        <v>0</v>
      </c>
      <c r="AC77" cm="1">
        <f t="array" ref="AC77">IF(PART_NUMBER_GENERATOR_TABLE[[#This Row],[Work Role]:[Work Role]]&lt;&gt;AC$1,0,
IF(PART_NUMBER_GENERATOR_TABLE[[#This Row],[Work Type]:[Work Type]]&lt;&gt;"BH",0,
SUMIFS(AC$9:AC$24,$M$9:$M$24,PART_NUMBER_GENERATOR_TABLE[[#This Row],[Tech]:[Tech]])))</f>
        <v>0</v>
      </c>
      <c r="AD77" cm="1">
        <f t="array" ref="AD77">IF(PART_NUMBER_GENERATOR_TABLE[[#This Row],[Work Role]:[Work Role]]&lt;&gt;AD$1,0,
IF(PART_NUMBER_GENERATOR_TABLE[[#This Row],[Work Type]:[Work Type]]&lt;&gt;"BH",0,
SUMIFS(AD$9:AD$24,$M$9:$M$24,PART_NUMBER_GENERATOR_TABLE[[#This Row],[Tech]:[Tech]])))</f>
        <v>0</v>
      </c>
      <c r="AE77" cm="1">
        <f t="array" ref="AE77">IF(PART_NUMBER_GENERATOR_TABLE[[#This Row],[Work Role]:[Work Role]]&lt;&gt;AE$1,0,
IF(PART_NUMBER_GENERATOR_TABLE[[#This Row],[Work Type]:[Work Type]]&lt;&gt;"BH",0,
SUMIFS(AE$9:AE$24,$M$9:$M$24,PART_NUMBER_GENERATOR_TABLE[[#This Row],[Tech]:[Tech]])))</f>
        <v>0</v>
      </c>
      <c r="AF77" cm="1">
        <f t="array" ref="AF77">IF(PART_NUMBER_GENERATOR_TABLE[[#This Row],[Work Role]:[Work Role]]&lt;&gt;AF$1,0,
IF(PART_NUMBER_GENERATOR_TABLE[[#This Row],[Work Type]:[Work Type]]&lt;&gt;"BH",0,
SUMIFS(AF$9:AF$24,$M$9:$M$24,PART_NUMBER_GENERATOR_TABLE[[#This Row],[Tech]:[Tech]])))</f>
        <v>0</v>
      </c>
      <c r="AG77" cm="1">
        <f t="array" ref="AG77">IF(PART_NUMBER_GENERATOR_TABLE[[#This Row],[Work Role]:[Work Role]]&lt;&gt;AG$1,0,
IF(PART_NUMBER_GENERATOR_TABLE[[#This Row],[Work Type]:[Work Type]]&lt;&gt;"AH",0,
SUMIFS(AG$9:AG$24,$M$9:$M$24,PART_NUMBER_GENERATOR_TABLE[[#This Row],[Tech]:[Tech]])))</f>
        <v>0</v>
      </c>
      <c r="AH77" cm="1">
        <f t="array" ref="AH77">IF(PART_NUMBER_GENERATOR_TABLE[[#This Row],[Work Role]:[Work Role]]&lt;&gt;AH$1,0,
IF(PART_NUMBER_GENERATOR_TABLE[[#This Row],[Work Type]:[Work Type]]&lt;&gt;"BH",0,
SUMIFS(AH$9:AH$24,$M$9:$M$24,PART_NUMBER_GENERATOR_TABLE[[#This Row],[Tech]:[Tech]])))</f>
        <v>0</v>
      </c>
      <c r="AI77" cm="1">
        <f t="array" ref="AI77">IF(PART_NUMBER_GENERATOR_TABLE[[#This Row],[Work Role]:[Work Role]]&lt;&gt;AI$1,0,
IF(PART_NUMBER_GENERATOR_TABLE[[#This Row],[Work Type]:[Work Type]]&lt;&gt;"BH",0,
SUMIFS(AI$9:AI$24,$M$9:$M$24,PART_NUMBER_GENERATOR_TABLE[[#This Row],[Tech]:[Tech]])))</f>
        <v>0</v>
      </c>
      <c r="AJ77" cm="1">
        <f t="array" ref="AJ77">IF(PART_NUMBER_GENERATOR_TABLE[[#This Row],[Work Role]:[Work Role]]&lt;&gt;AJ$1,0,
IF(PART_NUMBER_GENERATOR_TABLE[[#This Row],[Work Type]:[Work Type]]&lt;&gt;"BH",0,
SUMIFS(AJ$9:AJ$24,$M$9:$M$24,PART_NUMBER_GENERATOR_TABLE[[#This Row],[Tech]:[Tech]])))</f>
        <v>0</v>
      </c>
      <c r="AK77" cm="1">
        <f t="array" ref="AK77">IF(PART_NUMBER_GENERATOR_TABLE[[#This Row],[Work Role]:[Work Role]]&lt;&gt;AK$1,0,
IF(PART_NUMBER_GENERATOR_TABLE[[#This Row],[Work Type]:[Work Type]]&lt;&gt;"AH",0,
SUMIFS(AK$9:AK$24,$M$9:$M$24,PART_NUMBER_GENERATOR_TABLE[[#This Row],[Tech]:[Tech]])))</f>
        <v>0</v>
      </c>
      <c r="AL77" cm="1">
        <f t="array" ref="AL77">IF(PART_NUMBER_GENERATOR_TABLE[[#This Row],[Work Role]:[Work Role]]&lt;&gt;AL$1,0,
IF(PART_NUMBER_GENERATOR_TABLE[[#This Row],[Work Type]:[Work Type]]&lt;&gt;"BH",0,
SUMIFS(AL$9:AL$24,$M$9:$M$24,PART_NUMBER_GENERATOR_TABLE[[#This Row],[Tech]:[Tech]])))</f>
        <v>0</v>
      </c>
      <c r="AM77">
        <f>0</f>
        <v>0</v>
      </c>
      <c r="AN77" cm="1">
        <f t="array" ref="AN77">IF(PART_NUMBER_GENERATOR_TABLE[[#This Row],[Work Role]:[Work Role]]&lt;&gt;AN$1,0,
IF(PART_NUMBER_GENERATOR_TABLE[[#This Row],[Work Type]:[Work Type]]&lt;&gt;"BH",0,
SUMIFS(AN$24,$AM$24,PART_NUMBER_GENERATOR_TABLE[[#This Row],[Tech]:[Tech]])))</f>
        <v>0</v>
      </c>
      <c r="AO77" cm="1">
        <f t="array" ref="AO77">IF(PART_NUMBER_GENERATOR_TABLE[[#This Row],[Work Role]:[Work Role]]&lt;&gt;AO$1,0,
IF(PART_NUMBER_GENERATOR_TABLE[[#This Row],[Work Type]:[Work Type]]&lt;&gt;"BH",0,
SUMIFS(AO$24,$AM$24,PART_NUMBER_GENERATOR_TABLE[[#This Row],[Tech]:[Tech]])))</f>
        <v>0</v>
      </c>
      <c r="AP77" cm="1">
        <f t="array" ref="AP77">IF(PART_NUMBER_GENERATOR_TABLE[[#This Row],[Work Role]:[Work Role]]&lt;&gt;AP$1,0,
IF(PART_NUMBER_GENERATOR_TABLE[[#This Row],[Work Type]:[Work Type]]&lt;&gt;"BH",0,
SUMIFS(AP$24,$AM$24,PART_NUMBER_GENERATOR_TABLE[[#This Row],[Tech]:[Tech]])))</f>
        <v>0</v>
      </c>
      <c r="AQ77" cm="1">
        <f t="array" ref="AQ77">IF(PART_NUMBER_GENERATOR_TABLE[[#This Row],[Work Role]:[Work Role]]&lt;&gt;AQ$1,0,
IF(PART_NUMBER_GENERATOR_TABLE[[#This Row],[Work Type]:[Work Type]]&lt;&gt;"BH",0,
SUMIFS(AQ$24,$AM$24,PART_NUMBER_GENERATOR_TABLE[[#This Row],[Tech]:[Tech]])))</f>
        <v>0</v>
      </c>
      <c r="AR77" cm="1">
        <f t="array" ref="AR77">IF(PART_NUMBER_GENERATOR_TABLE[[#This Row],[Work Role]:[Work Role]]&lt;&gt;AR$1,0,
IF(PART_NUMBER_GENERATOR_TABLE[[#This Row],[Work Type]:[Work Type]]&lt;&gt;"BH",0,
SUMIFS(AR$24,$AM$24,PART_NUMBER_GENERATOR_TABLE[[#This Row],[Tech]:[Tech]])))</f>
        <v>0</v>
      </c>
      <c r="AS77" cm="1">
        <f t="array" ref="AS77">IF(PART_NUMBER_GENERATOR_TABLE[[#This Row],[Work Role]:[Work Role]]&lt;&gt;AS$1,0,
IF(PART_NUMBER_GENERATOR_TABLE[[#This Row],[Work Type]:[Work Type]]&lt;&gt;"BH",0,
SUMIFS(AS$24,$AM$24,PART_NUMBER_GENERATOR_TABLE[[#This Row],[Tech]:[Tech]])))</f>
        <v>0</v>
      </c>
      <c r="AT77" cm="1">
        <f t="array" ref="AT77">IF(PART_NUMBER_GENERATOR_TABLE[[#This Row],[Work Role]:[Work Role]]&lt;&gt;AS$1,0,
IF(PART_NUMBER_GENERATOR_TABLE[[#This Row],[Work Type]:[Work Type]]&lt;&gt;"BH",0,
SUMIFS(AT$24,$AM$24,PART_NUMBER_GENERATOR_TABLE[[#This Row],[Tech]:[Tech]])))</f>
        <v>0</v>
      </c>
      <c r="AU77">
        <f>SUM(PART_NUMBER_GENERATOR_TABLE[[#This Row],[Resource 1 BH]:[Resource 5 AH]],PART_NUMBER_GENERATOR_TABLE[[#This Row],[R1 Mandatory Tasks]:[R5 Mandatory Tasks]],PART_NUMBER_GENERATOR_TABLE[[#This Row],[R1 Remainder]:[R5 Remainder]])</f>
        <v>0</v>
      </c>
      <c r="AV77">
        <f>PART_NUMBER_GENERATOR_TABLE[[#This Row],[Professional Engineering Hours]]*PART_NUMBER_GENERATOR_TABLE[[#This Row],[Sell Rate]]</f>
        <v>0</v>
      </c>
      <c r="AW77">
        <f>PART_NUMBER_GENERATOR_TABLE[[#This Row],[Professional Engineering Hours]]*PART_NUMBER_GENERATOR_TABLE[[#This Row],[Cost Rate]]</f>
        <v>0</v>
      </c>
      <c r="AX77">
        <f>SUM(PART_NUMBER_GENERATOR_TABLE[[#This Row],[PM Trips]:[R5 Trips]])</f>
        <v>0</v>
      </c>
      <c r="AY77">
        <f>PART_NUMBER_GENERATOR_TABLE[[#This Row],[Travel &amp; Accommodation Hours]]*PART_NUMBER_GENERATOR_TABLE[[#This Row],[Sell Rate]]</f>
        <v>0</v>
      </c>
      <c r="AZ77">
        <f>PART_NUMBER_GENERATOR_TABLE[[#This Row],[Travel &amp; Accommodation Hours]]*PART_NUMBER_GENERATOR_TABLE[[#This Row],[Cost Rate]]</f>
        <v>0</v>
      </c>
      <c r="BA77">
        <f>PART_NUMBER_GENERATOR_TABLE[[#This Row],[PM Hours]]+PART_NUMBER_GENERATOR_TABLE[[#This Row],[PM Remainder]]</f>
        <v>0</v>
      </c>
      <c r="BB77">
        <f>PART_NUMBER_GENERATOR_TABLE[[#This Row],[Project Management Hours]]*PART_NUMBER_GENERATOR_TABLE[[#This Row],[Sell Rate]]</f>
        <v>0</v>
      </c>
      <c r="BC77">
        <f>PART_NUMBER_GENERATOR_TABLE[[#This Row],[Project Management Hours]]*PART_NUMBER_GENERATOR_TABLE[[#This Row],[Cost Rate]]</f>
        <v>0</v>
      </c>
      <c r="BD77">
        <f>SUM(PART_NUMBER_GENERATOR_TABLE[[#This Row],[SSE RISK BH]:[PM RISK]],PART_NUMBER_GENERATOR_TABLE[[#This Row],[SSE Remainder RISK BH]:[PM Remainder RISK]])</f>
        <v>0</v>
      </c>
      <c r="BE77">
        <f>PART_NUMBER_GENERATOR_TABLE[[#This Row],[Project Risk Service Hours]]*PART_NUMBER_GENERATOR_TABLE[[#This Row],[Sell Rate]]</f>
        <v>0</v>
      </c>
      <c r="BF77">
        <f>PART_NUMBER_GENERATOR_TABLE[[#This Row],[Project Risk Service Hours]]*PART_NUMBER_GENERATOR_TABLE[[#This Row],[Cost Rate]]</f>
        <v>0</v>
      </c>
      <c r="BG77">
        <f>PART_NUMBER_GENERATOR_TABLE[[#This Row],[SSE RISK TRAVEL]]</f>
        <v>0</v>
      </c>
      <c r="BH77">
        <f>PART_NUMBER_GENERATOR_TABLE[[#This Row],[Sell Rate]]*PART_NUMBER_GENERATOR_TABLE[[#This Row],[Project Risk Travel Hours]]</f>
        <v>0</v>
      </c>
      <c r="BI77">
        <f>PART_NUMBER_GENERATOR_TABLE[[#This Row],[Project Risk Travel Hours]]*PART_NUMBER_GENERATOR_TABLE[[#This Row],[Cost Rate]]</f>
        <v>0</v>
      </c>
      <c r="BJ7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7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77">
        <f>IFERROR(-VLOOKUP(INDEX(ENGINEER_ROLES,MATCH(PART_NUMBER_GENERATOR_TABLE[[#This Row],[Work Role]],settings.Table_Engineer.Roles[ID],0),1),Settings_Hidden!$H$359:$K$366,4,FALSE),0)</f>
        <v>0</v>
      </c>
      <c r="BM77" s="680">
        <f>-Summary!$C$66</f>
        <v>0</v>
      </c>
      <c r="BN77" s="465">
        <f>PART_NUMBER_GENERATOR_TABLE[[#This Row],[Total Base Price]]*MIN(PART_NUMBER_GENERATOR_TABLE[[#This Row],[Rate Service Discount]:[Flat Service Discount]])</f>
        <v>0</v>
      </c>
      <c r="BO77" s="451" t="str">
        <f>IF(PART_NUMBER_GENERATOR_TABLE[[#This Row],[Quantity]]&lt;&gt;0,MAX($BO$30:BO76)+1,"")</f>
        <v/>
      </c>
      <c r="BP77" t="str">
        <f>PART_NUMBER_GENERATOR_TABLE[[#This Row],[Part Number]]</f>
        <v>A-PS-E-OPPTEC-TA-BH</v>
      </c>
      <c r="BQ77">
        <f>PART_NUMBER_GENERATOR_TABLE[[#This Row],[Total Hours]]</f>
        <v>0</v>
      </c>
      <c r="BR77">
        <f>PART_NUMBER_GENERATOR_TABLE[[#This Row],[Cost Rate]]</f>
        <v>81.346799080218702</v>
      </c>
      <c r="BS77" s="465">
        <f>PART_NUMBER_GENERATOR_TABLE[[#This Row],[Sell Rate]]+(PART_NUMBER_GENERATOR_TABLE[[#This Row],[Sell Rate]]*MIN(PART_NUMBER_GENERATOR_TABLE[[#This Row],[Rate Service Discount]:[Flat Service Discount]]))</f>
        <v>155</v>
      </c>
    </row>
    <row r="78" spans="1:71">
      <c r="A78">
        <v>48</v>
      </c>
      <c r="C78" t="s">
        <v>1012</v>
      </c>
      <c r="D78" t="str" cm="1">
        <f t="array" ref="D78">INDEX(Table.Settings_Skill.List[Skill Name],MATCH(INDEX(_xlfn.TEXTSPLIT(C78,"-",,TRUE),4),Table.Settings_Skill.List[Skill Code],0),1)</f>
        <v>Operational Technology</v>
      </c>
      <c r="E78" t="str" cm="1">
        <f t="array" ref="E78">INDEX(_xlfn.TEXTSPLIT(C78,"-",,TRUE),5)</f>
        <v>SE</v>
      </c>
      <c r="F78" t="str">
        <f>IFERROR(INDEX(settings.Table_Engineer.Roles[Department Code],MATCH(PART_NUMBER_GENERATOR_TABLE[[#This Row],[Work Role]],settings.Table_Engineer.Roles[ID],0),1),"PMO")</f>
        <v>ENG</v>
      </c>
      <c r="G78" t="str" cm="1">
        <f t="array" ref="G78">INDEX(_xlfn.TEXTSPLIT(C78,"-",,TRUE),6)</f>
        <v>BH</v>
      </c>
      <c r="H7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7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78" cm="1">
        <f t="array" ref="J78">IF(J$1&lt;&gt;PART_NUMBER_GENERATOR_TABLE[[#This Row],[Work Role]:[Work Role]],0,
IF(RIGHT(J$30,2)&lt;&gt;PART_NUMBER_GENERATOR_TABLE[[#This Row],[Work Type]:[Work Type]],0,
SUMIFS(Input_Tasks[R1 Business Hours],Input_Tasks[[Skill Required]:[Skill Required]],PART_NUMBER_GENERATOR_TABLE[[#This Row],[Tech]:[Tech]])))</f>
        <v>0</v>
      </c>
      <c r="K78" cm="1">
        <f t="array" ref="K78">IF(K$1&lt;&gt;PART_NUMBER_GENERATOR_TABLE[[#This Row],[Work Role]:[Work Role]],0,
IF(RIGHT(K$30,2)&lt;&gt;PART_NUMBER_GENERATOR_TABLE[[#This Row],[Work Type]:[Work Type]],0,
SUMIFS(Input_Tasks[R1 After Hours],Input_Tasks[[Skill Required]:[Skill Required]],PART_NUMBER_GENERATOR_TABLE[[#This Row],[Tech]:[Tech]])))</f>
        <v>0</v>
      </c>
      <c r="L78" cm="1">
        <f t="array" ref="L78">IF(L$1&lt;&gt;PART_NUMBER_GENERATOR_TABLE[[#This Row],[Work Role]:[Work Role]],0,
IF(RIGHT(L$30,2)&lt;&gt;PART_NUMBER_GENERATOR_TABLE[[#This Row],[Work Type]:[Work Type]],0,
SUMIFS(Input_Tasks[R2 Business Hours],Input_Tasks[[Skill Required]:[Skill Required]],PART_NUMBER_GENERATOR_TABLE[[#This Row],[Tech]:[Tech]])))</f>
        <v>0</v>
      </c>
      <c r="M78" cm="1">
        <f t="array" ref="M78">IF(M$1&lt;&gt;PART_NUMBER_GENERATOR_TABLE[[#This Row],[Work Role]:[Work Role]],0,
IF(RIGHT(M$30,2)&lt;&gt;PART_NUMBER_GENERATOR_TABLE[[#This Row],[Work Type]:[Work Type]],0,
SUMIFS(Input_Tasks[R2 After Hours],Input_Tasks[[Skill Required]:[Skill Required]],PART_NUMBER_GENERATOR_TABLE[[#This Row],[Tech]:[Tech]])))</f>
        <v>0</v>
      </c>
      <c r="N78" cm="1">
        <f t="array" ref="N78">IF(N$1&lt;&gt;PART_NUMBER_GENERATOR_TABLE[[#This Row],[Work Role]:[Work Role]],0,
IF(RIGHT(N$30,2)&lt;&gt;PART_NUMBER_GENERATOR_TABLE[[#This Row],[Work Type]:[Work Type]],0,
SUMIFS(Input_Tasks[R3 Business Hours],Input_Tasks[[Skill Required]:[Skill Required]],PART_NUMBER_GENERATOR_TABLE[[#This Row],[Tech]:[Tech]])))</f>
        <v>0</v>
      </c>
      <c r="O78" cm="1">
        <f t="array" ref="O78">IF(O$1&lt;&gt;PART_NUMBER_GENERATOR_TABLE[[#This Row],[Work Role]:[Work Role]],0,
IF(RIGHT(O$30,2)&lt;&gt;PART_NUMBER_GENERATOR_TABLE[[#This Row],[Work Type]:[Work Type]],0,
SUMIFS(Input_Tasks[R3 After Hours],Input_Tasks[[Skill Required]:[Skill Required]],PART_NUMBER_GENERATOR_TABLE[[#This Row],[Tech]:[Tech]])))</f>
        <v>0</v>
      </c>
      <c r="P78" cm="1">
        <f t="array" ref="P78">IF(P$1&lt;&gt;PART_NUMBER_GENERATOR_TABLE[[#This Row],[Work Role]:[Work Role]],0,
IF(RIGHT(P$30,2)&lt;&gt;PART_NUMBER_GENERATOR_TABLE[[#This Row],[Work Type]:[Work Type]],0,
SUMIFS(Input_Tasks[R4 Business Hours],Input_Tasks[[Skill Required]:[Skill Required]],PART_NUMBER_GENERATOR_TABLE[[#This Row],[Tech]:[Tech]])))</f>
        <v>0</v>
      </c>
      <c r="Q78" cm="1">
        <f t="array" ref="Q78">IF(Q$1&lt;&gt;PART_NUMBER_GENERATOR_TABLE[[#This Row],[Work Role]:[Work Role]],0,
IF(RIGHT(Q$30,2)&lt;&gt;PART_NUMBER_GENERATOR_TABLE[[#This Row],[Work Type]:[Work Type]],0,
SUMIFS(Input_Tasks[R4 After Hours],Input_Tasks[[Skill Required]:[Skill Required]],PART_NUMBER_GENERATOR_TABLE[[#This Row],[Tech]:[Tech]])))</f>
        <v>0</v>
      </c>
      <c r="R78" cm="1">
        <f t="array" ref="R78">IF(R$1&lt;&gt;PART_NUMBER_GENERATOR_TABLE[[#This Row],[Work Role]:[Work Role]],0,
IF(RIGHT(R$30,2)&lt;&gt;PART_NUMBER_GENERATOR_TABLE[[#This Row],[Work Type]:[Work Type]],0,
SUMIFS(Input_Tasks[R5 Business Hours],Input_Tasks[[Skill Required]:[Skill Required]],PART_NUMBER_GENERATOR_TABLE[[#This Row],[Tech]:[Tech]])))</f>
        <v>0</v>
      </c>
      <c r="S78" cm="1">
        <f t="array" ref="S78">IF(S$1&lt;&gt;PART_NUMBER_GENERATOR_TABLE[[#This Row],[Work Role]:[Work Role]],0,
IF(RIGHT(S$30,2)&lt;&gt;PART_NUMBER_GENERATOR_TABLE[[#This Row],[Work Type]:[Work Type]],0,
SUMIFS(Input_Tasks[R5 After Hours],Input_Tasks[[Skill Required]:[Skill Required]],PART_NUMBER_GENERATOR_TABLE[[#This Row],[Tech]:[Tech]])))</f>
        <v>0</v>
      </c>
      <c r="T78" cm="1">
        <f t="array" ref="T78">IF(PART_NUMBER_GENERATOR_TABLE[[#This Row],[Work Role]:[Work Role]]&lt;&gt;T$1,0,
IF(PART_NUMBER_GENERATOR_TABLE[[#This Row],[Work Type]:[Work Type]]&lt;&gt;"BH",0,
SUMIFS(T$9:T$24,$M$9:$M$24,PART_NUMBER_GENERATOR_TABLE[[#This Row],[Tech]:[Tech]])))</f>
        <v>0</v>
      </c>
      <c r="U78" cm="1">
        <f t="array" ref="U78">IF(PART_NUMBER_GENERATOR_TABLE[[#This Row],[Work Role]:[Work Role]]&lt;&gt;U$1,0,
IF(PART_NUMBER_GENERATOR_TABLE[[#This Row],[Work Type]:[Work Type]]&lt;&gt;"BH",0,
SUMIFS(U$9:U$24,$M$9:$M$24,PART_NUMBER_GENERATOR_TABLE[[#This Row],[Tech]:[Tech]])))</f>
        <v>0</v>
      </c>
      <c r="V78" cm="1">
        <f t="array" ref="V78">IF(PART_NUMBER_GENERATOR_TABLE[[#This Row],[Work Role]:[Work Role]]&lt;&gt;V$1,0,
IF(PART_NUMBER_GENERATOR_TABLE[[#This Row],[Work Type]:[Work Type]]&lt;&gt;"BH",0,
SUMIFS(V$9:V$24,$M$9:$M$24,PART_NUMBER_GENERATOR_TABLE[[#This Row],[Tech]:[Tech]])))</f>
        <v>0</v>
      </c>
      <c r="W78" cm="1">
        <f t="array" ref="W78">IF(PART_NUMBER_GENERATOR_TABLE[[#This Row],[Work Role]:[Work Role]]&lt;&gt;W$1,0,
IF(PART_NUMBER_GENERATOR_TABLE[[#This Row],[Work Type]:[Work Type]]&lt;&gt;"BH",0,
SUMIFS(W$9:W$24,$M$9:$M$24,PART_NUMBER_GENERATOR_TABLE[[#This Row],[Tech]:[Tech]])))</f>
        <v>0</v>
      </c>
      <c r="X78" cm="1">
        <f t="array" ref="X78">IF(PART_NUMBER_GENERATOR_TABLE[[#This Row],[Work Role]:[Work Role]]&lt;&gt;X$1,0,
IF(PART_NUMBER_GENERATOR_TABLE[[#This Row],[Work Type]:[Work Type]]&lt;&gt;"BH",0,
SUMIFS(X$9:X$24,$M$9:$M$24,PART_NUMBER_GENERATOR_TABLE[[#This Row],[Tech]:[Tech]])))</f>
        <v>0</v>
      </c>
      <c r="Y78" cm="1">
        <f t="array" ref="Y78">IF(PART_NUMBER_GENERATOR_TABLE[[#This Row],[Work Role]:[Work Role]]&lt;&gt;Y$1,0,
IF(PART_NUMBER_GENERATOR_TABLE[[#This Row],[Work Type]:[Work Type]]&lt;&gt;"BH",0,
SUMIFS(Y$9:Y$24,$M$9:$M$24,PART_NUMBER_GENERATOR_TABLE[[#This Row],[Tech]:[Tech]])))</f>
        <v>0</v>
      </c>
      <c r="Z78" cm="1">
        <f t="array" ref="Z78">IF(PART_NUMBER_GENERATOR_TABLE[[#This Row],[Work Role]:[Work Role]]&lt;&gt;Z$1,0,
IF(PART_NUMBER_GENERATOR_TABLE[[#This Row],[Work Type]:[Work Type]]&lt;&gt;"BH",0,
SUMIFS(Z$9:Z$24,$M$9:$M$24,PART_NUMBER_GENERATOR_TABLE[[#This Row],[Tech]:[Tech]])))</f>
        <v>0</v>
      </c>
      <c r="AA78" cm="1">
        <f t="array" ref="AA78">IF(PART_NUMBER_GENERATOR_TABLE[[#This Row],[Work Role]:[Work Role]]&lt;&gt;AA$1,0,
IF(PART_NUMBER_GENERATOR_TABLE[[#This Row],[Work Type]:[Work Type]]&lt;&gt;"BH",0,
SUMIFS(AA$9:AA$24,$M$9:$M$24,PART_NUMBER_GENERATOR_TABLE[[#This Row],[Tech]:[Tech]])))</f>
        <v>0</v>
      </c>
      <c r="AB78" cm="1">
        <f t="array" ref="AB78">IF(PART_NUMBER_GENERATOR_TABLE[[#This Row],[Work Role]:[Work Role]]&lt;&gt;AB$1,0,
IF(PART_NUMBER_GENERATOR_TABLE[[#This Row],[Work Type]:[Work Type]]&lt;&gt;"BH",0,
SUMIFS(AB$9:AB$24,$M$9:$M$24,PART_NUMBER_GENERATOR_TABLE[[#This Row],[Tech]:[Tech]])))</f>
        <v>0</v>
      </c>
      <c r="AC78" cm="1">
        <f t="array" ref="AC78">IF(PART_NUMBER_GENERATOR_TABLE[[#This Row],[Work Role]:[Work Role]]&lt;&gt;AC$1,0,
IF(PART_NUMBER_GENERATOR_TABLE[[#This Row],[Work Type]:[Work Type]]&lt;&gt;"BH",0,
SUMIFS(AC$9:AC$24,$M$9:$M$24,PART_NUMBER_GENERATOR_TABLE[[#This Row],[Tech]:[Tech]])))</f>
        <v>0</v>
      </c>
      <c r="AD78" cm="1">
        <f t="array" ref="AD78">IF(PART_NUMBER_GENERATOR_TABLE[[#This Row],[Work Role]:[Work Role]]&lt;&gt;AD$1,0,
IF(PART_NUMBER_GENERATOR_TABLE[[#This Row],[Work Type]:[Work Type]]&lt;&gt;"BH",0,
SUMIFS(AD$9:AD$24,$M$9:$M$24,PART_NUMBER_GENERATOR_TABLE[[#This Row],[Tech]:[Tech]])))</f>
        <v>0</v>
      </c>
      <c r="AE78" cm="1">
        <f t="array" ref="AE78">IF(PART_NUMBER_GENERATOR_TABLE[[#This Row],[Work Role]:[Work Role]]&lt;&gt;AE$1,0,
IF(PART_NUMBER_GENERATOR_TABLE[[#This Row],[Work Type]:[Work Type]]&lt;&gt;"BH",0,
SUMIFS(AE$9:AE$24,$M$9:$M$24,PART_NUMBER_GENERATOR_TABLE[[#This Row],[Tech]:[Tech]])))</f>
        <v>0</v>
      </c>
      <c r="AF78" cm="1">
        <f t="array" ref="AF78">IF(PART_NUMBER_GENERATOR_TABLE[[#This Row],[Work Role]:[Work Role]]&lt;&gt;AF$1,0,
IF(PART_NUMBER_GENERATOR_TABLE[[#This Row],[Work Type]:[Work Type]]&lt;&gt;"BH",0,
SUMIFS(AF$9:AF$24,$M$9:$M$24,PART_NUMBER_GENERATOR_TABLE[[#This Row],[Tech]:[Tech]])))</f>
        <v>0</v>
      </c>
      <c r="AG78" cm="1">
        <f t="array" ref="AG78">IF(PART_NUMBER_GENERATOR_TABLE[[#This Row],[Work Role]:[Work Role]]&lt;&gt;AG$1,0,
IF(PART_NUMBER_GENERATOR_TABLE[[#This Row],[Work Type]:[Work Type]]&lt;&gt;"AH",0,
SUMIFS(AG$9:AG$24,$M$9:$M$24,PART_NUMBER_GENERATOR_TABLE[[#This Row],[Tech]:[Tech]])))</f>
        <v>0</v>
      </c>
      <c r="AH78" cm="1">
        <f t="array" ref="AH78">IF(PART_NUMBER_GENERATOR_TABLE[[#This Row],[Work Role]:[Work Role]]&lt;&gt;AH$1,0,
IF(PART_NUMBER_GENERATOR_TABLE[[#This Row],[Work Type]:[Work Type]]&lt;&gt;"BH",0,
SUMIFS(AH$9:AH$24,$M$9:$M$24,PART_NUMBER_GENERATOR_TABLE[[#This Row],[Tech]:[Tech]])))</f>
        <v>0</v>
      </c>
      <c r="AI78" cm="1">
        <f t="array" ref="AI78">IF(PART_NUMBER_GENERATOR_TABLE[[#This Row],[Work Role]:[Work Role]]&lt;&gt;AI$1,0,
IF(PART_NUMBER_GENERATOR_TABLE[[#This Row],[Work Type]:[Work Type]]&lt;&gt;"BH",0,
SUMIFS(AI$9:AI$24,$M$9:$M$24,PART_NUMBER_GENERATOR_TABLE[[#This Row],[Tech]:[Tech]])))</f>
        <v>0</v>
      </c>
      <c r="AJ78" cm="1">
        <f t="array" ref="AJ78">IF(PART_NUMBER_GENERATOR_TABLE[[#This Row],[Work Role]:[Work Role]]&lt;&gt;AJ$1,0,
IF(PART_NUMBER_GENERATOR_TABLE[[#This Row],[Work Type]:[Work Type]]&lt;&gt;"BH",0,
SUMIFS(AJ$9:AJ$24,$M$9:$M$24,PART_NUMBER_GENERATOR_TABLE[[#This Row],[Tech]:[Tech]])))</f>
        <v>0</v>
      </c>
      <c r="AK78" cm="1">
        <f t="array" ref="AK78">IF(PART_NUMBER_GENERATOR_TABLE[[#This Row],[Work Role]:[Work Role]]&lt;&gt;AK$1,0,
IF(PART_NUMBER_GENERATOR_TABLE[[#This Row],[Work Type]:[Work Type]]&lt;&gt;"AH",0,
SUMIFS(AK$9:AK$24,$M$9:$M$24,PART_NUMBER_GENERATOR_TABLE[[#This Row],[Tech]:[Tech]])))</f>
        <v>0</v>
      </c>
      <c r="AL78" cm="1">
        <f t="array" ref="AL78">IF(PART_NUMBER_GENERATOR_TABLE[[#This Row],[Work Role]:[Work Role]]&lt;&gt;AL$1,0,
IF(PART_NUMBER_GENERATOR_TABLE[[#This Row],[Work Type]:[Work Type]]&lt;&gt;"BH",0,
SUMIFS(AL$9:AL$24,$M$9:$M$24,PART_NUMBER_GENERATOR_TABLE[[#This Row],[Tech]:[Tech]])))</f>
        <v>0</v>
      </c>
      <c r="AM78">
        <f>0</f>
        <v>0</v>
      </c>
      <c r="AN78" cm="1">
        <f t="array" ref="AN78">IF(PART_NUMBER_GENERATOR_TABLE[[#This Row],[Work Role]:[Work Role]]&lt;&gt;AN$1,0,
IF(PART_NUMBER_GENERATOR_TABLE[[#This Row],[Work Type]:[Work Type]]&lt;&gt;"BH",0,
SUMIFS(AN$24,$AM$24,PART_NUMBER_GENERATOR_TABLE[[#This Row],[Tech]:[Tech]])))</f>
        <v>0</v>
      </c>
      <c r="AO78" cm="1">
        <f t="array" ref="AO78">IF(PART_NUMBER_GENERATOR_TABLE[[#This Row],[Work Role]:[Work Role]]&lt;&gt;AO$1,0,
IF(PART_NUMBER_GENERATOR_TABLE[[#This Row],[Work Type]:[Work Type]]&lt;&gt;"BH",0,
SUMIFS(AO$24,$AM$24,PART_NUMBER_GENERATOR_TABLE[[#This Row],[Tech]:[Tech]])))</f>
        <v>0</v>
      </c>
      <c r="AP78" cm="1">
        <f t="array" ref="AP78">IF(PART_NUMBER_GENERATOR_TABLE[[#This Row],[Work Role]:[Work Role]]&lt;&gt;AP$1,0,
IF(PART_NUMBER_GENERATOR_TABLE[[#This Row],[Work Type]:[Work Type]]&lt;&gt;"BH",0,
SUMIFS(AP$24,$AM$24,PART_NUMBER_GENERATOR_TABLE[[#This Row],[Tech]:[Tech]])))</f>
        <v>0</v>
      </c>
      <c r="AQ78" cm="1">
        <f t="array" ref="AQ78">IF(PART_NUMBER_GENERATOR_TABLE[[#This Row],[Work Role]:[Work Role]]&lt;&gt;AQ$1,0,
IF(PART_NUMBER_GENERATOR_TABLE[[#This Row],[Work Type]:[Work Type]]&lt;&gt;"BH",0,
SUMIFS(AQ$24,$AM$24,PART_NUMBER_GENERATOR_TABLE[[#This Row],[Tech]:[Tech]])))</f>
        <v>0</v>
      </c>
      <c r="AR78" cm="1">
        <f t="array" ref="AR78">IF(PART_NUMBER_GENERATOR_TABLE[[#This Row],[Work Role]:[Work Role]]&lt;&gt;AR$1,0,
IF(PART_NUMBER_GENERATOR_TABLE[[#This Row],[Work Type]:[Work Type]]&lt;&gt;"BH",0,
SUMIFS(AR$24,$AM$24,PART_NUMBER_GENERATOR_TABLE[[#This Row],[Tech]:[Tech]])))</f>
        <v>0</v>
      </c>
      <c r="AS78" cm="1">
        <f t="array" ref="AS78">IF(PART_NUMBER_GENERATOR_TABLE[[#This Row],[Work Role]:[Work Role]]&lt;&gt;AS$1,0,
IF(PART_NUMBER_GENERATOR_TABLE[[#This Row],[Work Type]:[Work Type]]&lt;&gt;"BH",0,
SUMIFS(AS$24,$AM$24,PART_NUMBER_GENERATOR_TABLE[[#This Row],[Tech]:[Tech]])))</f>
        <v>0</v>
      </c>
      <c r="AT78" cm="1">
        <f t="array" ref="AT78">IF(PART_NUMBER_GENERATOR_TABLE[[#This Row],[Work Role]:[Work Role]]&lt;&gt;AS$1,0,
IF(PART_NUMBER_GENERATOR_TABLE[[#This Row],[Work Type]:[Work Type]]&lt;&gt;"BH",0,
SUMIFS(AT$24,$AM$24,PART_NUMBER_GENERATOR_TABLE[[#This Row],[Tech]:[Tech]])))</f>
        <v>0</v>
      </c>
      <c r="AU78">
        <f>SUM(PART_NUMBER_GENERATOR_TABLE[[#This Row],[Resource 1 BH]:[Resource 5 AH]],PART_NUMBER_GENERATOR_TABLE[[#This Row],[R1 Mandatory Tasks]:[R5 Mandatory Tasks]],PART_NUMBER_GENERATOR_TABLE[[#This Row],[R1 Remainder]:[R5 Remainder]])</f>
        <v>0</v>
      </c>
      <c r="AV78">
        <f>PART_NUMBER_GENERATOR_TABLE[[#This Row],[Professional Engineering Hours]]*PART_NUMBER_GENERATOR_TABLE[[#This Row],[Sell Rate]]</f>
        <v>0</v>
      </c>
      <c r="AW78">
        <f>PART_NUMBER_GENERATOR_TABLE[[#This Row],[Professional Engineering Hours]]*PART_NUMBER_GENERATOR_TABLE[[#This Row],[Cost Rate]]</f>
        <v>0</v>
      </c>
      <c r="AX78">
        <f>SUM(PART_NUMBER_GENERATOR_TABLE[[#This Row],[PM Trips]:[R5 Trips]])</f>
        <v>0</v>
      </c>
      <c r="AY78">
        <f>PART_NUMBER_GENERATOR_TABLE[[#This Row],[Travel &amp; Accommodation Hours]]*PART_NUMBER_GENERATOR_TABLE[[#This Row],[Sell Rate]]</f>
        <v>0</v>
      </c>
      <c r="AZ78">
        <f>PART_NUMBER_GENERATOR_TABLE[[#This Row],[Travel &amp; Accommodation Hours]]*PART_NUMBER_GENERATOR_TABLE[[#This Row],[Cost Rate]]</f>
        <v>0</v>
      </c>
      <c r="BA78">
        <f>PART_NUMBER_GENERATOR_TABLE[[#This Row],[PM Hours]]+PART_NUMBER_GENERATOR_TABLE[[#This Row],[PM Remainder]]</f>
        <v>0</v>
      </c>
      <c r="BB78">
        <f>PART_NUMBER_GENERATOR_TABLE[[#This Row],[Project Management Hours]]*PART_NUMBER_GENERATOR_TABLE[[#This Row],[Sell Rate]]</f>
        <v>0</v>
      </c>
      <c r="BC78">
        <f>PART_NUMBER_GENERATOR_TABLE[[#This Row],[Project Management Hours]]*PART_NUMBER_GENERATOR_TABLE[[#This Row],[Cost Rate]]</f>
        <v>0</v>
      </c>
      <c r="BD78">
        <f>SUM(PART_NUMBER_GENERATOR_TABLE[[#This Row],[SSE RISK BH]:[PM RISK]],PART_NUMBER_GENERATOR_TABLE[[#This Row],[SSE Remainder RISK BH]:[PM Remainder RISK]])</f>
        <v>0</v>
      </c>
      <c r="BE78">
        <f>PART_NUMBER_GENERATOR_TABLE[[#This Row],[Project Risk Service Hours]]*PART_NUMBER_GENERATOR_TABLE[[#This Row],[Sell Rate]]</f>
        <v>0</v>
      </c>
      <c r="BF78">
        <f>PART_NUMBER_GENERATOR_TABLE[[#This Row],[Project Risk Service Hours]]*PART_NUMBER_GENERATOR_TABLE[[#This Row],[Cost Rate]]</f>
        <v>0</v>
      </c>
      <c r="BG78">
        <f>PART_NUMBER_GENERATOR_TABLE[[#This Row],[SSE RISK TRAVEL]]</f>
        <v>0</v>
      </c>
      <c r="BH78">
        <f>PART_NUMBER_GENERATOR_TABLE[[#This Row],[Sell Rate]]*PART_NUMBER_GENERATOR_TABLE[[#This Row],[Project Risk Travel Hours]]</f>
        <v>0</v>
      </c>
      <c r="BI78">
        <f>PART_NUMBER_GENERATOR_TABLE[[#This Row],[Project Risk Travel Hours]]*PART_NUMBER_GENERATOR_TABLE[[#This Row],[Cost Rate]]</f>
        <v>0</v>
      </c>
      <c r="BJ7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7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78">
        <f>IFERROR(-VLOOKUP(INDEX(ENGINEER_ROLES,MATCH(PART_NUMBER_GENERATOR_TABLE[[#This Row],[Work Role]],settings.Table_Engineer.Roles[ID],0),1),Settings_Hidden!$H$359:$K$366,4,FALSE),0)</f>
        <v>0</v>
      </c>
      <c r="BM78" s="680">
        <f>-Summary!$C$66</f>
        <v>0</v>
      </c>
      <c r="BN78" s="465">
        <f>PART_NUMBER_GENERATOR_TABLE[[#This Row],[Total Base Price]]*MIN(PART_NUMBER_GENERATOR_TABLE[[#This Row],[Rate Service Discount]:[Flat Service Discount]])</f>
        <v>0</v>
      </c>
      <c r="BO78" s="451" t="str">
        <f>IF(PART_NUMBER_GENERATOR_TABLE[[#This Row],[Quantity]]&lt;&gt;0,MAX($BO$30:BO77)+1,"")</f>
        <v/>
      </c>
      <c r="BP78" t="str">
        <f>PART_NUMBER_GENERATOR_TABLE[[#This Row],[Part Number]]</f>
        <v>A-PS-E-OPPTEC-SE-BH</v>
      </c>
      <c r="BQ78">
        <f>PART_NUMBER_GENERATOR_TABLE[[#This Row],[Total Hours]]</f>
        <v>0</v>
      </c>
      <c r="BR78">
        <f>PART_NUMBER_GENERATOR_TABLE[[#This Row],[Cost Rate]]</f>
        <v>126.11855927829811</v>
      </c>
      <c r="BS78" s="465">
        <f>PART_NUMBER_GENERATOR_TABLE[[#This Row],[Sell Rate]]+(PART_NUMBER_GENERATOR_TABLE[[#This Row],[Sell Rate]]*MIN(PART_NUMBER_GENERATOR_TABLE[[#This Row],[Rate Service Discount]:[Flat Service Discount]]))</f>
        <v>235</v>
      </c>
    </row>
    <row r="79" spans="1:71">
      <c r="A79">
        <v>49</v>
      </c>
      <c r="C79" t="s">
        <v>1006</v>
      </c>
      <c r="D79" t="str" cm="1">
        <f t="array" ref="D79">INDEX(Table.Settings_Skill.List[Skill Name],MATCH(INDEX(_xlfn.TEXTSPLIT(C79,"-",,TRUE),4),Table.Settings_Skill.List[Skill Code],0),1)</f>
        <v>Operational Technology</v>
      </c>
      <c r="E79" t="str" cm="1">
        <f t="array" ref="E79">INDEX(_xlfn.TEXTSPLIT(C79,"-",,TRUE),5)</f>
        <v>SSE</v>
      </c>
      <c r="F79" t="str">
        <f>IFERROR(INDEX(settings.Table_Engineer.Roles[Department Code],MATCH(PART_NUMBER_GENERATOR_TABLE[[#This Row],[Work Role]],settings.Table_Engineer.Roles[ID],0),1),"PMO")</f>
        <v>ENG</v>
      </c>
      <c r="G79" t="str" cm="1">
        <f t="array" ref="G79">INDEX(_xlfn.TEXTSPLIT(C79,"-",,TRUE),6)</f>
        <v>BH</v>
      </c>
      <c r="H7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280.5</v>
      </c>
      <c r="I7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149.91839058446394</v>
      </c>
      <c r="J79" cm="1">
        <f t="array" ref="J79">IF(J$1&lt;&gt;PART_NUMBER_GENERATOR_TABLE[[#This Row],[Work Role]:[Work Role]],0,
IF(RIGHT(J$30,2)&lt;&gt;PART_NUMBER_GENERATOR_TABLE[[#This Row],[Work Type]:[Work Type]],0,
SUMIFS(Input_Tasks[R1 Business Hours],Input_Tasks[[Skill Required]:[Skill Required]],PART_NUMBER_GENERATOR_TABLE[[#This Row],[Tech]:[Tech]])))</f>
        <v>0</v>
      </c>
      <c r="K79" cm="1">
        <f t="array" ref="K79">IF(K$1&lt;&gt;PART_NUMBER_GENERATOR_TABLE[[#This Row],[Work Role]:[Work Role]],0,
IF(RIGHT(K$30,2)&lt;&gt;PART_NUMBER_GENERATOR_TABLE[[#This Row],[Work Type]:[Work Type]],0,
SUMIFS(Input_Tasks[R1 After Hours],Input_Tasks[[Skill Required]:[Skill Required]],PART_NUMBER_GENERATOR_TABLE[[#This Row],[Tech]:[Tech]])))</f>
        <v>0</v>
      </c>
      <c r="L79" cm="1">
        <f t="array" ref="L79">IF(L$1&lt;&gt;PART_NUMBER_GENERATOR_TABLE[[#This Row],[Work Role]:[Work Role]],0,
IF(RIGHT(L$30,2)&lt;&gt;PART_NUMBER_GENERATOR_TABLE[[#This Row],[Work Type]:[Work Type]],0,
SUMIFS(Input_Tasks[R2 Business Hours],Input_Tasks[[Skill Required]:[Skill Required]],PART_NUMBER_GENERATOR_TABLE[[#This Row],[Tech]:[Tech]])))</f>
        <v>0</v>
      </c>
      <c r="M79" cm="1">
        <f t="array" ref="M79">IF(M$1&lt;&gt;PART_NUMBER_GENERATOR_TABLE[[#This Row],[Work Role]:[Work Role]],0,
IF(RIGHT(M$30,2)&lt;&gt;PART_NUMBER_GENERATOR_TABLE[[#This Row],[Work Type]:[Work Type]],0,
SUMIFS(Input_Tasks[R2 After Hours],Input_Tasks[[Skill Required]:[Skill Required]],PART_NUMBER_GENERATOR_TABLE[[#This Row],[Tech]:[Tech]])))</f>
        <v>0</v>
      </c>
      <c r="N79" cm="1">
        <f t="array" ref="N79">IF(N$1&lt;&gt;PART_NUMBER_GENERATOR_TABLE[[#This Row],[Work Role]:[Work Role]],0,
IF(RIGHT(N$30,2)&lt;&gt;PART_NUMBER_GENERATOR_TABLE[[#This Row],[Work Type]:[Work Type]],0,
SUMIFS(Input_Tasks[R3 Business Hours],Input_Tasks[[Skill Required]:[Skill Required]],PART_NUMBER_GENERATOR_TABLE[[#This Row],[Tech]:[Tech]])))</f>
        <v>0</v>
      </c>
      <c r="O79" cm="1">
        <f t="array" ref="O79">IF(O$1&lt;&gt;PART_NUMBER_GENERATOR_TABLE[[#This Row],[Work Role]:[Work Role]],0,
IF(RIGHT(O$30,2)&lt;&gt;PART_NUMBER_GENERATOR_TABLE[[#This Row],[Work Type]:[Work Type]],0,
SUMIFS(Input_Tasks[R3 After Hours],Input_Tasks[[Skill Required]:[Skill Required]],PART_NUMBER_GENERATOR_TABLE[[#This Row],[Tech]:[Tech]])))</f>
        <v>0</v>
      </c>
      <c r="P79" cm="1">
        <f t="array" ref="P79">IF(P$1&lt;&gt;PART_NUMBER_GENERATOR_TABLE[[#This Row],[Work Role]:[Work Role]],0,
IF(RIGHT(P$30,2)&lt;&gt;PART_NUMBER_GENERATOR_TABLE[[#This Row],[Work Type]:[Work Type]],0,
SUMIFS(Input_Tasks[R4 Business Hours],Input_Tasks[[Skill Required]:[Skill Required]],PART_NUMBER_GENERATOR_TABLE[[#This Row],[Tech]:[Tech]])))</f>
        <v>0</v>
      </c>
      <c r="Q79" cm="1">
        <f t="array" ref="Q79">IF(Q$1&lt;&gt;PART_NUMBER_GENERATOR_TABLE[[#This Row],[Work Role]:[Work Role]],0,
IF(RIGHT(Q$30,2)&lt;&gt;PART_NUMBER_GENERATOR_TABLE[[#This Row],[Work Type]:[Work Type]],0,
SUMIFS(Input_Tasks[R4 After Hours],Input_Tasks[[Skill Required]:[Skill Required]],PART_NUMBER_GENERATOR_TABLE[[#This Row],[Tech]:[Tech]])))</f>
        <v>0</v>
      </c>
      <c r="R79" cm="1">
        <f t="array" ref="R79">IF(R$1&lt;&gt;PART_NUMBER_GENERATOR_TABLE[[#This Row],[Work Role]:[Work Role]],0,
IF(RIGHT(R$30,2)&lt;&gt;PART_NUMBER_GENERATOR_TABLE[[#This Row],[Work Type]:[Work Type]],0,
SUMIFS(Input_Tasks[R5 Business Hours],Input_Tasks[[Skill Required]:[Skill Required]],PART_NUMBER_GENERATOR_TABLE[[#This Row],[Tech]:[Tech]])))</f>
        <v>0</v>
      </c>
      <c r="S79" cm="1">
        <f t="array" ref="S79">IF(S$1&lt;&gt;PART_NUMBER_GENERATOR_TABLE[[#This Row],[Work Role]:[Work Role]],0,
IF(RIGHT(S$30,2)&lt;&gt;PART_NUMBER_GENERATOR_TABLE[[#This Row],[Work Type]:[Work Type]],0,
SUMIFS(Input_Tasks[R5 After Hours],Input_Tasks[[Skill Required]:[Skill Required]],PART_NUMBER_GENERATOR_TABLE[[#This Row],[Tech]:[Tech]])))</f>
        <v>0</v>
      </c>
      <c r="T79" cm="1">
        <f t="array" ref="T79">IF(PART_NUMBER_GENERATOR_TABLE[[#This Row],[Work Role]:[Work Role]]&lt;&gt;T$1,0,
IF(PART_NUMBER_GENERATOR_TABLE[[#This Row],[Work Type]:[Work Type]]&lt;&gt;"BH",0,
SUMIFS(T$9:T$24,$M$9:$M$24,PART_NUMBER_GENERATOR_TABLE[[#This Row],[Tech]:[Tech]])))</f>
        <v>0</v>
      </c>
      <c r="U79" cm="1">
        <f t="array" ref="U79">IF(PART_NUMBER_GENERATOR_TABLE[[#This Row],[Work Role]:[Work Role]]&lt;&gt;U$1,0,
IF(PART_NUMBER_GENERATOR_TABLE[[#This Row],[Work Type]:[Work Type]]&lt;&gt;"BH",0,
SUMIFS(U$9:U$24,$M$9:$M$24,PART_NUMBER_GENERATOR_TABLE[[#This Row],[Tech]:[Tech]])))</f>
        <v>0</v>
      </c>
      <c r="V79" cm="1">
        <f t="array" ref="V79">IF(PART_NUMBER_GENERATOR_TABLE[[#This Row],[Work Role]:[Work Role]]&lt;&gt;V$1,0,
IF(PART_NUMBER_GENERATOR_TABLE[[#This Row],[Work Type]:[Work Type]]&lt;&gt;"BH",0,
SUMIFS(V$9:V$24,$M$9:$M$24,PART_NUMBER_GENERATOR_TABLE[[#This Row],[Tech]:[Tech]])))</f>
        <v>0</v>
      </c>
      <c r="W79" cm="1">
        <f t="array" ref="W79">IF(PART_NUMBER_GENERATOR_TABLE[[#This Row],[Work Role]:[Work Role]]&lt;&gt;W$1,0,
IF(PART_NUMBER_GENERATOR_TABLE[[#This Row],[Work Type]:[Work Type]]&lt;&gt;"BH",0,
SUMIFS(W$9:W$24,$M$9:$M$24,PART_NUMBER_GENERATOR_TABLE[[#This Row],[Tech]:[Tech]])))</f>
        <v>0</v>
      </c>
      <c r="X79" cm="1">
        <f t="array" ref="X79">IF(PART_NUMBER_GENERATOR_TABLE[[#This Row],[Work Role]:[Work Role]]&lt;&gt;X$1,0,
IF(PART_NUMBER_GENERATOR_TABLE[[#This Row],[Work Type]:[Work Type]]&lt;&gt;"BH",0,
SUMIFS(X$9:X$24,$M$9:$M$24,PART_NUMBER_GENERATOR_TABLE[[#This Row],[Tech]:[Tech]])))</f>
        <v>0</v>
      </c>
      <c r="Y79" cm="1">
        <f t="array" ref="Y79">IF(PART_NUMBER_GENERATOR_TABLE[[#This Row],[Work Role]:[Work Role]]&lt;&gt;Y$1,0,
IF(PART_NUMBER_GENERATOR_TABLE[[#This Row],[Work Type]:[Work Type]]&lt;&gt;"BH",0,
SUMIFS(Y$9:Y$24,$M$9:$M$24,PART_NUMBER_GENERATOR_TABLE[[#This Row],[Tech]:[Tech]])))</f>
        <v>0</v>
      </c>
      <c r="Z79" cm="1">
        <f t="array" ref="Z79">IF(PART_NUMBER_GENERATOR_TABLE[[#This Row],[Work Role]:[Work Role]]&lt;&gt;Z$1,0,
IF(PART_NUMBER_GENERATOR_TABLE[[#This Row],[Work Type]:[Work Type]]&lt;&gt;"BH",0,
SUMIFS(Z$9:Z$24,$M$9:$M$24,PART_NUMBER_GENERATOR_TABLE[[#This Row],[Tech]:[Tech]])))</f>
        <v>0</v>
      </c>
      <c r="AA79" cm="1">
        <f t="array" ref="AA79">IF(PART_NUMBER_GENERATOR_TABLE[[#This Row],[Work Role]:[Work Role]]&lt;&gt;AA$1,0,
IF(PART_NUMBER_GENERATOR_TABLE[[#This Row],[Work Type]:[Work Type]]&lt;&gt;"BH",0,
SUMIFS(AA$9:AA$24,$M$9:$M$24,PART_NUMBER_GENERATOR_TABLE[[#This Row],[Tech]:[Tech]])))</f>
        <v>0</v>
      </c>
      <c r="AB79" cm="1">
        <f t="array" ref="AB79">IF(PART_NUMBER_GENERATOR_TABLE[[#This Row],[Work Role]:[Work Role]]&lt;&gt;AB$1,0,
IF(PART_NUMBER_GENERATOR_TABLE[[#This Row],[Work Type]:[Work Type]]&lt;&gt;"BH",0,
SUMIFS(AB$9:AB$24,$M$9:$M$24,PART_NUMBER_GENERATOR_TABLE[[#This Row],[Tech]:[Tech]])))</f>
        <v>0</v>
      </c>
      <c r="AC79" cm="1">
        <f t="array" ref="AC79">IF(PART_NUMBER_GENERATOR_TABLE[[#This Row],[Work Role]:[Work Role]]&lt;&gt;AC$1,0,
IF(PART_NUMBER_GENERATOR_TABLE[[#This Row],[Work Type]:[Work Type]]&lt;&gt;"BH",0,
SUMIFS(AC$9:AC$24,$M$9:$M$24,PART_NUMBER_GENERATOR_TABLE[[#This Row],[Tech]:[Tech]])))</f>
        <v>0</v>
      </c>
      <c r="AD79" cm="1">
        <f t="array" ref="AD79">IF(PART_NUMBER_GENERATOR_TABLE[[#This Row],[Work Role]:[Work Role]]&lt;&gt;AD$1,0,
IF(PART_NUMBER_GENERATOR_TABLE[[#This Row],[Work Type]:[Work Type]]&lt;&gt;"BH",0,
SUMIFS(AD$9:AD$24,$M$9:$M$24,PART_NUMBER_GENERATOR_TABLE[[#This Row],[Tech]:[Tech]])))</f>
        <v>0</v>
      </c>
      <c r="AE79" cm="1">
        <f t="array" ref="AE79">IF(PART_NUMBER_GENERATOR_TABLE[[#This Row],[Work Role]:[Work Role]]&lt;&gt;AE$1,0,
IF(PART_NUMBER_GENERATOR_TABLE[[#This Row],[Work Type]:[Work Type]]&lt;&gt;"BH",0,
SUMIFS(AE$9:AE$24,$M$9:$M$24,PART_NUMBER_GENERATOR_TABLE[[#This Row],[Tech]:[Tech]])))</f>
        <v>0</v>
      </c>
      <c r="AF79" cm="1">
        <f t="array" ref="AF79">IF(PART_NUMBER_GENERATOR_TABLE[[#This Row],[Work Role]:[Work Role]]&lt;&gt;AF$1,0,
IF(PART_NUMBER_GENERATOR_TABLE[[#This Row],[Work Type]:[Work Type]]&lt;&gt;"BH",0,
SUMIFS(AF$9:AF$24,$M$9:$M$24,PART_NUMBER_GENERATOR_TABLE[[#This Row],[Tech]:[Tech]])))</f>
        <v>0</v>
      </c>
      <c r="AG79" cm="1">
        <f t="array" ref="AG79">IF(PART_NUMBER_GENERATOR_TABLE[[#This Row],[Work Role]:[Work Role]]&lt;&gt;AG$1,0,
IF(PART_NUMBER_GENERATOR_TABLE[[#This Row],[Work Type]:[Work Type]]&lt;&gt;"AH",0,
SUMIFS(AG$9:AG$24,$M$9:$M$24,PART_NUMBER_GENERATOR_TABLE[[#This Row],[Tech]:[Tech]])))</f>
        <v>0</v>
      </c>
      <c r="AH79" cm="1">
        <f t="array" ref="AH79">IF(PART_NUMBER_GENERATOR_TABLE[[#This Row],[Work Role]:[Work Role]]&lt;&gt;AH$1,0,
IF(PART_NUMBER_GENERATOR_TABLE[[#This Row],[Work Type]:[Work Type]]&lt;&gt;"BH",0,
SUMIFS(AH$9:AH$24,$M$9:$M$24,PART_NUMBER_GENERATOR_TABLE[[#This Row],[Tech]:[Tech]])))</f>
        <v>0</v>
      </c>
      <c r="AI79" cm="1">
        <f t="array" ref="AI79">IF(PART_NUMBER_GENERATOR_TABLE[[#This Row],[Work Role]:[Work Role]]&lt;&gt;AI$1,0,
IF(PART_NUMBER_GENERATOR_TABLE[[#This Row],[Work Type]:[Work Type]]&lt;&gt;"BH",0,
SUMIFS(AI$9:AI$24,$M$9:$M$24,PART_NUMBER_GENERATOR_TABLE[[#This Row],[Tech]:[Tech]])))</f>
        <v>0</v>
      </c>
      <c r="AJ79" cm="1">
        <f t="array" ref="AJ79">IF(PART_NUMBER_GENERATOR_TABLE[[#This Row],[Work Role]:[Work Role]]&lt;&gt;AJ$1,0,
IF(PART_NUMBER_GENERATOR_TABLE[[#This Row],[Work Type]:[Work Type]]&lt;&gt;"BH",0,
SUMIFS(AJ$9:AJ$24,$M$9:$M$24,PART_NUMBER_GENERATOR_TABLE[[#This Row],[Tech]:[Tech]])))</f>
        <v>0</v>
      </c>
      <c r="AK79" cm="1">
        <f t="array" ref="AK79">IF(PART_NUMBER_GENERATOR_TABLE[[#This Row],[Work Role]:[Work Role]]&lt;&gt;AK$1,0,
IF(PART_NUMBER_GENERATOR_TABLE[[#This Row],[Work Type]:[Work Type]]&lt;&gt;"AH",0,
SUMIFS(AK$9:AK$24,$M$9:$M$24,PART_NUMBER_GENERATOR_TABLE[[#This Row],[Tech]:[Tech]])))</f>
        <v>0</v>
      </c>
      <c r="AL79" cm="1">
        <f t="array" ref="AL79">IF(PART_NUMBER_GENERATOR_TABLE[[#This Row],[Work Role]:[Work Role]]&lt;&gt;AL$1,0,
IF(PART_NUMBER_GENERATOR_TABLE[[#This Row],[Work Type]:[Work Type]]&lt;&gt;"BH",0,
SUMIFS(AL$9:AL$24,$M$9:$M$24,PART_NUMBER_GENERATOR_TABLE[[#This Row],[Tech]:[Tech]])))</f>
        <v>0</v>
      </c>
      <c r="AM79">
        <f>0</f>
        <v>0</v>
      </c>
      <c r="AN79" cm="1">
        <f t="array" ref="AN79">IF(PART_NUMBER_GENERATOR_TABLE[[#This Row],[Work Role]:[Work Role]]&lt;&gt;AN$1,0,
IF(PART_NUMBER_GENERATOR_TABLE[[#This Row],[Work Type]:[Work Type]]&lt;&gt;"BH",0,
SUMIFS(AN$24,$AM$24,PART_NUMBER_GENERATOR_TABLE[[#This Row],[Tech]:[Tech]])))</f>
        <v>0</v>
      </c>
      <c r="AO79" cm="1">
        <f t="array" ref="AO79">IF(PART_NUMBER_GENERATOR_TABLE[[#This Row],[Work Role]:[Work Role]]&lt;&gt;AO$1,0,
IF(PART_NUMBER_GENERATOR_TABLE[[#This Row],[Work Type]:[Work Type]]&lt;&gt;"BH",0,
SUMIFS(AO$24,$AM$24,PART_NUMBER_GENERATOR_TABLE[[#This Row],[Tech]:[Tech]])))</f>
        <v>0</v>
      </c>
      <c r="AP79" cm="1">
        <f t="array" ref="AP79">IF(PART_NUMBER_GENERATOR_TABLE[[#This Row],[Work Role]:[Work Role]]&lt;&gt;AP$1,0,
IF(PART_NUMBER_GENERATOR_TABLE[[#This Row],[Work Type]:[Work Type]]&lt;&gt;"BH",0,
SUMIFS(AP$24,$AM$24,PART_NUMBER_GENERATOR_TABLE[[#This Row],[Tech]:[Tech]])))</f>
        <v>0</v>
      </c>
      <c r="AQ79" cm="1">
        <f t="array" ref="AQ79">IF(PART_NUMBER_GENERATOR_TABLE[[#This Row],[Work Role]:[Work Role]]&lt;&gt;AQ$1,0,
IF(PART_NUMBER_GENERATOR_TABLE[[#This Row],[Work Type]:[Work Type]]&lt;&gt;"BH",0,
SUMIFS(AQ$24,$AM$24,PART_NUMBER_GENERATOR_TABLE[[#This Row],[Tech]:[Tech]])))</f>
        <v>0</v>
      </c>
      <c r="AR79" cm="1">
        <f t="array" ref="AR79">IF(PART_NUMBER_GENERATOR_TABLE[[#This Row],[Work Role]:[Work Role]]&lt;&gt;AR$1,0,
IF(PART_NUMBER_GENERATOR_TABLE[[#This Row],[Work Type]:[Work Type]]&lt;&gt;"BH",0,
SUMIFS(AR$24,$AM$24,PART_NUMBER_GENERATOR_TABLE[[#This Row],[Tech]:[Tech]])))</f>
        <v>0</v>
      </c>
      <c r="AS79" cm="1">
        <f t="array" ref="AS79">IF(PART_NUMBER_GENERATOR_TABLE[[#This Row],[Work Role]:[Work Role]]&lt;&gt;AS$1,0,
IF(PART_NUMBER_GENERATOR_TABLE[[#This Row],[Work Type]:[Work Type]]&lt;&gt;"BH",0,
SUMIFS(AS$24,$AM$24,PART_NUMBER_GENERATOR_TABLE[[#This Row],[Tech]:[Tech]])))</f>
        <v>0</v>
      </c>
      <c r="AT79" cm="1">
        <f t="array" ref="AT79">IF(PART_NUMBER_GENERATOR_TABLE[[#This Row],[Work Role]:[Work Role]]&lt;&gt;AS$1,0,
IF(PART_NUMBER_GENERATOR_TABLE[[#This Row],[Work Type]:[Work Type]]&lt;&gt;"BH",0,
SUMIFS(AT$24,$AM$24,PART_NUMBER_GENERATOR_TABLE[[#This Row],[Tech]:[Tech]])))</f>
        <v>0</v>
      </c>
      <c r="AU79">
        <f>SUM(PART_NUMBER_GENERATOR_TABLE[[#This Row],[Resource 1 BH]:[Resource 5 AH]],PART_NUMBER_GENERATOR_TABLE[[#This Row],[R1 Mandatory Tasks]:[R5 Mandatory Tasks]],PART_NUMBER_GENERATOR_TABLE[[#This Row],[R1 Remainder]:[R5 Remainder]])</f>
        <v>0</v>
      </c>
      <c r="AV79">
        <f>PART_NUMBER_GENERATOR_TABLE[[#This Row],[Professional Engineering Hours]]*PART_NUMBER_GENERATOR_TABLE[[#This Row],[Sell Rate]]</f>
        <v>0</v>
      </c>
      <c r="AW79">
        <f>PART_NUMBER_GENERATOR_TABLE[[#This Row],[Professional Engineering Hours]]*PART_NUMBER_GENERATOR_TABLE[[#This Row],[Cost Rate]]</f>
        <v>0</v>
      </c>
      <c r="AX79">
        <f>SUM(PART_NUMBER_GENERATOR_TABLE[[#This Row],[PM Trips]:[R5 Trips]])</f>
        <v>0</v>
      </c>
      <c r="AY79">
        <f>PART_NUMBER_GENERATOR_TABLE[[#This Row],[Travel &amp; Accommodation Hours]]*PART_NUMBER_GENERATOR_TABLE[[#This Row],[Sell Rate]]</f>
        <v>0</v>
      </c>
      <c r="AZ79">
        <f>PART_NUMBER_GENERATOR_TABLE[[#This Row],[Travel &amp; Accommodation Hours]]*PART_NUMBER_GENERATOR_TABLE[[#This Row],[Cost Rate]]</f>
        <v>0</v>
      </c>
      <c r="BA79">
        <f>PART_NUMBER_GENERATOR_TABLE[[#This Row],[PM Hours]]+PART_NUMBER_GENERATOR_TABLE[[#This Row],[PM Remainder]]</f>
        <v>0</v>
      </c>
      <c r="BB79">
        <f>PART_NUMBER_GENERATOR_TABLE[[#This Row],[Project Management Hours]]*PART_NUMBER_GENERATOR_TABLE[[#This Row],[Sell Rate]]</f>
        <v>0</v>
      </c>
      <c r="BC79">
        <f>PART_NUMBER_GENERATOR_TABLE[[#This Row],[Project Management Hours]]*PART_NUMBER_GENERATOR_TABLE[[#This Row],[Cost Rate]]</f>
        <v>0</v>
      </c>
      <c r="BD79">
        <f>SUM(PART_NUMBER_GENERATOR_TABLE[[#This Row],[SSE RISK BH]:[PM RISK]],PART_NUMBER_GENERATOR_TABLE[[#This Row],[SSE Remainder RISK BH]:[PM Remainder RISK]])</f>
        <v>0</v>
      </c>
      <c r="BE79">
        <f>PART_NUMBER_GENERATOR_TABLE[[#This Row],[Project Risk Service Hours]]*PART_NUMBER_GENERATOR_TABLE[[#This Row],[Sell Rate]]</f>
        <v>0</v>
      </c>
      <c r="BF79">
        <f>PART_NUMBER_GENERATOR_TABLE[[#This Row],[Project Risk Service Hours]]*PART_NUMBER_GENERATOR_TABLE[[#This Row],[Cost Rate]]</f>
        <v>0</v>
      </c>
      <c r="BG79">
        <f>PART_NUMBER_GENERATOR_TABLE[[#This Row],[SSE RISK TRAVEL]]</f>
        <v>0</v>
      </c>
      <c r="BH79">
        <f>PART_NUMBER_GENERATOR_TABLE[[#This Row],[Sell Rate]]*PART_NUMBER_GENERATOR_TABLE[[#This Row],[Project Risk Travel Hours]]</f>
        <v>0</v>
      </c>
      <c r="BI79">
        <f>PART_NUMBER_GENERATOR_TABLE[[#This Row],[Project Risk Travel Hours]]*PART_NUMBER_GENERATOR_TABLE[[#This Row],[Cost Rate]]</f>
        <v>0</v>
      </c>
      <c r="BJ7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7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79">
        <f>IFERROR(-VLOOKUP(INDEX(ENGINEER_ROLES,MATCH(PART_NUMBER_GENERATOR_TABLE[[#This Row],[Work Role]],settings.Table_Engineer.Roles[ID],0),1),Settings_Hidden!$H$359:$K$366,4,FALSE),0)</f>
        <v>0</v>
      </c>
      <c r="BM79" s="680">
        <f>-Summary!$C$66</f>
        <v>0</v>
      </c>
      <c r="BN79" s="465">
        <f>PART_NUMBER_GENERATOR_TABLE[[#This Row],[Total Base Price]]*MIN(PART_NUMBER_GENERATOR_TABLE[[#This Row],[Rate Service Discount]:[Flat Service Discount]])</f>
        <v>0</v>
      </c>
      <c r="BO79" s="451" t="str">
        <f>IF(PART_NUMBER_GENERATOR_TABLE[[#This Row],[Quantity]]&lt;&gt;0,MAX($BO$30:BO78)+1,"")</f>
        <v/>
      </c>
      <c r="BP79" t="str">
        <f>PART_NUMBER_GENERATOR_TABLE[[#This Row],[Part Number]]</f>
        <v>A-PS-E-OPPTEC-SSE-BH</v>
      </c>
      <c r="BQ79">
        <f>PART_NUMBER_GENERATOR_TABLE[[#This Row],[Total Hours]]</f>
        <v>0</v>
      </c>
      <c r="BR79">
        <f>PART_NUMBER_GENERATOR_TABLE[[#This Row],[Cost Rate]]</f>
        <v>149.91839058446394</v>
      </c>
      <c r="BS79" s="465">
        <f>PART_NUMBER_GENERATOR_TABLE[[#This Row],[Sell Rate]]+(PART_NUMBER_GENERATOR_TABLE[[#This Row],[Sell Rate]]*MIN(PART_NUMBER_GENERATOR_TABLE[[#This Row],[Rate Service Discount]:[Flat Service Discount]]))</f>
        <v>280.5</v>
      </c>
    </row>
    <row r="80" spans="1:71">
      <c r="A80">
        <v>50</v>
      </c>
      <c r="C80" t="s">
        <v>998</v>
      </c>
      <c r="D80" t="str" cm="1">
        <f t="array" ref="D80">INDEX(Table.Settings_Skill.List[Skill Name],MATCH(INDEX(_xlfn.TEXTSPLIT(C80,"-",,TRUE),4),Table.Settings_Skill.List[Skill Code],0),1)</f>
        <v>Operational Technology</v>
      </c>
      <c r="E80" t="str" cm="1">
        <f t="array" ref="E80">INDEX(_xlfn.TEXTSPLIT(C80,"-",,TRUE),5)</f>
        <v>SCE</v>
      </c>
      <c r="F80" t="str">
        <f>IFERROR(INDEX(settings.Table_Engineer.Roles[Department Code],MATCH(PART_NUMBER_GENERATOR_TABLE[[#This Row],[Work Role]],settings.Table_Engineer.Roles[ID],0),1),"PMO")</f>
        <v>ENG</v>
      </c>
      <c r="G80" t="str" cm="1">
        <f t="array" ref="G80">INDEX(_xlfn.TEXTSPLIT(C80,"-",,TRUE),6)</f>
        <v>BH</v>
      </c>
      <c r="H8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8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80" cm="1">
        <f t="array" ref="J80">IF(J$1&lt;&gt;PART_NUMBER_GENERATOR_TABLE[[#This Row],[Work Role]:[Work Role]],0,
IF(RIGHT(J$30,2)&lt;&gt;PART_NUMBER_GENERATOR_TABLE[[#This Row],[Work Type]:[Work Type]],0,
SUMIFS(Input_Tasks[R1 Business Hours],Input_Tasks[[Skill Required]:[Skill Required]],PART_NUMBER_GENERATOR_TABLE[[#This Row],[Tech]:[Tech]])))</f>
        <v>0</v>
      </c>
      <c r="K80" cm="1">
        <f t="array" ref="K80">IF(K$1&lt;&gt;PART_NUMBER_GENERATOR_TABLE[[#This Row],[Work Role]:[Work Role]],0,
IF(RIGHT(K$30,2)&lt;&gt;PART_NUMBER_GENERATOR_TABLE[[#This Row],[Work Type]:[Work Type]],0,
SUMIFS(Input_Tasks[R1 After Hours],Input_Tasks[[Skill Required]:[Skill Required]],PART_NUMBER_GENERATOR_TABLE[[#This Row],[Tech]:[Tech]])))</f>
        <v>0</v>
      </c>
      <c r="L80" cm="1">
        <f t="array" ref="L80">IF(L$1&lt;&gt;PART_NUMBER_GENERATOR_TABLE[[#This Row],[Work Role]:[Work Role]],0,
IF(RIGHT(L$30,2)&lt;&gt;PART_NUMBER_GENERATOR_TABLE[[#This Row],[Work Type]:[Work Type]],0,
SUMIFS(Input_Tasks[R2 Business Hours],Input_Tasks[[Skill Required]:[Skill Required]],PART_NUMBER_GENERATOR_TABLE[[#This Row],[Tech]:[Tech]])))</f>
        <v>0</v>
      </c>
      <c r="M80" cm="1">
        <f t="array" ref="M80">IF(M$1&lt;&gt;PART_NUMBER_GENERATOR_TABLE[[#This Row],[Work Role]:[Work Role]],0,
IF(RIGHT(M$30,2)&lt;&gt;PART_NUMBER_GENERATOR_TABLE[[#This Row],[Work Type]:[Work Type]],0,
SUMIFS(Input_Tasks[R2 After Hours],Input_Tasks[[Skill Required]:[Skill Required]],PART_NUMBER_GENERATOR_TABLE[[#This Row],[Tech]:[Tech]])))</f>
        <v>0</v>
      </c>
      <c r="N80" cm="1">
        <f t="array" ref="N80">IF(N$1&lt;&gt;PART_NUMBER_GENERATOR_TABLE[[#This Row],[Work Role]:[Work Role]],0,
IF(RIGHT(N$30,2)&lt;&gt;PART_NUMBER_GENERATOR_TABLE[[#This Row],[Work Type]:[Work Type]],0,
SUMIFS(Input_Tasks[R3 Business Hours],Input_Tasks[[Skill Required]:[Skill Required]],PART_NUMBER_GENERATOR_TABLE[[#This Row],[Tech]:[Tech]])))</f>
        <v>0</v>
      </c>
      <c r="O80" cm="1">
        <f t="array" ref="O80">IF(O$1&lt;&gt;PART_NUMBER_GENERATOR_TABLE[[#This Row],[Work Role]:[Work Role]],0,
IF(RIGHT(O$30,2)&lt;&gt;PART_NUMBER_GENERATOR_TABLE[[#This Row],[Work Type]:[Work Type]],0,
SUMIFS(Input_Tasks[R3 After Hours],Input_Tasks[[Skill Required]:[Skill Required]],PART_NUMBER_GENERATOR_TABLE[[#This Row],[Tech]:[Tech]])))</f>
        <v>0</v>
      </c>
      <c r="P80" cm="1">
        <f t="array" ref="P80">IF(P$1&lt;&gt;PART_NUMBER_GENERATOR_TABLE[[#This Row],[Work Role]:[Work Role]],0,
IF(RIGHT(P$30,2)&lt;&gt;PART_NUMBER_GENERATOR_TABLE[[#This Row],[Work Type]:[Work Type]],0,
SUMIFS(Input_Tasks[R4 Business Hours],Input_Tasks[[Skill Required]:[Skill Required]],PART_NUMBER_GENERATOR_TABLE[[#This Row],[Tech]:[Tech]])))</f>
        <v>0</v>
      </c>
      <c r="Q80" cm="1">
        <f t="array" ref="Q80">IF(Q$1&lt;&gt;PART_NUMBER_GENERATOR_TABLE[[#This Row],[Work Role]:[Work Role]],0,
IF(RIGHT(Q$30,2)&lt;&gt;PART_NUMBER_GENERATOR_TABLE[[#This Row],[Work Type]:[Work Type]],0,
SUMIFS(Input_Tasks[R4 After Hours],Input_Tasks[[Skill Required]:[Skill Required]],PART_NUMBER_GENERATOR_TABLE[[#This Row],[Tech]:[Tech]])))</f>
        <v>0</v>
      </c>
      <c r="R80" cm="1">
        <f t="array" ref="R80">IF(R$1&lt;&gt;PART_NUMBER_GENERATOR_TABLE[[#This Row],[Work Role]:[Work Role]],0,
IF(RIGHT(R$30,2)&lt;&gt;PART_NUMBER_GENERATOR_TABLE[[#This Row],[Work Type]:[Work Type]],0,
SUMIFS(Input_Tasks[R5 Business Hours],Input_Tasks[[Skill Required]:[Skill Required]],PART_NUMBER_GENERATOR_TABLE[[#This Row],[Tech]:[Tech]])))</f>
        <v>0</v>
      </c>
      <c r="S80" cm="1">
        <f t="array" ref="S80">IF(S$1&lt;&gt;PART_NUMBER_GENERATOR_TABLE[[#This Row],[Work Role]:[Work Role]],0,
IF(RIGHT(S$30,2)&lt;&gt;PART_NUMBER_GENERATOR_TABLE[[#This Row],[Work Type]:[Work Type]],0,
SUMIFS(Input_Tasks[R5 After Hours],Input_Tasks[[Skill Required]:[Skill Required]],PART_NUMBER_GENERATOR_TABLE[[#This Row],[Tech]:[Tech]])))</f>
        <v>0</v>
      </c>
      <c r="T80" cm="1">
        <f t="array" ref="T80">IF(PART_NUMBER_GENERATOR_TABLE[[#This Row],[Work Role]:[Work Role]]&lt;&gt;T$1,0,
IF(PART_NUMBER_GENERATOR_TABLE[[#This Row],[Work Type]:[Work Type]]&lt;&gt;"BH",0,
SUMIFS(T$9:T$24,$M$9:$M$24,PART_NUMBER_GENERATOR_TABLE[[#This Row],[Tech]:[Tech]])))</f>
        <v>0</v>
      </c>
      <c r="U80" cm="1">
        <f t="array" ref="U80">IF(PART_NUMBER_GENERATOR_TABLE[[#This Row],[Work Role]:[Work Role]]&lt;&gt;U$1,0,
IF(PART_NUMBER_GENERATOR_TABLE[[#This Row],[Work Type]:[Work Type]]&lt;&gt;"BH",0,
SUMIFS(U$9:U$24,$M$9:$M$24,PART_NUMBER_GENERATOR_TABLE[[#This Row],[Tech]:[Tech]])))</f>
        <v>0</v>
      </c>
      <c r="V80" cm="1">
        <f t="array" ref="V80">IF(PART_NUMBER_GENERATOR_TABLE[[#This Row],[Work Role]:[Work Role]]&lt;&gt;V$1,0,
IF(PART_NUMBER_GENERATOR_TABLE[[#This Row],[Work Type]:[Work Type]]&lt;&gt;"BH",0,
SUMIFS(V$9:V$24,$M$9:$M$24,PART_NUMBER_GENERATOR_TABLE[[#This Row],[Tech]:[Tech]])))</f>
        <v>0</v>
      </c>
      <c r="W80" cm="1">
        <f t="array" ref="W80">IF(PART_NUMBER_GENERATOR_TABLE[[#This Row],[Work Role]:[Work Role]]&lt;&gt;W$1,0,
IF(PART_NUMBER_GENERATOR_TABLE[[#This Row],[Work Type]:[Work Type]]&lt;&gt;"BH",0,
SUMIFS(W$9:W$24,$M$9:$M$24,PART_NUMBER_GENERATOR_TABLE[[#This Row],[Tech]:[Tech]])))</f>
        <v>0</v>
      </c>
      <c r="X80" cm="1">
        <f t="array" ref="X80">IF(PART_NUMBER_GENERATOR_TABLE[[#This Row],[Work Role]:[Work Role]]&lt;&gt;X$1,0,
IF(PART_NUMBER_GENERATOR_TABLE[[#This Row],[Work Type]:[Work Type]]&lt;&gt;"BH",0,
SUMIFS(X$9:X$24,$M$9:$M$24,PART_NUMBER_GENERATOR_TABLE[[#This Row],[Tech]:[Tech]])))</f>
        <v>0</v>
      </c>
      <c r="Y80" cm="1">
        <f t="array" ref="Y80">IF(PART_NUMBER_GENERATOR_TABLE[[#This Row],[Work Role]:[Work Role]]&lt;&gt;Y$1,0,
IF(PART_NUMBER_GENERATOR_TABLE[[#This Row],[Work Type]:[Work Type]]&lt;&gt;"BH",0,
SUMIFS(Y$9:Y$24,$M$9:$M$24,PART_NUMBER_GENERATOR_TABLE[[#This Row],[Tech]:[Tech]])))</f>
        <v>0</v>
      </c>
      <c r="Z80" cm="1">
        <f t="array" ref="Z80">IF(PART_NUMBER_GENERATOR_TABLE[[#This Row],[Work Role]:[Work Role]]&lt;&gt;Z$1,0,
IF(PART_NUMBER_GENERATOR_TABLE[[#This Row],[Work Type]:[Work Type]]&lt;&gt;"BH",0,
SUMIFS(Z$9:Z$24,$M$9:$M$24,PART_NUMBER_GENERATOR_TABLE[[#This Row],[Tech]:[Tech]])))</f>
        <v>0</v>
      </c>
      <c r="AA80" cm="1">
        <f t="array" ref="AA80">IF(PART_NUMBER_GENERATOR_TABLE[[#This Row],[Work Role]:[Work Role]]&lt;&gt;AA$1,0,
IF(PART_NUMBER_GENERATOR_TABLE[[#This Row],[Work Type]:[Work Type]]&lt;&gt;"BH",0,
SUMIFS(AA$9:AA$24,$M$9:$M$24,PART_NUMBER_GENERATOR_TABLE[[#This Row],[Tech]:[Tech]])))</f>
        <v>0</v>
      </c>
      <c r="AB80" cm="1">
        <f t="array" ref="AB80">IF(PART_NUMBER_GENERATOR_TABLE[[#This Row],[Work Role]:[Work Role]]&lt;&gt;AB$1,0,
IF(PART_NUMBER_GENERATOR_TABLE[[#This Row],[Work Type]:[Work Type]]&lt;&gt;"BH",0,
SUMIFS(AB$9:AB$24,$M$9:$M$24,PART_NUMBER_GENERATOR_TABLE[[#This Row],[Tech]:[Tech]])))</f>
        <v>0</v>
      </c>
      <c r="AC80" cm="1">
        <f t="array" ref="AC80">IF(PART_NUMBER_GENERATOR_TABLE[[#This Row],[Work Role]:[Work Role]]&lt;&gt;AC$1,0,
IF(PART_NUMBER_GENERATOR_TABLE[[#This Row],[Work Type]:[Work Type]]&lt;&gt;"BH",0,
SUMIFS(AC$9:AC$24,$M$9:$M$24,PART_NUMBER_GENERATOR_TABLE[[#This Row],[Tech]:[Tech]])))</f>
        <v>0</v>
      </c>
      <c r="AD80" cm="1">
        <f t="array" ref="AD80">IF(PART_NUMBER_GENERATOR_TABLE[[#This Row],[Work Role]:[Work Role]]&lt;&gt;AD$1,0,
IF(PART_NUMBER_GENERATOR_TABLE[[#This Row],[Work Type]:[Work Type]]&lt;&gt;"BH",0,
SUMIFS(AD$9:AD$24,$M$9:$M$24,PART_NUMBER_GENERATOR_TABLE[[#This Row],[Tech]:[Tech]])))</f>
        <v>0</v>
      </c>
      <c r="AE80" cm="1">
        <f t="array" ref="AE80">IF(PART_NUMBER_GENERATOR_TABLE[[#This Row],[Work Role]:[Work Role]]&lt;&gt;AE$1,0,
IF(PART_NUMBER_GENERATOR_TABLE[[#This Row],[Work Type]:[Work Type]]&lt;&gt;"BH",0,
SUMIFS(AE$9:AE$24,$M$9:$M$24,PART_NUMBER_GENERATOR_TABLE[[#This Row],[Tech]:[Tech]])))</f>
        <v>0</v>
      </c>
      <c r="AF80" cm="1">
        <f t="array" ref="AF80">IF(PART_NUMBER_GENERATOR_TABLE[[#This Row],[Work Role]:[Work Role]]&lt;&gt;AF$1,0,
IF(PART_NUMBER_GENERATOR_TABLE[[#This Row],[Work Type]:[Work Type]]&lt;&gt;"BH",0,
SUMIFS(AF$9:AF$24,$M$9:$M$24,PART_NUMBER_GENERATOR_TABLE[[#This Row],[Tech]:[Tech]])))</f>
        <v>0</v>
      </c>
      <c r="AG80" cm="1">
        <f t="array" ref="AG80">IF(PART_NUMBER_GENERATOR_TABLE[[#This Row],[Work Role]:[Work Role]]&lt;&gt;AG$1,0,
IF(PART_NUMBER_GENERATOR_TABLE[[#This Row],[Work Type]:[Work Type]]&lt;&gt;"AH",0,
SUMIFS(AG$9:AG$24,$M$9:$M$24,PART_NUMBER_GENERATOR_TABLE[[#This Row],[Tech]:[Tech]])))</f>
        <v>0</v>
      </c>
      <c r="AH80" cm="1">
        <f t="array" ref="AH80">IF(PART_NUMBER_GENERATOR_TABLE[[#This Row],[Work Role]:[Work Role]]&lt;&gt;AH$1,0,
IF(PART_NUMBER_GENERATOR_TABLE[[#This Row],[Work Type]:[Work Type]]&lt;&gt;"BH",0,
SUMIFS(AH$9:AH$24,$M$9:$M$24,PART_NUMBER_GENERATOR_TABLE[[#This Row],[Tech]:[Tech]])))</f>
        <v>0</v>
      </c>
      <c r="AI80" cm="1">
        <f t="array" ref="AI80">IF(PART_NUMBER_GENERATOR_TABLE[[#This Row],[Work Role]:[Work Role]]&lt;&gt;AI$1,0,
IF(PART_NUMBER_GENERATOR_TABLE[[#This Row],[Work Type]:[Work Type]]&lt;&gt;"BH",0,
SUMIFS(AI$9:AI$24,$M$9:$M$24,PART_NUMBER_GENERATOR_TABLE[[#This Row],[Tech]:[Tech]])))</f>
        <v>0</v>
      </c>
      <c r="AJ80" cm="1">
        <f t="array" ref="AJ80">IF(PART_NUMBER_GENERATOR_TABLE[[#This Row],[Work Role]:[Work Role]]&lt;&gt;AJ$1,0,
IF(PART_NUMBER_GENERATOR_TABLE[[#This Row],[Work Type]:[Work Type]]&lt;&gt;"BH",0,
SUMIFS(AJ$9:AJ$24,$M$9:$M$24,PART_NUMBER_GENERATOR_TABLE[[#This Row],[Tech]:[Tech]])))</f>
        <v>0</v>
      </c>
      <c r="AK80" cm="1">
        <f t="array" ref="AK80">IF(PART_NUMBER_GENERATOR_TABLE[[#This Row],[Work Role]:[Work Role]]&lt;&gt;AK$1,0,
IF(PART_NUMBER_GENERATOR_TABLE[[#This Row],[Work Type]:[Work Type]]&lt;&gt;"AH",0,
SUMIFS(AK$9:AK$24,$M$9:$M$24,PART_NUMBER_GENERATOR_TABLE[[#This Row],[Tech]:[Tech]])))</f>
        <v>0</v>
      </c>
      <c r="AL80" cm="1">
        <f t="array" ref="AL80">IF(PART_NUMBER_GENERATOR_TABLE[[#This Row],[Work Role]:[Work Role]]&lt;&gt;AL$1,0,
IF(PART_NUMBER_GENERATOR_TABLE[[#This Row],[Work Type]:[Work Type]]&lt;&gt;"BH",0,
SUMIFS(AL$9:AL$24,$M$9:$M$24,PART_NUMBER_GENERATOR_TABLE[[#This Row],[Tech]:[Tech]])))</f>
        <v>0</v>
      </c>
      <c r="AM80">
        <f>0</f>
        <v>0</v>
      </c>
      <c r="AN80" cm="1">
        <f t="array" ref="AN80">IF(PART_NUMBER_GENERATOR_TABLE[[#This Row],[Work Role]:[Work Role]]&lt;&gt;AN$1,0,
IF(PART_NUMBER_GENERATOR_TABLE[[#This Row],[Work Type]:[Work Type]]&lt;&gt;"BH",0,
SUMIFS(AN$24,$AM$24,PART_NUMBER_GENERATOR_TABLE[[#This Row],[Tech]:[Tech]])))</f>
        <v>0</v>
      </c>
      <c r="AO80" cm="1">
        <f t="array" ref="AO80">IF(PART_NUMBER_GENERATOR_TABLE[[#This Row],[Work Role]:[Work Role]]&lt;&gt;AO$1,0,
IF(PART_NUMBER_GENERATOR_TABLE[[#This Row],[Work Type]:[Work Type]]&lt;&gt;"BH",0,
SUMIFS(AO$24,$AM$24,PART_NUMBER_GENERATOR_TABLE[[#This Row],[Tech]:[Tech]])))</f>
        <v>0</v>
      </c>
      <c r="AP80" cm="1">
        <f t="array" ref="AP80">IF(PART_NUMBER_GENERATOR_TABLE[[#This Row],[Work Role]:[Work Role]]&lt;&gt;AP$1,0,
IF(PART_NUMBER_GENERATOR_TABLE[[#This Row],[Work Type]:[Work Type]]&lt;&gt;"BH",0,
SUMIFS(AP$24,$AM$24,PART_NUMBER_GENERATOR_TABLE[[#This Row],[Tech]:[Tech]])))</f>
        <v>0</v>
      </c>
      <c r="AQ80" cm="1">
        <f t="array" ref="AQ80">IF(PART_NUMBER_GENERATOR_TABLE[[#This Row],[Work Role]:[Work Role]]&lt;&gt;AQ$1,0,
IF(PART_NUMBER_GENERATOR_TABLE[[#This Row],[Work Type]:[Work Type]]&lt;&gt;"BH",0,
SUMIFS(AQ$24,$AM$24,PART_NUMBER_GENERATOR_TABLE[[#This Row],[Tech]:[Tech]])))</f>
        <v>0</v>
      </c>
      <c r="AR80" cm="1">
        <f t="array" ref="AR80">IF(PART_NUMBER_GENERATOR_TABLE[[#This Row],[Work Role]:[Work Role]]&lt;&gt;AR$1,0,
IF(PART_NUMBER_GENERATOR_TABLE[[#This Row],[Work Type]:[Work Type]]&lt;&gt;"BH",0,
SUMIFS(AR$24,$AM$24,PART_NUMBER_GENERATOR_TABLE[[#This Row],[Tech]:[Tech]])))</f>
        <v>0</v>
      </c>
      <c r="AS80" cm="1">
        <f t="array" ref="AS80">IF(PART_NUMBER_GENERATOR_TABLE[[#This Row],[Work Role]:[Work Role]]&lt;&gt;AS$1,0,
IF(PART_NUMBER_GENERATOR_TABLE[[#This Row],[Work Type]:[Work Type]]&lt;&gt;"BH",0,
SUMIFS(AS$24,$AM$24,PART_NUMBER_GENERATOR_TABLE[[#This Row],[Tech]:[Tech]])))</f>
        <v>0</v>
      </c>
      <c r="AT80" cm="1">
        <f t="array" ref="AT80">IF(PART_NUMBER_GENERATOR_TABLE[[#This Row],[Work Role]:[Work Role]]&lt;&gt;AS$1,0,
IF(PART_NUMBER_GENERATOR_TABLE[[#This Row],[Work Type]:[Work Type]]&lt;&gt;"BH",0,
SUMIFS(AT$24,$AM$24,PART_NUMBER_GENERATOR_TABLE[[#This Row],[Tech]:[Tech]])))</f>
        <v>0</v>
      </c>
      <c r="AU80">
        <f>SUM(PART_NUMBER_GENERATOR_TABLE[[#This Row],[Resource 1 BH]:[Resource 5 AH]],PART_NUMBER_GENERATOR_TABLE[[#This Row],[R1 Mandatory Tasks]:[R5 Mandatory Tasks]],PART_NUMBER_GENERATOR_TABLE[[#This Row],[R1 Remainder]:[R5 Remainder]])</f>
        <v>0</v>
      </c>
      <c r="AV80">
        <f>PART_NUMBER_GENERATOR_TABLE[[#This Row],[Professional Engineering Hours]]*PART_NUMBER_GENERATOR_TABLE[[#This Row],[Sell Rate]]</f>
        <v>0</v>
      </c>
      <c r="AW80">
        <f>PART_NUMBER_GENERATOR_TABLE[[#This Row],[Professional Engineering Hours]]*PART_NUMBER_GENERATOR_TABLE[[#This Row],[Cost Rate]]</f>
        <v>0</v>
      </c>
      <c r="AX80">
        <f>SUM(PART_NUMBER_GENERATOR_TABLE[[#This Row],[PM Trips]:[R5 Trips]])</f>
        <v>0</v>
      </c>
      <c r="AY80">
        <f>PART_NUMBER_GENERATOR_TABLE[[#This Row],[Travel &amp; Accommodation Hours]]*PART_NUMBER_GENERATOR_TABLE[[#This Row],[Sell Rate]]</f>
        <v>0</v>
      </c>
      <c r="AZ80">
        <f>PART_NUMBER_GENERATOR_TABLE[[#This Row],[Travel &amp; Accommodation Hours]]*PART_NUMBER_GENERATOR_TABLE[[#This Row],[Cost Rate]]</f>
        <v>0</v>
      </c>
      <c r="BA80">
        <f>PART_NUMBER_GENERATOR_TABLE[[#This Row],[PM Hours]]+PART_NUMBER_GENERATOR_TABLE[[#This Row],[PM Remainder]]</f>
        <v>0</v>
      </c>
      <c r="BB80">
        <f>PART_NUMBER_GENERATOR_TABLE[[#This Row],[Project Management Hours]]*PART_NUMBER_GENERATOR_TABLE[[#This Row],[Sell Rate]]</f>
        <v>0</v>
      </c>
      <c r="BC80">
        <f>PART_NUMBER_GENERATOR_TABLE[[#This Row],[Project Management Hours]]*PART_NUMBER_GENERATOR_TABLE[[#This Row],[Cost Rate]]</f>
        <v>0</v>
      </c>
      <c r="BD80">
        <f>SUM(PART_NUMBER_GENERATOR_TABLE[[#This Row],[SSE RISK BH]:[PM RISK]],PART_NUMBER_GENERATOR_TABLE[[#This Row],[SSE Remainder RISK BH]:[PM Remainder RISK]])</f>
        <v>0</v>
      </c>
      <c r="BE80">
        <f>PART_NUMBER_GENERATOR_TABLE[[#This Row],[Project Risk Service Hours]]*PART_NUMBER_GENERATOR_TABLE[[#This Row],[Sell Rate]]</f>
        <v>0</v>
      </c>
      <c r="BF80">
        <f>PART_NUMBER_GENERATOR_TABLE[[#This Row],[Project Risk Service Hours]]*PART_NUMBER_GENERATOR_TABLE[[#This Row],[Cost Rate]]</f>
        <v>0</v>
      </c>
      <c r="BG80">
        <f>PART_NUMBER_GENERATOR_TABLE[[#This Row],[SSE RISK TRAVEL]]</f>
        <v>0</v>
      </c>
      <c r="BH80">
        <f>PART_NUMBER_GENERATOR_TABLE[[#This Row],[Sell Rate]]*PART_NUMBER_GENERATOR_TABLE[[#This Row],[Project Risk Travel Hours]]</f>
        <v>0</v>
      </c>
      <c r="BI80">
        <f>PART_NUMBER_GENERATOR_TABLE[[#This Row],[Project Risk Travel Hours]]*PART_NUMBER_GENERATOR_TABLE[[#This Row],[Cost Rate]]</f>
        <v>0</v>
      </c>
      <c r="BJ8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8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80">
        <f>IFERROR(-VLOOKUP(INDEX(ENGINEER_ROLES,MATCH(PART_NUMBER_GENERATOR_TABLE[[#This Row],[Work Role]],settings.Table_Engineer.Roles[ID],0),1),Settings_Hidden!$H$359:$K$366,4,FALSE),0)</f>
        <v>0</v>
      </c>
      <c r="BM80" s="680">
        <f>-Summary!$C$66</f>
        <v>0</v>
      </c>
      <c r="BN80" s="465">
        <f>PART_NUMBER_GENERATOR_TABLE[[#This Row],[Total Base Price]]*MIN(PART_NUMBER_GENERATOR_TABLE[[#This Row],[Rate Service Discount]:[Flat Service Discount]])</f>
        <v>0</v>
      </c>
      <c r="BO80" s="451" t="str">
        <f>IF(PART_NUMBER_GENERATOR_TABLE[[#This Row],[Quantity]]&lt;&gt;0,MAX($BO$30:BO79)+1,"")</f>
        <v/>
      </c>
      <c r="BP80" t="str">
        <f>PART_NUMBER_GENERATOR_TABLE[[#This Row],[Part Number]]</f>
        <v>A-PS-E-OPPTEC-SCE-BH</v>
      </c>
      <c r="BQ80">
        <f>PART_NUMBER_GENERATOR_TABLE[[#This Row],[Total Hours]]</f>
        <v>0</v>
      </c>
      <c r="BR80">
        <f>PART_NUMBER_GENERATOR_TABLE[[#This Row],[Cost Rate]]</f>
        <v>167.61034913968996</v>
      </c>
      <c r="BS80" s="465">
        <f>PART_NUMBER_GENERATOR_TABLE[[#This Row],[Sell Rate]]+(PART_NUMBER_GENERATOR_TABLE[[#This Row],[Sell Rate]]*MIN(PART_NUMBER_GENERATOR_TABLE[[#This Row],[Rate Service Discount]:[Flat Service Discount]]))</f>
        <v>315</v>
      </c>
    </row>
    <row r="81" spans="1:71">
      <c r="A81">
        <v>51</v>
      </c>
      <c r="C81" t="s">
        <v>1128</v>
      </c>
      <c r="D81" t="str" cm="1">
        <f t="array" ref="D81">INDEX(Table.Settings_Skill.List[Skill Name],MATCH(INDEX(_xlfn.TEXTSPLIT(C81,"-",,TRUE),4),Table.Settings_Skill.List[Skill Code],0),1)</f>
        <v>Secure Networking</v>
      </c>
      <c r="E81" t="str" cm="1">
        <f t="array" ref="E81">INDEX(_xlfn.TEXTSPLIT(C81,"-",,TRUE),5)</f>
        <v>TA</v>
      </c>
      <c r="F81" t="str">
        <f>IFERROR(INDEX(settings.Table_Engineer.Roles[Department Code],MATCH(PART_NUMBER_GENERATOR_TABLE[[#This Row],[Work Role]],settings.Table_Engineer.Roles[ID],0),1),"PMO")</f>
        <v>ENG</v>
      </c>
      <c r="G81" t="str" cm="1">
        <f t="array" ref="G81">INDEX(_xlfn.TEXTSPLIT(C81,"-",,TRUE),6)</f>
        <v>BH</v>
      </c>
      <c r="H8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155</v>
      </c>
      <c r="I8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81.346799080218702</v>
      </c>
      <c r="J81" cm="1">
        <f t="array" ref="J81">IF(J$1&lt;&gt;PART_NUMBER_GENERATOR_TABLE[[#This Row],[Work Role]:[Work Role]],0,
IF(RIGHT(J$30,2)&lt;&gt;PART_NUMBER_GENERATOR_TABLE[[#This Row],[Work Type]:[Work Type]],0,
SUMIFS(Input_Tasks[R1 Business Hours],Input_Tasks[[Skill Required]:[Skill Required]],PART_NUMBER_GENERATOR_TABLE[[#This Row],[Tech]:[Tech]])))</f>
        <v>0</v>
      </c>
      <c r="K81" cm="1">
        <f t="array" ref="K81">IF(K$1&lt;&gt;PART_NUMBER_GENERATOR_TABLE[[#This Row],[Work Role]:[Work Role]],0,
IF(RIGHT(K$30,2)&lt;&gt;PART_NUMBER_GENERATOR_TABLE[[#This Row],[Work Type]:[Work Type]],0,
SUMIFS(Input_Tasks[R1 After Hours],Input_Tasks[[Skill Required]:[Skill Required]],PART_NUMBER_GENERATOR_TABLE[[#This Row],[Tech]:[Tech]])))</f>
        <v>0</v>
      </c>
      <c r="L81" cm="1">
        <f t="array" ref="L81">IF(L$1&lt;&gt;PART_NUMBER_GENERATOR_TABLE[[#This Row],[Work Role]:[Work Role]],0,
IF(RIGHT(L$30,2)&lt;&gt;PART_NUMBER_GENERATOR_TABLE[[#This Row],[Work Type]:[Work Type]],0,
SUMIFS(Input_Tasks[R2 Business Hours],Input_Tasks[[Skill Required]:[Skill Required]],PART_NUMBER_GENERATOR_TABLE[[#This Row],[Tech]:[Tech]])))</f>
        <v>0</v>
      </c>
      <c r="M81" cm="1">
        <f t="array" ref="M81">IF(M$1&lt;&gt;PART_NUMBER_GENERATOR_TABLE[[#This Row],[Work Role]:[Work Role]],0,
IF(RIGHT(M$30,2)&lt;&gt;PART_NUMBER_GENERATOR_TABLE[[#This Row],[Work Type]:[Work Type]],0,
SUMIFS(Input_Tasks[R2 After Hours],Input_Tasks[[Skill Required]:[Skill Required]],PART_NUMBER_GENERATOR_TABLE[[#This Row],[Tech]:[Tech]])))</f>
        <v>0</v>
      </c>
      <c r="N81" cm="1">
        <f t="array" ref="N81">IF(N$1&lt;&gt;PART_NUMBER_GENERATOR_TABLE[[#This Row],[Work Role]:[Work Role]],0,
IF(RIGHT(N$30,2)&lt;&gt;PART_NUMBER_GENERATOR_TABLE[[#This Row],[Work Type]:[Work Type]],0,
SUMIFS(Input_Tasks[R3 Business Hours],Input_Tasks[[Skill Required]:[Skill Required]],PART_NUMBER_GENERATOR_TABLE[[#This Row],[Tech]:[Tech]])))</f>
        <v>0</v>
      </c>
      <c r="O81" cm="1">
        <f t="array" ref="O81">IF(O$1&lt;&gt;PART_NUMBER_GENERATOR_TABLE[[#This Row],[Work Role]:[Work Role]],0,
IF(RIGHT(O$30,2)&lt;&gt;PART_NUMBER_GENERATOR_TABLE[[#This Row],[Work Type]:[Work Type]],0,
SUMIFS(Input_Tasks[R3 After Hours],Input_Tasks[[Skill Required]:[Skill Required]],PART_NUMBER_GENERATOR_TABLE[[#This Row],[Tech]:[Tech]])))</f>
        <v>0</v>
      </c>
      <c r="P81" cm="1">
        <f t="array" ref="P81">IF(P$1&lt;&gt;PART_NUMBER_GENERATOR_TABLE[[#This Row],[Work Role]:[Work Role]],0,
IF(RIGHT(P$30,2)&lt;&gt;PART_NUMBER_GENERATOR_TABLE[[#This Row],[Work Type]:[Work Type]],0,
SUMIFS(Input_Tasks[R4 Business Hours],Input_Tasks[[Skill Required]:[Skill Required]],PART_NUMBER_GENERATOR_TABLE[[#This Row],[Tech]:[Tech]])))</f>
        <v>0</v>
      </c>
      <c r="Q81" cm="1">
        <f t="array" ref="Q81">IF(Q$1&lt;&gt;PART_NUMBER_GENERATOR_TABLE[[#This Row],[Work Role]:[Work Role]],0,
IF(RIGHT(Q$30,2)&lt;&gt;PART_NUMBER_GENERATOR_TABLE[[#This Row],[Work Type]:[Work Type]],0,
SUMIFS(Input_Tasks[R4 After Hours],Input_Tasks[[Skill Required]:[Skill Required]],PART_NUMBER_GENERATOR_TABLE[[#This Row],[Tech]:[Tech]])))</f>
        <v>0</v>
      </c>
      <c r="R81" cm="1">
        <f t="array" ref="R81">IF(R$1&lt;&gt;PART_NUMBER_GENERATOR_TABLE[[#This Row],[Work Role]:[Work Role]],0,
IF(RIGHT(R$30,2)&lt;&gt;PART_NUMBER_GENERATOR_TABLE[[#This Row],[Work Type]:[Work Type]],0,
SUMIFS(Input_Tasks[R5 Business Hours],Input_Tasks[[Skill Required]:[Skill Required]],PART_NUMBER_GENERATOR_TABLE[[#This Row],[Tech]:[Tech]])))</f>
        <v>0</v>
      </c>
      <c r="S81" cm="1">
        <f t="array" ref="S81">IF(S$1&lt;&gt;PART_NUMBER_GENERATOR_TABLE[[#This Row],[Work Role]:[Work Role]],0,
IF(RIGHT(S$30,2)&lt;&gt;PART_NUMBER_GENERATOR_TABLE[[#This Row],[Work Type]:[Work Type]],0,
SUMIFS(Input_Tasks[R5 After Hours],Input_Tasks[[Skill Required]:[Skill Required]],PART_NUMBER_GENERATOR_TABLE[[#This Row],[Tech]:[Tech]])))</f>
        <v>0</v>
      </c>
      <c r="T81" cm="1">
        <f t="array" ref="T81">IF(PART_NUMBER_GENERATOR_TABLE[[#This Row],[Work Role]:[Work Role]]&lt;&gt;T$1,0,
IF(PART_NUMBER_GENERATOR_TABLE[[#This Row],[Work Type]:[Work Type]]&lt;&gt;"BH",0,
SUMIFS(T$9:T$24,$M$9:$M$24,PART_NUMBER_GENERATOR_TABLE[[#This Row],[Tech]:[Tech]])))</f>
        <v>0</v>
      </c>
      <c r="U81" cm="1">
        <f t="array" ref="U81">IF(PART_NUMBER_GENERATOR_TABLE[[#This Row],[Work Role]:[Work Role]]&lt;&gt;U$1,0,
IF(PART_NUMBER_GENERATOR_TABLE[[#This Row],[Work Type]:[Work Type]]&lt;&gt;"BH",0,
SUMIFS(U$9:U$24,$M$9:$M$24,PART_NUMBER_GENERATOR_TABLE[[#This Row],[Tech]:[Tech]])))</f>
        <v>0</v>
      </c>
      <c r="V81" cm="1">
        <f t="array" ref="V81">IF(PART_NUMBER_GENERATOR_TABLE[[#This Row],[Work Role]:[Work Role]]&lt;&gt;V$1,0,
IF(PART_NUMBER_GENERATOR_TABLE[[#This Row],[Work Type]:[Work Type]]&lt;&gt;"BH",0,
SUMIFS(V$9:V$24,$M$9:$M$24,PART_NUMBER_GENERATOR_TABLE[[#This Row],[Tech]:[Tech]])))</f>
        <v>0</v>
      </c>
      <c r="W81" cm="1">
        <f t="array" ref="W81">IF(PART_NUMBER_GENERATOR_TABLE[[#This Row],[Work Role]:[Work Role]]&lt;&gt;W$1,0,
IF(PART_NUMBER_GENERATOR_TABLE[[#This Row],[Work Type]:[Work Type]]&lt;&gt;"BH",0,
SUMIFS(W$9:W$24,$M$9:$M$24,PART_NUMBER_GENERATOR_TABLE[[#This Row],[Tech]:[Tech]])))</f>
        <v>0</v>
      </c>
      <c r="X81" cm="1">
        <f t="array" ref="X81">IF(PART_NUMBER_GENERATOR_TABLE[[#This Row],[Work Role]:[Work Role]]&lt;&gt;X$1,0,
IF(PART_NUMBER_GENERATOR_TABLE[[#This Row],[Work Type]:[Work Type]]&lt;&gt;"BH",0,
SUMIFS(X$9:X$24,$M$9:$M$24,PART_NUMBER_GENERATOR_TABLE[[#This Row],[Tech]:[Tech]])))</f>
        <v>0</v>
      </c>
      <c r="Y81" cm="1">
        <f t="array" ref="Y81">IF(PART_NUMBER_GENERATOR_TABLE[[#This Row],[Work Role]:[Work Role]]&lt;&gt;Y$1,0,
IF(PART_NUMBER_GENERATOR_TABLE[[#This Row],[Work Type]:[Work Type]]&lt;&gt;"BH",0,
SUMIFS(Y$9:Y$24,$M$9:$M$24,PART_NUMBER_GENERATOR_TABLE[[#This Row],[Tech]:[Tech]])))</f>
        <v>0</v>
      </c>
      <c r="Z81" cm="1">
        <f t="array" ref="Z81">IF(PART_NUMBER_GENERATOR_TABLE[[#This Row],[Work Role]:[Work Role]]&lt;&gt;Z$1,0,
IF(PART_NUMBER_GENERATOR_TABLE[[#This Row],[Work Type]:[Work Type]]&lt;&gt;"BH",0,
SUMIFS(Z$9:Z$24,$M$9:$M$24,PART_NUMBER_GENERATOR_TABLE[[#This Row],[Tech]:[Tech]])))</f>
        <v>0</v>
      </c>
      <c r="AA81" cm="1">
        <f t="array" ref="AA81">IF(PART_NUMBER_GENERATOR_TABLE[[#This Row],[Work Role]:[Work Role]]&lt;&gt;AA$1,0,
IF(PART_NUMBER_GENERATOR_TABLE[[#This Row],[Work Type]:[Work Type]]&lt;&gt;"BH",0,
SUMIFS(AA$9:AA$24,$M$9:$M$24,PART_NUMBER_GENERATOR_TABLE[[#This Row],[Tech]:[Tech]])))</f>
        <v>0</v>
      </c>
      <c r="AB81" cm="1">
        <f t="array" ref="AB81">IF(PART_NUMBER_GENERATOR_TABLE[[#This Row],[Work Role]:[Work Role]]&lt;&gt;AB$1,0,
IF(PART_NUMBER_GENERATOR_TABLE[[#This Row],[Work Type]:[Work Type]]&lt;&gt;"BH",0,
SUMIFS(AB$9:AB$24,$M$9:$M$24,PART_NUMBER_GENERATOR_TABLE[[#This Row],[Tech]:[Tech]])))</f>
        <v>0</v>
      </c>
      <c r="AC81" cm="1">
        <f t="array" ref="AC81">IF(PART_NUMBER_GENERATOR_TABLE[[#This Row],[Work Role]:[Work Role]]&lt;&gt;AC$1,0,
IF(PART_NUMBER_GENERATOR_TABLE[[#This Row],[Work Type]:[Work Type]]&lt;&gt;"BH",0,
SUMIFS(AC$9:AC$24,$M$9:$M$24,PART_NUMBER_GENERATOR_TABLE[[#This Row],[Tech]:[Tech]])))</f>
        <v>0</v>
      </c>
      <c r="AD81" cm="1">
        <f t="array" ref="AD81">IF(PART_NUMBER_GENERATOR_TABLE[[#This Row],[Work Role]:[Work Role]]&lt;&gt;AD$1,0,
IF(PART_NUMBER_GENERATOR_TABLE[[#This Row],[Work Type]:[Work Type]]&lt;&gt;"BH",0,
SUMIFS(AD$9:AD$24,$M$9:$M$24,PART_NUMBER_GENERATOR_TABLE[[#This Row],[Tech]:[Tech]])))</f>
        <v>0</v>
      </c>
      <c r="AE81" cm="1">
        <f t="array" ref="AE81">IF(PART_NUMBER_GENERATOR_TABLE[[#This Row],[Work Role]:[Work Role]]&lt;&gt;AE$1,0,
IF(PART_NUMBER_GENERATOR_TABLE[[#This Row],[Work Type]:[Work Type]]&lt;&gt;"BH",0,
SUMIFS(AE$9:AE$24,$M$9:$M$24,PART_NUMBER_GENERATOR_TABLE[[#This Row],[Tech]:[Tech]])))</f>
        <v>0</v>
      </c>
      <c r="AF81" cm="1">
        <f t="array" ref="AF81">IF(PART_NUMBER_GENERATOR_TABLE[[#This Row],[Work Role]:[Work Role]]&lt;&gt;AF$1,0,
IF(PART_NUMBER_GENERATOR_TABLE[[#This Row],[Work Type]:[Work Type]]&lt;&gt;"BH",0,
SUMIFS(AF$9:AF$24,$M$9:$M$24,PART_NUMBER_GENERATOR_TABLE[[#This Row],[Tech]:[Tech]])))</f>
        <v>0</v>
      </c>
      <c r="AG81" cm="1">
        <f t="array" ref="AG81">IF(PART_NUMBER_GENERATOR_TABLE[[#This Row],[Work Role]:[Work Role]]&lt;&gt;AG$1,0,
IF(PART_NUMBER_GENERATOR_TABLE[[#This Row],[Work Type]:[Work Type]]&lt;&gt;"AH",0,
SUMIFS(AG$9:AG$24,$M$9:$M$24,PART_NUMBER_GENERATOR_TABLE[[#This Row],[Tech]:[Tech]])))</f>
        <v>0</v>
      </c>
      <c r="AH81" cm="1">
        <f t="array" ref="AH81">IF(PART_NUMBER_GENERATOR_TABLE[[#This Row],[Work Role]:[Work Role]]&lt;&gt;AH$1,0,
IF(PART_NUMBER_GENERATOR_TABLE[[#This Row],[Work Type]:[Work Type]]&lt;&gt;"BH",0,
SUMIFS(AH$9:AH$24,$M$9:$M$24,PART_NUMBER_GENERATOR_TABLE[[#This Row],[Tech]:[Tech]])))</f>
        <v>0</v>
      </c>
      <c r="AI81" cm="1">
        <f t="array" ref="AI81">IF(PART_NUMBER_GENERATOR_TABLE[[#This Row],[Work Role]:[Work Role]]&lt;&gt;AI$1,0,
IF(PART_NUMBER_GENERATOR_TABLE[[#This Row],[Work Type]:[Work Type]]&lt;&gt;"BH",0,
SUMIFS(AI$9:AI$24,$M$9:$M$24,PART_NUMBER_GENERATOR_TABLE[[#This Row],[Tech]:[Tech]])))</f>
        <v>0</v>
      </c>
      <c r="AJ81" cm="1">
        <f t="array" ref="AJ81">IF(PART_NUMBER_GENERATOR_TABLE[[#This Row],[Work Role]:[Work Role]]&lt;&gt;AJ$1,0,
IF(PART_NUMBER_GENERATOR_TABLE[[#This Row],[Work Type]:[Work Type]]&lt;&gt;"BH",0,
SUMIFS(AJ$9:AJ$24,$M$9:$M$24,PART_NUMBER_GENERATOR_TABLE[[#This Row],[Tech]:[Tech]])))</f>
        <v>0</v>
      </c>
      <c r="AK81" cm="1">
        <f t="array" ref="AK81">IF(PART_NUMBER_GENERATOR_TABLE[[#This Row],[Work Role]:[Work Role]]&lt;&gt;AK$1,0,
IF(PART_NUMBER_GENERATOR_TABLE[[#This Row],[Work Type]:[Work Type]]&lt;&gt;"AH",0,
SUMIFS(AK$9:AK$24,$M$9:$M$24,PART_NUMBER_GENERATOR_TABLE[[#This Row],[Tech]:[Tech]])))</f>
        <v>0</v>
      </c>
      <c r="AL81" cm="1">
        <f t="array" ref="AL81">IF(PART_NUMBER_GENERATOR_TABLE[[#This Row],[Work Role]:[Work Role]]&lt;&gt;AL$1,0,
IF(PART_NUMBER_GENERATOR_TABLE[[#This Row],[Work Type]:[Work Type]]&lt;&gt;"BH",0,
SUMIFS(AL$9:AL$24,$M$9:$M$24,PART_NUMBER_GENERATOR_TABLE[[#This Row],[Tech]:[Tech]])))</f>
        <v>0</v>
      </c>
      <c r="AM81">
        <f>0</f>
        <v>0</v>
      </c>
      <c r="AN81" cm="1">
        <f t="array" ref="AN81">IF(PART_NUMBER_GENERATOR_TABLE[[#This Row],[Work Role]:[Work Role]]&lt;&gt;AN$1,0,
IF(PART_NUMBER_GENERATOR_TABLE[[#This Row],[Work Type]:[Work Type]]&lt;&gt;"BH",0,
SUMIFS(AN$24,$AM$24,PART_NUMBER_GENERATOR_TABLE[[#This Row],[Tech]:[Tech]])))</f>
        <v>0</v>
      </c>
      <c r="AO81" cm="1">
        <f t="array" ref="AO81">IF(PART_NUMBER_GENERATOR_TABLE[[#This Row],[Work Role]:[Work Role]]&lt;&gt;AO$1,0,
IF(PART_NUMBER_GENERATOR_TABLE[[#This Row],[Work Type]:[Work Type]]&lt;&gt;"BH",0,
SUMIFS(AO$24,$AM$24,PART_NUMBER_GENERATOR_TABLE[[#This Row],[Tech]:[Tech]])))</f>
        <v>0</v>
      </c>
      <c r="AP81" cm="1">
        <f t="array" ref="AP81">IF(PART_NUMBER_GENERATOR_TABLE[[#This Row],[Work Role]:[Work Role]]&lt;&gt;AP$1,0,
IF(PART_NUMBER_GENERATOR_TABLE[[#This Row],[Work Type]:[Work Type]]&lt;&gt;"BH",0,
SUMIFS(AP$24,$AM$24,PART_NUMBER_GENERATOR_TABLE[[#This Row],[Tech]:[Tech]])))</f>
        <v>0</v>
      </c>
      <c r="AQ81" cm="1">
        <f t="array" ref="AQ81">IF(PART_NUMBER_GENERATOR_TABLE[[#This Row],[Work Role]:[Work Role]]&lt;&gt;AQ$1,0,
IF(PART_NUMBER_GENERATOR_TABLE[[#This Row],[Work Type]:[Work Type]]&lt;&gt;"BH",0,
SUMIFS(AQ$24,$AM$24,PART_NUMBER_GENERATOR_TABLE[[#This Row],[Tech]:[Tech]])))</f>
        <v>0</v>
      </c>
      <c r="AR81" cm="1">
        <f t="array" ref="AR81">IF(PART_NUMBER_GENERATOR_TABLE[[#This Row],[Work Role]:[Work Role]]&lt;&gt;AR$1,0,
IF(PART_NUMBER_GENERATOR_TABLE[[#This Row],[Work Type]:[Work Type]]&lt;&gt;"BH",0,
SUMIFS(AR$24,$AM$24,PART_NUMBER_GENERATOR_TABLE[[#This Row],[Tech]:[Tech]])))</f>
        <v>0</v>
      </c>
      <c r="AS81" cm="1">
        <f t="array" ref="AS81">IF(PART_NUMBER_GENERATOR_TABLE[[#This Row],[Work Role]:[Work Role]]&lt;&gt;AS$1,0,
IF(PART_NUMBER_GENERATOR_TABLE[[#This Row],[Work Type]:[Work Type]]&lt;&gt;"BH",0,
SUMIFS(AS$24,$AM$24,PART_NUMBER_GENERATOR_TABLE[[#This Row],[Tech]:[Tech]])))</f>
        <v>0</v>
      </c>
      <c r="AT81" cm="1">
        <f t="array" ref="AT81">IF(PART_NUMBER_GENERATOR_TABLE[[#This Row],[Work Role]:[Work Role]]&lt;&gt;AS$1,0,
IF(PART_NUMBER_GENERATOR_TABLE[[#This Row],[Work Type]:[Work Type]]&lt;&gt;"BH",0,
SUMIFS(AT$24,$AM$24,PART_NUMBER_GENERATOR_TABLE[[#This Row],[Tech]:[Tech]])))</f>
        <v>0</v>
      </c>
      <c r="AU81">
        <f>SUM(PART_NUMBER_GENERATOR_TABLE[[#This Row],[Resource 1 BH]:[Resource 5 AH]],PART_NUMBER_GENERATOR_TABLE[[#This Row],[R1 Mandatory Tasks]:[R5 Mandatory Tasks]],PART_NUMBER_GENERATOR_TABLE[[#This Row],[R1 Remainder]:[R5 Remainder]])</f>
        <v>0</v>
      </c>
      <c r="AV81">
        <f>PART_NUMBER_GENERATOR_TABLE[[#This Row],[Professional Engineering Hours]]*PART_NUMBER_GENERATOR_TABLE[[#This Row],[Sell Rate]]</f>
        <v>0</v>
      </c>
      <c r="AW81">
        <f>PART_NUMBER_GENERATOR_TABLE[[#This Row],[Professional Engineering Hours]]*PART_NUMBER_GENERATOR_TABLE[[#This Row],[Cost Rate]]</f>
        <v>0</v>
      </c>
      <c r="AX81">
        <f>SUM(PART_NUMBER_GENERATOR_TABLE[[#This Row],[PM Trips]:[R5 Trips]])</f>
        <v>0</v>
      </c>
      <c r="AY81">
        <f>PART_NUMBER_GENERATOR_TABLE[[#This Row],[Travel &amp; Accommodation Hours]]*PART_NUMBER_GENERATOR_TABLE[[#This Row],[Sell Rate]]</f>
        <v>0</v>
      </c>
      <c r="AZ81">
        <f>PART_NUMBER_GENERATOR_TABLE[[#This Row],[Travel &amp; Accommodation Hours]]*PART_NUMBER_GENERATOR_TABLE[[#This Row],[Cost Rate]]</f>
        <v>0</v>
      </c>
      <c r="BA81">
        <f>PART_NUMBER_GENERATOR_TABLE[[#This Row],[PM Hours]]+PART_NUMBER_GENERATOR_TABLE[[#This Row],[PM Remainder]]</f>
        <v>0</v>
      </c>
      <c r="BB81">
        <f>PART_NUMBER_GENERATOR_TABLE[[#This Row],[Project Management Hours]]*PART_NUMBER_GENERATOR_TABLE[[#This Row],[Sell Rate]]</f>
        <v>0</v>
      </c>
      <c r="BC81">
        <f>PART_NUMBER_GENERATOR_TABLE[[#This Row],[Project Management Hours]]*PART_NUMBER_GENERATOR_TABLE[[#This Row],[Cost Rate]]</f>
        <v>0</v>
      </c>
      <c r="BD81">
        <f>SUM(PART_NUMBER_GENERATOR_TABLE[[#This Row],[SSE RISK BH]:[PM RISK]],PART_NUMBER_GENERATOR_TABLE[[#This Row],[SSE Remainder RISK BH]:[PM Remainder RISK]])</f>
        <v>0</v>
      </c>
      <c r="BE81">
        <f>PART_NUMBER_GENERATOR_TABLE[[#This Row],[Project Risk Service Hours]]*PART_NUMBER_GENERATOR_TABLE[[#This Row],[Sell Rate]]</f>
        <v>0</v>
      </c>
      <c r="BF81">
        <f>PART_NUMBER_GENERATOR_TABLE[[#This Row],[Project Risk Service Hours]]*PART_NUMBER_GENERATOR_TABLE[[#This Row],[Cost Rate]]</f>
        <v>0</v>
      </c>
      <c r="BG81">
        <f>PART_NUMBER_GENERATOR_TABLE[[#This Row],[SSE RISK TRAVEL]]</f>
        <v>0</v>
      </c>
      <c r="BH81">
        <f>PART_NUMBER_GENERATOR_TABLE[[#This Row],[Sell Rate]]*PART_NUMBER_GENERATOR_TABLE[[#This Row],[Project Risk Travel Hours]]</f>
        <v>0</v>
      </c>
      <c r="BI81">
        <f>PART_NUMBER_GENERATOR_TABLE[[#This Row],[Project Risk Travel Hours]]*PART_NUMBER_GENERATOR_TABLE[[#This Row],[Cost Rate]]</f>
        <v>0</v>
      </c>
      <c r="BJ8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8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81">
        <f>IFERROR(-VLOOKUP(INDEX(ENGINEER_ROLES,MATCH(PART_NUMBER_GENERATOR_TABLE[[#This Row],[Work Role]],settings.Table_Engineer.Roles[ID],0),1),Settings_Hidden!$H$359:$K$366,4,FALSE),0)</f>
        <v>0</v>
      </c>
      <c r="BM81" s="680">
        <f>-Summary!$C$66</f>
        <v>0</v>
      </c>
      <c r="BN81" s="465">
        <f>PART_NUMBER_GENERATOR_TABLE[[#This Row],[Total Base Price]]*MIN(PART_NUMBER_GENERATOR_TABLE[[#This Row],[Rate Service Discount]:[Flat Service Discount]])</f>
        <v>0</v>
      </c>
      <c r="BO81" s="451" t="str">
        <f>IF(PART_NUMBER_GENERATOR_TABLE[[#This Row],[Quantity]]&lt;&gt;0,MAX($BO$30:BO80)+1,"")</f>
        <v/>
      </c>
      <c r="BP81" t="str">
        <f>PART_NUMBER_GENERATOR_TABLE[[#This Row],[Part Number]]</f>
        <v>A-PS-E-SECURE-TA-BH</v>
      </c>
      <c r="BQ81">
        <f>PART_NUMBER_GENERATOR_TABLE[[#This Row],[Total Hours]]</f>
        <v>0</v>
      </c>
      <c r="BR81">
        <f>PART_NUMBER_GENERATOR_TABLE[[#This Row],[Cost Rate]]</f>
        <v>81.346799080218702</v>
      </c>
      <c r="BS81" s="465">
        <f>PART_NUMBER_GENERATOR_TABLE[[#This Row],[Sell Rate]]+(PART_NUMBER_GENERATOR_TABLE[[#This Row],[Sell Rate]]*MIN(PART_NUMBER_GENERATOR_TABLE[[#This Row],[Rate Service Discount]:[Flat Service Discount]]))</f>
        <v>155</v>
      </c>
    </row>
    <row r="82" spans="1:71">
      <c r="A82">
        <v>52</v>
      </c>
      <c r="C82" t="s">
        <v>1124</v>
      </c>
      <c r="D82" t="str" cm="1">
        <f t="array" ref="D82">INDEX(Table.Settings_Skill.List[Skill Name],MATCH(INDEX(_xlfn.TEXTSPLIT(C82,"-",,TRUE),4),Table.Settings_Skill.List[Skill Code],0),1)</f>
        <v>Secure Networking</v>
      </c>
      <c r="E82" t="str" cm="1">
        <f t="array" ref="E82">INDEX(_xlfn.TEXTSPLIT(C82,"-",,TRUE),5)</f>
        <v>SE</v>
      </c>
      <c r="F82" t="str">
        <f>IFERROR(INDEX(settings.Table_Engineer.Roles[Department Code],MATCH(PART_NUMBER_GENERATOR_TABLE[[#This Row],[Work Role]],settings.Table_Engineer.Roles[ID],0),1),"PMO")</f>
        <v>ENG</v>
      </c>
      <c r="G82" t="str" cm="1">
        <f t="array" ref="G82">INDEX(_xlfn.TEXTSPLIT(C82,"-",,TRUE),6)</f>
        <v>BH</v>
      </c>
      <c r="H8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8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82" cm="1">
        <f t="array" ref="J82">IF(J$1&lt;&gt;PART_NUMBER_GENERATOR_TABLE[[#This Row],[Work Role]:[Work Role]],0,
IF(RIGHT(J$30,2)&lt;&gt;PART_NUMBER_GENERATOR_TABLE[[#This Row],[Work Type]:[Work Type]],0,
SUMIFS(Input_Tasks[R1 Business Hours],Input_Tasks[[Skill Required]:[Skill Required]],PART_NUMBER_GENERATOR_TABLE[[#This Row],[Tech]:[Tech]])))</f>
        <v>0</v>
      </c>
      <c r="K82" cm="1">
        <f t="array" ref="K82">IF(K$1&lt;&gt;PART_NUMBER_GENERATOR_TABLE[[#This Row],[Work Role]:[Work Role]],0,
IF(RIGHT(K$30,2)&lt;&gt;PART_NUMBER_GENERATOR_TABLE[[#This Row],[Work Type]:[Work Type]],0,
SUMIFS(Input_Tasks[R1 After Hours],Input_Tasks[[Skill Required]:[Skill Required]],PART_NUMBER_GENERATOR_TABLE[[#This Row],[Tech]:[Tech]])))</f>
        <v>0</v>
      </c>
      <c r="L82" cm="1">
        <f t="array" ref="L82">IF(L$1&lt;&gt;PART_NUMBER_GENERATOR_TABLE[[#This Row],[Work Role]:[Work Role]],0,
IF(RIGHT(L$30,2)&lt;&gt;PART_NUMBER_GENERATOR_TABLE[[#This Row],[Work Type]:[Work Type]],0,
SUMIFS(Input_Tasks[R2 Business Hours],Input_Tasks[[Skill Required]:[Skill Required]],PART_NUMBER_GENERATOR_TABLE[[#This Row],[Tech]:[Tech]])))</f>
        <v>0</v>
      </c>
      <c r="M82" cm="1">
        <f t="array" ref="M82">IF(M$1&lt;&gt;PART_NUMBER_GENERATOR_TABLE[[#This Row],[Work Role]:[Work Role]],0,
IF(RIGHT(M$30,2)&lt;&gt;PART_NUMBER_GENERATOR_TABLE[[#This Row],[Work Type]:[Work Type]],0,
SUMIFS(Input_Tasks[R2 After Hours],Input_Tasks[[Skill Required]:[Skill Required]],PART_NUMBER_GENERATOR_TABLE[[#This Row],[Tech]:[Tech]])))</f>
        <v>0</v>
      </c>
      <c r="N82" cm="1">
        <f t="array" ref="N82">IF(N$1&lt;&gt;PART_NUMBER_GENERATOR_TABLE[[#This Row],[Work Role]:[Work Role]],0,
IF(RIGHT(N$30,2)&lt;&gt;PART_NUMBER_GENERATOR_TABLE[[#This Row],[Work Type]:[Work Type]],0,
SUMIFS(Input_Tasks[R3 Business Hours],Input_Tasks[[Skill Required]:[Skill Required]],PART_NUMBER_GENERATOR_TABLE[[#This Row],[Tech]:[Tech]])))</f>
        <v>0</v>
      </c>
      <c r="O82" cm="1">
        <f t="array" ref="O82">IF(O$1&lt;&gt;PART_NUMBER_GENERATOR_TABLE[[#This Row],[Work Role]:[Work Role]],0,
IF(RIGHT(O$30,2)&lt;&gt;PART_NUMBER_GENERATOR_TABLE[[#This Row],[Work Type]:[Work Type]],0,
SUMIFS(Input_Tasks[R3 After Hours],Input_Tasks[[Skill Required]:[Skill Required]],PART_NUMBER_GENERATOR_TABLE[[#This Row],[Tech]:[Tech]])))</f>
        <v>0</v>
      </c>
      <c r="P82" cm="1">
        <f t="array" ref="P82">IF(P$1&lt;&gt;PART_NUMBER_GENERATOR_TABLE[[#This Row],[Work Role]:[Work Role]],0,
IF(RIGHT(P$30,2)&lt;&gt;PART_NUMBER_GENERATOR_TABLE[[#This Row],[Work Type]:[Work Type]],0,
SUMIFS(Input_Tasks[R4 Business Hours],Input_Tasks[[Skill Required]:[Skill Required]],PART_NUMBER_GENERATOR_TABLE[[#This Row],[Tech]:[Tech]])))</f>
        <v>0</v>
      </c>
      <c r="Q82" cm="1">
        <f t="array" ref="Q82">IF(Q$1&lt;&gt;PART_NUMBER_GENERATOR_TABLE[[#This Row],[Work Role]:[Work Role]],0,
IF(RIGHT(Q$30,2)&lt;&gt;PART_NUMBER_GENERATOR_TABLE[[#This Row],[Work Type]:[Work Type]],0,
SUMIFS(Input_Tasks[R4 After Hours],Input_Tasks[[Skill Required]:[Skill Required]],PART_NUMBER_GENERATOR_TABLE[[#This Row],[Tech]:[Tech]])))</f>
        <v>0</v>
      </c>
      <c r="R82" cm="1">
        <f t="array" ref="R82">IF(R$1&lt;&gt;PART_NUMBER_GENERATOR_TABLE[[#This Row],[Work Role]:[Work Role]],0,
IF(RIGHT(R$30,2)&lt;&gt;PART_NUMBER_GENERATOR_TABLE[[#This Row],[Work Type]:[Work Type]],0,
SUMIFS(Input_Tasks[R5 Business Hours],Input_Tasks[[Skill Required]:[Skill Required]],PART_NUMBER_GENERATOR_TABLE[[#This Row],[Tech]:[Tech]])))</f>
        <v>0</v>
      </c>
      <c r="S82" cm="1">
        <f t="array" ref="S82">IF(S$1&lt;&gt;PART_NUMBER_GENERATOR_TABLE[[#This Row],[Work Role]:[Work Role]],0,
IF(RIGHT(S$30,2)&lt;&gt;PART_NUMBER_GENERATOR_TABLE[[#This Row],[Work Type]:[Work Type]],0,
SUMIFS(Input_Tasks[R5 After Hours],Input_Tasks[[Skill Required]:[Skill Required]],PART_NUMBER_GENERATOR_TABLE[[#This Row],[Tech]:[Tech]])))</f>
        <v>0</v>
      </c>
      <c r="T82" cm="1">
        <f t="array" ref="T82">IF(PART_NUMBER_GENERATOR_TABLE[[#This Row],[Work Role]:[Work Role]]&lt;&gt;T$1,0,
IF(PART_NUMBER_GENERATOR_TABLE[[#This Row],[Work Type]:[Work Type]]&lt;&gt;"BH",0,
SUMIFS(T$9:T$24,$M$9:$M$24,PART_NUMBER_GENERATOR_TABLE[[#This Row],[Tech]:[Tech]])))</f>
        <v>0</v>
      </c>
      <c r="U82" cm="1">
        <f t="array" ref="U82">IF(PART_NUMBER_GENERATOR_TABLE[[#This Row],[Work Role]:[Work Role]]&lt;&gt;U$1,0,
IF(PART_NUMBER_GENERATOR_TABLE[[#This Row],[Work Type]:[Work Type]]&lt;&gt;"BH",0,
SUMIFS(U$9:U$24,$M$9:$M$24,PART_NUMBER_GENERATOR_TABLE[[#This Row],[Tech]:[Tech]])))</f>
        <v>0</v>
      </c>
      <c r="V82" cm="1">
        <f t="array" ref="V82">IF(PART_NUMBER_GENERATOR_TABLE[[#This Row],[Work Role]:[Work Role]]&lt;&gt;V$1,0,
IF(PART_NUMBER_GENERATOR_TABLE[[#This Row],[Work Type]:[Work Type]]&lt;&gt;"BH",0,
SUMIFS(V$9:V$24,$M$9:$M$24,PART_NUMBER_GENERATOR_TABLE[[#This Row],[Tech]:[Tech]])))</f>
        <v>0</v>
      </c>
      <c r="W82" cm="1">
        <f t="array" ref="W82">IF(PART_NUMBER_GENERATOR_TABLE[[#This Row],[Work Role]:[Work Role]]&lt;&gt;W$1,0,
IF(PART_NUMBER_GENERATOR_TABLE[[#This Row],[Work Type]:[Work Type]]&lt;&gt;"BH",0,
SUMIFS(W$9:W$24,$M$9:$M$24,PART_NUMBER_GENERATOR_TABLE[[#This Row],[Tech]:[Tech]])))</f>
        <v>0</v>
      </c>
      <c r="X82" cm="1">
        <f t="array" ref="X82">IF(PART_NUMBER_GENERATOR_TABLE[[#This Row],[Work Role]:[Work Role]]&lt;&gt;X$1,0,
IF(PART_NUMBER_GENERATOR_TABLE[[#This Row],[Work Type]:[Work Type]]&lt;&gt;"BH",0,
SUMIFS(X$9:X$24,$M$9:$M$24,PART_NUMBER_GENERATOR_TABLE[[#This Row],[Tech]:[Tech]])))</f>
        <v>0</v>
      </c>
      <c r="Y82" cm="1">
        <f t="array" ref="Y82">IF(PART_NUMBER_GENERATOR_TABLE[[#This Row],[Work Role]:[Work Role]]&lt;&gt;Y$1,0,
IF(PART_NUMBER_GENERATOR_TABLE[[#This Row],[Work Type]:[Work Type]]&lt;&gt;"BH",0,
SUMIFS(Y$9:Y$24,$M$9:$M$24,PART_NUMBER_GENERATOR_TABLE[[#This Row],[Tech]:[Tech]])))</f>
        <v>0</v>
      </c>
      <c r="Z82" cm="1">
        <f t="array" ref="Z82">IF(PART_NUMBER_GENERATOR_TABLE[[#This Row],[Work Role]:[Work Role]]&lt;&gt;Z$1,0,
IF(PART_NUMBER_GENERATOR_TABLE[[#This Row],[Work Type]:[Work Type]]&lt;&gt;"BH",0,
SUMIFS(Z$9:Z$24,$M$9:$M$24,PART_NUMBER_GENERATOR_TABLE[[#This Row],[Tech]:[Tech]])))</f>
        <v>0</v>
      </c>
      <c r="AA82" cm="1">
        <f t="array" ref="AA82">IF(PART_NUMBER_GENERATOR_TABLE[[#This Row],[Work Role]:[Work Role]]&lt;&gt;AA$1,0,
IF(PART_NUMBER_GENERATOR_TABLE[[#This Row],[Work Type]:[Work Type]]&lt;&gt;"BH",0,
SUMIFS(AA$9:AA$24,$M$9:$M$24,PART_NUMBER_GENERATOR_TABLE[[#This Row],[Tech]:[Tech]])))</f>
        <v>0</v>
      </c>
      <c r="AB82" cm="1">
        <f t="array" ref="AB82">IF(PART_NUMBER_GENERATOR_TABLE[[#This Row],[Work Role]:[Work Role]]&lt;&gt;AB$1,0,
IF(PART_NUMBER_GENERATOR_TABLE[[#This Row],[Work Type]:[Work Type]]&lt;&gt;"BH",0,
SUMIFS(AB$9:AB$24,$M$9:$M$24,PART_NUMBER_GENERATOR_TABLE[[#This Row],[Tech]:[Tech]])))</f>
        <v>0</v>
      </c>
      <c r="AC82" cm="1">
        <f t="array" ref="AC82">IF(PART_NUMBER_GENERATOR_TABLE[[#This Row],[Work Role]:[Work Role]]&lt;&gt;AC$1,0,
IF(PART_NUMBER_GENERATOR_TABLE[[#This Row],[Work Type]:[Work Type]]&lt;&gt;"BH",0,
SUMIFS(AC$9:AC$24,$M$9:$M$24,PART_NUMBER_GENERATOR_TABLE[[#This Row],[Tech]:[Tech]])))</f>
        <v>0</v>
      </c>
      <c r="AD82" cm="1">
        <f t="array" ref="AD82">IF(PART_NUMBER_GENERATOR_TABLE[[#This Row],[Work Role]:[Work Role]]&lt;&gt;AD$1,0,
IF(PART_NUMBER_GENERATOR_TABLE[[#This Row],[Work Type]:[Work Type]]&lt;&gt;"BH",0,
SUMIFS(AD$9:AD$24,$M$9:$M$24,PART_NUMBER_GENERATOR_TABLE[[#This Row],[Tech]:[Tech]])))</f>
        <v>0</v>
      </c>
      <c r="AE82" cm="1">
        <f t="array" ref="AE82">IF(PART_NUMBER_GENERATOR_TABLE[[#This Row],[Work Role]:[Work Role]]&lt;&gt;AE$1,0,
IF(PART_NUMBER_GENERATOR_TABLE[[#This Row],[Work Type]:[Work Type]]&lt;&gt;"BH",0,
SUMIFS(AE$9:AE$24,$M$9:$M$24,PART_NUMBER_GENERATOR_TABLE[[#This Row],[Tech]:[Tech]])))</f>
        <v>0</v>
      </c>
      <c r="AF82" cm="1">
        <f t="array" ref="AF82">IF(PART_NUMBER_GENERATOR_TABLE[[#This Row],[Work Role]:[Work Role]]&lt;&gt;AF$1,0,
IF(PART_NUMBER_GENERATOR_TABLE[[#This Row],[Work Type]:[Work Type]]&lt;&gt;"BH",0,
SUMIFS(AF$9:AF$24,$M$9:$M$24,PART_NUMBER_GENERATOR_TABLE[[#This Row],[Tech]:[Tech]])))</f>
        <v>0</v>
      </c>
      <c r="AG82" cm="1">
        <f t="array" ref="AG82">IF(PART_NUMBER_GENERATOR_TABLE[[#This Row],[Work Role]:[Work Role]]&lt;&gt;AG$1,0,
IF(PART_NUMBER_GENERATOR_TABLE[[#This Row],[Work Type]:[Work Type]]&lt;&gt;"AH",0,
SUMIFS(AG$9:AG$24,$M$9:$M$24,PART_NUMBER_GENERATOR_TABLE[[#This Row],[Tech]:[Tech]])))</f>
        <v>0</v>
      </c>
      <c r="AH82" cm="1">
        <f t="array" ref="AH82">IF(PART_NUMBER_GENERATOR_TABLE[[#This Row],[Work Role]:[Work Role]]&lt;&gt;AH$1,0,
IF(PART_NUMBER_GENERATOR_TABLE[[#This Row],[Work Type]:[Work Type]]&lt;&gt;"BH",0,
SUMIFS(AH$9:AH$24,$M$9:$M$24,PART_NUMBER_GENERATOR_TABLE[[#This Row],[Tech]:[Tech]])))</f>
        <v>0</v>
      </c>
      <c r="AI82" cm="1">
        <f t="array" ref="AI82">IF(PART_NUMBER_GENERATOR_TABLE[[#This Row],[Work Role]:[Work Role]]&lt;&gt;AI$1,0,
IF(PART_NUMBER_GENERATOR_TABLE[[#This Row],[Work Type]:[Work Type]]&lt;&gt;"BH",0,
SUMIFS(AI$9:AI$24,$M$9:$M$24,PART_NUMBER_GENERATOR_TABLE[[#This Row],[Tech]:[Tech]])))</f>
        <v>0</v>
      </c>
      <c r="AJ82" cm="1">
        <f t="array" ref="AJ82">IF(PART_NUMBER_GENERATOR_TABLE[[#This Row],[Work Role]:[Work Role]]&lt;&gt;AJ$1,0,
IF(PART_NUMBER_GENERATOR_TABLE[[#This Row],[Work Type]:[Work Type]]&lt;&gt;"BH",0,
SUMIFS(AJ$9:AJ$24,$M$9:$M$24,PART_NUMBER_GENERATOR_TABLE[[#This Row],[Tech]:[Tech]])))</f>
        <v>0</v>
      </c>
      <c r="AK82" cm="1">
        <f t="array" ref="AK82">IF(PART_NUMBER_GENERATOR_TABLE[[#This Row],[Work Role]:[Work Role]]&lt;&gt;AK$1,0,
IF(PART_NUMBER_GENERATOR_TABLE[[#This Row],[Work Type]:[Work Type]]&lt;&gt;"AH",0,
SUMIFS(AK$9:AK$24,$M$9:$M$24,PART_NUMBER_GENERATOR_TABLE[[#This Row],[Tech]:[Tech]])))</f>
        <v>0</v>
      </c>
      <c r="AL82" cm="1">
        <f t="array" ref="AL82">IF(PART_NUMBER_GENERATOR_TABLE[[#This Row],[Work Role]:[Work Role]]&lt;&gt;AL$1,0,
IF(PART_NUMBER_GENERATOR_TABLE[[#This Row],[Work Type]:[Work Type]]&lt;&gt;"BH",0,
SUMIFS(AL$9:AL$24,$M$9:$M$24,PART_NUMBER_GENERATOR_TABLE[[#This Row],[Tech]:[Tech]])))</f>
        <v>0</v>
      </c>
      <c r="AM82">
        <f>0</f>
        <v>0</v>
      </c>
      <c r="AN82" cm="1">
        <f t="array" ref="AN82">IF(PART_NUMBER_GENERATOR_TABLE[[#This Row],[Work Role]:[Work Role]]&lt;&gt;AN$1,0,
IF(PART_NUMBER_GENERATOR_TABLE[[#This Row],[Work Type]:[Work Type]]&lt;&gt;"BH",0,
SUMIFS(AN$24,$AM$24,PART_NUMBER_GENERATOR_TABLE[[#This Row],[Tech]:[Tech]])))</f>
        <v>0</v>
      </c>
      <c r="AO82" cm="1">
        <f t="array" ref="AO82">IF(PART_NUMBER_GENERATOR_TABLE[[#This Row],[Work Role]:[Work Role]]&lt;&gt;AO$1,0,
IF(PART_NUMBER_GENERATOR_TABLE[[#This Row],[Work Type]:[Work Type]]&lt;&gt;"BH",0,
SUMIFS(AO$24,$AM$24,PART_NUMBER_GENERATOR_TABLE[[#This Row],[Tech]:[Tech]])))</f>
        <v>0</v>
      </c>
      <c r="AP82" cm="1">
        <f t="array" ref="AP82">IF(PART_NUMBER_GENERATOR_TABLE[[#This Row],[Work Role]:[Work Role]]&lt;&gt;AP$1,0,
IF(PART_NUMBER_GENERATOR_TABLE[[#This Row],[Work Type]:[Work Type]]&lt;&gt;"BH",0,
SUMIFS(AP$24,$AM$24,PART_NUMBER_GENERATOR_TABLE[[#This Row],[Tech]:[Tech]])))</f>
        <v>0</v>
      </c>
      <c r="AQ82" cm="1">
        <f t="array" ref="AQ82">IF(PART_NUMBER_GENERATOR_TABLE[[#This Row],[Work Role]:[Work Role]]&lt;&gt;AQ$1,0,
IF(PART_NUMBER_GENERATOR_TABLE[[#This Row],[Work Type]:[Work Type]]&lt;&gt;"BH",0,
SUMIFS(AQ$24,$AM$24,PART_NUMBER_GENERATOR_TABLE[[#This Row],[Tech]:[Tech]])))</f>
        <v>0</v>
      </c>
      <c r="AR82" cm="1">
        <f t="array" ref="AR82">IF(PART_NUMBER_GENERATOR_TABLE[[#This Row],[Work Role]:[Work Role]]&lt;&gt;AR$1,0,
IF(PART_NUMBER_GENERATOR_TABLE[[#This Row],[Work Type]:[Work Type]]&lt;&gt;"BH",0,
SUMIFS(AR$24,$AM$24,PART_NUMBER_GENERATOR_TABLE[[#This Row],[Tech]:[Tech]])))</f>
        <v>0</v>
      </c>
      <c r="AS82" cm="1">
        <f t="array" ref="AS82">IF(PART_NUMBER_GENERATOR_TABLE[[#This Row],[Work Role]:[Work Role]]&lt;&gt;AS$1,0,
IF(PART_NUMBER_GENERATOR_TABLE[[#This Row],[Work Type]:[Work Type]]&lt;&gt;"BH",0,
SUMIFS(AS$24,$AM$24,PART_NUMBER_GENERATOR_TABLE[[#This Row],[Tech]:[Tech]])))</f>
        <v>0</v>
      </c>
      <c r="AT82" cm="1">
        <f t="array" ref="AT82">IF(PART_NUMBER_GENERATOR_TABLE[[#This Row],[Work Role]:[Work Role]]&lt;&gt;AS$1,0,
IF(PART_NUMBER_GENERATOR_TABLE[[#This Row],[Work Type]:[Work Type]]&lt;&gt;"BH",0,
SUMIFS(AT$24,$AM$24,PART_NUMBER_GENERATOR_TABLE[[#This Row],[Tech]:[Tech]])))</f>
        <v>0</v>
      </c>
      <c r="AU82">
        <f>SUM(PART_NUMBER_GENERATOR_TABLE[[#This Row],[Resource 1 BH]:[Resource 5 AH]],PART_NUMBER_GENERATOR_TABLE[[#This Row],[R1 Mandatory Tasks]:[R5 Mandatory Tasks]],PART_NUMBER_GENERATOR_TABLE[[#This Row],[R1 Remainder]:[R5 Remainder]])</f>
        <v>0</v>
      </c>
      <c r="AV82">
        <f>PART_NUMBER_GENERATOR_TABLE[[#This Row],[Professional Engineering Hours]]*PART_NUMBER_GENERATOR_TABLE[[#This Row],[Sell Rate]]</f>
        <v>0</v>
      </c>
      <c r="AW82">
        <f>PART_NUMBER_GENERATOR_TABLE[[#This Row],[Professional Engineering Hours]]*PART_NUMBER_GENERATOR_TABLE[[#This Row],[Cost Rate]]</f>
        <v>0</v>
      </c>
      <c r="AX82">
        <f>SUM(PART_NUMBER_GENERATOR_TABLE[[#This Row],[PM Trips]:[R5 Trips]])</f>
        <v>0</v>
      </c>
      <c r="AY82">
        <f>PART_NUMBER_GENERATOR_TABLE[[#This Row],[Travel &amp; Accommodation Hours]]*PART_NUMBER_GENERATOR_TABLE[[#This Row],[Sell Rate]]</f>
        <v>0</v>
      </c>
      <c r="AZ82">
        <f>PART_NUMBER_GENERATOR_TABLE[[#This Row],[Travel &amp; Accommodation Hours]]*PART_NUMBER_GENERATOR_TABLE[[#This Row],[Cost Rate]]</f>
        <v>0</v>
      </c>
      <c r="BA82">
        <f>PART_NUMBER_GENERATOR_TABLE[[#This Row],[PM Hours]]+PART_NUMBER_GENERATOR_TABLE[[#This Row],[PM Remainder]]</f>
        <v>0</v>
      </c>
      <c r="BB82">
        <f>PART_NUMBER_GENERATOR_TABLE[[#This Row],[Project Management Hours]]*PART_NUMBER_GENERATOR_TABLE[[#This Row],[Sell Rate]]</f>
        <v>0</v>
      </c>
      <c r="BC82">
        <f>PART_NUMBER_GENERATOR_TABLE[[#This Row],[Project Management Hours]]*PART_NUMBER_GENERATOR_TABLE[[#This Row],[Cost Rate]]</f>
        <v>0</v>
      </c>
      <c r="BD82">
        <f>SUM(PART_NUMBER_GENERATOR_TABLE[[#This Row],[SSE RISK BH]:[PM RISK]],PART_NUMBER_GENERATOR_TABLE[[#This Row],[SSE Remainder RISK BH]:[PM Remainder RISK]])</f>
        <v>0</v>
      </c>
      <c r="BE82">
        <f>PART_NUMBER_GENERATOR_TABLE[[#This Row],[Project Risk Service Hours]]*PART_NUMBER_GENERATOR_TABLE[[#This Row],[Sell Rate]]</f>
        <v>0</v>
      </c>
      <c r="BF82">
        <f>PART_NUMBER_GENERATOR_TABLE[[#This Row],[Project Risk Service Hours]]*PART_NUMBER_GENERATOR_TABLE[[#This Row],[Cost Rate]]</f>
        <v>0</v>
      </c>
      <c r="BG82">
        <f>PART_NUMBER_GENERATOR_TABLE[[#This Row],[SSE RISK TRAVEL]]</f>
        <v>0</v>
      </c>
      <c r="BH82">
        <f>PART_NUMBER_GENERATOR_TABLE[[#This Row],[Sell Rate]]*PART_NUMBER_GENERATOR_TABLE[[#This Row],[Project Risk Travel Hours]]</f>
        <v>0</v>
      </c>
      <c r="BI82">
        <f>PART_NUMBER_GENERATOR_TABLE[[#This Row],[Project Risk Travel Hours]]*PART_NUMBER_GENERATOR_TABLE[[#This Row],[Cost Rate]]</f>
        <v>0</v>
      </c>
      <c r="BJ8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8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82">
        <f>IFERROR(-VLOOKUP(INDEX(ENGINEER_ROLES,MATCH(PART_NUMBER_GENERATOR_TABLE[[#This Row],[Work Role]],settings.Table_Engineer.Roles[ID],0),1),Settings_Hidden!$H$359:$K$366,4,FALSE),0)</f>
        <v>0</v>
      </c>
      <c r="BM82" s="680">
        <f>-Summary!$C$66</f>
        <v>0</v>
      </c>
      <c r="BN82" s="465">
        <f>PART_NUMBER_GENERATOR_TABLE[[#This Row],[Total Base Price]]*MIN(PART_NUMBER_GENERATOR_TABLE[[#This Row],[Rate Service Discount]:[Flat Service Discount]])</f>
        <v>0</v>
      </c>
      <c r="BO82" s="451" t="str">
        <f>IF(PART_NUMBER_GENERATOR_TABLE[[#This Row],[Quantity]]&lt;&gt;0,MAX($BO$30:BO81)+1,"")</f>
        <v/>
      </c>
      <c r="BP82" t="str">
        <f>PART_NUMBER_GENERATOR_TABLE[[#This Row],[Part Number]]</f>
        <v>A-PS-E-SECURE-SE-BH</v>
      </c>
      <c r="BQ82">
        <f>PART_NUMBER_GENERATOR_TABLE[[#This Row],[Total Hours]]</f>
        <v>0</v>
      </c>
      <c r="BR82">
        <f>PART_NUMBER_GENERATOR_TABLE[[#This Row],[Cost Rate]]</f>
        <v>126.11855927829811</v>
      </c>
      <c r="BS82" s="465">
        <f>PART_NUMBER_GENERATOR_TABLE[[#This Row],[Sell Rate]]+(PART_NUMBER_GENERATOR_TABLE[[#This Row],[Sell Rate]]*MIN(PART_NUMBER_GENERATOR_TABLE[[#This Row],[Rate Service Discount]:[Flat Service Discount]]))</f>
        <v>235</v>
      </c>
    </row>
    <row r="83" spans="1:71">
      <c r="A83">
        <v>53</v>
      </c>
      <c r="C83" t="s">
        <v>1118</v>
      </c>
      <c r="D83" t="str" cm="1">
        <f t="array" ref="D83">INDEX(Table.Settings_Skill.List[Skill Name],MATCH(INDEX(_xlfn.TEXTSPLIT(C83,"-",,TRUE),4),Table.Settings_Skill.List[Skill Code],0),1)</f>
        <v>Secure Networking</v>
      </c>
      <c r="E83" t="str" cm="1">
        <f t="array" ref="E83">INDEX(_xlfn.TEXTSPLIT(C83,"-",,TRUE),5)</f>
        <v>SSE</v>
      </c>
      <c r="F83" t="str">
        <f>IFERROR(INDEX(settings.Table_Engineer.Roles[Department Code],MATCH(PART_NUMBER_GENERATOR_TABLE[[#This Row],[Work Role]],settings.Table_Engineer.Roles[ID],0),1),"PMO")</f>
        <v>ENG</v>
      </c>
      <c r="G83" t="str" cm="1">
        <f t="array" ref="G83">INDEX(_xlfn.TEXTSPLIT(C83,"-",,TRUE),6)</f>
        <v>BH</v>
      </c>
      <c r="H8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280.5</v>
      </c>
      <c r="I8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149.91839058446394</v>
      </c>
      <c r="J83" cm="1">
        <f t="array" ref="J83">IF(J$1&lt;&gt;PART_NUMBER_GENERATOR_TABLE[[#This Row],[Work Role]:[Work Role]],0,
IF(RIGHT(J$30,2)&lt;&gt;PART_NUMBER_GENERATOR_TABLE[[#This Row],[Work Type]:[Work Type]],0,
SUMIFS(Input_Tasks[R1 Business Hours],Input_Tasks[[Skill Required]:[Skill Required]],PART_NUMBER_GENERATOR_TABLE[[#This Row],[Tech]:[Tech]])))</f>
        <v>0</v>
      </c>
      <c r="K83" cm="1">
        <f t="array" ref="K83">IF(K$1&lt;&gt;PART_NUMBER_GENERATOR_TABLE[[#This Row],[Work Role]:[Work Role]],0,
IF(RIGHT(K$30,2)&lt;&gt;PART_NUMBER_GENERATOR_TABLE[[#This Row],[Work Type]:[Work Type]],0,
SUMIFS(Input_Tasks[R1 After Hours],Input_Tasks[[Skill Required]:[Skill Required]],PART_NUMBER_GENERATOR_TABLE[[#This Row],[Tech]:[Tech]])))</f>
        <v>0</v>
      </c>
      <c r="L83" cm="1">
        <f t="array" ref="L83">IF(L$1&lt;&gt;PART_NUMBER_GENERATOR_TABLE[[#This Row],[Work Role]:[Work Role]],0,
IF(RIGHT(L$30,2)&lt;&gt;PART_NUMBER_GENERATOR_TABLE[[#This Row],[Work Type]:[Work Type]],0,
SUMIFS(Input_Tasks[R2 Business Hours],Input_Tasks[[Skill Required]:[Skill Required]],PART_NUMBER_GENERATOR_TABLE[[#This Row],[Tech]:[Tech]])))</f>
        <v>0</v>
      </c>
      <c r="M83" cm="1">
        <f t="array" ref="M83">IF(M$1&lt;&gt;PART_NUMBER_GENERATOR_TABLE[[#This Row],[Work Role]:[Work Role]],0,
IF(RIGHT(M$30,2)&lt;&gt;PART_NUMBER_GENERATOR_TABLE[[#This Row],[Work Type]:[Work Type]],0,
SUMIFS(Input_Tasks[R2 After Hours],Input_Tasks[[Skill Required]:[Skill Required]],PART_NUMBER_GENERATOR_TABLE[[#This Row],[Tech]:[Tech]])))</f>
        <v>0</v>
      </c>
      <c r="N83" cm="1">
        <f t="array" ref="N83">IF(N$1&lt;&gt;PART_NUMBER_GENERATOR_TABLE[[#This Row],[Work Role]:[Work Role]],0,
IF(RIGHT(N$30,2)&lt;&gt;PART_NUMBER_GENERATOR_TABLE[[#This Row],[Work Type]:[Work Type]],0,
SUMIFS(Input_Tasks[R3 Business Hours],Input_Tasks[[Skill Required]:[Skill Required]],PART_NUMBER_GENERATOR_TABLE[[#This Row],[Tech]:[Tech]])))</f>
        <v>0</v>
      </c>
      <c r="O83" cm="1">
        <f t="array" ref="O83">IF(O$1&lt;&gt;PART_NUMBER_GENERATOR_TABLE[[#This Row],[Work Role]:[Work Role]],0,
IF(RIGHT(O$30,2)&lt;&gt;PART_NUMBER_GENERATOR_TABLE[[#This Row],[Work Type]:[Work Type]],0,
SUMIFS(Input_Tasks[R3 After Hours],Input_Tasks[[Skill Required]:[Skill Required]],PART_NUMBER_GENERATOR_TABLE[[#This Row],[Tech]:[Tech]])))</f>
        <v>0</v>
      </c>
      <c r="P83" cm="1">
        <f t="array" ref="P83">IF(P$1&lt;&gt;PART_NUMBER_GENERATOR_TABLE[[#This Row],[Work Role]:[Work Role]],0,
IF(RIGHT(P$30,2)&lt;&gt;PART_NUMBER_GENERATOR_TABLE[[#This Row],[Work Type]:[Work Type]],0,
SUMIFS(Input_Tasks[R4 Business Hours],Input_Tasks[[Skill Required]:[Skill Required]],PART_NUMBER_GENERATOR_TABLE[[#This Row],[Tech]:[Tech]])))</f>
        <v>0</v>
      </c>
      <c r="Q83" cm="1">
        <f t="array" ref="Q83">IF(Q$1&lt;&gt;PART_NUMBER_GENERATOR_TABLE[[#This Row],[Work Role]:[Work Role]],0,
IF(RIGHT(Q$30,2)&lt;&gt;PART_NUMBER_GENERATOR_TABLE[[#This Row],[Work Type]:[Work Type]],0,
SUMIFS(Input_Tasks[R4 After Hours],Input_Tasks[[Skill Required]:[Skill Required]],PART_NUMBER_GENERATOR_TABLE[[#This Row],[Tech]:[Tech]])))</f>
        <v>0</v>
      </c>
      <c r="R83" cm="1">
        <f t="array" ref="R83">IF(R$1&lt;&gt;PART_NUMBER_GENERATOR_TABLE[[#This Row],[Work Role]:[Work Role]],0,
IF(RIGHT(R$30,2)&lt;&gt;PART_NUMBER_GENERATOR_TABLE[[#This Row],[Work Type]:[Work Type]],0,
SUMIFS(Input_Tasks[R5 Business Hours],Input_Tasks[[Skill Required]:[Skill Required]],PART_NUMBER_GENERATOR_TABLE[[#This Row],[Tech]:[Tech]])))</f>
        <v>0</v>
      </c>
      <c r="S83" cm="1">
        <f t="array" ref="S83">IF(S$1&lt;&gt;PART_NUMBER_GENERATOR_TABLE[[#This Row],[Work Role]:[Work Role]],0,
IF(RIGHT(S$30,2)&lt;&gt;PART_NUMBER_GENERATOR_TABLE[[#This Row],[Work Type]:[Work Type]],0,
SUMIFS(Input_Tasks[R5 After Hours],Input_Tasks[[Skill Required]:[Skill Required]],PART_NUMBER_GENERATOR_TABLE[[#This Row],[Tech]:[Tech]])))</f>
        <v>0</v>
      </c>
      <c r="T83" cm="1">
        <f t="array" ref="T83">IF(PART_NUMBER_GENERATOR_TABLE[[#This Row],[Work Role]:[Work Role]]&lt;&gt;T$1,0,
IF(PART_NUMBER_GENERATOR_TABLE[[#This Row],[Work Type]:[Work Type]]&lt;&gt;"BH",0,
SUMIFS(T$9:T$24,$M$9:$M$24,PART_NUMBER_GENERATOR_TABLE[[#This Row],[Tech]:[Tech]])))</f>
        <v>0</v>
      </c>
      <c r="U83" cm="1">
        <f t="array" ref="U83">IF(PART_NUMBER_GENERATOR_TABLE[[#This Row],[Work Role]:[Work Role]]&lt;&gt;U$1,0,
IF(PART_NUMBER_GENERATOR_TABLE[[#This Row],[Work Type]:[Work Type]]&lt;&gt;"BH",0,
SUMIFS(U$9:U$24,$M$9:$M$24,PART_NUMBER_GENERATOR_TABLE[[#This Row],[Tech]:[Tech]])))</f>
        <v>0</v>
      </c>
      <c r="V83" cm="1">
        <f t="array" ref="V83">IF(PART_NUMBER_GENERATOR_TABLE[[#This Row],[Work Role]:[Work Role]]&lt;&gt;V$1,0,
IF(PART_NUMBER_GENERATOR_TABLE[[#This Row],[Work Type]:[Work Type]]&lt;&gt;"BH",0,
SUMIFS(V$9:V$24,$M$9:$M$24,PART_NUMBER_GENERATOR_TABLE[[#This Row],[Tech]:[Tech]])))</f>
        <v>0</v>
      </c>
      <c r="W83" cm="1">
        <f t="array" ref="W83">IF(PART_NUMBER_GENERATOR_TABLE[[#This Row],[Work Role]:[Work Role]]&lt;&gt;W$1,0,
IF(PART_NUMBER_GENERATOR_TABLE[[#This Row],[Work Type]:[Work Type]]&lt;&gt;"BH",0,
SUMIFS(W$9:W$24,$M$9:$M$24,PART_NUMBER_GENERATOR_TABLE[[#This Row],[Tech]:[Tech]])))</f>
        <v>0</v>
      </c>
      <c r="X83" cm="1">
        <f t="array" ref="X83">IF(PART_NUMBER_GENERATOR_TABLE[[#This Row],[Work Role]:[Work Role]]&lt;&gt;X$1,0,
IF(PART_NUMBER_GENERATOR_TABLE[[#This Row],[Work Type]:[Work Type]]&lt;&gt;"BH",0,
SUMIFS(X$9:X$24,$M$9:$M$24,PART_NUMBER_GENERATOR_TABLE[[#This Row],[Tech]:[Tech]])))</f>
        <v>0</v>
      </c>
      <c r="Y83" cm="1">
        <f t="array" ref="Y83">IF(PART_NUMBER_GENERATOR_TABLE[[#This Row],[Work Role]:[Work Role]]&lt;&gt;Y$1,0,
IF(PART_NUMBER_GENERATOR_TABLE[[#This Row],[Work Type]:[Work Type]]&lt;&gt;"BH",0,
SUMIFS(Y$9:Y$24,$M$9:$M$24,PART_NUMBER_GENERATOR_TABLE[[#This Row],[Tech]:[Tech]])))</f>
        <v>0</v>
      </c>
      <c r="Z83" cm="1">
        <f t="array" ref="Z83">IF(PART_NUMBER_GENERATOR_TABLE[[#This Row],[Work Role]:[Work Role]]&lt;&gt;Z$1,0,
IF(PART_NUMBER_GENERATOR_TABLE[[#This Row],[Work Type]:[Work Type]]&lt;&gt;"BH",0,
SUMIFS(Z$9:Z$24,$M$9:$M$24,PART_NUMBER_GENERATOR_TABLE[[#This Row],[Tech]:[Tech]])))</f>
        <v>0</v>
      </c>
      <c r="AA83" cm="1">
        <f t="array" ref="AA83">IF(PART_NUMBER_GENERATOR_TABLE[[#This Row],[Work Role]:[Work Role]]&lt;&gt;AA$1,0,
IF(PART_NUMBER_GENERATOR_TABLE[[#This Row],[Work Type]:[Work Type]]&lt;&gt;"BH",0,
SUMIFS(AA$9:AA$24,$M$9:$M$24,PART_NUMBER_GENERATOR_TABLE[[#This Row],[Tech]:[Tech]])))</f>
        <v>0</v>
      </c>
      <c r="AB83" cm="1">
        <f t="array" ref="AB83">IF(PART_NUMBER_GENERATOR_TABLE[[#This Row],[Work Role]:[Work Role]]&lt;&gt;AB$1,0,
IF(PART_NUMBER_GENERATOR_TABLE[[#This Row],[Work Type]:[Work Type]]&lt;&gt;"BH",0,
SUMIFS(AB$9:AB$24,$M$9:$M$24,PART_NUMBER_GENERATOR_TABLE[[#This Row],[Tech]:[Tech]])))</f>
        <v>0</v>
      </c>
      <c r="AC83" cm="1">
        <f t="array" ref="AC83">IF(PART_NUMBER_GENERATOR_TABLE[[#This Row],[Work Role]:[Work Role]]&lt;&gt;AC$1,0,
IF(PART_NUMBER_GENERATOR_TABLE[[#This Row],[Work Type]:[Work Type]]&lt;&gt;"BH",0,
SUMIFS(AC$9:AC$24,$M$9:$M$24,PART_NUMBER_GENERATOR_TABLE[[#This Row],[Tech]:[Tech]])))</f>
        <v>0</v>
      </c>
      <c r="AD83" cm="1">
        <f t="array" ref="AD83">IF(PART_NUMBER_GENERATOR_TABLE[[#This Row],[Work Role]:[Work Role]]&lt;&gt;AD$1,0,
IF(PART_NUMBER_GENERATOR_TABLE[[#This Row],[Work Type]:[Work Type]]&lt;&gt;"BH",0,
SUMIFS(AD$9:AD$24,$M$9:$M$24,PART_NUMBER_GENERATOR_TABLE[[#This Row],[Tech]:[Tech]])))</f>
        <v>0</v>
      </c>
      <c r="AE83" cm="1">
        <f t="array" ref="AE83">IF(PART_NUMBER_GENERATOR_TABLE[[#This Row],[Work Role]:[Work Role]]&lt;&gt;AE$1,0,
IF(PART_NUMBER_GENERATOR_TABLE[[#This Row],[Work Type]:[Work Type]]&lt;&gt;"BH",0,
SUMIFS(AE$9:AE$24,$M$9:$M$24,PART_NUMBER_GENERATOR_TABLE[[#This Row],[Tech]:[Tech]])))</f>
        <v>0</v>
      </c>
      <c r="AF83" cm="1">
        <f t="array" ref="AF83">IF(PART_NUMBER_GENERATOR_TABLE[[#This Row],[Work Role]:[Work Role]]&lt;&gt;AF$1,0,
IF(PART_NUMBER_GENERATOR_TABLE[[#This Row],[Work Type]:[Work Type]]&lt;&gt;"BH",0,
SUMIFS(AF$9:AF$24,$M$9:$M$24,PART_NUMBER_GENERATOR_TABLE[[#This Row],[Tech]:[Tech]])))</f>
        <v>0</v>
      </c>
      <c r="AG83" cm="1">
        <f t="array" ref="AG83">IF(PART_NUMBER_GENERATOR_TABLE[[#This Row],[Work Role]:[Work Role]]&lt;&gt;AG$1,0,
IF(PART_NUMBER_GENERATOR_TABLE[[#This Row],[Work Type]:[Work Type]]&lt;&gt;"AH",0,
SUMIFS(AG$9:AG$24,$M$9:$M$24,PART_NUMBER_GENERATOR_TABLE[[#This Row],[Tech]:[Tech]])))</f>
        <v>0</v>
      </c>
      <c r="AH83" cm="1">
        <f t="array" ref="AH83">IF(PART_NUMBER_GENERATOR_TABLE[[#This Row],[Work Role]:[Work Role]]&lt;&gt;AH$1,0,
IF(PART_NUMBER_GENERATOR_TABLE[[#This Row],[Work Type]:[Work Type]]&lt;&gt;"BH",0,
SUMIFS(AH$9:AH$24,$M$9:$M$24,PART_NUMBER_GENERATOR_TABLE[[#This Row],[Tech]:[Tech]])))</f>
        <v>0</v>
      </c>
      <c r="AI83" cm="1">
        <f t="array" ref="AI83">IF(PART_NUMBER_GENERATOR_TABLE[[#This Row],[Work Role]:[Work Role]]&lt;&gt;AI$1,0,
IF(PART_NUMBER_GENERATOR_TABLE[[#This Row],[Work Type]:[Work Type]]&lt;&gt;"BH",0,
SUMIFS(AI$9:AI$24,$M$9:$M$24,PART_NUMBER_GENERATOR_TABLE[[#This Row],[Tech]:[Tech]])))</f>
        <v>0</v>
      </c>
      <c r="AJ83" cm="1">
        <f t="array" ref="AJ83">IF(PART_NUMBER_GENERATOR_TABLE[[#This Row],[Work Role]:[Work Role]]&lt;&gt;AJ$1,0,
IF(PART_NUMBER_GENERATOR_TABLE[[#This Row],[Work Type]:[Work Type]]&lt;&gt;"BH",0,
SUMIFS(AJ$9:AJ$24,$M$9:$M$24,PART_NUMBER_GENERATOR_TABLE[[#This Row],[Tech]:[Tech]])))</f>
        <v>0</v>
      </c>
      <c r="AK83" cm="1">
        <f t="array" ref="AK83">IF(PART_NUMBER_GENERATOR_TABLE[[#This Row],[Work Role]:[Work Role]]&lt;&gt;AK$1,0,
IF(PART_NUMBER_GENERATOR_TABLE[[#This Row],[Work Type]:[Work Type]]&lt;&gt;"AH",0,
SUMIFS(AK$9:AK$24,$M$9:$M$24,PART_NUMBER_GENERATOR_TABLE[[#This Row],[Tech]:[Tech]])))</f>
        <v>0</v>
      </c>
      <c r="AL83" cm="1">
        <f t="array" ref="AL83">IF(PART_NUMBER_GENERATOR_TABLE[[#This Row],[Work Role]:[Work Role]]&lt;&gt;AL$1,0,
IF(PART_NUMBER_GENERATOR_TABLE[[#This Row],[Work Type]:[Work Type]]&lt;&gt;"BH",0,
SUMIFS(AL$9:AL$24,$M$9:$M$24,PART_NUMBER_GENERATOR_TABLE[[#This Row],[Tech]:[Tech]])))</f>
        <v>0</v>
      </c>
      <c r="AM83">
        <f>0</f>
        <v>0</v>
      </c>
      <c r="AN83" cm="1">
        <f t="array" ref="AN83">IF(PART_NUMBER_GENERATOR_TABLE[[#This Row],[Work Role]:[Work Role]]&lt;&gt;AN$1,0,
IF(PART_NUMBER_GENERATOR_TABLE[[#This Row],[Work Type]:[Work Type]]&lt;&gt;"BH",0,
SUMIFS(AN$24,$AM$24,PART_NUMBER_GENERATOR_TABLE[[#This Row],[Tech]:[Tech]])))</f>
        <v>0</v>
      </c>
      <c r="AO83" cm="1">
        <f t="array" ref="AO83">IF(PART_NUMBER_GENERATOR_TABLE[[#This Row],[Work Role]:[Work Role]]&lt;&gt;AO$1,0,
IF(PART_NUMBER_GENERATOR_TABLE[[#This Row],[Work Type]:[Work Type]]&lt;&gt;"BH",0,
SUMIFS(AO$24,$AM$24,PART_NUMBER_GENERATOR_TABLE[[#This Row],[Tech]:[Tech]])))</f>
        <v>0</v>
      </c>
      <c r="AP83" cm="1">
        <f t="array" ref="AP83">IF(PART_NUMBER_GENERATOR_TABLE[[#This Row],[Work Role]:[Work Role]]&lt;&gt;AP$1,0,
IF(PART_NUMBER_GENERATOR_TABLE[[#This Row],[Work Type]:[Work Type]]&lt;&gt;"BH",0,
SUMIFS(AP$24,$AM$24,PART_NUMBER_GENERATOR_TABLE[[#This Row],[Tech]:[Tech]])))</f>
        <v>0</v>
      </c>
      <c r="AQ83" cm="1">
        <f t="array" ref="AQ83">IF(PART_NUMBER_GENERATOR_TABLE[[#This Row],[Work Role]:[Work Role]]&lt;&gt;AQ$1,0,
IF(PART_NUMBER_GENERATOR_TABLE[[#This Row],[Work Type]:[Work Type]]&lt;&gt;"BH",0,
SUMIFS(AQ$24,$AM$24,PART_NUMBER_GENERATOR_TABLE[[#This Row],[Tech]:[Tech]])))</f>
        <v>0</v>
      </c>
      <c r="AR83" cm="1">
        <f t="array" ref="AR83">IF(PART_NUMBER_GENERATOR_TABLE[[#This Row],[Work Role]:[Work Role]]&lt;&gt;AR$1,0,
IF(PART_NUMBER_GENERATOR_TABLE[[#This Row],[Work Type]:[Work Type]]&lt;&gt;"BH",0,
SUMIFS(AR$24,$AM$24,PART_NUMBER_GENERATOR_TABLE[[#This Row],[Tech]:[Tech]])))</f>
        <v>0</v>
      </c>
      <c r="AS83" cm="1">
        <f t="array" ref="AS83">IF(PART_NUMBER_GENERATOR_TABLE[[#This Row],[Work Role]:[Work Role]]&lt;&gt;AS$1,0,
IF(PART_NUMBER_GENERATOR_TABLE[[#This Row],[Work Type]:[Work Type]]&lt;&gt;"BH",0,
SUMIFS(AS$24,$AM$24,PART_NUMBER_GENERATOR_TABLE[[#This Row],[Tech]:[Tech]])))</f>
        <v>0</v>
      </c>
      <c r="AT83" cm="1">
        <f t="array" ref="AT83">IF(PART_NUMBER_GENERATOR_TABLE[[#This Row],[Work Role]:[Work Role]]&lt;&gt;AS$1,0,
IF(PART_NUMBER_GENERATOR_TABLE[[#This Row],[Work Type]:[Work Type]]&lt;&gt;"BH",0,
SUMIFS(AT$24,$AM$24,PART_NUMBER_GENERATOR_TABLE[[#This Row],[Tech]:[Tech]])))</f>
        <v>0</v>
      </c>
      <c r="AU83">
        <f>SUM(PART_NUMBER_GENERATOR_TABLE[[#This Row],[Resource 1 BH]:[Resource 5 AH]],PART_NUMBER_GENERATOR_TABLE[[#This Row],[R1 Mandatory Tasks]:[R5 Mandatory Tasks]],PART_NUMBER_GENERATOR_TABLE[[#This Row],[R1 Remainder]:[R5 Remainder]])</f>
        <v>0</v>
      </c>
      <c r="AV83">
        <f>PART_NUMBER_GENERATOR_TABLE[[#This Row],[Professional Engineering Hours]]*PART_NUMBER_GENERATOR_TABLE[[#This Row],[Sell Rate]]</f>
        <v>0</v>
      </c>
      <c r="AW83">
        <f>PART_NUMBER_GENERATOR_TABLE[[#This Row],[Professional Engineering Hours]]*PART_NUMBER_GENERATOR_TABLE[[#This Row],[Cost Rate]]</f>
        <v>0</v>
      </c>
      <c r="AX83">
        <f>SUM(PART_NUMBER_GENERATOR_TABLE[[#This Row],[PM Trips]:[R5 Trips]])</f>
        <v>0</v>
      </c>
      <c r="AY83">
        <f>PART_NUMBER_GENERATOR_TABLE[[#This Row],[Travel &amp; Accommodation Hours]]*PART_NUMBER_GENERATOR_TABLE[[#This Row],[Sell Rate]]</f>
        <v>0</v>
      </c>
      <c r="AZ83">
        <f>PART_NUMBER_GENERATOR_TABLE[[#This Row],[Travel &amp; Accommodation Hours]]*PART_NUMBER_GENERATOR_TABLE[[#This Row],[Cost Rate]]</f>
        <v>0</v>
      </c>
      <c r="BA83">
        <f>PART_NUMBER_GENERATOR_TABLE[[#This Row],[PM Hours]]+PART_NUMBER_GENERATOR_TABLE[[#This Row],[PM Remainder]]</f>
        <v>0</v>
      </c>
      <c r="BB83">
        <f>PART_NUMBER_GENERATOR_TABLE[[#This Row],[Project Management Hours]]*PART_NUMBER_GENERATOR_TABLE[[#This Row],[Sell Rate]]</f>
        <v>0</v>
      </c>
      <c r="BC83">
        <f>PART_NUMBER_GENERATOR_TABLE[[#This Row],[Project Management Hours]]*PART_NUMBER_GENERATOR_TABLE[[#This Row],[Cost Rate]]</f>
        <v>0</v>
      </c>
      <c r="BD83">
        <f>SUM(PART_NUMBER_GENERATOR_TABLE[[#This Row],[SSE RISK BH]:[PM RISK]],PART_NUMBER_GENERATOR_TABLE[[#This Row],[SSE Remainder RISK BH]:[PM Remainder RISK]])</f>
        <v>0</v>
      </c>
      <c r="BE83">
        <f>PART_NUMBER_GENERATOR_TABLE[[#This Row],[Project Risk Service Hours]]*PART_NUMBER_GENERATOR_TABLE[[#This Row],[Sell Rate]]</f>
        <v>0</v>
      </c>
      <c r="BF83">
        <f>PART_NUMBER_GENERATOR_TABLE[[#This Row],[Project Risk Service Hours]]*PART_NUMBER_GENERATOR_TABLE[[#This Row],[Cost Rate]]</f>
        <v>0</v>
      </c>
      <c r="BG83">
        <f>PART_NUMBER_GENERATOR_TABLE[[#This Row],[SSE RISK TRAVEL]]</f>
        <v>0</v>
      </c>
      <c r="BH83">
        <f>PART_NUMBER_GENERATOR_TABLE[[#This Row],[Sell Rate]]*PART_NUMBER_GENERATOR_TABLE[[#This Row],[Project Risk Travel Hours]]</f>
        <v>0</v>
      </c>
      <c r="BI83">
        <f>PART_NUMBER_GENERATOR_TABLE[[#This Row],[Project Risk Travel Hours]]*PART_NUMBER_GENERATOR_TABLE[[#This Row],[Cost Rate]]</f>
        <v>0</v>
      </c>
      <c r="BJ8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8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83">
        <f>IFERROR(-VLOOKUP(INDEX(ENGINEER_ROLES,MATCH(PART_NUMBER_GENERATOR_TABLE[[#This Row],[Work Role]],settings.Table_Engineer.Roles[ID],0),1),Settings_Hidden!$H$359:$K$366,4,FALSE),0)</f>
        <v>0</v>
      </c>
      <c r="BM83" s="680">
        <f>-Summary!$C$66</f>
        <v>0</v>
      </c>
      <c r="BN83" s="465">
        <f>PART_NUMBER_GENERATOR_TABLE[[#This Row],[Total Base Price]]*MIN(PART_NUMBER_GENERATOR_TABLE[[#This Row],[Rate Service Discount]:[Flat Service Discount]])</f>
        <v>0</v>
      </c>
      <c r="BO83" s="451" t="str">
        <f>IF(PART_NUMBER_GENERATOR_TABLE[[#This Row],[Quantity]]&lt;&gt;0,MAX($BO$30:BO82)+1,"")</f>
        <v/>
      </c>
      <c r="BP83" t="str">
        <f>PART_NUMBER_GENERATOR_TABLE[[#This Row],[Part Number]]</f>
        <v>A-PS-E-SECURE-SSE-BH</v>
      </c>
      <c r="BQ83">
        <f>PART_NUMBER_GENERATOR_TABLE[[#This Row],[Total Hours]]</f>
        <v>0</v>
      </c>
      <c r="BR83">
        <f>PART_NUMBER_GENERATOR_TABLE[[#This Row],[Cost Rate]]</f>
        <v>149.91839058446394</v>
      </c>
      <c r="BS83" s="465">
        <f>PART_NUMBER_GENERATOR_TABLE[[#This Row],[Sell Rate]]+(PART_NUMBER_GENERATOR_TABLE[[#This Row],[Sell Rate]]*MIN(PART_NUMBER_GENERATOR_TABLE[[#This Row],[Rate Service Discount]:[Flat Service Discount]]))</f>
        <v>280.5</v>
      </c>
    </row>
    <row r="84" spans="1:71">
      <c r="A84">
        <v>54</v>
      </c>
      <c r="C84" t="s">
        <v>1110</v>
      </c>
      <c r="D84" t="str" cm="1">
        <f t="array" ref="D84">INDEX(Table.Settings_Skill.List[Skill Name],MATCH(INDEX(_xlfn.TEXTSPLIT(C84,"-",,TRUE),4),Table.Settings_Skill.List[Skill Code],0),1)</f>
        <v>Secure Networking</v>
      </c>
      <c r="E84" t="str" cm="1">
        <f t="array" ref="E84">INDEX(_xlfn.TEXTSPLIT(C84,"-",,TRUE),5)</f>
        <v>SCE</v>
      </c>
      <c r="F84" t="str">
        <f>IFERROR(INDEX(settings.Table_Engineer.Roles[Department Code],MATCH(PART_NUMBER_GENERATOR_TABLE[[#This Row],[Work Role]],settings.Table_Engineer.Roles[ID],0),1),"PMO")</f>
        <v>ENG</v>
      </c>
      <c r="G84" t="str" cm="1">
        <f t="array" ref="G84">INDEX(_xlfn.TEXTSPLIT(C84,"-",,TRUE),6)</f>
        <v>BH</v>
      </c>
      <c r="H8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8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84" cm="1">
        <f t="array" ref="J84">IF(J$1&lt;&gt;PART_NUMBER_GENERATOR_TABLE[[#This Row],[Work Role]:[Work Role]],0,
IF(RIGHT(J$30,2)&lt;&gt;PART_NUMBER_GENERATOR_TABLE[[#This Row],[Work Type]:[Work Type]],0,
SUMIFS(Input_Tasks[R1 Business Hours],Input_Tasks[[Skill Required]:[Skill Required]],PART_NUMBER_GENERATOR_TABLE[[#This Row],[Tech]:[Tech]])))</f>
        <v>0</v>
      </c>
      <c r="K84" cm="1">
        <f t="array" ref="K84">IF(K$1&lt;&gt;PART_NUMBER_GENERATOR_TABLE[[#This Row],[Work Role]:[Work Role]],0,
IF(RIGHT(K$30,2)&lt;&gt;PART_NUMBER_GENERATOR_TABLE[[#This Row],[Work Type]:[Work Type]],0,
SUMIFS(Input_Tasks[R1 After Hours],Input_Tasks[[Skill Required]:[Skill Required]],PART_NUMBER_GENERATOR_TABLE[[#This Row],[Tech]:[Tech]])))</f>
        <v>0</v>
      </c>
      <c r="L84" cm="1">
        <f t="array" ref="L84">IF(L$1&lt;&gt;PART_NUMBER_GENERATOR_TABLE[[#This Row],[Work Role]:[Work Role]],0,
IF(RIGHT(L$30,2)&lt;&gt;PART_NUMBER_GENERATOR_TABLE[[#This Row],[Work Type]:[Work Type]],0,
SUMIFS(Input_Tasks[R2 Business Hours],Input_Tasks[[Skill Required]:[Skill Required]],PART_NUMBER_GENERATOR_TABLE[[#This Row],[Tech]:[Tech]])))</f>
        <v>0</v>
      </c>
      <c r="M84" cm="1">
        <f t="array" ref="M84">IF(M$1&lt;&gt;PART_NUMBER_GENERATOR_TABLE[[#This Row],[Work Role]:[Work Role]],0,
IF(RIGHT(M$30,2)&lt;&gt;PART_NUMBER_GENERATOR_TABLE[[#This Row],[Work Type]:[Work Type]],0,
SUMIFS(Input_Tasks[R2 After Hours],Input_Tasks[[Skill Required]:[Skill Required]],PART_NUMBER_GENERATOR_TABLE[[#This Row],[Tech]:[Tech]])))</f>
        <v>0</v>
      </c>
      <c r="N84" cm="1">
        <f t="array" ref="N84">IF(N$1&lt;&gt;PART_NUMBER_GENERATOR_TABLE[[#This Row],[Work Role]:[Work Role]],0,
IF(RIGHT(N$30,2)&lt;&gt;PART_NUMBER_GENERATOR_TABLE[[#This Row],[Work Type]:[Work Type]],0,
SUMIFS(Input_Tasks[R3 Business Hours],Input_Tasks[[Skill Required]:[Skill Required]],PART_NUMBER_GENERATOR_TABLE[[#This Row],[Tech]:[Tech]])))</f>
        <v>0</v>
      </c>
      <c r="O84" cm="1">
        <f t="array" ref="O84">IF(O$1&lt;&gt;PART_NUMBER_GENERATOR_TABLE[[#This Row],[Work Role]:[Work Role]],0,
IF(RIGHT(O$30,2)&lt;&gt;PART_NUMBER_GENERATOR_TABLE[[#This Row],[Work Type]:[Work Type]],0,
SUMIFS(Input_Tasks[R3 After Hours],Input_Tasks[[Skill Required]:[Skill Required]],PART_NUMBER_GENERATOR_TABLE[[#This Row],[Tech]:[Tech]])))</f>
        <v>0</v>
      </c>
      <c r="P84" cm="1">
        <f t="array" ref="P84">IF(P$1&lt;&gt;PART_NUMBER_GENERATOR_TABLE[[#This Row],[Work Role]:[Work Role]],0,
IF(RIGHT(P$30,2)&lt;&gt;PART_NUMBER_GENERATOR_TABLE[[#This Row],[Work Type]:[Work Type]],0,
SUMIFS(Input_Tasks[R4 Business Hours],Input_Tasks[[Skill Required]:[Skill Required]],PART_NUMBER_GENERATOR_TABLE[[#This Row],[Tech]:[Tech]])))</f>
        <v>0</v>
      </c>
      <c r="Q84" cm="1">
        <f t="array" ref="Q84">IF(Q$1&lt;&gt;PART_NUMBER_GENERATOR_TABLE[[#This Row],[Work Role]:[Work Role]],0,
IF(RIGHT(Q$30,2)&lt;&gt;PART_NUMBER_GENERATOR_TABLE[[#This Row],[Work Type]:[Work Type]],0,
SUMIFS(Input_Tasks[R4 After Hours],Input_Tasks[[Skill Required]:[Skill Required]],PART_NUMBER_GENERATOR_TABLE[[#This Row],[Tech]:[Tech]])))</f>
        <v>0</v>
      </c>
      <c r="R84" cm="1">
        <f t="array" ref="R84">IF(R$1&lt;&gt;PART_NUMBER_GENERATOR_TABLE[[#This Row],[Work Role]:[Work Role]],0,
IF(RIGHT(R$30,2)&lt;&gt;PART_NUMBER_GENERATOR_TABLE[[#This Row],[Work Type]:[Work Type]],0,
SUMIFS(Input_Tasks[R5 Business Hours],Input_Tasks[[Skill Required]:[Skill Required]],PART_NUMBER_GENERATOR_TABLE[[#This Row],[Tech]:[Tech]])))</f>
        <v>0</v>
      </c>
      <c r="S84" cm="1">
        <f t="array" ref="S84">IF(S$1&lt;&gt;PART_NUMBER_GENERATOR_TABLE[[#This Row],[Work Role]:[Work Role]],0,
IF(RIGHT(S$30,2)&lt;&gt;PART_NUMBER_GENERATOR_TABLE[[#This Row],[Work Type]:[Work Type]],0,
SUMIFS(Input_Tasks[R5 After Hours],Input_Tasks[[Skill Required]:[Skill Required]],PART_NUMBER_GENERATOR_TABLE[[#This Row],[Tech]:[Tech]])))</f>
        <v>0</v>
      </c>
      <c r="T84" cm="1">
        <f t="array" ref="T84">IF(PART_NUMBER_GENERATOR_TABLE[[#This Row],[Work Role]:[Work Role]]&lt;&gt;T$1,0,
IF(PART_NUMBER_GENERATOR_TABLE[[#This Row],[Work Type]:[Work Type]]&lt;&gt;"BH",0,
SUMIFS(T$9:T$24,$M$9:$M$24,PART_NUMBER_GENERATOR_TABLE[[#This Row],[Tech]:[Tech]])))</f>
        <v>0</v>
      </c>
      <c r="U84" cm="1">
        <f t="array" ref="U84">IF(PART_NUMBER_GENERATOR_TABLE[[#This Row],[Work Role]:[Work Role]]&lt;&gt;U$1,0,
IF(PART_NUMBER_GENERATOR_TABLE[[#This Row],[Work Type]:[Work Type]]&lt;&gt;"BH",0,
SUMIFS(U$9:U$24,$M$9:$M$24,PART_NUMBER_GENERATOR_TABLE[[#This Row],[Tech]:[Tech]])))</f>
        <v>0</v>
      </c>
      <c r="V84" cm="1">
        <f t="array" ref="V84">IF(PART_NUMBER_GENERATOR_TABLE[[#This Row],[Work Role]:[Work Role]]&lt;&gt;V$1,0,
IF(PART_NUMBER_GENERATOR_TABLE[[#This Row],[Work Type]:[Work Type]]&lt;&gt;"BH",0,
SUMIFS(V$9:V$24,$M$9:$M$24,PART_NUMBER_GENERATOR_TABLE[[#This Row],[Tech]:[Tech]])))</f>
        <v>0</v>
      </c>
      <c r="W84" cm="1">
        <f t="array" ref="W84">IF(PART_NUMBER_GENERATOR_TABLE[[#This Row],[Work Role]:[Work Role]]&lt;&gt;W$1,0,
IF(PART_NUMBER_GENERATOR_TABLE[[#This Row],[Work Type]:[Work Type]]&lt;&gt;"BH",0,
SUMIFS(W$9:W$24,$M$9:$M$24,PART_NUMBER_GENERATOR_TABLE[[#This Row],[Tech]:[Tech]])))</f>
        <v>0</v>
      </c>
      <c r="X84" cm="1">
        <f t="array" ref="X84">IF(PART_NUMBER_GENERATOR_TABLE[[#This Row],[Work Role]:[Work Role]]&lt;&gt;X$1,0,
IF(PART_NUMBER_GENERATOR_TABLE[[#This Row],[Work Type]:[Work Type]]&lt;&gt;"BH",0,
SUMIFS(X$9:X$24,$M$9:$M$24,PART_NUMBER_GENERATOR_TABLE[[#This Row],[Tech]:[Tech]])))</f>
        <v>0</v>
      </c>
      <c r="Y84" cm="1">
        <f t="array" ref="Y84">IF(PART_NUMBER_GENERATOR_TABLE[[#This Row],[Work Role]:[Work Role]]&lt;&gt;Y$1,0,
IF(PART_NUMBER_GENERATOR_TABLE[[#This Row],[Work Type]:[Work Type]]&lt;&gt;"BH",0,
SUMIFS(Y$9:Y$24,$M$9:$M$24,PART_NUMBER_GENERATOR_TABLE[[#This Row],[Tech]:[Tech]])))</f>
        <v>0</v>
      </c>
      <c r="Z84" cm="1">
        <f t="array" ref="Z84">IF(PART_NUMBER_GENERATOR_TABLE[[#This Row],[Work Role]:[Work Role]]&lt;&gt;Z$1,0,
IF(PART_NUMBER_GENERATOR_TABLE[[#This Row],[Work Type]:[Work Type]]&lt;&gt;"BH",0,
SUMIFS(Z$9:Z$24,$M$9:$M$24,PART_NUMBER_GENERATOR_TABLE[[#This Row],[Tech]:[Tech]])))</f>
        <v>0</v>
      </c>
      <c r="AA84" cm="1">
        <f t="array" ref="AA84">IF(PART_NUMBER_GENERATOR_TABLE[[#This Row],[Work Role]:[Work Role]]&lt;&gt;AA$1,0,
IF(PART_NUMBER_GENERATOR_TABLE[[#This Row],[Work Type]:[Work Type]]&lt;&gt;"BH",0,
SUMIFS(AA$9:AA$24,$M$9:$M$24,PART_NUMBER_GENERATOR_TABLE[[#This Row],[Tech]:[Tech]])))</f>
        <v>0</v>
      </c>
      <c r="AB84" cm="1">
        <f t="array" ref="AB84">IF(PART_NUMBER_GENERATOR_TABLE[[#This Row],[Work Role]:[Work Role]]&lt;&gt;AB$1,0,
IF(PART_NUMBER_GENERATOR_TABLE[[#This Row],[Work Type]:[Work Type]]&lt;&gt;"BH",0,
SUMIFS(AB$9:AB$24,$M$9:$M$24,PART_NUMBER_GENERATOR_TABLE[[#This Row],[Tech]:[Tech]])))</f>
        <v>0</v>
      </c>
      <c r="AC84" cm="1">
        <f t="array" ref="AC84">IF(PART_NUMBER_GENERATOR_TABLE[[#This Row],[Work Role]:[Work Role]]&lt;&gt;AC$1,0,
IF(PART_NUMBER_GENERATOR_TABLE[[#This Row],[Work Type]:[Work Type]]&lt;&gt;"BH",0,
SUMIFS(AC$9:AC$24,$M$9:$M$24,PART_NUMBER_GENERATOR_TABLE[[#This Row],[Tech]:[Tech]])))</f>
        <v>0</v>
      </c>
      <c r="AD84" cm="1">
        <f t="array" ref="AD84">IF(PART_NUMBER_GENERATOR_TABLE[[#This Row],[Work Role]:[Work Role]]&lt;&gt;AD$1,0,
IF(PART_NUMBER_GENERATOR_TABLE[[#This Row],[Work Type]:[Work Type]]&lt;&gt;"BH",0,
SUMIFS(AD$9:AD$24,$M$9:$M$24,PART_NUMBER_GENERATOR_TABLE[[#This Row],[Tech]:[Tech]])))</f>
        <v>0</v>
      </c>
      <c r="AE84" cm="1">
        <f t="array" ref="AE84">IF(PART_NUMBER_GENERATOR_TABLE[[#This Row],[Work Role]:[Work Role]]&lt;&gt;AE$1,0,
IF(PART_NUMBER_GENERATOR_TABLE[[#This Row],[Work Type]:[Work Type]]&lt;&gt;"BH",0,
SUMIFS(AE$9:AE$24,$M$9:$M$24,PART_NUMBER_GENERATOR_TABLE[[#This Row],[Tech]:[Tech]])))</f>
        <v>0</v>
      </c>
      <c r="AF84" cm="1">
        <f t="array" ref="AF84">IF(PART_NUMBER_GENERATOR_TABLE[[#This Row],[Work Role]:[Work Role]]&lt;&gt;AF$1,0,
IF(PART_NUMBER_GENERATOR_TABLE[[#This Row],[Work Type]:[Work Type]]&lt;&gt;"BH",0,
SUMIFS(AF$9:AF$24,$M$9:$M$24,PART_NUMBER_GENERATOR_TABLE[[#This Row],[Tech]:[Tech]])))</f>
        <v>0</v>
      </c>
      <c r="AG84" cm="1">
        <f t="array" ref="AG84">IF(PART_NUMBER_GENERATOR_TABLE[[#This Row],[Work Role]:[Work Role]]&lt;&gt;AG$1,0,
IF(PART_NUMBER_GENERATOR_TABLE[[#This Row],[Work Type]:[Work Type]]&lt;&gt;"AH",0,
SUMIFS(AG$9:AG$24,$M$9:$M$24,PART_NUMBER_GENERATOR_TABLE[[#This Row],[Tech]:[Tech]])))</f>
        <v>0</v>
      </c>
      <c r="AH84" cm="1">
        <f t="array" ref="AH84">IF(PART_NUMBER_GENERATOR_TABLE[[#This Row],[Work Role]:[Work Role]]&lt;&gt;AH$1,0,
IF(PART_NUMBER_GENERATOR_TABLE[[#This Row],[Work Type]:[Work Type]]&lt;&gt;"BH",0,
SUMIFS(AH$9:AH$24,$M$9:$M$24,PART_NUMBER_GENERATOR_TABLE[[#This Row],[Tech]:[Tech]])))</f>
        <v>0</v>
      </c>
      <c r="AI84" cm="1">
        <f t="array" ref="AI84">IF(PART_NUMBER_GENERATOR_TABLE[[#This Row],[Work Role]:[Work Role]]&lt;&gt;AI$1,0,
IF(PART_NUMBER_GENERATOR_TABLE[[#This Row],[Work Type]:[Work Type]]&lt;&gt;"BH",0,
SUMIFS(AI$9:AI$24,$M$9:$M$24,PART_NUMBER_GENERATOR_TABLE[[#This Row],[Tech]:[Tech]])))</f>
        <v>0</v>
      </c>
      <c r="AJ84" cm="1">
        <f t="array" ref="AJ84">IF(PART_NUMBER_GENERATOR_TABLE[[#This Row],[Work Role]:[Work Role]]&lt;&gt;AJ$1,0,
IF(PART_NUMBER_GENERATOR_TABLE[[#This Row],[Work Type]:[Work Type]]&lt;&gt;"BH",0,
SUMIFS(AJ$9:AJ$24,$M$9:$M$24,PART_NUMBER_GENERATOR_TABLE[[#This Row],[Tech]:[Tech]])))</f>
        <v>0</v>
      </c>
      <c r="AK84" cm="1">
        <f t="array" ref="AK84">IF(PART_NUMBER_GENERATOR_TABLE[[#This Row],[Work Role]:[Work Role]]&lt;&gt;AK$1,0,
IF(PART_NUMBER_GENERATOR_TABLE[[#This Row],[Work Type]:[Work Type]]&lt;&gt;"AH",0,
SUMIFS(AK$9:AK$24,$M$9:$M$24,PART_NUMBER_GENERATOR_TABLE[[#This Row],[Tech]:[Tech]])))</f>
        <v>0</v>
      </c>
      <c r="AL84" cm="1">
        <f t="array" ref="AL84">IF(PART_NUMBER_GENERATOR_TABLE[[#This Row],[Work Role]:[Work Role]]&lt;&gt;AL$1,0,
IF(PART_NUMBER_GENERATOR_TABLE[[#This Row],[Work Type]:[Work Type]]&lt;&gt;"BH",0,
SUMIFS(AL$9:AL$24,$M$9:$M$24,PART_NUMBER_GENERATOR_TABLE[[#This Row],[Tech]:[Tech]])))</f>
        <v>0</v>
      </c>
      <c r="AM84">
        <f>0</f>
        <v>0</v>
      </c>
      <c r="AN84" cm="1">
        <f t="array" ref="AN84">IF(PART_NUMBER_GENERATOR_TABLE[[#This Row],[Work Role]:[Work Role]]&lt;&gt;AN$1,0,
IF(PART_NUMBER_GENERATOR_TABLE[[#This Row],[Work Type]:[Work Type]]&lt;&gt;"BH",0,
SUMIFS(AN$24,$AM$24,PART_NUMBER_GENERATOR_TABLE[[#This Row],[Tech]:[Tech]])))</f>
        <v>0</v>
      </c>
      <c r="AO84" cm="1">
        <f t="array" ref="AO84">IF(PART_NUMBER_GENERATOR_TABLE[[#This Row],[Work Role]:[Work Role]]&lt;&gt;AO$1,0,
IF(PART_NUMBER_GENERATOR_TABLE[[#This Row],[Work Type]:[Work Type]]&lt;&gt;"BH",0,
SUMIFS(AO$24,$AM$24,PART_NUMBER_GENERATOR_TABLE[[#This Row],[Tech]:[Tech]])))</f>
        <v>0</v>
      </c>
      <c r="AP84" cm="1">
        <f t="array" ref="AP84">IF(PART_NUMBER_GENERATOR_TABLE[[#This Row],[Work Role]:[Work Role]]&lt;&gt;AP$1,0,
IF(PART_NUMBER_GENERATOR_TABLE[[#This Row],[Work Type]:[Work Type]]&lt;&gt;"BH",0,
SUMIFS(AP$24,$AM$24,PART_NUMBER_GENERATOR_TABLE[[#This Row],[Tech]:[Tech]])))</f>
        <v>0</v>
      </c>
      <c r="AQ84" cm="1">
        <f t="array" ref="AQ84">IF(PART_NUMBER_GENERATOR_TABLE[[#This Row],[Work Role]:[Work Role]]&lt;&gt;AQ$1,0,
IF(PART_NUMBER_GENERATOR_TABLE[[#This Row],[Work Type]:[Work Type]]&lt;&gt;"BH",0,
SUMIFS(AQ$24,$AM$24,PART_NUMBER_GENERATOR_TABLE[[#This Row],[Tech]:[Tech]])))</f>
        <v>0</v>
      </c>
      <c r="AR84" cm="1">
        <f t="array" ref="AR84">IF(PART_NUMBER_GENERATOR_TABLE[[#This Row],[Work Role]:[Work Role]]&lt;&gt;AR$1,0,
IF(PART_NUMBER_GENERATOR_TABLE[[#This Row],[Work Type]:[Work Type]]&lt;&gt;"BH",0,
SUMIFS(AR$24,$AM$24,PART_NUMBER_GENERATOR_TABLE[[#This Row],[Tech]:[Tech]])))</f>
        <v>0</v>
      </c>
      <c r="AS84" cm="1">
        <f t="array" ref="AS84">IF(PART_NUMBER_GENERATOR_TABLE[[#This Row],[Work Role]:[Work Role]]&lt;&gt;AS$1,0,
IF(PART_NUMBER_GENERATOR_TABLE[[#This Row],[Work Type]:[Work Type]]&lt;&gt;"BH",0,
SUMIFS(AS$24,$AM$24,PART_NUMBER_GENERATOR_TABLE[[#This Row],[Tech]:[Tech]])))</f>
        <v>0</v>
      </c>
      <c r="AT84" cm="1">
        <f t="array" ref="AT84">IF(PART_NUMBER_GENERATOR_TABLE[[#This Row],[Work Role]:[Work Role]]&lt;&gt;AS$1,0,
IF(PART_NUMBER_GENERATOR_TABLE[[#This Row],[Work Type]:[Work Type]]&lt;&gt;"BH",0,
SUMIFS(AT$24,$AM$24,PART_NUMBER_GENERATOR_TABLE[[#This Row],[Tech]:[Tech]])))</f>
        <v>0</v>
      </c>
      <c r="AU84">
        <f>SUM(PART_NUMBER_GENERATOR_TABLE[[#This Row],[Resource 1 BH]:[Resource 5 AH]],PART_NUMBER_GENERATOR_TABLE[[#This Row],[R1 Mandatory Tasks]:[R5 Mandatory Tasks]],PART_NUMBER_GENERATOR_TABLE[[#This Row],[R1 Remainder]:[R5 Remainder]])</f>
        <v>0</v>
      </c>
      <c r="AV84">
        <f>PART_NUMBER_GENERATOR_TABLE[[#This Row],[Professional Engineering Hours]]*PART_NUMBER_GENERATOR_TABLE[[#This Row],[Sell Rate]]</f>
        <v>0</v>
      </c>
      <c r="AW84">
        <f>PART_NUMBER_GENERATOR_TABLE[[#This Row],[Professional Engineering Hours]]*PART_NUMBER_GENERATOR_TABLE[[#This Row],[Cost Rate]]</f>
        <v>0</v>
      </c>
      <c r="AX84">
        <f>SUM(PART_NUMBER_GENERATOR_TABLE[[#This Row],[PM Trips]:[R5 Trips]])</f>
        <v>0</v>
      </c>
      <c r="AY84">
        <f>PART_NUMBER_GENERATOR_TABLE[[#This Row],[Travel &amp; Accommodation Hours]]*PART_NUMBER_GENERATOR_TABLE[[#This Row],[Sell Rate]]</f>
        <v>0</v>
      </c>
      <c r="AZ84">
        <f>PART_NUMBER_GENERATOR_TABLE[[#This Row],[Travel &amp; Accommodation Hours]]*PART_NUMBER_GENERATOR_TABLE[[#This Row],[Cost Rate]]</f>
        <v>0</v>
      </c>
      <c r="BA84">
        <f>PART_NUMBER_GENERATOR_TABLE[[#This Row],[PM Hours]]+PART_NUMBER_GENERATOR_TABLE[[#This Row],[PM Remainder]]</f>
        <v>0</v>
      </c>
      <c r="BB84">
        <f>PART_NUMBER_GENERATOR_TABLE[[#This Row],[Project Management Hours]]*PART_NUMBER_GENERATOR_TABLE[[#This Row],[Sell Rate]]</f>
        <v>0</v>
      </c>
      <c r="BC84">
        <f>PART_NUMBER_GENERATOR_TABLE[[#This Row],[Project Management Hours]]*PART_NUMBER_GENERATOR_TABLE[[#This Row],[Cost Rate]]</f>
        <v>0</v>
      </c>
      <c r="BD84">
        <f>SUM(PART_NUMBER_GENERATOR_TABLE[[#This Row],[SSE RISK BH]:[PM RISK]],PART_NUMBER_GENERATOR_TABLE[[#This Row],[SSE Remainder RISK BH]:[PM Remainder RISK]])</f>
        <v>0</v>
      </c>
      <c r="BE84">
        <f>PART_NUMBER_GENERATOR_TABLE[[#This Row],[Project Risk Service Hours]]*PART_NUMBER_GENERATOR_TABLE[[#This Row],[Sell Rate]]</f>
        <v>0</v>
      </c>
      <c r="BF84">
        <f>PART_NUMBER_GENERATOR_TABLE[[#This Row],[Project Risk Service Hours]]*PART_NUMBER_GENERATOR_TABLE[[#This Row],[Cost Rate]]</f>
        <v>0</v>
      </c>
      <c r="BG84">
        <f>PART_NUMBER_GENERATOR_TABLE[[#This Row],[SSE RISK TRAVEL]]</f>
        <v>0</v>
      </c>
      <c r="BH84">
        <f>PART_NUMBER_GENERATOR_TABLE[[#This Row],[Sell Rate]]*PART_NUMBER_GENERATOR_TABLE[[#This Row],[Project Risk Travel Hours]]</f>
        <v>0</v>
      </c>
      <c r="BI84">
        <f>PART_NUMBER_GENERATOR_TABLE[[#This Row],[Project Risk Travel Hours]]*PART_NUMBER_GENERATOR_TABLE[[#This Row],[Cost Rate]]</f>
        <v>0</v>
      </c>
      <c r="BJ8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8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84">
        <f>IFERROR(-VLOOKUP(INDEX(ENGINEER_ROLES,MATCH(PART_NUMBER_GENERATOR_TABLE[[#This Row],[Work Role]],settings.Table_Engineer.Roles[ID],0),1),Settings_Hidden!$H$359:$K$366,4,FALSE),0)</f>
        <v>0</v>
      </c>
      <c r="BM84" s="680">
        <f>-Summary!$C$66</f>
        <v>0</v>
      </c>
      <c r="BN84" s="465">
        <f>PART_NUMBER_GENERATOR_TABLE[[#This Row],[Total Base Price]]*MIN(PART_NUMBER_GENERATOR_TABLE[[#This Row],[Rate Service Discount]:[Flat Service Discount]])</f>
        <v>0</v>
      </c>
      <c r="BO84" s="451" t="str">
        <f>IF(PART_NUMBER_GENERATOR_TABLE[[#This Row],[Quantity]]&lt;&gt;0,MAX($BO$30:BO83)+1,"")</f>
        <v/>
      </c>
      <c r="BP84" t="str">
        <f>PART_NUMBER_GENERATOR_TABLE[[#This Row],[Part Number]]</f>
        <v>A-PS-E-SECURE-SCE-BH</v>
      </c>
      <c r="BQ84">
        <f>PART_NUMBER_GENERATOR_TABLE[[#This Row],[Total Hours]]</f>
        <v>0</v>
      </c>
      <c r="BR84">
        <f>PART_NUMBER_GENERATOR_TABLE[[#This Row],[Cost Rate]]</f>
        <v>167.61034913968996</v>
      </c>
      <c r="BS84" s="465">
        <f>PART_NUMBER_GENERATOR_TABLE[[#This Row],[Sell Rate]]+(PART_NUMBER_GENERATOR_TABLE[[#This Row],[Sell Rate]]*MIN(PART_NUMBER_GENERATOR_TABLE[[#This Row],[Rate Service Discount]:[Flat Service Discount]]))</f>
        <v>315</v>
      </c>
    </row>
    <row r="85" spans="1:71">
      <c r="A85">
        <v>55</v>
      </c>
      <c r="C85" t="s">
        <v>1102</v>
      </c>
      <c r="D85" t="str" cm="1">
        <f t="array" ref="D85">INDEX(Table.Settings_Skill.List[Skill Name],MATCH(INDEX(_xlfn.TEXTSPLIT(C85,"-",,TRUE),4),Table.Settings_Skill.List[Skill Code],0),1)</f>
        <v>Security</v>
      </c>
      <c r="E85" t="str" cm="1">
        <f t="array" ref="E85">INDEX(_xlfn.TEXTSPLIT(C85,"-",,TRUE),5)</f>
        <v>TA</v>
      </c>
      <c r="F85" t="str">
        <f>IFERROR(INDEX(settings.Table_Engineer.Roles[Department Code],MATCH(PART_NUMBER_GENERATOR_TABLE[[#This Row],[Work Role]],settings.Table_Engineer.Roles[ID],0),1),"PMO")</f>
        <v>ENG</v>
      </c>
      <c r="G85" t="str" cm="1">
        <f t="array" ref="G85">INDEX(_xlfn.TEXTSPLIT(C85,"-",,TRUE),6)</f>
        <v>BH</v>
      </c>
      <c r="H8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155</v>
      </c>
      <c r="I8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81.346799080218702</v>
      </c>
      <c r="J85" cm="1">
        <f t="array" ref="J85">IF(J$1&lt;&gt;PART_NUMBER_GENERATOR_TABLE[[#This Row],[Work Role]:[Work Role]],0,
IF(RIGHT(J$30,2)&lt;&gt;PART_NUMBER_GENERATOR_TABLE[[#This Row],[Work Type]:[Work Type]],0,
SUMIFS(Input_Tasks[R1 Business Hours],Input_Tasks[[Skill Required]:[Skill Required]],PART_NUMBER_GENERATOR_TABLE[[#This Row],[Tech]:[Tech]])))</f>
        <v>0</v>
      </c>
      <c r="K85" cm="1">
        <f t="array" ref="K85">IF(K$1&lt;&gt;PART_NUMBER_GENERATOR_TABLE[[#This Row],[Work Role]:[Work Role]],0,
IF(RIGHT(K$30,2)&lt;&gt;PART_NUMBER_GENERATOR_TABLE[[#This Row],[Work Type]:[Work Type]],0,
SUMIFS(Input_Tasks[R1 After Hours],Input_Tasks[[Skill Required]:[Skill Required]],PART_NUMBER_GENERATOR_TABLE[[#This Row],[Tech]:[Tech]])))</f>
        <v>0</v>
      </c>
      <c r="L85" cm="1">
        <f t="array" ref="L85">IF(L$1&lt;&gt;PART_NUMBER_GENERATOR_TABLE[[#This Row],[Work Role]:[Work Role]],0,
IF(RIGHT(L$30,2)&lt;&gt;PART_NUMBER_GENERATOR_TABLE[[#This Row],[Work Type]:[Work Type]],0,
SUMIFS(Input_Tasks[R2 Business Hours],Input_Tasks[[Skill Required]:[Skill Required]],PART_NUMBER_GENERATOR_TABLE[[#This Row],[Tech]:[Tech]])))</f>
        <v>0</v>
      </c>
      <c r="M85" cm="1">
        <f t="array" ref="M85">IF(M$1&lt;&gt;PART_NUMBER_GENERATOR_TABLE[[#This Row],[Work Role]:[Work Role]],0,
IF(RIGHT(M$30,2)&lt;&gt;PART_NUMBER_GENERATOR_TABLE[[#This Row],[Work Type]:[Work Type]],0,
SUMIFS(Input_Tasks[R2 After Hours],Input_Tasks[[Skill Required]:[Skill Required]],PART_NUMBER_GENERATOR_TABLE[[#This Row],[Tech]:[Tech]])))</f>
        <v>0</v>
      </c>
      <c r="N85" cm="1">
        <f t="array" ref="N85">IF(N$1&lt;&gt;PART_NUMBER_GENERATOR_TABLE[[#This Row],[Work Role]:[Work Role]],0,
IF(RIGHT(N$30,2)&lt;&gt;PART_NUMBER_GENERATOR_TABLE[[#This Row],[Work Type]:[Work Type]],0,
SUMIFS(Input_Tasks[R3 Business Hours],Input_Tasks[[Skill Required]:[Skill Required]],PART_NUMBER_GENERATOR_TABLE[[#This Row],[Tech]:[Tech]])))</f>
        <v>0</v>
      </c>
      <c r="O85" cm="1">
        <f t="array" ref="O85">IF(O$1&lt;&gt;PART_NUMBER_GENERATOR_TABLE[[#This Row],[Work Role]:[Work Role]],0,
IF(RIGHT(O$30,2)&lt;&gt;PART_NUMBER_GENERATOR_TABLE[[#This Row],[Work Type]:[Work Type]],0,
SUMIFS(Input_Tasks[R3 After Hours],Input_Tasks[[Skill Required]:[Skill Required]],PART_NUMBER_GENERATOR_TABLE[[#This Row],[Tech]:[Tech]])))</f>
        <v>0</v>
      </c>
      <c r="P85" cm="1">
        <f t="array" ref="P85">IF(P$1&lt;&gt;PART_NUMBER_GENERATOR_TABLE[[#This Row],[Work Role]:[Work Role]],0,
IF(RIGHT(P$30,2)&lt;&gt;PART_NUMBER_GENERATOR_TABLE[[#This Row],[Work Type]:[Work Type]],0,
SUMIFS(Input_Tasks[R4 Business Hours],Input_Tasks[[Skill Required]:[Skill Required]],PART_NUMBER_GENERATOR_TABLE[[#This Row],[Tech]:[Tech]])))</f>
        <v>0</v>
      </c>
      <c r="Q85" cm="1">
        <f t="array" ref="Q85">IF(Q$1&lt;&gt;PART_NUMBER_GENERATOR_TABLE[[#This Row],[Work Role]:[Work Role]],0,
IF(RIGHT(Q$30,2)&lt;&gt;PART_NUMBER_GENERATOR_TABLE[[#This Row],[Work Type]:[Work Type]],0,
SUMIFS(Input_Tasks[R4 After Hours],Input_Tasks[[Skill Required]:[Skill Required]],PART_NUMBER_GENERATOR_TABLE[[#This Row],[Tech]:[Tech]])))</f>
        <v>0</v>
      </c>
      <c r="R85" cm="1">
        <f t="array" ref="R85">IF(R$1&lt;&gt;PART_NUMBER_GENERATOR_TABLE[[#This Row],[Work Role]:[Work Role]],0,
IF(RIGHT(R$30,2)&lt;&gt;PART_NUMBER_GENERATOR_TABLE[[#This Row],[Work Type]:[Work Type]],0,
SUMIFS(Input_Tasks[R5 Business Hours],Input_Tasks[[Skill Required]:[Skill Required]],PART_NUMBER_GENERATOR_TABLE[[#This Row],[Tech]:[Tech]])))</f>
        <v>0</v>
      </c>
      <c r="S85" cm="1">
        <f t="array" ref="S85">IF(S$1&lt;&gt;PART_NUMBER_GENERATOR_TABLE[[#This Row],[Work Role]:[Work Role]],0,
IF(RIGHT(S$30,2)&lt;&gt;PART_NUMBER_GENERATOR_TABLE[[#This Row],[Work Type]:[Work Type]],0,
SUMIFS(Input_Tasks[R5 After Hours],Input_Tasks[[Skill Required]:[Skill Required]],PART_NUMBER_GENERATOR_TABLE[[#This Row],[Tech]:[Tech]])))</f>
        <v>0</v>
      </c>
      <c r="T85" cm="1">
        <f t="array" ref="T85">IF(PART_NUMBER_GENERATOR_TABLE[[#This Row],[Work Role]:[Work Role]]&lt;&gt;T$1,0,
IF(PART_NUMBER_GENERATOR_TABLE[[#This Row],[Work Type]:[Work Type]]&lt;&gt;"BH",0,
SUMIFS(T$9:T$24,$M$9:$M$24,PART_NUMBER_GENERATOR_TABLE[[#This Row],[Tech]:[Tech]])))</f>
        <v>0</v>
      </c>
      <c r="U85" cm="1">
        <f t="array" ref="U85">IF(PART_NUMBER_GENERATOR_TABLE[[#This Row],[Work Role]:[Work Role]]&lt;&gt;U$1,0,
IF(PART_NUMBER_GENERATOR_TABLE[[#This Row],[Work Type]:[Work Type]]&lt;&gt;"BH",0,
SUMIFS(U$9:U$24,$M$9:$M$24,PART_NUMBER_GENERATOR_TABLE[[#This Row],[Tech]:[Tech]])))</f>
        <v>0</v>
      </c>
      <c r="V85" cm="1">
        <f t="array" ref="V85">IF(PART_NUMBER_GENERATOR_TABLE[[#This Row],[Work Role]:[Work Role]]&lt;&gt;V$1,0,
IF(PART_NUMBER_GENERATOR_TABLE[[#This Row],[Work Type]:[Work Type]]&lt;&gt;"BH",0,
SUMIFS(V$9:V$24,$M$9:$M$24,PART_NUMBER_GENERATOR_TABLE[[#This Row],[Tech]:[Tech]])))</f>
        <v>0</v>
      </c>
      <c r="W85" cm="1">
        <f t="array" ref="W85">IF(PART_NUMBER_GENERATOR_TABLE[[#This Row],[Work Role]:[Work Role]]&lt;&gt;W$1,0,
IF(PART_NUMBER_GENERATOR_TABLE[[#This Row],[Work Type]:[Work Type]]&lt;&gt;"BH",0,
SUMIFS(W$9:W$24,$M$9:$M$24,PART_NUMBER_GENERATOR_TABLE[[#This Row],[Tech]:[Tech]])))</f>
        <v>0</v>
      </c>
      <c r="X85" cm="1">
        <f t="array" ref="X85">IF(PART_NUMBER_GENERATOR_TABLE[[#This Row],[Work Role]:[Work Role]]&lt;&gt;X$1,0,
IF(PART_NUMBER_GENERATOR_TABLE[[#This Row],[Work Type]:[Work Type]]&lt;&gt;"BH",0,
SUMIFS(X$9:X$24,$M$9:$M$24,PART_NUMBER_GENERATOR_TABLE[[#This Row],[Tech]:[Tech]])))</f>
        <v>0</v>
      </c>
      <c r="Y85" cm="1">
        <f t="array" ref="Y85">IF(PART_NUMBER_GENERATOR_TABLE[[#This Row],[Work Role]:[Work Role]]&lt;&gt;Y$1,0,
IF(PART_NUMBER_GENERATOR_TABLE[[#This Row],[Work Type]:[Work Type]]&lt;&gt;"BH",0,
SUMIFS(Y$9:Y$24,$M$9:$M$24,PART_NUMBER_GENERATOR_TABLE[[#This Row],[Tech]:[Tech]])))</f>
        <v>0</v>
      </c>
      <c r="Z85" cm="1">
        <f t="array" ref="Z85">IF(PART_NUMBER_GENERATOR_TABLE[[#This Row],[Work Role]:[Work Role]]&lt;&gt;Z$1,0,
IF(PART_NUMBER_GENERATOR_TABLE[[#This Row],[Work Type]:[Work Type]]&lt;&gt;"BH",0,
SUMIFS(Z$9:Z$24,$M$9:$M$24,PART_NUMBER_GENERATOR_TABLE[[#This Row],[Tech]:[Tech]])))</f>
        <v>0</v>
      </c>
      <c r="AA85" cm="1">
        <f t="array" ref="AA85">IF(PART_NUMBER_GENERATOR_TABLE[[#This Row],[Work Role]:[Work Role]]&lt;&gt;AA$1,0,
IF(PART_NUMBER_GENERATOR_TABLE[[#This Row],[Work Type]:[Work Type]]&lt;&gt;"BH",0,
SUMIFS(AA$9:AA$24,$M$9:$M$24,PART_NUMBER_GENERATOR_TABLE[[#This Row],[Tech]:[Tech]])))</f>
        <v>0</v>
      </c>
      <c r="AB85" cm="1">
        <f t="array" ref="AB85">IF(PART_NUMBER_GENERATOR_TABLE[[#This Row],[Work Role]:[Work Role]]&lt;&gt;AB$1,0,
IF(PART_NUMBER_GENERATOR_TABLE[[#This Row],[Work Type]:[Work Type]]&lt;&gt;"BH",0,
SUMIFS(AB$9:AB$24,$M$9:$M$24,PART_NUMBER_GENERATOR_TABLE[[#This Row],[Tech]:[Tech]])))</f>
        <v>0</v>
      </c>
      <c r="AC85" cm="1">
        <f t="array" ref="AC85">IF(PART_NUMBER_GENERATOR_TABLE[[#This Row],[Work Role]:[Work Role]]&lt;&gt;AC$1,0,
IF(PART_NUMBER_GENERATOR_TABLE[[#This Row],[Work Type]:[Work Type]]&lt;&gt;"BH",0,
SUMIFS(AC$9:AC$24,$M$9:$M$24,PART_NUMBER_GENERATOR_TABLE[[#This Row],[Tech]:[Tech]])))</f>
        <v>0</v>
      </c>
      <c r="AD85" cm="1">
        <f t="array" ref="AD85">IF(PART_NUMBER_GENERATOR_TABLE[[#This Row],[Work Role]:[Work Role]]&lt;&gt;AD$1,0,
IF(PART_NUMBER_GENERATOR_TABLE[[#This Row],[Work Type]:[Work Type]]&lt;&gt;"BH",0,
SUMIFS(AD$9:AD$24,$M$9:$M$24,PART_NUMBER_GENERATOR_TABLE[[#This Row],[Tech]:[Tech]])))</f>
        <v>0</v>
      </c>
      <c r="AE85" cm="1">
        <f t="array" ref="AE85">IF(PART_NUMBER_GENERATOR_TABLE[[#This Row],[Work Role]:[Work Role]]&lt;&gt;AE$1,0,
IF(PART_NUMBER_GENERATOR_TABLE[[#This Row],[Work Type]:[Work Type]]&lt;&gt;"BH",0,
SUMIFS(AE$9:AE$24,$M$9:$M$24,PART_NUMBER_GENERATOR_TABLE[[#This Row],[Tech]:[Tech]])))</f>
        <v>0</v>
      </c>
      <c r="AF85" cm="1">
        <f t="array" ref="AF85">IF(PART_NUMBER_GENERATOR_TABLE[[#This Row],[Work Role]:[Work Role]]&lt;&gt;AF$1,0,
IF(PART_NUMBER_GENERATOR_TABLE[[#This Row],[Work Type]:[Work Type]]&lt;&gt;"BH",0,
SUMIFS(AF$9:AF$24,$M$9:$M$24,PART_NUMBER_GENERATOR_TABLE[[#This Row],[Tech]:[Tech]])))</f>
        <v>0</v>
      </c>
      <c r="AG85" cm="1">
        <f t="array" ref="AG85">IF(PART_NUMBER_GENERATOR_TABLE[[#This Row],[Work Role]:[Work Role]]&lt;&gt;AG$1,0,
IF(PART_NUMBER_GENERATOR_TABLE[[#This Row],[Work Type]:[Work Type]]&lt;&gt;"AH",0,
SUMIFS(AG$9:AG$24,$M$9:$M$24,PART_NUMBER_GENERATOR_TABLE[[#This Row],[Tech]:[Tech]])))</f>
        <v>0</v>
      </c>
      <c r="AH85" cm="1">
        <f t="array" ref="AH85">IF(PART_NUMBER_GENERATOR_TABLE[[#This Row],[Work Role]:[Work Role]]&lt;&gt;AH$1,0,
IF(PART_NUMBER_GENERATOR_TABLE[[#This Row],[Work Type]:[Work Type]]&lt;&gt;"BH",0,
SUMIFS(AH$9:AH$24,$M$9:$M$24,PART_NUMBER_GENERATOR_TABLE[[#This Row],[Tech]:[Tech]])))</f>
        <v>0</v>
      </c>
      <c r="AI85" cm="1">
        <f t="array" ref="AI85">IF(PART_NUMBER_GENERATOR_TABLE[[#This Row],[Work Role]:[Work Role]]&lt;&gt;AI$1,0,
IF(PART_NUMBER_GENERATOR_TABLE[[#This Row],[Work Type]:[Work Type]]&lt;&gt;"BH",0,
SUMIFS(AI$9:AI$24,$M$9:$M$24,PART_NUMBER_GENERATOR_TABLE[[#This Row],[Tech]:[Tech]])))</f>
        <v>0</v>
      </c>
      <c r="AJ85" cm="1">
        <f t="array" ref="AJ85">IF(PART_NUMBER_GENERATOR_TABLE[[#This Row],[Work Role]:[Work Role]]&lt;&gt;AJ$1,0,
IF(PART_NUMBER_GENERATOR_TABLE[[#This Row],[Work Type]:[Work Type]]&lt;&gt;"BH",0,
SUMIFS(AJ$9:AJ$24,$M$9:$M$24,PART_NUMBER_GENERATOR_TABLE[[#This Row],[Tech]:[Tech]])))</f>
        <v>0</v>
      </c>
      <c r="AK85" cm="1">
        <f t="array" ref="AK85">IF(PART_NUMBER_GENERATOR_TABLE[[#This Row],[Work Role]:[Work Role]]&lt;&gt;AK$1,0,
IF(PART_NUMBER_GENERATOR_TABLE[[#This Row],[Work Type]:[Work Type]]&lt;&gt;"AH",0,
SUMIFS(AK$9:AK$24,$M$9:$M$24,PART_NUMBER_GENERATOR_TABLE[[#This Row],[Tech]:[Tech]])))</f>
        <v>0</v>
      </c>
      <c r="AL85" cm="1">
        <f t="array" ref="AL85">IF(PART_NUMBER_GENERATOR_TABLE[[#This Row],[Work Role]:[Work Role]]&lt;&gt;AL$1,0,
IF(PART_NUMBER_GENERATOR_TABLE[[#This Row],[Work Type]:[Work Type]]&lt;&gt;"BH",0,
SUMIFS(AL$9:AL$24,$M$9:$M$24,PART_NUMBER_GENERATOR_TABLE[[#This Row],[Tech]:[Tech]])))</f>
        <v>0</v>
      </c>
      <c r="AM85">
        <f>0</f>
        <v>0</v>
      </c>
      <c r="AN85" cm="1">
        <f t="array" ref="AN85">IF(PART_NUMBER_GENERATOR_TABLE[[#This Row],[Work Role]:[Work Role]]&lt;&gt;AN$1,0,
IF(PART_NUMBER_GENERATOR_TABLE[[#This Row],[Work Type]:[Work Type]]&lt;&gt;"BH",0,
SUMIFS(AN$24,$AM$24,PART_NUMBER_GENERATOR_TABLE[[#This Row],[Tech]:[Tech]])))</f>
        <v>0</v>
      </c>
      <c r="AO85" cm="1">
        <f t="array" ref="AO85">IF(PART_NUMBER_GENERATOR_TABLE[[#This Row],[Work Role]:[Work Role]]&lt;&gt;AO$1,0,
IF(PART_NUMBER_GENERATOR_TABLE[[#This Row],[Work Type]:[Work Type]]&lt;&gt;"BH",0,
SUMIFS(AO$24,$AM$24,PART_NUMBER_GENERATOR_TABLE[[#This Row],[Tech]:[Tech]])))</f>
        <v>0</v>
      </c>
      <c r="AP85" cm="1">
        <f t="array" ref="AP85">IF(PART_NUMBER_GENERATOR_TABLE[[#This Row],[Work Role]:[Work Role]]&lt;&gt;AP$1,0,
IF(PART_NUMBER_GENERATOR_TABLE[[#This Row],[Work Type]:[Work Type]]&lt;&gt;"BH",0,
SUMIFS(AP$24,$AM$24,PART_NUMBER_GENERATOR_TABLE[[#This Row],[Tech]:[Tech]])))</f>
        <v>0</v>
      </c>
      <c r="AQ85" cm="1">
        <f t="array" ref="AQ85">IF(PART_NUMBER_GENERATOR_TABLE[[#This Row],[Work Role]:[Work Role]]&lt;&gt;AQ$1,0,
IF(PART_NUMBER_GENERATOR_TABLE[[#This Row],[Work Type]:[Work Type]]&lt;&gt;"BH",0,
SUMIFS(AQ$24,$AM$24,PART_NUMBER_GENERATOR_TABLE[[#This Row],[Tech]:[Tech]])))</f>
        <v>0</v>
      </c>
      <c r="AR85" cm="1">
        <f t="array" ref="AR85">IF(PART_NUMBER_GENERATOR_TABLE[[#This Row],[Work Role]:[Work Role]]&lt;&gt;AR$1,0,
IF(PART_NUMBER_GENERATOR_TABLE[[#This Row],[Work Type]:[Work Type]]&lt;&gt;"BH",0,
SUMIFS(AR$24,$AM$24,PART_NUMBER_GENERATOR_TABLE[[#This Row],[Tech]:[Tech]])))</f>
        <v>0</v>
      </c>
      <c r="AS85" cm="1">
        <f t="array" ref="AS85">IF(PART_NUMBER_GENERATOR_TABLE[[#This Row],[Work Role]:[Work Role]]&lt;&gt;AS$1,0,
IF(PART_NUMBER_GENERATOR_TABLE[[#This Row],[Work Type]:[Work Type]]&lt;&gt;"BH",0,
SUMIFS(AS$24,$AM$24,PART_NUMBER_GENERATOR_TABLE[[#This Row],[Tech]:[Tech]])))</f>
        <v>0</v>
      </c>
      <c r="AT85" cm="1">
        <f t="array" ref="AT85">IF(PART_NUMBER_GENERATOR_TABLE[[#This Row],[Work Role]:[Work Role]]&lt;&gt;AS$1,0,
IF(PART_NUMBER_GENERATOR_TABLE[[#This Row],[Work Type]:[Work Type]]&lt;&gt;"BH",0,
SUMIFS(AT$24,$AM$24,PART_NUMBER_GENERATOR_TABLE[[#This Row],[Tech]:[Tech]])))</f>
        <v>0</v>
      </c>
      <c r="AU85">
        <f>SUM(PART_NUMBER_GENERATOR_TABLE[[#This Row],[Resource 1 BH]:[Resource 5 AH]],PART_NUMBER_GENERATOR_TABLE[[#This Row],[R1 Mandatory Tasks]:[R5 Mandatory Tasks]],PART_NUMBER_GENERATOR_TABLE[[#This Row],[R1 Remainder]:[R5 Remainder]])</f>
        <v>0</v>
      </c>
      <c r="AV85">
        <f>PART_NUMBER_GENERATOR_TABLE[[#This Row],[Professional Engineering Hours]]*PART_NUMBER_GENERATOR_TABLE[[#This Row],[Sell Rate]]</f>
        <v>0</v>
      </c>
      <c r="AW85">
        <f>PART_NUMBER_GENERATOR_TABLE[[#This Row],[Professional Engineering Hours]]*PART_NUMBER_GENERATOR_TABLE[[#This Row],[Cost Rate]]</f>
        <v>0</v>
      </c>
      <c r="AX85">
        <f>SUM(PART_NUMBER_GENERATOR_TABLE[[#This Row],[PM Trips]:[R5 Trips]])</f>
        <v>0</v>
      </c>
      <c r="AY85">
        <f>PART_NUMBER_GENERATOR_TABLE[[#This Row],[Travel &amp; Accommodation Hours]]*PART_NUMBER_GENERATOR_TABLE[[#This Row],[Sell Rate]]</f>
        <v>0</v>
      </c>
      <c r="AZ85">
        <f>PART_NUMBER_GENERATOR_TABLE[[#This Row],[Travel &amp; Accommodation Hours]]*PART_NUMBER_GENERATOR_TABLE[[#This Row],[Cost Rate]]</f>
        <v>0</v>
      </c>
      <c r="BA85">
        <f>PART_NUMBER_GENERATOR_TABLE[[#This Row],[PM Hours]]+PART_NUMBER_GENERATOR_TABLE[[#This Row],[PM Remainder]]</f>
        <v>0</v>
      </c>
      <c r="BB85">
        <f>PART_NUMBER_GENERATOR_TABLE[[#This Row],[Project Management Hours]]*PART_NUMBER_GENERATOR_TABLE[[#This Row],[Sell Rate]]</f>
        <v>0</v>
      </c>
      <c r="BC85">
        <f>PART_NUMBER_GENERATOR_TABLE[[#This Row],[Project Management Hours]]*PART_NUMBER_GENERATOR_TABLE[[#This Row],[Cost Rate]]</f>
        <v>0</v>
      </c>
      <c r="BD85">
        <f>SUM(PART_NUMBER_GENERATOR_TABLE[[#This Row],[SSE RISK BH]:[PM RISK]],PART_NUMBER_GENERATOR_TABLE[[#This Row],[SSE Remainder RISK BH]:[PM Remainder RISK]])</f>
        <v>0</v>
      </c>
      <c r="BE85">
        <f>PART_NUMBER_GENERATOR_TABLE[[#This Row],[Project Risk Service Hours]]*PART_NUMBER_GENERATOR_TABLE[[#This Row],[Sell Rate]]</f>
        <v>0</v>
      </c>
      <c r="BF85">
        <f>PART_NUMBER_GENERATOR_TABLE[[#This Row],[Project Risk Service Hours]]*PART_NUMBER_GENERATOR_TABLE[[#This Row],[Cost Rate]]</f>
        <v>0</v>
      </c>
      <c r="BG85">
        <f>PART_NUMBER_GENERATOR_TABLE[[#This Row],[SSE RISK TRAVEL]]</f>
        <v>0</v>
      </c>
      <c r="BH85">
        <f>PART_NUMBER_GENERATOR_TABLE[[#This Row],[Sell Rate]]*PART_NUMBER_GENERATOR_TABLE[[#This Row],[Project Risk Travel Hours]]</f>
        <v>0</v>
      </c>
      <c r="BI85">
        <f>PART_NUMBER_GENERATOR_TABLE[[#This Row],[Project Risk Travel Hours]]*PART_NUMBER_GENERATOR_TABLE[[#This Row],[Cost Rate]]</f>
        <v>0</v>
      </c>
      <c r="BJ8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8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85">
        <f>IFERROR(-VLOOKUP(INDEX(ENGINEER_ROLES,MATCH(PART_NUMBER_GENERATOR_TABLE[[#This Row],[Work Role]],settings.Table_Engineer.Roles[ID],0),1),Settings_Hidden!$H$359:$K$366,4,FALSE),0)</f>
        <v>0</v>
      </c>
      <c r="BM85" s="680">
        <f>-Summary!$C$66</f>
        <v>0</v>
      </c>
      <c r="BN85" s="465">
        <f>PART_NUMBER_GENERATOR_TABLE[[#This Row],[Total Base Price]]*MIN(PART_NUMBER_GENERATOR_TABLE[[#This Row],[Rate Service Discount]:[Flat Service Discount]])</f>
        <v>0</v>
      </c>
      <c r="BO85" s="451" t="str">
        <f>IF(PART_NUMBER_GENERATOR_TABLE[[#This Row],[Quantity]]&lt;&gt;0,MAX($BO$30:BO84)+1,"")</f>
        <v/>
      </c>
      <c r="BP85" t="str">
        <f>PART_NUMBER_GENERATOR_TABLE[[#This Row],[Part Number]]</f>
        <v>A-PS-E-SECNET-TA-BH</v>
      </c>
      <c r="BQ85">
        <f>PART_NUMBER_GENERATOR_TABLE[[#This Row],[Total Hours]]</f>
        <v>0</v>
      </c>
      <c r="BR85">
        <f>PART_NUMBER_GENERATOR_TABLE[[#This Row],[Cost Rate]]</f>
        <v>81.346799080218702</v>
      </c>
      <c r="BS85" s="465">
        <f>PART_NUMBER_GENERATOR_TABLE[[#This Row],[Sell Rate]]+(PART_NUMBER_GENERATOR_TABLE[[#This Row],[Sell Rate]]*MIN(PART_NUMBER_GENERATOR_TABLE[[#This Row],[Rate Service Discount]:[Flat Service Discount]]))</f>
        <v>155</v>
      </c>
    </row>
    <row r="86" spans="1:71">
      <c r="A86">
        <v>56</v>
      </c>
      <c r="C86" t="s">
        <v>1098</v>
      </c>
      <c r="D86" t="str" cm="1">
        <f t="array" ref="D86">INDEX(Table.Settings_Skill.List[Skill Name],MATCH(INDEX(_xlfn.TEXTSPLIT(C86,"-",,TRUE),4),Table.Settings_Skill.List[Skill Code],0),1)</f>
        <v>Security</v>
      </c>
      <c r="E86" t="str" cm="1">
        <f t="array" ref="E86">INDEX(_xlfn.TEXTSPLIT(C86,"-",,TRUE),5)</f>
        <v>SE</v>
      </c>
      <c r="F86" t="str">
        <f>IFERROR(INDEX(settings.Table_Engineer.Roles[Department Code],MATCH(PART_NUMBER_GENERATOR_TABLE[[#This Row],[Work Role]],settings.Table_Engineer.Roles[ID],0),1),"PMO")</f>
        <v>ENG</v>
      </c>
      <c r="G86" t="str" cm="1">
        <f t="array" ref="G86">INDEX(_xlfn.TEXTSPLIT(C86,"-",,TRUE),6)</f>
        <v>BH</v>
      </c>
      <c r="H8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8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86" cm="1">
        <f t="array" ref="J86">IF(J$1&lt;&gt;PART_NUMBER_GENERATOR_TABLE[[#This Row],[Work Role]:[Work Role]],0,
IF(RIGHT(J$30,2)&lt;&gt;PART_NUMBER_GENERATOR_TABLE[[#This Row],[Work Type]:[Work Type]],0,
SUMIFS(Input_Tasks[R1 Business Hours],Input_Tasks[[Skill Required]:[Skill Required]],PART_NUMBER_GENERATOR_TABLE[[#This Row],[Tech]:[Tech]])))</f>
        <v>0</v>
      </c>
      <c r="K86" cm="1">
        <f t="array" ref="K86">IF(K$1&lt;&gt;PART_NUMBER_GENERATOR_TABLE[[#This Row],[Work Role]:[Work Role]],0,
IF(RIGHT(K$30,2)&lt;&gt;PART_NUMBER_GENERATOR_TABLE[[#This Row],[Work Type]:[Work Type]],0,
SUMIFS(Input_Tasks[R1 After Hours],Input_Tasks[[Skill Required]:[Skill Required]],PART_NUMBER_GENERATOR_TABLE[[#This Row],[Tech]:[Tech]])))</f>
        <v>0</v>
      </c>
      <c r="L86" cm="1">
        <f t="array" ref="L86">IF(L$1&lt;&gt;PART_NUMBER_GENERATOR_TABLE[[#This Row],[Work Role]:[Work Role]],0,
IF(RIGHT(L$30,2)&lt;&gt;PART_NUMBER_GENERATOR_TABLE[[#This Row],[Work Type]:[Work Type]],0,
SUMIFS(Input_Tasks[R2 Business Hours],Input_Tasks[[Skill Required]:[Skill Required]],PART_NUMBER_GENERATOR_TABLE[[#This Row],[Tech]:[Tech]])))</f>
        <v>0</v>
      </c>
      <c r="M86" cm="1">
        <f t="array" ref="M86">IF(M$1&lt;&gt;PART_NUMBER_GENERATOR_TABLE[[#This Row],[Work Role]:[Work Role]],0,
IF(RIGHT(M$30,2)&lt;&gt;PART_NUMBER_GENERATOR_TABLE[[#This Row],[Work Type]:[Work Type]],0,
SUMIFS(Input_Tasks[R2 After Hours],Input_Tasks[[Skill Required]:[Skill Required]],PART_NUMBER_GENERATOR_TABLE[[#This Row],[Tech]:[Tech]])))</f>
        <v>0</v>
      </c>
      <c r="N86" cm="1">
        <f t="array" ref="N86">IF(N$1&lt;&gt;PART_NUMBER_GENERATOR_TABLE[[#This Row],[Work Role]:[Work Role]],0,
IF(RIGHT(N$30,2)&lt;&gt;PART_NUMBER_GENERATOR_TABLE[[#This Row],[Work Type]:[Work Type]],0,
SUMIFS(Input_Tasks[R3 Business Hours],Input_Tasks[[Skill Required]:[Skill Required]],PART_NUMBER_GENERATOR_TABLE[[#This Row],[Tech]:[Tech]])))</f>
        <v>0</v>
      </c>
      <c r="O86" cm="1">
        <f t="array" ref="O86">IF(O$1&lt;&gt;PART_NUMBER_GENERATOR_TABLE[[#This Row],[Work Role]:[Work Role]],0,
IF(RIGHT(O$30,2)&lt;&gt;PART_NUMBER_GENERATOR_TABLE[[#This Row],[Work Type]:[Work Type]],0,
SUMIFS(Input_Tasks[R3 After Hours],Input_Tasks[[Skill Required]:[Skill Required]],PART_NUMBER_GENERATOR_TABLE[[#This Row],[Tech]:[Tech]])))</f>
        <v>0</v>
      </c>
      <c r="P86" cm="1">
        <f t="array" ref="P86">IF(P$1&lt;&gt;PART_NUMBER_GENERATOR_TABLE[[#This Row],[Work Role]:[Work Role]],0,
IF(RIGHT(P$30,2)&lt;&gt;PART_NUMBER_GENERATOR_TABLE[[#This Row],[Work Type]:[Work Type]],0,
SUMIFS(Input_Tasks[R4 Business Hours],Input_Tasks[[Skill Required]:[Skill Required]],PART_NUMBER_GENERATOR_TABLE[[#This Row],[Tech]:[Tech]])))</f>
        <v>0</v>
      </c>
      <c r="Q86" cm="1">
        <f t="array" ref="Q86">IF(Q$1&lt;&gt;PART_NUMBER_GENERATOR_TABLE[[#This Row],[Work Role]:[Work Role]],0,
IF(RIGHT(Q$30,2)&lt;&gt;PART_NUMBER_GENERATOR_TABLE[[#This Row],[Work Type]:[Work Type]],0,
SUMIFS(Input_Tasks[R4 After Hours],Input_Tasks[[Skill Required]:[Skill Required]],PART_NUMBER_GENERATOR_TABLE[[#This Row],[Tech]:[Tech]])))</f>
        <v>0</v>
      </c>
      <c r="R86" cm="1">
        <f t="array" ref="R86">IF(R$1&lt;&gt;PART_NUMBER_GENERATOR_TABLE[[#This Row],[Work Role]:[Work Role]],0,
IF(RIGHT(R$30,2)&lt;&gt;PART_NUMBER_GENERATOR_TABLE[[#This Row],[Work Type]:[Work Type]],0,
SUMIFS(Input_Tasks[R5 Business Hours],Input_Tasks[[Skill Required]:[Skill Required]],PART_NUMBER_GENERATOR_TABLE[[#This Row],[Tech]:[Tech]])))</f>
        <v>0</v>
      </c>
      <c r="S86" cm="1">
        <f t="array" ref="S86">IF(S$1&lt;&gt;PART_NUMBER_GENERATOR_TABLE[[#This Row],[Work Role]:[Work Role]],0,
IF(RIGHT(S$30,2)&lt;&gt;PART_NUMBER_GENERATOR_TABLE[[#This Row],[Work Type]:[Work Type]],0,
SUMIFS(Input_Tasks[R5 After Hours],Input_Tasks[[Skill Required]:[Skill Required]],PART_NUMBER_GENERATOR_TABLE[[#This Row],[Tech]:[Tech]])))</f>
        <v>0</v>
      </c>
      <c r="T86" cm="1">
        <f t="array" ref="T86">IF(PART_NUMBER_GENERATOR_TABLE[[#This Row],[Work Role]:[Work Role]]&lt;&gt;T$1,0,
IF(PART_NUMBER_GENERATOR_TABLE[[#This Row],[Work Type]:[Work Type]]&lt;&gt;"BH",0,
SUMIFS(T$9:T$24,$M$9:$M$24,PART_NUMBER_GENERATOR_TABLE[[#This Row],[Tech]:[Tech]])))</f>
        <v>0</v>
      </c>
      <c r="U86" cm="1">
        <f t="array" ref="U86">IF(PART_NUMBER_GENERATOR_TABLE[[#This Row],[Work Role]:[Work Role]]&lt;&gt;U$1,0,
IF(PART_NUMBER_GENERATOR_TABLE[[#This Row],[Work Type]:[Work Type]]&lt;&gt;"BH",0,
SUMIFS(U$9:U$24,$M$9:$M$24,PART_NUMBER_GENERATOR_TABLE[[#This Row],[Tech]:[Tech]])))</f>
        <v>0</v>
      </c>
      <c r="V86" cm="1">
        <f t="array" ref="V86">IF(PART_NUMBER_GENERATOR_TABLE[[#This Row],[Work Role]:[Work Role]]&lt;&gt;V$1,0,
IF(PART_NUMBER_GENERATOR_TABLE[[#This Row],[Work Type]:[Work Type]]&lt;&gt;"BH",0,
SUMIFS(V$9:V$24,$M$9:$M$24,PART_NUMBER_GENERATOR_TABLE[[#This Row],[Tech]:[Tech]])))</f>
        <v>0</v>
      </c>
      <c r="W86" cm="1">
        <f t="array" ref="W86">IF(PART_NUMBER_GENERATOR_TABLE[[#This Row],[Work Role]:[Work Role]]&lt;&gt;W$1,0,
IF(PART_NUMBER_GENERATOR_TABLE[[#This Row],[Work Type]:[Work Type]]&lt;&gt;"BH",0,
SUMIFS(W$9:W$24,$M$9:$M$24,PART_NUMBER_GENERATOR_TABLE[[#This Row],[Tech]:[Tech]])))</f>
        <v>0</v>
      </c>
      <c r="X86" cm="1">
        <f t="array" ref="X86">IF(PART_NUMBER_GENERATOR_TABLE[[#This Row],[Work Role]:[Work Role]]&lt;&gt;X$1,0,
IF(PART_NUMBER_GENERATOR_TABLE[[#This Row],[Work Type]:[Work Type]]&lt;&gt;"BH",0,
SUMIFS(X$9:X$24,$M$9:$M$24,PART_NUMBER_GENERATOR_TABLE[[#This Row],[Tech]:[Tech]])))</f>
        <v>0</v>
      </c>
      <c r="Y86" cm="1">
        <f t="array" ref="Y86">IF(PART_NUMBER_GENERATOR_TABLE[[#This Row],[Work Role]:[Work Role]]&lt;&gt;Y$1,0,
IF(PART_NUMBER_GENERATOR_TABLE[[#This Row],[Work Type]:[Work Type]]&lt;&gt;"BH",0,
SUMIFS(Y$9:Y$24,$M$9:$M$24,PART_NUMBER_GENERATOR_TABLE[[#This Row],[Tech]:[Tech]])))</f>
        <v>0</v>
      </c>
      <c r="Z86" cm="1">
        <f t="array" ref="Z86">IF(PART_NUMBER_GENERATOR_TABLE[[#This Row],[Work Role]:[Work Role]]&lt;&gt;Z$1,0,
IF(PART_NUMBER_GENERATOR_TABLE[[#This Row],[Work Type]:[Work Type]]&lt;&gt;"BH",0,
SUMIFS(Z$9:Z$24,$M$9:$M$24,PART_NUMBER_GENERATOR_TABLE[[#This Row],[Tech]:[Tech]])))</f>
        <v>0</v>
      </c>
      <c r="AA86" cm="1">
        <f t="array" ref="AA86">IF(PART_NUMBER_GENERATOR_TABLE[[#This Row],[Work Role]:[Work Role]]&lt;&gt;AA$1,0,
IF(PART_NUMBER_GENERATOR_TABLE[[#This Row],[Work Type]:[Work Type]]&lt;&gt;"BH",0,
SUMIFS(AA$9:AA$24,$M$9:$M$24,PART_NUMBER_GENERATOR_TABLE[[#This Row],[Tech]:[Tech]])))</f>
        <v>0</v>
      </c>
      <c r="AB86" cm="1">
        <f t="array" ref="AB86">IF(PART_NUMBER_GENERATOR_TABLE[[#This Row],[Work Role]:[Work Role]]&lt;&gt;AB$1,0,
IF(PART_NUMBER_GENERATOR_TABLE[[#This Row],[Work Type]:[Work Type]]&lt;&gt;"BH",0,
SUMIFS(AB$9:AB$24,$M$9:$M$24,PART_NUMBER_GENERATOR_TABLE[[#This Row],[Tech]:[Tech]])))</f>
        <v>0</v>
      </c>
      <c r="AC86" cm="1">
        <f t="array" ref="AC86">IF(PART_NUMBER_GENERATOR_TABLE[[#This Row],[Work Role]:[Work Role]]&lt;&gt;AC$1,0,
IF(PART_NUMBER_GENERATOR_TABLE[[#This Row],[Work Type]:[Work Type]]&lt;&gt;"BH",0,
SUMIFS(AC$9:AC$24,$M$9:$M$24,PART_NUMBER_GENERATOR_TABLE[[#This Row],[Tech]:[Tech]])))</f>
        <v>0</v>
      </c>
      <c r="AD86" cm="1">
        <f t="array" ref="AD86">IF(PART_NUMBER_GENERATOR_TABLE[[#This Row],[Work Role]:[Work Role]]&lt;&gt;AD$1,0,
IF(PART_NUMBER_GENERATOR_TABLE[[#This Row],[Work Type]:[Work Type]]&lt;&gt;"BH",0,
SUMIFS(AD$9:AD$24,$M$9:$M$24,PART_NUMBER_GENERATOR_TABLE[[#This Row],[Tech]:[Tech]])))</f>
        <v>0</v>
      </c>
      <c r="AE86" cm="1">
        <f t="array" ref="AE86">IF(PART_NUMBER_GENERATOR_TABLE[[#This Row],[Work Role]:[Work Role]]&lt;&gt;AE$1,0,
IF(PART_NUMBER_GENERATOR_TABLE[[#This Row],[Work Type]:[Work Type]]&lt;&gt;"BH",0,
SUMIFS(AE$9:AE$24,$M$9:$M$24,PART_NUMBER_GENERATOR_TABLE[[#This Row],[Tech]:[Tech]])))</f>
        <v>0</v>
      </c>
      <c r="AF86" cm="1">
        <f t="array" ref="AF86">IF(PART_NUMBER_GENERATOR_TABLE[[#This Row],[Work Role]:[Work Role]]&lt;&gt;AF$1,0,
IF(PART_NUMBER_GENERATOR_TABLE[[#This Row],[Work Type]:[Work Type]]&lt;&gt;"BH",0,
SUMIFS(AF$9:AF$24,$M$9:$M$24,PART_NUMBER_GENERATOR_TABLE[[#This Row],[Tech]:[Tech]])))</f>
        <v>0</v>
      </c>
      <c r="AG86" cm="1">
        <f t="array" ref="AG86">IF(PART_NUMBER_GENERATOR_TABLE[[#This Row],[Work Role]:[Work Role]]&lt;&gt;AG$1,0,
IF(PART_NUMBER_GENERATOR_TABLE[[#This Row],[Work Type]:[Work Type]]&lt;&gt;"AH",0,
SUMIFS(AG$9:AG$24,$M$9:$M$24,PART_NUMBER_GENERATOR_TABLE[[#This Row],[Tech]:[Tech]])))</f>
        <v>0</v>
      </c>
      <c r="AH86" cm="1">
        <f t="array" ref="AH86">IF(PART_NUMBER_GENERATOR_TABLE[[#This Row],[Work Role]:[Work Role]]&lt;&gt;AH$1,0,
IF(PART_NUMBER_GENERATOR_TABLE[[#This Row],[Work Type]:[Work Type]]&lt;&gt;"BH",0,
SUMIFS(AH$9:AH$24,$M$9:$M$24,PART_NUMBER_GENERATOR_TABLE[[#This Row],[Tech]:[Tech]])))</f>
        <v>0</v>
      </c>
      <c r="AI86" cm="1">
        <f t="array" ref="AI86">IF(PART_NUMBER_GENERATOR_TABLE[[#This Row],[Work Role]:[Work Role]]&lt;&gt;AI$1,0,
IF(PART_NUMBER_GENERATOR_TABLE[[#This Row],[Work Type]:[Work Type]]&lt;&gt;"BH",0,
SUMIFS(AI$9:AI$24,$M$9:$M$24,PART_NUMBER_GENERATOR_TABLE[[#This Row],[Tech]:[Tech]])))</f>
        <v>0</v>
      </c>
      <c r="AJ86" cm="1">
        <f t="array" ref="AJ86">IF(PART_NUMBER_GENERATOR_TABLE[[#This Row],[Work Role]:[Work Role]]&lt;&gt;AJ$1,0,
IF(PART_NUMBER_GENERATOR_TABLE[[#This Row],[Work Type]:[Work Type]]&lt;&gt;"BH",0,
SUMIFS(AJ$9:AJ$24,$M$9:$M$24,PART_NUMBER_GENERATOR_TABLE[[#This Row],[Tech]:[Tech]])))</f>
        <v>0</v>
      </c>
      <c r="AK86" cm="1">
        <f t="array" ref="AK86">IF(PART_NUMBER_GENERATOR_TABLE[[#This Row],[Work Role]:[Work Role]]&lt;&gt;AK$1,0,
IF(PART_NUMBER_GENERATOR_TABLE[[#This Row],[Work Type]:[Work Type]]&lt;&gt;"AH",0,
SUMIFS(AK$9:AK$24,$M$9:$M$24,PART_NUMBER_GENERATOR_TABLE[[#This Row],[Tech]:[Tech]])))</f>
        <v>0</v>
      </c>
      <c r="AL86" cm="1">
        <f t="array" ref="AL86">IF(PART_NUMBER_GENERATOR_TABLE[[#This Row],[Work Role]:[Work Role]]&lt;&gt;AL$1,0,
IF(PART_NUMBER_GENERATOR_TABLE[[#This Row],[Work Type]:[Work Type]]&lt;&gt;"BH",0,
SUMIFS(AL$9:AL$24,$M$9:$M$24,PART_NUMBER_GENERATOR_TABLE[[#This Row],[Tech]:[Tech]])))</f>
        <v>0</v>
      </c>
      <c r="AM86">
        <f>0</f>
        <v>0</v>
      </c>
      <c r="AN86" cm="1">
        <f t="array" ref="AN86">IF(PART_NUMBER_GENERATOR_TABLE[[#This Row],[Work Role]:[Work Role]]&lt;&gt;AN$1,0,
IF(PART_NUMBER_GENERATOR_TABLE[[#This Row],[Work Type]:[Work Type]]&lt;&gt;"BH",0,
SUMIFS(AN$24,$AM$24,PART_NUMBER_GENERATOR_TABLE[[#This Row],[Tech]:[Tech]])))</f>
        <v>0</v>
      </c>
      <c r="AO86" cm="1">
        <f t="array" ref="AO86">IF(PART_NUMBER_GENERATOR_TABLE[[#This Row],[Work Role]:[Work Role]]&lt;&gt;AO$1,0,
IF(PART_NUMBER_GENERATOR_TABLE[[#This Row],[Work Type]:[Work Type]]&lt;&gt;"BH",0,
SUMIFS(AO$24,$AM$24,PART_NUMBER_GENERATOR_TABLE[[#This Row],[Tech]:[Tech]])))</f>
        <v>0</v>
      </c>
      <c r="AP86" cm="1">
        <f t="array" ref="AP86">IF(PART_NUMBER_GENERATOR_TABLE[[#This Row],[Work Role]:[Work Role]]&lt;&gt;AP$1,0,
IF(PART_NUMBER_GENERATOR_TABLE[[#This Row],[Work Type]:[Work Type]]&lt;&gt;"BH",0,
SUMIFS(AP$24,$AM$24,PART_NUMBER_GENERATOR_TABLE[[#This Row],[Tech]:[Tech]])))</f>
        <v>0</v>
      </c>
      <c r="AQ86" cm="1">
        <f t="array" ref="AQ86">IF(PART_NUMBER_GENERATOR_TABLE[[#This Row],[Work Role]:[Work Role]]&lt;&gt;AQ$1,0,
IF(PART_NUMBER_GENERATOR_TABLE[[#This Row],[Work Type]:[Work Type]]&lt;&gt;"BH",0,
SUMIFS(AQ$24,$AM$24,PART_NUMBER_GENERATOR_TABLE[[#This Row],[Tech]:[Tech]])))</f>
        <v>0</v>
      </c>
      <c r="AR86" cm="1">
        <f t="array" ref="AR86">IF(PART_NUMBER_GENERATOR_TABLE[[#This Row],[Work Role]:[Work Role]]&lt;&gt;AR$1,0,
IF(PART_NUMBER_GENERATOR_TABLE[[#This Row],[Work Type]:[Work Type]]&lt;&gt;"BH",0,
SUMIFS(AR$24,$AM$24,PART_NUMBER_GENERATOR_TABLE[[#This Row],[Tech]:[Tech]])))</f>
        <v>0</v>
      </c>
      <c r="AS86" cm="1">
        <f t="array" ref="AS86">IF(PART_NUMBER_GENERATOR_TABLE[[#This Row],[Work Role]:[Work Role]]&lt;&gt;AS$1,0,
IF(PART_NUMBER_GENERATOR_TABLE[[#This Row],[Work Type]:[Work Type]]&lt;&gt;"BH",0,
SUMIFS(AS$24,$AM$24,PART_NUMBER_GENERATOR_TABLE[[#This Row],[Tech]:[Tech]])))</f>
        <v>0</v>
      </c>
      <c r="AT86" cm="1">
        <f t="array" ref="AT86">IF(PART_NUMBER_GENERATOR_TABLE[[#This Row],[Work Role]:[Work Role]]&lt;&gt;AS$1,0,
IF(PART_NUMBER_GENERATOR_TABLE[[#This Row],[Work Type]:[Work Type]]&lt;&gt;"BH",0,
SUMIFS(AT$24,$AM$24,PART_NUMBER_GENERATOR_TABLE[[#This Row],[Tech]:[Tech]])))</f>
        <v>0</v>
      </c>
      <c r="AU86">
        <f>SUM(PART_NUMBER_GENERATOR_TABLE[[#This Row],[Resource 1 BH]:[Resource 5 AH]],PART_NUMBER_GENERATOR_TABLE[[#This Row],[R1 Mandatory Tasks]:[R5 Mandatory Tasks]],PART_NUMBER_GENERATOR_TABLE[[#This Row],[R1 Remainder]:[R5 Remainder]])</f>
        <v>0</v>
      </c>
      <c r="AV86">
        <f>PART_NUMBER_GENERATOR_TABLE[[#This Row],[Professional Engineering Hours]]*PART_NUMBER_GENERATOR_TABLE[[#This Row],[Sell Rate]]</f>
        <v>0</v>
      </c>
      <c r="AW86">
        <f>PART_NUMBER_GENERATOR_TABLE[[#This Row],[Professional Engineering Hours]]*PART_NUMBER_GENERATOR_TABLE[[#This Row],[Cost Rate]]</f>
        <v>0</v>
      </c>
      <c r="AX86">
        <f>SUM(PART_NUMBER_GENERATOR_TABLE[[#This Row],[PM Trips]:[R5 Trips]])</f>
        <v>0</v>
      </c>
      <c r="AY86">
        <f>PART_NUMBER_GENERATOR_TABLE[[#This Row],[Travel &amp; Accommodation Hours]]*PART_NUMBER_GENERATOR_TABLE[[#This Row],[Sell Rate]]</f>
        <v>0</v>
      </c>
      <c r="AZ86">
        <f>PART_NUMBER_GENERATOR_TABLE[[#This Row],[Travel &amp; Accommodation Hours]]*PART_NUMBER_GENERATOR_TABLE[[#This Row],[Cost Rate]]</f>
        <v>0</v>
      </c>
      <c r="BA86">
        <f>PART_NUMBER_GENERATOR_TABLE[[#This Row],[PM Hours]]+PART_NUMBER_GENERATOR_TABLE[[#This Row],[PM Remainder]]</f>
        <v>0</v>
      </c>
      <c r="BB86">
        <f>PART_NUMBER_GENERATOR_TABLE[[#This Row],[Project Management Hours]]*PART_NUMBER_GENERATOR_TABLE[[#This Row],[Sell Rate]]</f>
        <v>0</v>
      </c>
      <c r="BC86">
        <f>PART_NUMBER_GENERATOR_TABLE[[#This Row],[Project Management Hours]]*PART_NUMBER_GENERATOR_TABLE[[#This Row],[Cost Rate]]</f>
        <v>0</v>
      </c>
      <c r="BD86">
        <f>SUM(PART_NUMBER_GENERATOR_TABLE[[#This Row],[SSE RISK BH]:[PM RISK]],PART_NUMBER_GENERATOR_TABLE[[#This Row],[SSE Remainder RISK BH]:[PM Remainder RISK]])</f>
        <v>0</v>
      </c>
      <c r="BE86">
        <f>PART_NUMBER_GENERATOR_TABLE[[#This Row],[Project Risk Service Hours]]*PART_NUMBER_GENERATOR_TABLE[[#This Row],[Sell Rate]]</f>
        <v>0</v>
      </c>
      <c r="BF86">
        <f>PART_NUMBER_GENERATOR_TABLE[[#This Row],[Project Risk Service Hours]]*PART_NUMBER_GENERATOR_TABLE[[#This Row],[Cost Rate]]</f>
        <v>0</v>
      </c>
      <c r="BG86">
        <f>PART_NUMBER_GENERATOR_TABLE[[#This Row],[SSE RISK TRAVEL]]</f>
        <v>0</v>
      </c>
      <c r="BH86">
        <f>PART_NUMBER_GENERATOR_TABLE[[#This Row],[Sell Rate]]*PART_NUMBER_GENERATOR_TABLE[[#This Row],[Project Risk Travel Hours]]</f>
        <v>0</v>
      </c>
      <c r="BI86">
        <f>PART_NUMBER_GENERATOR_TABLE[[#This Row],[Project Risk Travel Hours]]*PART_NUMBER_GENERATOR_TABLE[[#This Row],[Cost Rate]]</f>
        <v>0</v>
      </c>
      <c r="BJ8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8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86">
        <f>IFERROR(-VLOOKUP(INDEX(ENGINEER_ROLES,MATCH(PART_NUMBER_GENERATOR_TABLE[[#This Row],[Work Role]],settings.Table_Engineer.Roles[ID],0),1),Settings_Hidden!$H$359:$K$366,4,FALSE),0)</f>
        <v>0</v>
      </c>
      <c r="BM86" s="680">
        <f>-Summary!$C$66</f>
        <v>0</v>
      </c>
      <c r="BN86" s="465">
        <f>PART_NUMBER_GENERATOR_TABLE[[#This Row],[Total Base Price]]*MIN(PART_NUMBER_GENERATOR_TABLE[[#This Row],[Rate Service Discount]:[Flat Service Discount]])</f>
        <v>0</v>
      </c>
      <c r="BO86" s="451" t="str">
        <f>IF(PART_NUMBER_GENERATOR_TABLE[[#This Row],[Quantity]]&lt;&gt;0,MAX($BO$30:BO85)+1,"")</f>
        <v/>
      </c>
      <c r="BP86" t="str">
        <f>PART_NUMBER_GENERATOR_TABLE[[#This Row],[Part Number]]</f>
        <v>A-PS-E-SECNET-SE-BH</v>
      </c>
      <c r="BQ86">
        <f>PART_NUMBER_GENERATOR_TABLE[[#This Row],[Total Hours]]</f>
        <v>0</v>
      </c>
      <c r="BR86">
        <f>PART_NUMBER_GENERATOR_TABLE[[#This Row],[Cost Rate]]</f>
        <v>126.11855927829811</v>
      </c>
      <c r="BS86" s="465">
        <f>PART_NUMBER_GENERATOR_TABLE[[#This Row],[Sell Rate]]+(PART_NUMBER_GENERATOR_TABLE[[#This Row],[Sell Rate]]*MIN(PART_NUMBER_GENERATOR_TABLE[[#This Row],[Rate Service Discount]:[Flat Service Discount]]))</f>
        <v>235</v>
      </c>
    </row>
    <row r="87" spans="1:71">
      <c r="A87">
        <v>57</v>
      </c>
      <c r="C87" t="s">
        <v>1092</v>
      </c>
      <c r="D87" t="str" cm="1">
        <f t="array" ref="D87">INDEX(Table.Settings_Skill.List[Skill Name],MATCH(INDEX(_xlfn.TEXTSPLIT(C87,"-",,TRUE),4),Table.Settings_Skill.List[Skill Code],0),1)</f>
        <v>Security</v>
      </c>
      <c r="E87" t="str" cm="1">
        <f t="array" ref="E87">INDEX(_xlfn.TEXTSPLIT(C87,"-",,TRUE),5)</f>
        <v>SSE</v>
      </c>
      <c r="F87" t="str">
        <f>IFERROR(INDEX(settings.Table_Engineer.Roles[Department Code],MATCH(PART_NUMBER_GENERATOR_TABLE[[#This Row],[Work Role]],settings.Table_Engineer.Roles[ID],0),1),"PMO")</f>
        <v>ENG</v>
      </c>
      <c r="G87" t="str" cm="1">
        <f t="array" ref="G87">INDEX(_xlfn.TEXTSPLIT(C87,"-",,TRUE),6)</f>
        <v>BH</v>
      </c>
      <c r="H8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280.5</v>
      </c>
      <c r="I8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149.91839058446394</v>
      </c>
      <c r="J87" cm="1">
        <f t="array" ref="J87">IF(J$1&lt;&gt;PART_NUMBER_GENERATOR_TABLE[[#This Row],[Work Role]:[Work Role]],0,
IF(RIGHT(J$30,2)&lt;&gt;PART_NUMBER_GENERATOR_TABLE[[#This Row],[Work Type]:[Work Type]],0,
SUMIFS(Input_Tasks[R1 Business Hours],Input_Tasks[[Skill Required]:[Skill Required]],PART_NUMBER_GENERATOR_TABLE[[#This Row],[Tech]:[Tech]])))</f>
        <v>0</v>
      </c>
      <c r="K87" cm="1">
        <f t="array" ref="K87">IF(K$1&lt;&gt;PART_NUMBER_GENERATOR_TABLE[[#This Row],[Work Role]:[Work Role]],0,
IF(RIGHT(K$30,2)&lt;&gt;PART_NUMBER_GENERATOR_TABLE[[#This Row],[Work Type]:[Work Type]],0,
SUMIFS(Input_Tasks[R1 After Hours],Input_Tasks[[Skill Required]:[Skill Required]],PART_NUMBER_GENERATOR_TABLE[[#This Row],[Tech]:[Tech]])))</f>
        <v>0</v>
      </c>
      <c r="L87" cm="1">
        <f t="array" ref="L87">IF(L$1&lt;&gt;PART_NUMBER_GENERATOR_TABLE[[#This Row],[Work Role]:[Work Role]],0,
IF(RIGHT(L$30,2)&lt;&gt;PART_NUMBER_GENERATOR_TABLE[[#This Row],[Work Type]:[Work Type]],0,
SUMIFS(Input_Tasks[R2 Business Hours],Input_Tasks[[Skill Required]:[Skill Required]],PART_NUMBER_GENERATOR_TABLE[[#This Row],[Tech]:[Tech]])))</f>
        <v>0</v>
      </c>
      <c r="M87" cm="1">
        <f t="array" ref="M87">IF(M$1&lt;&gt;PART_NUMBER_GENERATOR_TABLE[[#This Row],[Work Role]:[Work Role]],0,
IF(RIGHT(M$30,2)&lt;&gt;PART_NUMBER_GENERATOR_TABLE[[#This Row],[Work Type]:[Work Type]],0,
SUMIFS(Input_Tasks[R2 After Hours],Input_Tasks[[Skill Required]:[Skill Required]],PART_NUMBER_GENERATOR_TABLE[[#This Row],[Tech]:[Tech]])))</f>
        <v>0</v>
      </c>
      <c r="N87" cm="1">
        <f t="array" ref="N87">IF(N$1&lt;&gt;PART_NUMBER_GENERATOR_TABLE[[#This Row],[Work Role]:[Work Role]],0,
IF(RIGHT(N$30,2)&lt;&gt;PART_NUMBER_GENERATOR_TABLE[[#This Row],[Work Type]:[Work Type]],0,
SUMIFS(Input_Tasks[R3 Business Hours],Input_Tasks[[Skill Required]:[Skill Required]],PART_NUMBER_GENERATOR_TABLE[[#This Row],[Tech]:[Tech]])))</f>
        <v>0</v>
      </c>
      <c r="O87" cm="1">
        <f t="array" ref="O87">IF(O$1&lt;&gt;PART_NUMBER_GENERATOR_TABLE[[#This Row],[Work Role]:[Work Role]],0,
IF(RIGHT(O$30,2)&lt;&gt;PART_NUMBER_GENERATOR_TABLE[[#This Row],[Work Type]:[Work Type]],0,
SUMIFS(Input_Tasks[R3 After Hours],Input_Tasks[[Skill Required]:[Skill Required]],PART_NUMBER_GENERATOR_TABLE[[#This Row],[Tech]:[Tech]])))</f>
        <v>0</v>
      </c>
      <c r="P87" cm="1">
        <f t="array" ref="P87">IF(P$1&lt;&gt;PART_NUMBER_GENERATOR_TABLE[[#This Row],[Work Role]:[Work Role]],0,
IF(RIGHT(P$30,2)&lt;&gt;PART_NUMBER_GENERATOR_TABLE[[#This Row],[Work Type]:[Work Type]],0,
SUMIFS(Input_Tasks[R4 Business Hours],Input_Tasks[[Skill Required]:[Skill Required]],PART_NUMBER_GENERATOR_TABLE[[#This Row],[Tech]:[Tech]])))</f>
        <v>0</v>
      </c>
      <c r="Q87" cm="1">
        <f t="array" ref="Q87">IF(Q$1&lt;&gt;PART_NUMBER_GENERATOR_TABLE[[#This Row],[Work Role]:[Work Role]],0,
IF(RIGHT(Q$30,2)&lt;&gt;PART_NUMBER_GENERATOR_TABLE[[#This Row],[Work Type]:[Work Type]],0,
SUMIFS(Input_Tasks[R4 After Hours],Input_Tasks[[Skill Required]:[Skill Required]],PART_NUMBER_GENERATOR_TABLE[[#This Row],[Tech]:[Tech]])))</f>
        <v>0</v>
      </c>
      <c r="R87" cm="1">
        <f t="array" ref="R87">IF(R$1&lt;&gt;PART_NUMBER_GENERATOR_TABLE[[#This Row],[Work Role]:[Work Role]],0,
IF(RIGHT(R$30,2)&lt;&gt;PART_NUMBER_GENERATOR_TABLE[[#This Row],[Work Type]:[Work Type]],0,
SUMIFS(Input_Tasks[R5 Business Hours],Input_Tasks[[Skill Required]:[Skill Required]],PART_NUMBER_GENERATOR_TABLE[[#This Row],[Tech]:[Tech]])))</f>
        <v>0</v>
      </c>
      <c r="S87" cm="1">
        <f t="array" ref="S87">IF(S$1&lt;&gt;PART_NUMBER_GENERATOR_TABLE[[#This Row],[Work Role]:[Work Role]],0,
IF(RIGHT(S$30,2)&lt;&gt;PART_NUMBER_GENERATOR_TABLE[[#This Row],[Work Type]:[Work Type]],0,
SUMIFS(Input_Tasks[R5 After Hours],Input_Tasks[[Skill Required]:[Skill Required]],PART_NUMBER_GENERATOR_TABLE[[#This Row],[Tech]:[Tech]])))</f>
        <v>0</v>
      </c>
      <c r="T87" cm="1">
        <f t="array" ref="T87">IF(PART_NUMBER_GENERATOR_TABLE[[#This Row],[Work Role]:[Work Role]]&lt;&gt;T$1,0,
IF(PART_NUMBER_GENERATOR_TABLE[[#This Row],[Work Type]:[Work Type]]&lt;&gt;"BH",0,
SUMIFS(T$9:T$24,$M$9:$M$24,PART_NUMBER_GENERATOR_TABLE[[#This Row],[Tech]:[Tech]])))</f>
        <v>0</v>
      </c>
      <c r="U87" cm="1">
        <f t="array" ref="U87">IF(PART_NUMBER_GENERATOR_TABLE[[#This Row],[Work Role]:[Work Role]]&lt;&gt;U$1,0,
IF(PART_NUMBER_GENERATOR_TABLE[[#This Row],[Work Type]:[Work Type]]&lt;&gt;"BH",0,
SUMIFS(U$9:U$24,$M$9:$M$24,PART_NUMBER_GENERATOR_TABLE[[#This Row],[Tech]:[Tech]])))</f>
        <v>0</v>
      </c>
      <c r="V87" cm="1">
        <f t="array" ref="V87">IF(PART_NUMBER_GENERATOR_TABLE[[#This Row],[Work Role]:[Work Role]]&lt;&gt;V$1,0,
IF(PART_NUMBER_GENERATOR_TABLE[[#This Row],[Work Type]:[Work Type]]&lt;&gt;"BH",0,
SUMIFS(V$9:V$24,$M$9:$M$24,PART_NUMBER_GENERATOR_TABLE[[#This Row],[Tech]:[Tech]])))</f>
        <v>0</v>
      </c>
      <c r="W87" cm="1">
        <f t="array" ref="W87">IF(PART_NUMBER_GENERATOR_TABLE[[#This Row],[Work Role]:[Work Role]]&lt;&gt;W$1,0,
IF(PART_NUMBER_GENERATOR_TABLE[[#This Row],[Work Type]:[Work Type]]&lt;&gt;"BH",0,
SUMIFS(W$9:W$24,$M$9:$M$24,PART_NUMBER_GENERATOR_TABLE[[#This Row],[Tech]:[Tech]])))</f>
        <v>0</v>
      </c>
      <c r="X87" cm="1">
        <f t="array" ref="X87">IF(PART_NUMBER_GENERATOR_TABLE[[#This Row],[Work Role]:[Work Role]]&lt;&gt;X$1,0,
IF(PART_NUMBER_GENERATOR_TABLE[[#This Row],[Work Type]:[Work Type]]&lt;&gt;"BH",0,
SUMIFS(X$9:X$24,$M$9:$M$24,PART_NUMBER_GENERATOR_TABLE[[#This Row],[Tech]:[Tech]])))</f>
        <v>0</v>
      </c>
      <c r="Y87" cm="1">
        <f t="array" ref="Y87">IF(PART_NUMBER_GENERATOR_TABLE[[#This Row],[Work Role]:[Work Role]]&lt;&gt;Y$1,0,
IF(PART_NUMBER_GENERATOR_TABLE[[#This Row],[Work Type]:[Work Type]]&lt;&gt;"BH",0,
SUMIFS(Y$9:Y$24,$M$9:$M$24,PART_NUMBER_GENERATOR_TABLE[[#This Row],[Tech]:[Tech]])))</f>
        <v>0</v>
      </c>
      <c r="Z87" cm="1">
        <f t="array" ref="Z87">IF(PART_NUMBER_GENERATOR_TABLE[[#This Row],[Work Role]:[Work Role]]&lt;&gt;Z$1,0,
IF(PART_NUMBER_GENERATOR_TABLE[[#This Row],[Work Type]:[Work Type]]&lt;&gt;"BH",0,
SUMIFS(Z$9:Z$24,$M$9:$M$24,PART_NUMBER_GENERATOR_TABLE[[#This Row],[Tech]:[Tech]])))</f>
        <v>0</v>
      </c>
      <c r="AA87" cm="1">
        <f t="array" ref="AA87">IF(PART_NUMBER_GENERATOR_TABLE[[#This Row],[Work Role]:[Work Role]]&lt;&gt;AA$1,0,
IF(PART_NUMBER_GENERATOR_TABLE[[#This Row],[Work Type]:[Work Type]]&lt;&gt;"BH",0,
SUMIFS(AA$9:AA$24,$M$9:$M$24,PART_NUMBER_GENERATOR_TABLE[[#This Row],[Tech]:[Tech]])))</f>
        <v>0</v>
      </c>
      <c r="AB87" cm="1">
        <f t="array" ref="AB87">IF(PART_NUMBER_GENERATOR_TABLE[[#This Row],[Work Role]:[Work Role]]&lt;&gt;AB$1,0,
IF(PART_NUMBER_GENERATOR_TABLE[[#This Row],[Work Type]:[Work Type]]&lt;&gt;"BH",0,
SUMIFS(AB$9:AB$24,$M$9:$M$24,PART_NUMBER_GENERATOR_TABLE[[#This Row],[Tech]:[Tech]])))</f>
        <v>0</v>
      </c>
      <c r="AC87" cm="1">
        <f t="array" ref="AC87">IF(PART_NUMBER_GENERATOR_TABLE[[#This Row],[Work Role]:[Work Role]]&lt;&gt;AC$1,0,
IF(PART_NUMBER_GENERATOR_TABLE[[#This Row],[Work Type]:[Work Type]]&lt;&gt;"BH",0,
SUMIFS(AC$9:AC$24,$M$9:$M$24,PART_NUMBER_GENERATOR_TABLE[[#This Row],[Tech]:[Tech]])))</f>
        <v>0</v>
      </c>
      <c r="AD87" cm="1">
        <f t="array" ref="AD87">IF(PART_NUMBER_GENERATOR_TABLE[[#This Row],[Work Role]:[Work Role]]&lt;&gt;AD$1,0,
IF(PART_NUMBER_GENERATOR_TABLE[[#This Row],[Work Type]:[Work Type]]&lt;&gt;"BH",0,
SUMIFS(AD$9:AD$24,$M$9:$M$24,PART_NUMBER_GENERATOR_TABLE[[#This Row],[Tech]:[Tech]])))</f>
        <v>0</v>
      </c>
      <c r="AE87" cm="1">
        <f t="array" ref="AE87">IF(PART_NUMBER_GENERATOR_TABLE[[#This Row],[Work Role]:[Work Role]]&lt;&gt;AE$1,0,
IF(PART_NUMBER_GENERATOR_TABLE[[#This Row],[Work Type]:[Work Type]]&lt;&gt;"BH",0,
SUMIFS(AE$9:AE$24,$M$9:$M$24,PART_NUMBER_GENERATOR_TABLE[[#This Row],[Tech]:[Tech]])))</f>
        <v>0</v>
      </c>
      <c r="AF87" cm="1">
        <f t="array" ref="AF87">IF(PART_NUMBER_GENERATOR_TABLE[[#This Row],[Work Role]:[Work Role]]&lt;&gt;AF$1,0,
IF(PART_NUMBER_GENERATOR_TABLE[[#This Row],[Work Type]:[Work Type]]&lt;&gt;"BH",0,
SUMIFS(AF$9:AF$24,$M$9:$M$24,PART_NUMBER_GENERATOR_TABLE[[#This Row],[Tech]:[Tech]])))</f>
        <v>0</v>
      </c>
      <c r="AG87" cm="1">
        <f t="array" ref="AG87">IF(PART_NUMBER_GENERATOR_TABLE[[#This Row],[Work Role]:[Work Role]]&lt;&gt;AG$1,0,
IF(PART_NUMBER_GENERATOR_TABLE[[#This Row],[Work Type]:[Work Type]]&lt;&gt;"AH",0,
SUMIFS(AG$9:AG$24,$M$9:$M$24,PART_NUMBER_GENERATOR_TABLE[[#This Row],[Tech]:[Tech]])))</f>
        <v>0</v>
      </c>
      <c r="AH87" cm="1">
        <f t="array" ref="AH87">IF(PART_NUMBER_GENERATOR_TABLE[[#This Row],[Work Role]:[Work Role]]&lt;&gt;AH$1,0,
IF(PART_NUMBER_GENERATOR_TABLE[[#This Row],[Work Type]:[Work Type]]&lt;&gt;"BH",0,
SUMIFS(AH$9:AH$24,$M$9:$M$24,PART_NUMBER_GENERATOR_TABLE[[#This Row],[Tech]:[Tech]])))</f>
        <v>0</v>
      </c>
      <c r="AI87" cm="1">
        <f t="array" ref="AI87">IF(PART_NUMBER_GENERATOR_TABLE[[#This Row],[Work Role]:[Work Role]]&lt;&gt;AI$1,0,
IF(PART_NUMBER_GENERATOR_TABLE[[#This Row],[Work Type]:[Work Type]]&lt;&gt;"BH",0,
SUMIFS(AI$9:AI$24,$M$9:$M$24,PART_NUMBER_GENERATOR_TABLE[[#This Row],[Tech]:[Tech]])))</f>
        <v>0</v>
      </c>
      <c r="AJ87" cm="1">
        <f t="array" ref="AJ87">IF(PART_NUMBER_GENERATOR_TABLE[[#This Row],[Work Role]:[Work Role]]&lt;&gt;AJ$1,0,
IF(PART_NUMBER_GENERATOR_TABLE[[#This Row],[Work Type]:[Work Type]]&lt;&gt;"BH",0,
SUMIFS(AJ$9:AJ$24,$M$9:$M$24,PART_NUMBER_GENERATOR_TABLE[[#This Row],[Tech]:[Tech]])))</f>
        <v>0</v>
      </c>
      <c r="AK87" cm="1">
        <f t="array" ref="AK87">IF(PART_NUMBER_GENERATOR_TABLE[[#This Row],[Work Role]:[Work Role]]&lt;&gt;AK$1,0,
IF(PART_NUMBER_GENERATOR_TABLE[[#This Row],[Work Type]:[Work Type]]&lt;&gt;"AH",0,
SUMIFS(AK$9:AK$24,$M$9:$M$24,PART_NUMBER_GENERATOR_TABLE[[#This Row],[Tech]:[Tech]])))</f>
        <v>0</v>
      </c>
      <c r="AL87" cm="1">
        <f t="array" ref="AL87">IF(PART_NUMBER_GENERATOR_TABLE[[#This Row],[Work Role]:[Work Role]]&lt;&gt;AL$1,0,
IF(PART_NUMBER_GENERATOR_TABLE[[#This Row],[Work Type]:[Work Type]]&lt;&gt;"BH",0,
SUMIFS(AL$9:AL$24,$M$9:$M$24,PART_NUMBER_GENERATOR_TABLE[[#This Row],[Tech]:[Tech]])))</f>
        <v>0</v>
      </c>
      <c r="AM87">
        <f>0</f>
        <v>0</v>
      </c>
      <c r="AN87" cm="1">
        <f t="array" ref="AN87">IF(PART_NUMBER_GENERATOR_TABLE[[#This Row],[Work Role]:[Work Role]]&lt;&gt;AN$1,0,
IF(PART_NUMBER_GENERATOR_TABLE[[#This Row],[Work Type]:[Work Type]]&lt;&gt;"BH",0,
SUMIFS(AN$24,$AM$24,PART_NUMBER_GENERATOR_TABLE[[#This Row],[Tech]:[Tech]])))</f>
        <v>0</v>
      </c>
      <c r="AO87" cm="1">
        <f t="array" ref="AO87">IF(PART_NUMBER_GENERATOR_TABLE[[#This Row],[Work Role]:[Work Role]]&lt;&gt;AO$1,0,
IF(PART_NUMBER_GENERATOR_TABLE[[#This Row],[Work Type]:[Work Type]]&lt;&gt;"BH",0,
SUMIFS(AO$24,$AM$24,PART_NUMBER_GENERATOR_TABLE[[#This Row],[Tech]:[Tech]])))</f>
        <v>0</v>
      </c>
      <c r="AP87" cm="1">
        <f t="array" ref="AP87">IF(PART_NUMBER_GENERATOR_TABLE[[#This Row],[Work Role]:[Work Role]]&lt;&gt;AP$1,0,
IF(PART_NUMBER_GENERATOR_TABLE[[#This Row],[Work Type]:[Work Type]]&lt;&gt;"BH",0,
SUMIFS(AP$24,$AM$24,PART_NUMBER_GENERATOR_TABLE[[#This Row],[Tech]:[Tech]])))</f>
        <v>0</v>
      </c>
      <c r="AQ87" cm="1">
        <f t="array" ref="AQ87">IF(PART_NUMBER_GENERATOR_TABLE[[#This Row],[Work Role]:[Work Role]]&lt;&gt;AQ$1,0,
IF(PART_NUMBER_GENERATOR_TABLE[[#This Row],[Work Type]:[Work Type]]&lt;&gt;"BH",0,
SUMIFS(AQ$24,$AM$24,PART_NUMBER_GENERATOR_TABLE[[#This Row],[Tech]:[Tech]])))</f>
        <v>0</v>
      </c>
      <c r="AR87" cm="1">
        <f t="array" ref="AR87">IF(PART_NUMBER_GENERATOR_TABLE[[#This Row],[Work Role]:[Work Role]]&lt;&gt;AR$1,0,
IF(PART_NUMBER_GENERATOR_TABLE[[#This Row],[Work Type]:[Work Type]]&lt;&gt;"BH",0,
SUMIFS(AR$24,$AM$24,PART_NUMBER_GENERATOR_TABLE[[#This Row],[Tech]:[Tech]])))</f>
        <v>0</v>
      </c>
      <c r="AS87" cm="1">
        <f t="array" ref="AS87">IF(PART_NUMBER_GENERATOR_TABLE[[#This Row],[Work Role]:[Work Role]]&lt;&gt;AS$1,0,
IF(PART_NUMBER_GENERATOR_TABLE[[#This Row],[Work Type]:[Work Type]]&lt;&gt;"BH",0,
SUMIFS(AS$24,$AM$24,PART_NUMBER_GENERATOR_TABLE[[#This Row],[Tech]:[Tech]])))</f>
        <v>0</v>
      </c>
      <c r="AT87" cm="1">
        <f t="array" ref="AT87">IF(PART_NUMBER_GENERATOR_TABLE[[#This Row],[Work Role]:[Work Role]]&lt;&gt;AS$1,0,
IF(PART_NUMBER_GENERATOR_TABLE[[#This Row],[Work Type]:[Work Type]]&lt;&gt;"BH",0,
SUMIFS(AT$24,$AM$24,PART_NUMBER_GENERATOR_TABLE[[#This Row],[Tech]:[Tech]])))</f>
        <v>0</v>
      </c>
      <c r="AU87">
        <f>SUM(PART_NUMBER_GENERATOR_TABLE[[#This Row],[Resource 1 BH]:[Resource 5 AH]],PART_NUMBER_GENERATOR_TABLE[[#This Row],[R1 Mandatory Tasks]:[R5 Mandatory Tasks]],PART_NUMBER_GENERATOR_TABLE[[#This Row],[R1 Remainder]:[R5 Remainder]])</f>
        <v>0</v>
      </c>
      <c r="AV87">
        <f>PART_NUMBER_GENERATOR_TABLE[[#This Row],[Professional Engineering Hours]]*PART_NUMBER_GENERATOR_TABLE[[#This Row],[Sell Rate]]</f>
        <v>0</v>
      </c>
      <c r="AW87">
        <f>PART_NUMBER_GENERATOR_TABLE[[#This Row],[Professional Engineering Hours]]*PART_NUMBER_GENERATOR_TABLE[[#This Row],[Cost Rate]]</f>
        <v>0</v>
      </c>
      <c r="AX87">
        <f>SUM(PART_NUMBER_GENERATOR_TABLE[[#This Row],[PM Trips]:[R5 Trips]])</f>
        <v>0</v>
      </c>
      <c r="AY87">
        <f>PART_NUMBER_GENERATOR_TABLE[[#This Row],[Travel &amp; Accommodation Hours]]*PART_NUMBER_GENERATOR_TABLE[[#This Row],[Sell Rate]]</f>
        <v>0</v>
      </c>
      <c r="AZ87">
        <f>PART_NUMBER_GENERATOR_TABLE[[#This Row],[Travel &amp; Accommodation Hours]]*PART_NUMBER_GENERATOR_TABLE[[#This Row],[Cost Rate]]</f>
        <v>0</v>
      </c>
      <c r="BA87">
        <f>PART_NUMBER_GENERATOR_TABLE[[#This Row],[PM Hours]]+PART_NUMBER_GENERATOR_TABLE[[#This Row],[PM Remainder]]</f>
        <v>0</v>
      </c>
      <c r="BB87">
        <f>PART_NUMBER_GENERATOR_TABLE[[#This Row],[Project Management Hours]]*PART_NUMBER_GENERATOR_TABLE[[#This Row],[Sell Rate]]</f>
        <v>0</v>
      </c>
      <c r="BC87">
        <f>PART_NUMBER_GENERATOR_TABLE[[#This Row],[Project Management Hours]]*PART_NUMBER_GENERATOR_TABLE[[#This Row],[Cost Rate]]</f>
        <v>0</v>
      </c>
      <c r="BD87">
        <f>SUM(PART_NUMBER_GENERATOR_TABLE[[#This Row],[SSE RISK BH]:[PM RISK]],PART_NUMBER_GENERATOR_TABLE[[#This Row],[SSE Remainder RISK BH]:[PM Remainder RISK]])</f>
        <v>0</v>
      </c>
      <c r="BE87">
        <f>PART_NUMBER_GENERATOR_TABLE[[#This Row],[Project Risk Service Hours]]*PART_NUMBER_GENERATOR_TABLE[[#This Row],[Sell Rate]]</f>
        <v>0</v>
      </c>
      <c r="BF87">
        <f>PART_NUMBER_GENERATOR_TABLE[[#This Row],[Project Risk Service Hours]]*PART_NUMBER_GENERATOR_TABLE[[#This Row],[Cost Rate]]</f>
        <v>0</v>
      </c>
      <c r="BG87">
        <f>PART_NUMBER_GENERATOR_TABLE[[#This Row],[SSE RISK TRAVEL]]</f>
        <v>0</v>
      </c>
      <c r="BH87">
        <f>PART_NUMBER_GENERATOR_TABLE[[#This Row],[Sell Rate]]*PART_NUMBER_GENERATOR_TABLE[[#This Row],[Project Risk Travel Hours]]</f>
        <v>0</v>
      </c>
      <c r="BI87">
        <f>PART_NUMBER_GENERATOR_TABLE[[#This Row],[Project Risk Travel Hours]]*PART_NUMBER_GENERATOR_TABLE[[#This Row],[Cost Rate]]</f>
        <v>0</v>
      </c>
      <c r="BJ8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8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87">
        <f>IFERROR(-VLOOKUP(INDEX(ENGINEER_ROLES,MATCH(PART_NUMBER_GENERATOR_TABLE[[#This Row],[Work Role]],settings.Table_Engineer.Roles[ID],0),1),Settings_Hidden!$H$359:$K$366,4,FALSE),0)</f>
        <v>0</v>
      </c>
      <c r="BM87" s="680">
        <f>-Summary!$C$66</f>
        <v>0</v>
      </c>
      <c r="BN87" s="465">
        <f>PART_NUMBER_GENERATOR_TABLE[[#This Row],[Total Base Price]]*MIN(PART_NUMBER_GENERATOR_TABLE[[#This Row],[Rate Service Discount]:[Flat Service Discount]])</f>
        <v>0</v>
      </c>
      <c r="BO87" s="451" t="str">
        <f>IF(PART_NUMBER_GENERATOR_TABLE[[#This Row],[Quantity]]&lt;&gt;0,MAX($BO$30:BO86)+1,"")</f>
        <v/>
      </c>
      <c r="BP87" t="str">
        <f>PART_NUMBER_GENERATOR_TABLE[[#This Row],[Part Number]]</f>
        <v>A-PS-E-SECNET-SSE-BH</v>
      </c>
      <c r="BQ87">
        <f>PART_NUMBER_GENERATOR_TABLE[[#This Row],[Total Hours]]</f>
        <v>0</v>
      </c>
      <c r="BR87">
        <f>PART_NUMBER_GENERATOR_TABLE[[#This Row],[Cost Rate]]</f>
        <v>149.91839058446394</v>
      </c>
      <c r="BS87" s="465">
        <f>PART_NUMBER_GENERATOR_TABLE[[#This Row],[Sell Rate]]+(PART_NUMBER_GENERATOR_TABLE[[#This Row],[Sell Rate]]*MIN(PART_NUMBER_GENERATOR_TABLE[[#This Row],[Rate Service Discount]:[Flat Service Discount]]))</f>
        <v>280.5</v>
      </c>
    </row>
    <row r="88" spans="1:71">
      <c r="A88">
        <v>58</v>
      </c>
      <c r="C88" t="s">
        <v>1084</v>
      </c>
      <c r="D88" t="str" cm="1">
        <f t="array" ref="D88">INDEX(Table.Settings_Skill.List[Skill Name],MATCH(INDEX(_xlfn.TEXTSPLIT(C88,"-",,TRUE),4),Table.Settings_Skill.List[Skill Code],0),1)</f>
        <v>Security</v>
      </c>
      <c r="E88" t="str" cm="1">
        <f t="array" ref="E88">INDEX(_xlfn.TEXTSPLIT(C88,"-",,TRUE),5)</f>
        <v>SCE</v>
      </c>
      <c r="F88" t="str">
        <f>IFERROR(INDEX(settings.Table_Engineer.Roles[Department Code],MATCH(PART_NUMBER_GENERATOR_TABLE[[#This Row],[Work Role]],settings.Table_Engineer.Roles[ID],0),1),"PMO")</f>
        <v>ENG</v>
      </c>
      <c r="G88" t="str" cm="1">
        <f t="array" ref="G88">INDEX(_xlfn.TEXTSPLIT(C88,"-",,TRUE),6)</f>
        <v>BH</v>
      </c>
      <c r="H8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8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88" cm="1">
        <f t="array" ref="J88">IF(J$1&lt;&gt;PART_NUMBER_GENERATOR_TABLE[[#This Row],[Work Role]:[Work Role]],0,
IF(RIGHT(J$30,2)&lt;&gt;PART_NUMBER_GENERATOR_TABLE[[#This Row],[Work Type]:[Work Type]],0,
SUMIFS(Input_Tasks[R1 Business Hours],Input_Tasks[[Skill Required]:[Skill Required]],PART_NUMBER_GENERATOR_TABLE[[#This Row],[Tech]:[Tech]])))</f>
        <v>0</v>
      </c>
      <c r="K88" cm="1">
        <f t="array" ref="K88">IF(K$1&lt;&gt;PART_NUMBER_GENERATOR_TABLE[[#This Row],[Work Role]:[Work Role]],0,
IF(RIGHT(K$30,2)&lt;&gt;PART_NUMBER_GENERATOR_TABLE[[#This Row],[Work Type]:[Work Type]],0,
SUMIFS(Input_Tasks[R1 After Hours],Input_Tasks[[Skill Required]:[Skill Required]],PART_NUMBER_GENERATOR_TABLE[[#This Row],[Tech]:[Tech]])))</f>
        <v>0</v>
      </c>
      <c r="L88" cm="1">
        <f t="array" ref="L88">IF(L$1&lt;&gt;PART_NUMBER_GENERATOR_TABLE[[#This Row],[Work Role]:[Work Role]],0,
IF(RIGHT(L$30,2)&lt;&gt;PART_NUMBER_GENERATOR_TABLE[[#This Row],[Work Type]:[Work Type]],0,
SUMIFS(Input_Tasks[R2 Business Hours],Input_Tasks[[Skill Required]:[Skill Required]],PART_NUMBER_GENERATOR_TABLE[[#This Row],[Tech]:[Tech]])))</f>
        <v>0</v>
      </c>
      <c r="M88" cm="1">
        <f t="array" ref="M88">IF(M$1&lt;&gt;PART_NUMBER_GENERATOR_TABLE[[#This Row],[Work Role]:[Work Role]],0,
IF(RIGHT(M$30,2)&lt;&gt;PART_NUMBER_GENERATOR_TABLE[[#This Row],[Work Type]:[Work Type]],0,
SUMIFS(Input_Tasks[R2 After Hours],Input_Tasks[[Skill Required]:[Skill Required]],PART_NUMBER_GENERATOR_TABLE[[#This Row],[Tech]:[Tech]])))</f>
        <v>0</v>
      </c>
      <c r="N88" cm="1">
        <f t="array" ref="N88">IF(N$1&lt;&gt;PART_NUMBER_GENERATOR_TABLE[[#This Row],[Work Role]:[Work Role]],0,
IF(RIGHT(N$30,2)&lt;&gt;PART_NUMBER_GENERATOR_TABLE[[#This Row],[Work Type]:[Work Type]],0,
SUMIFS(Input_Tasks[R3 Business Hours],Input_Tasks[[Skill Required]:[Skill Required]],PART_NUMBER_GENERATOR_TABLE[[#This Row],[Tech]:[Tech]])))</f>
        <v>0</v>
      </c>
      <c r="O88" cm="1">
        <f t="array" ref="O88">IF(O$1&lt;&gt;PART_NUMBER_GENERATOR_TABLE[[#This Row],[Work Role]:[Work Role]],0,
IF(RIGHT(O$30,2)&lt;&gt;PART_NUMBER_GENERATOR_TABLE[[#This Row],[Work Type]:[Work Type]],0,
SUMIFS(Input_Tasks[R3 After Hours],Input_Tasks[[Skill Required]:[Skill Required]],PART_NUMBER_GENERATOR_TABLE[[#This Row],[Tech]:[Tech]])))</f>
        <v>0</v>
      </c>
      <c r="P88" cm="1">
        <f t="array" ref="P88">IF(P$1&lt;&gt;PART_NUMBER_GENERATOR_TABLE[[#This Row],[Work Role]:[Work Role]],0,
IF(RIGHT(P$30,2)&lt;&gt;PART_NUMBER_GENERATOR_TABLE[[#This Row],[Work Type]:[Work Type]],0,
SUMIFS(Input_Tasks[R4 Business Hours],Input_Tasks[[Skill Required]:[Skill Required]],PART_NUMBER_GENERATOR_TABLE[[#This Row],[Tech]:[Tech]])))</f>
        <v>0</v>
      </c>
      <c r="Q88" cm="1">
        <f t="array" ref="Q88">IF(Q$1&lt;&gt;PART_NUMBER_GENERATOR_TABLE[[#This Row],[Work Role]:[Work Role]],0,
IF(RIGHT(Q$30,2)&lt;&gt;PART_NUMBER_GENERATOR_TABLE[[#This Row],[Work Type]:[Work Type]],0,
SUMIFS(Input_Tasks[R4 After Hours],Input_Tasks[[Skill Required]:[Skill Required]],PART_NUMBER_GENERATOR_TABLE[[#This Row],[Tech]:[Tech]])))</f>
        <v>0</v>
      </c>
      <c r="R88" cm="1">
        <f t="array" ref="R88">IF(R$1&lt;&gt;PART_NUMBER_GENERATOR_TABLE[[#This Row],[Work Role]:[Work Role]],0,
IF(RIGHT(R$30,2)&lt;&gt;PART_NUMBER_GENERATOR_TABLE[[#This Row],[Work Type]:[Work Type]],0,
SUMIFS(Input_Tasks[R5 Business Hours],Input_Tasks[[Skill Required]:[Skill Required]],PART_NUMBER_GENERATOR_TABLE[[#This Row],[Tech]:[Tech]])))</f>
        <v>0</v>
      </c>
      <c r="S88" cm="1">
        <f t="array" ref="S88">IF(S$1&lt;&gt;PART_NUMBER_GENERATOR_TABLE[[#This Row],[Work Role]:[Work Role]],0,
IF(RIGHT(S$30,2)&lt;&gt;PART_NUMBER_GENERATOR_TABLE[[#This Row],[Work Type]:[Work Type]],0,
SUMIFS(Input_Tasks[R5 After Hours],Input_Tasks[[Skill Required]:[Skill Required]],PART_NUMBER_GENERATOR_TABLE[[#This Row],[Tech]:[Tech]])))</f>
        <v>0</v>
      </c>
      <c r="T88" cm="1">
        <f t="array" ref="T88">IF(PART_NUMBER_GENERATOR_TABLE[[#This Row],[Work Role]:[Work Role]]&lt;&gt;T$1,0,
IF(PART_NUMBER_GENERATOR_TABLE[[#This Row],[Work Type]:[Work Type]]&lt;&gt;"BH",0,
SUMIFS(T$9:T$24,$M$9:$M$24,PART_NUMBER_GENERATOR_TABLE[[#This Row],[Tech]:[Tech]])))</f>
        <v>0</v>
      </c>
      <c r="U88" cm="1">
        <f t="array" ref="U88">IF(PART_NUMBER_GENERATOR_TABLE[[#This Row],[Work Role]:[Work Role]]&lt;&gt;U$1,0,
IF(PART_NUMBER_GENERATOR_TABLE[[#This Row],[Work Type]:[Work Type]]&lt;&gt;"BH",0,
SUMIFS(U$9:U$24,$M$9:$M$24,PART_NUMBER_GENERATOR_TABLE[[#This Row],[Tech]:[Tech]])))</f>
        <v>0</v>
      </c>
      <c r="V88" cm="1">
        <f t="array" ref="V88">IF(PART_NUMBER_GENERATOR_TABLE[[#This Row],[Work Role]:[Work Role]]&lt;&gt;V$1,0,
IF(PART_NUMBER_GENERATOR_TABLE[[#This Row],[Work Type]:[Work Type]]&lt;&gt;"BH",0,
SUMIFS(V$9:V$24,$M$9:$M$24,PART_NUMBER_GENERATOR_TABLE[[#This Row],[Tech]:[Tech]])))</f>
        <v>0</v>
      </c>
      <c r="W88" cm="1">
        <f t="array" ref="W88">IF(PART_NUMBER_GENERATOR_TABLE[[#This Row],[Work Role]:[Work Role]]&lt;&gt;W$1,0,
IF(PART_NUMBER_GENERATOR_TABLE[[#This Row],[Work Type]:[Work Type]]&lt;&gt;"BH",0,
SUMIFS(W$9:W$24,$M$9:$M$24,PART_NUMBER_GENERATOR_TABLE[[#This Row],[Tech]:[Tech]])))</f>
        <v>0</v>
      </c>
      <c r="X88" cm="1">
        <f t="array" ref="X88">IF(PART_NUMBER_GENERATOR_TABLE[[#This Row],[Work Role]:[Work Role]]&lt;&gt;X$1,0,
IF(PART_NUMBER_GENERATOR_TABLE[[#This Row],[Work Type]:[Work Type]]&lt;&gt;"BH",0,
SUMIFS(X$9:X$24,$M$9:$M$24,PART_NUMBER_GENERATOR_TABLE[[#This Row],[Tech]:[Tech]])))</f>
        <v>0</v>
      </c>
      <c r="Y88" cm="1">
        <f t="array" ref="Y88">IF(PART_NUMBER_GENERATOR_TABLE[[#This Row],[Work Role]:[Work Role]]&lt;&gt;Y$1,0,
IF(PART_NUMBER_GENERATOR_TABLE[[#This Row],[Work Type]:[Work Type]]&lt;&gt;"BH",0,
SUMIFS(Y$9:Y$24,$M$9:$M$24,PART_NUMBER_GENERATOR_TABLE[[#This Row],[Tech]:[Tech]])))</f>
        <v>0</v>
      </c>
      <c r="Z88" cm="1">
        <f t="array" ref="Z88">IF(PART_NUMBER_GENERATOR_TABLE[[#This Row],[Work Role]:[Work Role]]&lt;&gt;Z$1,0,
IF(PART_NUMBER_GENERATOR_TABLE[[#This Row],[Work Type]:[Work Type]]&lt;&gt;"BH",0,
SUMIFS(Z$9:Z$24,$M$9:$M$24,PART_NUMBER_GENERATOR_TABLE[[#This Row],[Tech]:[Tech]])))</f>
        <v>0</v>
      </c>
      <c r="AA88" cm="1">
        <f t="array" ref="AA88">IF(PART_NUMBER_GENERATOR_TABLE[[#This Row],[Work Role]:[Work Role]]&lt;&gt;AA$1,0,
IF(PART_NUMBER_GENERATOR_TABLE[[#This Row],[Work Type]:[Work Type]]&lt;&gt;"BH",0,
SUMIFS(AA$9:AA$24,$M$9:$M$24,PART_NUMBER_GENERATOR_TABLE[[#This Row],[Tech]:[Tech]])))</f>
        <v>0</v>
      </c>
      <c r="AB88" cm="1">
        <f t="array" ref="AB88">IF(PART_NUMBER_GENERATOR_TABLE[[#This Row],[Work Role]:[Work Role]]&lt;&gt;AB$1,0,
IF(PART_NUMBER_GENERATOR_TABLE[[#This Row],[Work Type]:[Work Type]]&lt;&gt;"BH",0,
SUMIFS(AB$9:AB$24,$M$9:$M$24,PART_NUMBER_GENERATOR_TABLE[[#This Row],[Tech]:[Tech]])))</f>
        <v>0</v>
      </c>
      <c r="AC88" cm="1">
        <f t="array" ref="AC88">IF(PART_NUMBER_GENERATOR_TABLE[[#This Row],[Work Role]:[Work Role]]&lt;&gt;AC$1,0,
IF(PART_NUMBER_GENERATOR_TABLE[[#This Row],[Work Type]:[Work Type]]&lt;&gt;"BH",0,
SUMIFS(AC$9:AC$24,$M$9:$M$24,PART_NUMBER_GENERATOR_TABLE[[#This Row],[Tech]:[Tech]])))</f>
        <v>0</v>
      </c>
      <c r="AD88" cm="1">
        <f t="array" ref="AD88">IF(PART_NUMBER_GENERATOR_TABLE[[#This Row],[Work Role]:[Work Role]]&lt;&gt;AD$1,0,
IF(PART_NUMBER_GENERATOR_TABLE[[#This Row],[Work Type]:[Work Type]]&lt;&gt;"BH",0,
SUMIFS(AD$9:AD$24,$M$9:$M$24,PART_NUMBER_GENERATOR_TABLE[[#This Row],[Tech]:[Tech]])))</f>
        <v>0</v>
      </c>
      <c r="AE88" cm="1">
        <f t="array" ref="AE88">IF(PART_NUMBER_GENERATOR_TABLE[[#This Row],[Work Role]:[Work Role]]&lt;&gt;AE$1,0,
IF(PART_NUMBER_GENERATOR_TABLE[[#This Row],[Work Type]:[Work Type]]&lt;&gt;"BH",0,
SUMIFS(AE$9:AE$24,$M$9:$M$24,PART_NUMBER_GENERATOR_TABLE[[#This Row],[Tech]:[Tech]])))</f>
        <v>0</v>
      </c>
      <c r="AF88" cm="1">
        <f t="array" ref="AF88">IF(PART_NUMBER_GENERATOR_TABLE[[#This Row],[Work Role]:[Work Role]]&lt;&gt;AF$1,0,
IF(PART_NUMBER_GENERATOR_TABLE[[#This Row],[Work Type]:[Work Type]]&lt;&gt;"BH",0,
SUMIFS(AF$9:AF$24,$M$9:$M$24,PART_NUMBER_GENERATOR_TABLE[[#This Row],[Tech]:[Tech]])))</f>
        <v>0</v>
      </c>
      <c r="AG88" cm="1">
        <f t="array" ref="AG88">IF(PART_NUMBER_GENERATOR_TABLE[[#This Row],[Work Role]:[Work Role]]&lt;&gt;AG$1,0,
IF(PART_NUMBER_GENERATOR_TABLE[[#This Row],[Work Type]:[Work Type]]&lt;&gt;"AH",0,
SUMIFS(AG$9:AG$24,$M$9:$M$24,PART_NUMBER_GENERATOR_TABLE[[#This Row],[Tech]:[Tech]])))</f>
        <v>0</v>
      </c>
      <c r="AH88" cm="1">
        <f t="array" ref="AH88">IF(PART_NUMBER_GENERATOR_TABLE[[#This Row],[Work Role]:[Work Role]]&lt;&gt;AH$1,0,
IF(PART_NUMBER_GENERATOR_TABLE[[#This Row],[Work Type]:[Work Type]]&lt;&gt;"BH",0,
SUMIFS(AH$9:AH$24,$M$9:$M$24,PART_NUMBER_GENERATOR_TABLE[[#This Row],[Tech]:[Tech]])))</f>
        <v>0</v>
      </c>
      <c r="AI88" cm="1">
        <f t="array" ref="AI88">IF(PART_NUMBER_GENERATOR_TABLE[[#This Row],[Work Role]:[Work Role]]&lt;&gt;AI$1,0,
IF(PART_NUMBER_GENERATOR_TABLE[[#This Row],[Work Type]:[Work Type]]&lt;&gt;"BH",0,
SUMIFS(AI$9:AI$24,$M$9:$M$24,PART_NUMBER_GENERATOR_TABLE[[#This Row],[Tech]:[Tech]])))</f>
        <v>0</v>
      </c>
      <c r="AJ88" cm="1">
        <f t="array" ref="AJ88">IF(PART_NUMBER_GENERATOR_TABLE[[#This Row],[Work Role]:[Work Role]]&lt;&gt;AJ$1,0,
IF(PART_NUMBER_GENERATOR_TABLE[[#This Row],[Work Type]:[Work Type]]&lt;&gt;"BH",0,
SUMIFS(AJ$9:AJ$24,$M$9:$M$24,PART_NUMBER_GENERATOR_TABLE[[#This Row],[Tech]:[Tech]])))</f>
        <v>0</v>
      </c>
      <c r="AK88" cm="1">
        <f t="array" ref="AK88">IF(PART_NUMBER_GENERATOR_TABLE[[#This Row],[Work Role]:[Work Role]]&lt;&gt;AK$1,0,
IF(PART_NUMBER_GENERATOR_TABLE[[#This Row],[Work Type]:[Work Type]]&lt;&gt;"AH",0,
SUMIFS(AK$9:AK$24,$M$9:$M$24,PART_NUMBER_GENERATOR_TABLE[[#This Row],[Tech]:[Tech]])))</f>
        <v>0</v>
      </c>
      <c r="AL88" cm="1">
        <f t="array" ref="AL88">IF(PART_NUMBER_GENERATOR_TABLE[[#This Row],[Work Role]:[Work Role]]&lt;&gt;AL$1,0,
IF(PART_NUMBER_GENERATOR_TABLE[[#This Row],[Work Type]:[Work Type]]&lt;&gt;"BH",0,
SUMIFS(AL$9:AL$24,$M$9:$M$24,PART_NUMBER_GENERATOR_TABLE[[#This Row],[Tech]:[Tech]])))</f>
        <v>0</v>
      </c>
      <c r="AM88">
        <f>0</f>
        <v>0</v>
      </c>
      <c r="AN88" cm="1">
        <f t="array" ref="AN88">IF(PART_NUMBER_GENERATOR_TABLE[[#This Row],[Work Role]:[Work Role]]&lt;&gt;AN$1,0,
IF(PART_NUMBER_GENERATOR_TABLE[[#This Row],[Work Type]:[Work Type]]&lt;&gt;"BH",0,
SUMIFS(AN$24,$AM$24,PART_NUMBER_GENERATOR_TABLE[[#This Row],[Tech]:[Tech]])))</f>
        <v>0</v>
      </c>
      <c r="AO88" cm="1">
        <f t="array" ref="AO88">IF(PART_NUMBER_GENERATOR_TABLE[[#This Row],[Work Role]:[Work Role]]&lt;&gt;AO$1,0,
IF(PART_NUMBER_GENERATOR_TABLE[[#This Row],[Work Type]:[Work Type]]&lt;&gt;"BH",0,
SUMIFS(AO$24,$AM$24,PART_NUMBER_GENERATOR_TABLE[[#This Row],[Tech]:[Tech]])))</f>
        <v>0</v>
      </c>
      <c r="AP88" cm="1">
        <f t="array" ref="AP88">IF(PART_NUMBER_GENERATOR_TABLE[[#This Row],[Work Role]:[Work Role]]&lt;&gt;AP$1,0,
IF(PART_NUMBER_GENERATOR_TABLE[[#This Row],[Work Type]:[Work Type]]&lt;&gt;"BH",0,
SUMIFS(AP$24,$AM$24,PART_NUMBER_GENERATOR_TABLE[[#This Row],[Tech]:[Tech]])))</f>
        <v>0</v>
      </c>
      <c r="AQ88" cm="1">
        <f t="array" ref="AQ88">IF(PART_NUMBER_GENERATOR_TABLE[[#This Row],[Work Role]:[Work Role]]&lt;&gt;AQ$1,0,
IF(PART_NUMBER_GENERATOR_TABLE[[#This Row],[Work Type]:[Work Type]]&lt;&gt;"BH",0,
SUMIFS(AQ$24,$AM$24,PART_NUMBER_GENERATOR_TABLE[[#This Row],[Tech]:[Tech]])))</f>
        <v>0</v>
      </c>
      <c r="AR88" cm="1">
        <f t="array" ref="AR88">IF(PART_NUMBER_GENERATOR_TABLE[[#This Row],[Work Role]:[Work Role]]&lt;&gt;AR$1,0,
IF(PART_NUMBER_GENERATOR_TABLE[[#This Row],[Work Type]:[Work Type]]&lt;&gt;"BH",0,
SUMIFS(AR$24,$AM$24,PART_NUMBER_GENERATOR_TABLE[[#This Row],[Tech]:[Tech]])))</f>
        <v>0</v>
      </c>
      <c r="AS88" cm="1">
        <f t="array" ref="AS88">IF(PART_NUMBER_GENERATOR_TABLE[[#This Row],[Work Role]:[Work Role]]&lt;&gt;AS$1,0,
IF(PART_NUMBER_GENERATOR_TABLE[[#This Row],[Work Type]:[Work Type]]&lt;&gt;"BH",0,
SUMIFS(AS$24,$AM$24,PART_NUMBER_GENERATOR_TABLE[[#This Row],[Tech]:[Tech]])))</f>
        <v>0</v>
      </c>
      <c r="AT88" cm="1">
        <f t="array" ref="AT88">IF(PART_NUMBER_GENERATOR_TABLE[[#This Row],[Work Role]:[Work Role]]&lt;&gt;AS$1,0,
IF(PART_NUMBER_GENERATOR_TABLE[[#This Row],[Work Type]:[Work Type]]&lt;&gt;"BH",0,
SUMIFS(AT$24,$AM$24,PART_NUMBER_GENERATOR_TABLE[[#This Row],[Tech]:[Tech]])))</f>
        <v>0</v>
      </c>
      <c r="AU88">
        <f>SUM(PART_NUMBER_GENERATOR_TABLE[[#This Row],[Resource 1 BH]:[Resource 5 AH]],PART_NUMBER_GENERATOR_TABLE[[#This Row],[R1 Mandatory Tasks]:[R5 Mandatory Tasks]],PART_NUMBER_GENERATOR_TABLE[[#This Row],[R1 Remainder]:[R5 Remainder]])</f>
        <v>0</v>
      </c>
      <c r="AV88">
        <f>PART_NUMBER_GENERATOR_TABLE[[#This Row],[Professional Engineering Hours]]*PART_NUMBER_GENERATOR_TABLE[[#This Row],[Sell Rate]]</f>
        <v>0</v>
      </c>
      <c r="AW88">
        <f>PART_NUMBER_GENERATOR_TABLE[[#This Row],[Professional Engineering Hours]]*PART_NUMBER_GENERATOR_TABLE[[#This Row],[Cost Rate]]</f>
        <v>0</v>
      </c>
      <c r="AX88">
        <f>SUM(PART_NUMBER_GENERATOR_TABLE[[#This Row],[PM Trips]:[R5 Trips]])</f>
        <v>0</v>
      </c>
      <c r="AY88">
        <f>PART_NUMBER_GENERATOR_TABLE[[#This Row],[Travel &amp; Accommodation Hours]]*PART_NUMBER_GENERATOR_TABLE[[#This Row],[Sell Rate]]</f>
        <v>0</v>
      </c>
      <c r="AZ88">
        <f>PART_NUMBER_GENERATOR_TABLE[[#This Row],[Travel &amp; Accommodation Hours]]*PART_NUMBER_GENERATOR_TABLE[[#This Row],[Cost Rate]]</f>
        <v>0</v>
      </c>
      <c r="BA88">
        <f>PART_NUMBER_GENERATOR_TABLE[[#This Row],[PM Hours]]+PART_NUMBER_GENERATOR_TABLE[[#This Row],[PM Remainder]]</f>
        <v>0</v>
      </c>
      <c r="BB88">
        <f>PART_NUMBER_GENERATOR_TABLE[[#This Row],[Project Management Hours]]*PART_NUMBER_GENERATOR_TABLE[[#This Row],[Sell Rate]]</f>
        <v>0</v>
      </c>
      <c r="BC88">
        <f>PART_NUMBER_GENERATOR_TABLE[[#This Row],[Project Management Hours]]*PART_NUMBER_GENERATOR_TABLE[[#This Row],[Cost Rate]]</f>
        <v>0</v>
      </c>
      <c r="BD88">
        <f>SUM(PART_NUMBER_GENERATOR_TABLE[[#This Row],[SSE RISK BH]:[PM RISK]],PART_NUMBER_GENERATOR_TABLE[[#This Row],[SSE Remainder RISK BH]:[PM Remainder RISK]])</f>
        <v>0</v>
      </c>
      <c r="BE88">
        <f>PART_NUMBER_GENERATOR_TABLE[[#This Row],[Project Risk Service Hours]]*PART_NUMBER_GENERATOR_TABLE[[#This Row],[Sell Rate]]</f>
        <v>0</v>
      </c>
      <c r="BF88">
        <f>PART_NUMBER_GENERATOR_TABLE[[#This Row],[Project Risk Service Hours]]*PART_NUMBER_GENERATOR_TABLE[[#This Row],[Cost Rate]]</f>
        <v>0</v>
      </c>
      <c r="BG88">
        <f>PART_NUMBER_GENERATOR_TABLE[[#This Row],[SSE RISK TRAVEL]]</f>
        <v>0</v>
      </c>
      <c r="BH88">
        <f>PART_NUMBER_GENERATOR_TABLE[[#This Row],[Sell Rate]]*PART_NUMBER_GENERATOR_TABLE[[#This Row],[Project Risk Travel Hours]]</f>
        <v>0</v>
      </c>
      <c r="BI88">
        <f>PART_NUMBER_GENERATOR_TABLE[[#This Row],[Project Risk Travel Hours]]*PART_NUMBER_GENERATOR_TABLE[[#This Row],[Cost Rate]]</f>
        <v>0</v>
      </c>
      <c r="BJ8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8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88">
        <f>IFERROR(-VLOOKUP(INDEX(ENGINEER_ROLES,MATCH(PART_NUMBER_GENERATOR_TABLE[[#This Row],[Work Role]],settings.Table_Engineer.Roles[ID],0),1),Settings_Hidden!$H$359:$K$366,4,FALSE),0)</f>
        <v>0</v>
      </c>
      <c r="BM88" s="680">
        <f>-Summary!$C$66</f>
        <v>0</v>
      </c>
      <c r="BN88" s="465">
        <f>PART_NUMBER_GENERATOR_TABLE[[#This Row],[Total Base Price]]*MIN(PART_NUMBER_GENERATOR_TABLE[[#This Row],[Rate Service Discount]:[Flat Service Discount]])</f>
        <v>0</v>
      </c>
      <c r="BO88" s="451" t="str">
        <f>IF(PART_NUMBER_GENERATOR_TABLE[[#This Row],[Quantity]]&lt;&gt;0,MAX($BO$30:BO87)+1,"")</f>
        <v/>
      </c>
      <c r="BP88" t="str">
        <f>PART_NUMBER_GENERATOR_TABLE[[#This Row],[Part Number]]</f>
        <v>A-PS-E-SECNET-SCE-BH</v>
      </c>
      <c r="BQ88">
        <f>PART_NUMBER_GENERATOR_TABLE[[#This Row],[Total Hours]]</f>
        <v>0</v>
      </c>
      <c r="BR88">
        <f>PART_NUMBER_GENERATOR_TABLE[[#This Row],[Cost Rate]]</f>
        <v>167.61034913968996</v>
      </c>
      <c r="BS88" s="465">
        <f>PART_NUMBER_GENERATOR_TABLE[[#This Row],[Sell Rate]]+(PART_NUMBER_GENERATOR_TABLE[[#This Row],[Sell Rate]]*MIN(PART_NUMBER_GENERATOR_TABLE[[#This Row],[Rate Service Discount]:[Flat Service Discount]]))</f>
        <v>315</v>
      </c>
    </row>
    <row r="89" spans="1:71">
      <c r="A89">
        <v>59</v>
      </c>
      <c r="C89" t="s">
        <v>1132</v>
      </c>
      <c r="D89" t="str" cm="1">
        <f t="array" ref="D89">INDEX(Table.Settings_Skill.List[Skill Name],MATCH(INDEX(_xlfn.TEXTSPLIT(C89,"-",,TRUE),4),Table.Settings_Skill.List[Skill Code],0),1)</f>
        <v>Travel</v>
      </c>
      <c r="E89" t="str" cm="1">
        <f t="array" ref="E89">INDEX(_xlfn.TEXTSPLIT(C89,"-",,TRUE),5)</f>
        <v>SCE</v>
      </c>
      <c r="F89" t="str">
        <f>IFERROR(INDEX(settings.Table_Engineer.Roles[Department Code],MATCH(PART_NUMBER_GENERATOR_TABLE[[#This Row],[Work Role]],settings.Table_Engineer.Roles[ID],0),1),"PMO")</f>
        <v>ENG</v>
      </c>
      <c r="G89" t="str" cm="1">
        <f t="array" ref="G89">INDEX(_xlfn.TEXTSPLIT(C89,"-",,TRUE),6)</f>
        <v>BH</v>
      </c>
      <c r="H8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8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89" cm="1">
        <f t="array" ref="J89">IF(J$1&lt;&gt;PART_NUMBER_GENERATOR_TABLE[[#This Row],[Work Role]:[Work Role]],0,
IF(RIGHT(J$30,2)&lt;&gt;PART_NUMBER_GENERATOR_TABLE[[#This Row],[Work Type]:[Work Type]],0,
SUMIFS(Input_Tasks[R1 Business Hours],Input_Tasks[[Skill Required]:[Skill Required]],PART_NUMBER_GENERATOR_TABLE[[#This Row],[Tech]:[Tech]])))</f>
        <v>0</v>
      </c>
      <c r="K89" cm="1">
        <f t="array" ref="K89">IF(K$1&lt;&gt;PART_NUMBER_GENERATOR_TABLE[[#This Row],[Work Role]:[Work Role]],0,
IF(RIGHT(K$30,2)&lt;&gt;PART_NUMBER_GENERATOR_TABLE[[#This Row],[Work Type]:[Work Type]],0,
SUMIFS(Input_Tasks[R1 After Hours],Input_Tasks[[Skill Required]:[Skill Required]],PART_NUMBER_GENERATOR_TABLE[[#This Row],[Tech]:[Tech]])))</f>
        <v>0</v>
      </c>
      <c r="L89" cm="1">
        <f t="array" ref="L89">IF(L$1&lt;&gt;PART_NUMBER_GENERATOR_TABLE[[#This Row],[Work Role]:[Work Role]],0,
IF(RIGHT(L$30,2)&lt;&gt;PART_NUMBER_GENERATOR_TABLE[[#This Row],[Work Type]:[Work Type]],0,
SUMIFS(Input_Tasks[R2 Business Hours],Input_Tasks[[Skill Required]:[Skill Required]],PART_NUMBER_GENERATOR_TABLE[[#This Row],[Tech]:[Tech]])))</f>
        <v>0</v>
      </c>
      <c r="M89" cm="1">
        <f t="array" ref="M89">IF(M$1&lt;&gt;PART_NUMBER_GENERATOR_TABLE[[#This Row],[Work Role]:[Work Role]],0,
IF(RIGHT(M$30,2)&lt;&gt;PART_NUMBER_GENERATOR_TABLE[[#This Row],[Work Type]:[Work Type]],0,
SUMIFS(Input_Tasks[R2 After Hours],Input_Tasks[[Skill Required]:[Skill Required]],PART_NUMBER_GENERATOR_TABLE[[#This Row],[Tech]:[Tech]])))</f>
        <v>0</v>
      </c>
      <c r="N89" cm="1">
        <f t="array" ref="N89">IF(N$1&lt;&gt;PART_NUMBER_GENERATOR_TABLE[[#This Row],[Work Role]:[Work Role]],0,
IF(RIGHT(N$30,2)&lt;&gt;PART_NUMBER_GENERATOR_TABLE[[#This Row],[Work Type]:[Work Type]],0,
SUMIFS(Input_Tasks[R3 Business Hours],Input_Tasks[[Skill Required]:[Skill Required]],PART_NUMBER_GENERATOR_TABLE[[#This Row],[Tech]:[Tech]])))</f>
        <v>0</v>
      </c>
      <c r="O89" cm="1">
        <f t="array" ref="O89">IF(O$1&lt;&gt;PART_NUMBER_GENERATOR_TABLE[[#This Row],[Work Role]:[Work Role]],0,
IF(RIGHT(O$30,2)&lt;&gt;PART_NUMBER_GENERATOR_TABLE[[#This Row],[Work Type]:[Work Type]],0,
SUMIFS(Input_Tasks[R3 After Hours],Input_Tasks[[Skill Required]:[Skill Required]],PART_NUMBER_GENERATOR_TABLE[[#This Row],[Tech]:[Tech]])))</f>
        <v>0</v>
      </c>
      <c r="P89" cm="1">
        <f t="array" ref="P89">IF(P$1&lt;&gt;PART_NUMBER_GENERATOR_TABLE[[#This Row],[Work Role]:[Work Role]],0,
IF(RIGHT(P$30,2)&lt;&gt;PART_NUMBER_GENERATOR_TABLE[[#This Row],[Work Type]:[Work Type]],0,
SUMIFS(Input_Tasks[R4 Business Hours],Input_Tasks[[Skill Required]:[Skill Required]],PART_NUMBER_GENERATOR_TABLE[[#This Row],[Tech]:[Tech]])))</f>
        <v>0</v>
      </c>
      <c r="Q89" cm="1">
        <f t="array" ref="Q89">IF(Q$1&lt;&gt;PART_NUMBER_GENERATOR_TABLE[[#This Row],[Work Role]:[Work Role]],0,
IF(RIGHT(Q$30,2)&lt;&gt;PART_NUMBER_GENERATOR_TABLE[[#This Row],[Work Type]:[Work Type]],0,
SUMIFS(Input_Tasks[R4 After Hours],Input_Tasks[[Skill Required]:[Skill Required]],PART_NUMBER_GENERATOR_TABLE[[#This Row],[Tech]:[Tech]])))</f>
        <v>0</v>
      </c>
      <c r="R89" cm="1">
        <f t="array" ref="R89">IF(R$1&lt;&gt;PART_NUMBER_GENERATOR_TABLE[[#This Row],[Work Role]:[Work Role]],0,
IF(RIGHT(R$30,2)&lt;&gt;PART_NUMBER_GENERATOR_TABLE[[#This Row],[Work Type]:[Work Type]],0,
SUMIFS(Input_Tasks[R5 Business Hours],Input_Tasks[[Skill Required]:[Skill Required]],PART_NUMBER_GENERATOR_TABLE[[#This Row],[Tech]:[Tech]])))</f>
        <v>0</v>
      </c>
      <c r="S89" cm="1">
        <f t="array" ref="S89">IF(S$1&lt;&gt;PART_NUMBER_GENERATOR_TABLE[[#This Row],[Work Role]:[Work Role]],0,
IF(RIGHT(S$30,2)&lt;&gt;PART_NUMBER_GENERATOR_TABLE[[#This Row],[Work Type]:[Work Type]],0,
SUMIFS(Input_Tasks[R5 After Hours],Input_Tasks[[Skill Required]:[Skill Required]],PART_NUMBER_GENERATOR_TABLE[[#This Row],[Tech]:[Tech]])))</f>
        <v>0</v>
      </c>
      <c r="T89" cm="1">
        <f t="array" ref="T89">IF(PART_NUMBER_GENERATOR_TABLE[[#This Row],[Work Role]:[Work Role]]&lt;&gt;T$1,0,
IF(PART_NUMBER_GENERATOR_TABLE[[#This Row],[Work Type]:[Work Type]]&lt;&gt;"BH",0,
SUMIFS(T$9:T$24,$M$9:$M$24,PART_NUMBER_GENERATOR_TABLE[[#This Row],[Tech]:[Tech]])))</f>
        <v>0</v>
      </c>
      <c r="U89" cm="1">
        <f t="array" ref="U89">IF(PART_NUMBER_GENERATOR_TABLE[[#This Row],[Work Role]:[Work Role]]&lt;&gt;U$1,0,
IF(PART_NUMBER_GENERATOR_TABLE[[#This Row],[Work Type]:[Work Type]]&lt;&gt;"BH",0,
SUMIFS(U$9:U$24,$M$9:$M$24,PART_NUMBER_GENERATOR_TABLE[[#This Row],[Tech]:[Tech]])))</f>
        <v>0</v>
      </c>
      <c r="V89" cm="1">
        <f t="array" ref="V89">IF(PART_NUMBER_GENERATOR_TABLE[[#This Row],[Work Role]:[Work Role]]&lt;&gt;V$1,0,
IF(PART_NUMBER_GENERATOR_TABLE[[#This Row],[Work Type]:[Work Type]]&lt;&gt;"BH",0,
SUMIFS(V$9:V$24,$M$9:$M$24,PART_NUMBER_GENERATOR_TABLE[[#This Row],[Tech]:[Tech]])))</f>
        <v>0</v>
      </c>
      <c r="W89" cm="1">
        <f t="array" ref="W89">IF(PART_NUMBER_GENERATOR_TABLE[[#This Row],[Work Role]:[Work Role]]&lt;&gt;W$1,0,
IF(PART_NUMBER_GENERATOR_TABLE[[#This Row],[Work Type]:[Work Type]]&lt;&gt;"BH",0,
SUMIFS(W$9:W$24,$M$9:$M$24,PART_NUMBER_GENERATOR_TABLE[[#This Row],[Tech]:[Tech]])))</f>
        <v>0</v>
      </c>
      <c r="X89" cm="1">
        <f t="array" ref="X89">IF(PART_NUMBER_GENERATOR_TABLE[[#This Row],[Work Role]:[Work Role]]&lt;&gt;X$1,0,
IF(PART_NUMBER_GENERATOR_TABLE[[#This Row],[Work Type]:[Work Type]]&lt;&gt;"BH",0,
SUMIFS(X$9:X$24,$M$9:$M$24,PART_NUMBER_GENERATOR_TABLE[[#This Row],[Tech]:[Tech]])))</f>
        <v>0</v>
      </c>
      <c r="Y89" cm="1">
        <f t="array" ref="Y89">IF(PART_NUMBER_GENERATOR_TABLE[[#This Row],[Work Role]:[Work Role]]&lt;&gt;Y$1,0,
IF(PART_NUMBER_GENERATOR_TABLE[[#This Row],[Work Type]:[Work Type]]&lt;&gt;"BH",0,
SUMIFS(Y$9:Y$24,$M$9:$M$24,PART_NUMBER_GENERATOR_TABLE[[#This Row],[Tech]:[Tech]])))</f>
        <v>0</v>
      </c>
      <c r="Z89" cm="1">
        <f t="array" ref="Z89">IF(PART_NUMBER_GENERATOR_TABLE[[#This Row],[Work Role]:[Work Role]]&lt;&gt;Z$1,0,
IF(PART_NUMBER_GENERATOR_TABLE[[#This Row],[Work Type]:[Work Type]]&lt;&gt;"BH",0,
SUMIFS(Z$9:Z$24,$M$9:$M$24,PART_NUMBER_GENERATOR_TABLE[[#This Row],[Tech]:[Tech]])))</f>
        <v>0</v>
      </c>
      <c r="AA89" cm="1">
        <f t="array" ref="AA89">IF(PART_NUMBER_GENERATOR_TABLE[[#This Row],[Work Role]:[Work Role]]&lt;&gt;AA$1,0,
IF(PART_NUMBER_GENERATOR_TABLE[[#This Row],[Work Type]:[Work Type]]&lt;&gt;"BH",0,
SUMIFS(AA$9:AA$24,$M$9:$M$24,PART_NUMBER_GENERATOR_TABLE[[#This Row],[Tech]:[Tech]])))</f>
        <v>0</v>
      </c>
      <c r="AB89" cm="1">
        <f t="array" ref="AB89">IF(PART_NUMBER_GENERATOR_TABLE[[#This Row],[Work Role]:[Work Role]]&lt;&gt;AB$1,0,
IF(PART_NUMBER_GENERATOR_TABLE[[#This Row],[Work Type]:[Work Type]]&lt;&gt;"BH",0,
SUMIFS(AB$9:AB$24,$M$9:$M$24,PART_NUMBER_GENERATOR_TABLE[[#This Row],[Tech]:[Tech]])))</f>
        <v>0</v>
      </c>
      <c r="AC89" cm="1">
        <f t="array" ref="AC89">IF(PART_NUMBER_GENERATOR_TABLE[[#This Row],[Work Role]:[Work Role]]&lt;&gt;AC$1,0,
IF(PART_NUMBER_GENERATOR_TABLE[[#This Row],[Work Type]:[Work Type]]&lt;&gt;"BH",0,
SUMIFS(AC$9:AC$24,$M$9:$M$24,PART_NUMBER_GENERATOR_TABLE[[#This Row],[Tech]:[Tech]])))</f>
        <v>0</v>
      </c>
      <c r="AD89" cm="1">
        <f t="array" ref="AD89">IF(PART_NUMBER_GENERATOR_TABLE[[#This Row],[Work Role]:[Work Role]]&lt;&gt;AD$1,0,
IF(PART_NUMBER_GENERATOR_TABLE[[#This Row],[Work Type]:[Work Type]]&lt;&gt;"BH",0,
SUMIFS(AD$9:AD$24,$M$9:$M$24,PART_NUMBER_GENERATOR_TABLE[[#This Row],[Tech]:[Tech]])))</f>
        <v>0</v>
      </c>
      <c r="AE89" cm="1">
        <f t="array" ref="AE89">IF(PART_NUMBER_GENERATOR_TABLE[[#This Row],[Work Role]:[Work Role]]&lt;&gt;AE$1,0,
IF(PART_NUMBER_GENERATOR_TABLE[[#This Row],[Work Type]:[Work Type]]&lt;&gt;"BH",0,
SUMIFS(AE$9:AE$24,$M$9:$M$24,PART_NUMBER_GENERATOR_TABLE[[#This Row],[Tech]:[Tech]])))</f>
        <v>0</v>
      </c>
      <c r="AF89" cm="1">
        <f t="array" ref="AF89">IF(PART_NUMBER_GENERATOR_TABLE[[#This Row],[Work Role]:[Work Role]]&lt;&gt;AF$1,0,
IF(PART_NUMBER_GENERATOR_TABLE[[#This Row],[Work Type]:[Work Type]]&lt;&gt;"BH",0,
SUMIFS(AF$9:AF$24,$M$9:$M$24,PART_NUMBER_GENERATOR_TABLE[[#This Row],[Tech]:[Tech]])))</f>
        <v>0</v>
      </c>
      <c r="AG89" cm="1">
        <f t="array" ref="AG89">IF(PART_NUMBER_GENERATOR_TABLE[[#This Row],[Work Role]:[Work Role]]&lt;&gt;AG$1,0,
IF(PART_NUMBER_GENERATOR_TABLE[[#This Row],[Work Type]:[Work Type]]&lt;&gt;"AH",0,
SUMIFS(AG$9:AG$24,$M$9:$M$24,PART_NUMBER_GENERATOR_TABLE[[#This Row],[Tech]:[Tech]])))</f>
        <v>0</v>
      </c>
      <c r="AH89" cm="1">
        <f t="array" ref="AH89">IF(PART_NUMBER_GENERATOR_TABLE[[#This Row],[Work Role]:[Work Role]]&lt;&gt;AH$1,0,
IF(PART_NUMBER_GENERATOR_TABLE[[#This Row],[Work Type]:[Work Type]]&lt;&gt;"BH",0,
SUMIFS(AH$9:AH$24,$M$9:$M$24,PART_NUMBER_GENERATOR_TABLE[[#This Row],[Tech]:[Tech]])))</f>
        <v>0</v>
      </c>
      <c r="AI89" cm="1">
        <f t="array" ref="AI89">IF(PART_NUMBER_GENERATOR_TABLE[[#This Row],[Work Role]:[Work Role]]&lt;&gt;AI$1,0,
IF(PART_NUMBER_GENERATOR_TABLE[[#This Row],[Work Type]:[Work Type]]&lt;&gt;"BH",0,
SUMIFS(AI$9:AI$24,$M$9:$M$24,PART_NUMBER_GENERATOR_TABLE[[#This Row],[Tech]:[Tech]])))</f>
        <v>0</v>
      </c>
      <c r="AJ89" cm="1">
        <f t="array" ref="AJ89">IF(PART_NUMBER_GENERATOR_TABLE[[#This Row],[Work Role]:[Work Role]]&lt;&gt;AJ$1,0,
IF(PART_NUMBER_GENERATOR_TABLE[[#This Row],[Work Type]:[Work Type]]&lt;&gt;"BH",0,
SUMIFS(AJ$9:AJ$24,$M$9:$M$24,PART_NUMBER_GENERATOR_TABLE[[#This Row],[Tech]:[Tech]])))</f>
        <v>0</v>
      </c>
      <c r="AK89" cm="1">
        <f t="array" ref="AK89">IF(PART_NUMBER_GENERATOR_TABLE[[#This Row],[Work Role]:[Work Role]]&lt;&gt;AK$1,0,
IF(PART_NUMBER_GENERATOR_TABLE[[#This Row],[Work Type]:[Work Type]]&lt;&gt;"AH",0,
SUMIFS(AK$9:AK$24,$M$9:$M$24,PART_NUMBER_GENERATOR_TABLE[[#This Row],[Tech]:[Tech]])))</f>
        <v>0</v>
      </c>
      <c r="AL89" cm="1">
        <f t="array" ref="AL89">IF(PART_NUMBER_GENERATOR_TABLE[[#This Row],[Work Role]:[Work Role]]&lt;&gt;AL$1,0,
IF(PART_NUMBER_GENERATOR_TABLE[[#This Row],[Work Type]:[Work Type]]&lt;&gt;"BH",0,
SUMIFS(AL$9:AL$24,$M$9:$M$24,PART_NUMBER_GENERATOR_TABLE[[#This Row],[Tech]:[Tech]])))</f>
        <v>0</v>
      </c>
      <c r="AM89">
        <f>0</f>
        <v>0</v>
      </c>
      <c r="AN89" cm="1">
        <f t="array" ref="AN89">IF(PART_NUMBER_GENERATOR_TABLE[[#This Row],[Work Role]:[Work Role]]&lt;&gt;AN$1,0,
IF(PART_NUMBER_GENERATOR_TABLE[[#This Row],[Work Type]:[Work Type]]&lt;&gt;"BH",0,
SUMIFS(AN$24,$AM$24,PART_NUMBER_GENERATOR_TABLE[[#This Row],[Tech]:[Tech]])))</f>
        <v>0</v>
      </c>
      <c r="AO89" cm="1">
        <f t="array" ref="AO89">IF(PART_NUMBER_GENERATOR_TABLE[[#This Row],[Work Role]:[Work Role]]&lt;&gt;AO$1,0,
IF(PART_NUMBER_GENERATOR_TABLE[[#This Row],[Work Type]:[Work Type]]&lt;&gt;"BH",0,
SUMIFS(AO$24,$AM$24,PART_NUMBER_GENERATOR_TABLE[[#This Row],[Tech]:[Tech]])))</f>
        <v>0</v>
      </c>
      <c r="AP89" cm="1">
        <f t="array" ref="AP89">IF(PART_NUMBER_GENERATOR_TABLE[[#This Row],[Work Role]:[Work Role]]&lt;&gt;AP$1,0,
IF(PART_NUMBER_GENERATOR_TABLE[[#This Row],[Work Type]:[Work Type]]&lt;&gt;"BH",0,
SUMIFS(AP$24,$AM$24,PART_NUMBER_GENERATOR_TABLE[[#This Row],[Tech]:[Tech]])))</f>
        <v>0</v>
      </c>
      <c r="AQ89" cm="1">
        <f t="array" ref="AQ89">IF(PART_NUMBER_GENERATOR_TABLE[[#This Row],[Work Role]:[Work Role]]&lt;&gt;AQ$1,0,
IF(PART_NUMBER_GENERATOR_TABLE[[#This Row],[Work Type]:[Work Type]]&lt;&gt;"BH",0,
SUMIFS(AQ$24,$AM$24,PART_NUMBER_GENERATOR_TABLE[[#This Row],[Tech]:[Tech]])))</f>
        <v>0</v>
      </c>
      <c r="AR89" cm="1">
        <f t="array" ref="AR89">IF(PART_NUMBER_GENERATOR_TABLE[[#This Row],[Work Role]:[Work Role]]&lt;&gt;AR$1,0,
IF(PART_NUMBER_GENERATOR_TABLE[[#This Row],[Work Type]:[Work Type]]&lt;&gt;"BH",0,
SUMIFS(AR$24,$AM$24,PART_NUMBER_GENERATOR_TABLE[[#This Row],[Tech]:[Tech]])))</f>
        <v>0</v>
      </c>
      <c r="AS89" cm="1">
        <f t="array" ref="AS89">IF(PART_NUMBER_GENERATOR_TABLE[[#This Row],[Work Role]:[Work Role]]&lt;&gt;AS$1,0,
IF(PART_NUMBER_GENERATOR_TABLE[[#This Row],[Work Type]:[Work Type]]&lt;&gt;"BH",0,
SUMIFS(AS$24,$AM$24,PART_NUMBER_GENERATOR_TABLE[[#This Row],[Tech]:[Tech]])))</f>
        <v>0</v>
      </c>
      <c r="AT89" cm="1">
        <f t="array" ref="AT89">IF(PART_NUMBER_GENERATOR_TABLE[[#This Row],[Work Role]:[Work Role]]&lt;&gt;AS$1,0,
IF(PART_NUMBER_GENERATOR_TABLE[[#This Row],[Work Type]:[Work Type]]&lt;&gt;"BH",0,
SUMIFS(AT$24,$AM$24,PART_NUMBER_GENERATOR_TABLE[[#This Row],[Tech]:[Tech]])))</f>
        <v>0</v>
      </c>
      <c r="AU89">
        <f>SUM(PART_NUMBER_GENERATOR_TABLE[[#This Row],[Resource 1 BH]:[Resource 5 AH]],PART_NUMBER_GENERATOR_TABLE[[#This Row],[R1 Mandatory Tasks]:[R5 Mandatory Tasks]],PART_NUMBER_GENERATOR_TABLE[[#This Row],[R1 Remainder]:[R5 Remainder]])</f>
        <v>0</v>
      </c>
      <c r="AV89">
        <f>PART_NUMBER_GENERATOR_TABLE[[#This Row],[Professional Engineering Hours]]*PART_NUMBER_GENERATOR_TABLE[[#This Row],[Sell Rate]]</f>
        <v>0</v>
      </c>
      <c r="AW89">
        <f>PART_NUMBER_GENERATOR_TABLE[[#This Row],[Professional Engineering Hours]]*PART_NUMBER_GENERATOR_TABLE[[#This Row],[Cost Rate]]</f>
        <v>0</v>
      </c>
      <c r="AX89">
        <f>SUM(PART_NUMBER_GENERATOR_TABLE[[#This Row],[PM Trips]:[R5 Trips]])</f>
        <v>0</v>
      </c>
      <c r="AY89">
        <f>PART_NUMBER_GENERATOR_TABLE[[#This Row],[Travel &amp; Accommodation Hours]]*PART_NUMBER_GENERATOR_TABLE[[#This Row],[Sell Rate]]</f>
        <v>0</v>
      </c>
      <c r="AZ89">
        <f>PART_NUMBER_GENERATOR_TABLE[[#This Row],[Travel &amp; Accommodation Hours]]*PART_NUMBER_GENERATOR_TABLE[[#This Row],[Cost Rate]]</f>
        <v>0</v>
      </c>
      <c r="BA89">
        <f>PART_NUMBER_GENERATOR_TABLE[[#This Row],[PM Hours]]+PART_NUMBER_GENERATOR_TABLE[[#This Row],[PM Remainder]]</f>
        <v>0</v>
      </c>
      <c r="BB89">
        <f>PART_NUMBER_GENERATOR_TABLE[[#This Row],[Project Management Hours]]*PART_NUMBER_GENERATOR_TABLE[[#This Row],[Sell Rate]]</f>
        <v>0</v>
      </c>
      <c r="BC89">
        <f>PART_NUMBER_GENERATOR_TABLE[[#This Row],[Project Management Hours]]*PART_NUMBER_GENERATOR_TABLE[[#This Row],[Cost Rate]]</f>
        <v>0</v>
      </c>
      <c r="BD89">
        <f>SUM(PART_NUMBER_GENERATOR_TABLE[[#This Row],[SSE RISK BH]:[PM RISK]],PART_NUMBER_GENERATOR_TABLE[[#This Row],[SSE Remainder RISK BH]:[PM Remainder RISK]])</f>
        <v>0</v>
      </c>
      <c r="BE89">
        <f>PART_NUMBER_GENERATOR_TABLE[[#This Row],[Project Risk Service Hours]]*PART_NUMBER_GENERATOR_TABLE[[#This Row],[Sell Rate]]</f>
        <v>0</v>
      </c>
      <c r="BF89">
        <f>PART_NUMBER_GENERATOR_TABLE[[#This Row],[Project Risk Service Hours]]*PART_NUMBER_GENERATOR_TABLE[[#This Row],[Cost Rate]]</f>
        <v>0</v>
      </c>
      <c r="BG89">
        <f>PART_NUMBER_GENERATOR_TABLE[[#This Row],[SSE RISK TRAVEL]]</f>
        <v>0</v>
      </c>
      <c r="BH89">
        <f>PART_NUMBER_GENERATOR_TABLE[[#This Row],[Sell Rate]]*PART_NUMBER_GENERATOR_TABLE[[#This Row],[Project Risk Travel Hours]]</f>
        <v>0</v>
      </c>
      <c r="BI89">
        <f>PART_NUMBER_GENERATOR_TABLE[[#This Row],[Project Risk Travel Hours]]*PART_NUMBER_GENERATOR_TABLE[[#This Row],[Cost Rate]]</f>
        <v>0</v>
      </c>
      <c r="BJ8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8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89">
        <f>IFERROR(-VLOOKUP(INDEX(ENGINEER_ROLES,MATCH(PART_NUMBER_GENERATOR_TABLE[[#This Row],[Work Role]],settings.Table_Engineer.Roles[ID],0),1),Settings_Hidden!$H$359:$K$366,4,FALSE),0)</f>
        <v>0</v>
      </c>
      <c r="BM89" s="680">
        <f>-Summary!$C$66</f>
        <v>0</v>
      </c>
      <c r="BN89" s="465">
        <f>PART_NUMBER_GENERATOR_TABLE[[#This Row],[Total Base Price]]*MIN(PART_NUMBER_GENERATOR_TABLE[[#This Row],[Rate Service Discount]:[Flat Service Discount]])</f>
        <v>0</v>
      </c>
      <c r="BO89" s="451" t="str">
        <f>IF(PART_NUMBER_GENERATOR_TABLE[[#This Row],[Quantity]]&lt;&gt;0,MAX($BO$30:BO88)+1,"")</f>
        <v/>
      </c>
      <c r="BP89" t="str">
        <f>PART_NUMBER_GENERATOR_TABLE[[#This Row],[Part Number]]</f>
        <v>A-PS-E-TRAVEL-SCE-BH</v>
      </c>
      <c r="BQ89">
        <f>PART_NUMBER_GENERATOR_TABLE[[#This Row],[Total Hours]]</f>
        <v>0</v>
      </c>
      <c r="BR89">
        <f>PART_NUMBER_GENERATOR_TABLE[[#This Row],[Cost Rate]]</f>
        <v>126.11855927829811</v>
      </c>
      <c r="BS89" s="465">
        <f>PART_NUMBER_GENERATOR_TABLE[[#This Row],[Sell Rate]]+(PART_NUMBER_GENERATOR_TABLE[[#This Row],[Sell Rate]]*MIN(PART_NUMBER_GENERATOR_TABLE[[#This Row],[Rate Service Discount]:[Flat Service Discount]]))</f>
        <v>235</v>
      </c>
    </row>
    <row r="90" spans="1:71">
      <c r="A90">
        <v>60</v>
      </c>
      <c r="C90" t="s">
        <v>1137</v>
      </c>
      <c r="D90" t="str" cm="1">
        <f t="array" ref="D90">INDEX(Table.Settings_Skill.List[Skill Name],MATCH(INDEX(_xlfn.TEXTSPLIT(C90,"-",,TRUE),4),Table.Settings_Skill.List[Skill Code],0),1)</f>
        <v>Travel</v>
      </c>
      <c r="E90" t="str" cm="1">
        <f t="array" ref="E90">INDEX(_xlfn.TEXTSPLIT(C90,"-",,TRUE),5)</f>
        <v>SE</v>
      </c>
      <c r="F90" t="str">
        <f>IFERROR(INDEX(settings.Table_Engineer.Roles[Department Code],MATCH(PART_NUMBER_GENERATOR_TABLE[[#This Row],[Work Role]],settings.Table_Engineer.Roles[ID],0),1),"PMO")</f>
        <v>ENG</v>
      </c>
      <c r="G90" t="str" cm="1">
        <f t="array" ref="G90">INDEX(_xlfn.TEXTSPLIT(C90,"-",,TRUE),6)</f>
        <v>BH</v>
      </c>
      <c r="H9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9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90" cm="1">
        <f t="array" ref="J90">IF(J$1&lt;&gt;PART_NUMBER_GENERATOR_TABLE[[#This Row],[Work Role]:[Work Role]],0,
IF(RIGHT(J$30,2)&lt;&gt;PART_NUMBER_GENERATOR_TABLE[[#This Row],[Work Type]:[Work Type]],0,
SUMIFS(Input_Tasks[R1 Business Hours],Input_Tasks[[Skill Required]:[Skill Required]],PART_NUMBER_GENERATOR_TABLE[[#This Row],[Tech]:[Tech]])))</f>
        <v>0</v>
      </c>
      <c r="K90" cm="1">
        <f t="array" ref="K90">IF(K$1&lt;&gt;PART_NUMBER_GENERATOR_TABLE[[#This Row],[Work Role]:[Work Role]],0,
IF(RIGHT(K$30,2)&lt;&gt;PART_NUMBER_GENERATOR_TABLE[[#This Row],[Work Type]:[Work Type]],0,
SUMIFS(Input_Tasks[R1 After Hours],Input_Tasks[[Skill Required]:[Skill Required]],PART_NUMBER_GENERATOR_TABLE[[#This Row],[Tech]:[Tech]])))</f>
        <v>0</v>
      </c>
      <c r="L90" cm="1">
        <f t="array" ref="L90">IF(L$1&lt;&gt;PART_NUMBER_GENERATOR_TABLE[[#This Row],[Work Role]:[Work Role]],0,
IF(RIGHT(L$30,2)&lt;&gt;PART_NUMBER_GENERATOR_TABLE[[#This Row],[Work Type]:[Work Type]],0,
SUMIFS(Input_Tasks[R2 Business Hours],Input_Tasks[[Skill Required]:[Skill Required]],PART_NUMBER_GENERATOR_TABLE[[#This Row],[Tech]:[Tech]])))</f>
        <v>0</v>
      </c>
      <c r="M90" cm="1">
        <f t="array" ref="M90">IF(M$1&lt;&gt;PART_NUMBER_GENERATOR_TABLE[[#This Row],[Work Role]:[Work Role]],0,
IF(RIGHT(M$30,2)&lt;&gt;PART_NUMBER_GENERATOR_TABLE[[#This Row],[Work Type]:[Work Type]],0,
SUMIFS(Input_Tasks[R2 After Hours],Input_Tasks[[Skill Required]:[Skill Required]],PART_NUMBER_GENERATOR_TABLE[[#This Row],[Tech]:[Tech]])))</f>
        <v>0</v>
      </c>
      <c r="N90" cm="1">
        <f t="array" ref="N90">IF(N$1&lt;&gt;PART_NUMBER_GENERATOR_TABLE[[#This Row],[Work Role]:[Work Role]],0,
IF(RIGHT(N$30,2)&lt;&gt;PART_NUMBER_GENERATOR_TABLE[[#This Row],[Work Type]:[Work Type]],0,
SUMIFS(Input_Tasks[R3 Business Hours],Input_Tasks[[Skill Required]:[Skill Required]],PART_NUMBER_GENERATOR_TABLE[[#This Row],[Tech]:[Tech]])))</f>
        <v>0</v>
      </c>
      <c r="O90" cm="1">
        <f t="array" ref="O90">IF(O$1&lt;&gt;PART_NUMBER_GENERATOR_TABLE[[#This Row],[Work Role]:[Work Role]],0,
IF(RIGHT(O$30,2)&lt;&gt;PART_NUMBER_GENERATOR_TABLE[[#This Row],[Work Type]:[Work Type]],0,
SUMIFS(Input_Tasks[R3 After Hours],Input_Tasks[[Skill Required]:[Skill Required]],PART_NUMBER_GENERATOR_TABLE[[#This Row],[Tech]:[Tech]])))</f>
        <v>0</v>
      </c>
      <c r="P90" cm="1">
        <f t="array" ref="P90">IF(P$1&lt;&gt;PART_NUMBER_GENERATOR_TABLE[[#This Row],[Work Role]:[Work Role]],0,
IF(RIGHT(P$30,2)&lt;&gt;PART_NUMBER_GENERATOR_TABLE[[#This Row],[Work Type]:[Work Type]],0,
SUMIFS(Input_Tasks[R4 Business Hours],Input_Tasks[[Skill Required]:[Skill Required]],PART_NUMBER_GENERATOR_TABLE[[#This Row],[Tech]:[Tech]])))</f>
        <v>0</v>
      </c>
      <c r="Q90" cm="1">
        <f t="array" ref="Q90">IF(Q$1&lt;&gt;PART_NUMBER_GENERATOR_TABLE[[#This Row],[Work Role]:[Work Role]],0,
IF(RIGHT(Q$30,2)&lt;&gt;PART_NUMBER_GENERATOR_TABLE[[#This Row],[Work Type]:[Work Type]],0,
SUMIFS(Input_Tasks[R4 After Hours],Input_Tasks[[Skill Required]:[Skill Required]],PART_NUMBER_GENERATOR_TABLE[[#This Row],[Tech]:[Tech]])))</f>
        <v>0</v>
      </c>
      <c r="R90" cm="1">
        <f t="array" ref="R90">IF(R$1&lt;&gt;PART_NUMBER_GENERATOR_TABLE[[#This Row],[Work Role]:[Work Role]],0,
IF(RIGHT(R$30,2)&lt;&gt;PART_NUMBER_GENERATOR_TABLE[[#This Row],[Work Type]:[Work Type]],0,
SUMIFS(Input_Tasks[R5 Business Hours],Input_Tasks[[Skill Required]:[Skill Required]],PART_NUMBER_GENERATOR_TABLE[[#This Row],[Tech]:[Tech]])))</f>
        <v>0</v>
      </c>
      <c r="S90" cm="1">
        <f t="array" ref="S90">IF(S$1&lt;&gt;PART_NUMBER_GENERATOR_TABLE[[#This Row],[Work Role]:[Work Role]],0,
IF(RIGHT(S$30,2)&lt;&gt;PART_NUMBER_GENERATOR_TABLE[[#This Row],[Work Type]:[Work Type]],0,
SUMIFS(Input_Tasks[R5 After Hours],Input_Tasks[[Skill Required]:[Skill Required]],PART_NUMBER_GENERATOR_TABLE[[#This Row],[Tech]:[Tech]])))</f>
        <v>0</v>
      </c>
      <c r="T90" cm="1">
        <f t="array" ref="T90">IF(PART_NUMBER_GENERATOR_TABLE[[#This Row],[Work Role]:[Work Role]]&lt;&gt;T$1,0,
IF(PART_NUMBER_GENERATOR_TABLE[[#This Row],[Work Type]:[Work Type]]&lt;&gt;"BH",0,
SUMIFS(T$9:T$24,$M$9:$M$24,PART_NUMBER_GENERATOR_TABLE[[#This Row],[Tech]:[Tech]])))</f>
        <v>0</v>
      </c>
      <c r="U90" cm="1">
        <f t="array" ref="U90">IF(PART_NUMBER_GENERATOR_TABLE[[#This Row],[Work Role]:[Work Role]]&lt;&gt;U$1,0,
IF(PART_NUMBER_GENERATOR_TABLE[[#This Row],[Work Type]:[Work Type]]&lt;&gt;"BH",0,
SUMIFS(U$9:U$24,$M$9:$M$24,PART_NUMBER_GENERATOR_TABLE[[#This Row],[Tech]:[Tech]])))</f>
        <v>0</v>
      </c>
      <c r="V90" cm="1">
        <f t="array" ref="V90">IF(PART_NUMBER_GENERATOR_TABLE[[#This Row],[Work Role]:[Work Role]]&lt;&gt;V$1,0,
IF(PART_NUMBER_GENERATOR_TABLE[[#This Row],[Work Type]:[Work Type]]&lt;&gt;"BH",0,
SUMIFS(V$9:V$24,$M$9:$M$24,PART_NUMBER_GENERATOR_TABLE[[#This Row],[Tech]:[Tech]])))</f>
        <v>0</v>
      </c>
      <c r="W90" cm="1">
        <f t="array" ref="W90">IF(PART_NUMBER_GENERATOR_TABLE[[#This Row],[Work Role]:[Work Role]]&lt;&gt;W$1,0,
IF(PART_NUMBER_GENERATOR_TABLE[[#This Row],[Work Type]:[Work Type]]&lt;&gt;"BH",0,
SUMIFS(W$9:W$24,$M$9:$M$24,PART_NUMBER_GENERATOR_TABLE[[#This Row],[Tech]:[Tech]])))</f>
        <v>0</v>
      </c>
      <c r="X90" cm="1">
        <f t="array" ref="X90">IF(PART_NUMBER_GENERATOR_TABLE[[#This Row],[Work Role]:[Work Role]]&lt;&gt;X$1,0,
IF(PART_NUMBER_GENERATOR_TABLE[[#This Row],[Work Type]:[Work Type]]&lt;&gt;"BH",0,
SUMIFS(X$9:X$24,$M$9:$M$24,PART_NUMBER_GENERATOR_TABLE[[#This Row],[Tech]:[Tech]])))</f>
        <v>0</v>
      </c>
      <c r="Y90" cm="1">
        <f t="array" ref="Y90">IF(PART_NUMBER_GENERATOR_TABLE[[#This Row],[Work Role]:[Work Role]]&lt;&gt;Y$1,0,
IF(PART_NUMBER_GENERATOR_TABLE[[#This Row],[Work Type]:[Work Type]]&lt;&gt;"BH",0,
SUMIFS(Y$9:Y$24,$M$9:$M$24,PART_NUMBER_GENERATOR_TABLE[[#This Row],[Tech]:[Tech]])))</f>
        <v>0</v>
      </c>
      <c r="Z90" cm="1">
        <f t="array" ref="Z90">IF(PART_NUMBER_GENERATOR_TABLE[[#This Row],[Work Role]:[Work Role]]&lt;&gt;Z$1,0,
IF(PART_NUMBER_GENERATOR_TABLE[[#This Row],[Work Type]:[Work Type]]&lt;&gt;"BH",0,
SUMIFS(Z$9:Z$24,$M$9:$M$24,PART_NUMBER_GENERATOR_TABLE[[#This Row],[Tech]:[Tech]])))</f>
        <v>0</v>
      </c>
      <c r="AA90" cm="1">
        <f t="array" ref="AA90">IF(PART_NUMBER_GENERATOR_TABLE[[#This Row],[Work Role]:[Work Role]]&lt;&gt;AA$1,0,
IF(PART_NUMBER_GENERATOR_TABLE[[#This Row],[Work Type]:[Work Type]]&lt;&gt;"BH",0,
SUMIFS(AA$9:AA$24,$M$9:$M$24,PART_NUMBER_GENERATOR_TABLE[[#This Row],[Tech]:[Tech]])))</f>
        <v>0</v>
      </c>
      <c r="AB90" cm="1">
        <f t="array" ref="AB90">IF(PART_NUMBER_GENERATOR_TABLE[[#This Row],[Work Role]:[Work Role]]&lt;&gt;AB$1,0,
IF(PART_NUMBER_GENERATOR_TABLE[[#This Row],[Work Type]:[Work Type]]&lt;&gt;"BH",0,
SUMIFS(AB$9:AB$24,$M$9:$M$24,PART_NUMBER_GENERATOR_TABLE[[#This Row],[Tech]:[Tech]])))</f>
        <v>0</v>
      </c>
      <c r="AC90" cm="1">
        <f t="array" ref="AC90">IF(PART_NUMBER_GENERATOR_TABLE[[#This Row],[Work Role]:[Work Role]]&lt;&gt;AC$1,0,
IF(PART_NUMBER_GENERATOR_TABLE[[#This Row],[Work Type]:[Work Type]]&lt;&gt;"BH",0,
SUMIFS(AC$9:AC$24,$M$9:$M$24,PART_NUMBER_GENERATOR_TABLE[[#This Row],[Tech]:[Tech]])))</f>
        <v>0</v>
      </c>
      <c r="AD90" cm="1">
        <f t="array" ref="AD90">IF(PART_NUMBER_GENERATOR_TABLE[[#This Row],[Work Role]:[Work Role]]&lt;&gt;AD$1,0,
IF(PART_NUMBER_GENERATOR_TABLE[[#This Row],[Work Type]:[Work Type]]&lt;&gt;"BH",0,
SUMIFS(AD$9:AD$24,$M$9:$M$24,PART_NUMBER_GENERATOR_TABLE[[#This Row],[Tech]:[Tech]])))</f>
        <v>0</v>
      </c>
      <c r="AE90" cm="1">
        <f t="array" ref="AE90">IF(PART_NUMBER_GENERATOR_TABLE[[#This Row],[Work Role]:[Work Role]]&lt;&gt;AE$1,0,
IF(PART_NUMBER_GENERATOR_TABLE[[#This Row],[Work Type]:[Work Type]]&lt;&gt;"BH",0,
SUMIFS(AE$9:AE$24,$M$9:$M$24,PART_NUMBER_GENERATOR_TABLE[[#This Row],[Tech]:[Tech]])))</f>
        <v>0</v>
      </c>
      <c r="AF90" cm="1">
        <f t="array" ref="AF90">IF(PART_NUMBER_GENERATOR_TABLE[[#This Row],[Work Role]:[Work Role]]&lt;&gt;AF$1,0,
IF(PART_NUMBER_GENERATOR_TABLE[[#This Row],[Work Type]:[Work Type]]&lt;&gt;"BH",0,
SUMIFS(AF$9:AF$24,$M$9:$M$24,PART_NUMBER_GENERATOR_TABLE[[#This Row],[Tech]:[Tech]])))</f>
        <v>0</v>
      </c>
      <c r="AG90" cm="1">
        <f t="array" ref="AG90">IF(PART_NUMBER_GENERATOR_TABLE[[#This Row],[Work Role]:[Work Role]]&lt;&gt;AG$1,0,
IF(PART_NUMBER_GENERATOR_TABLE[[#This Row],[Work Type]:[Work Type]]&lt;&gt;"AH",0,
SUMIFS(AG$9:AG$24,$M$9:$M$24,PART_NUMBER_GENERATOR_TABLE[[#This Row],[Tech]:[Tech]])))</f>
        <v>0</v>
      </c>
      <c r="AH90" cm="1">
        <f t="array" ref="AH90">IF(PART_NUMBER_GENERATOR_TABLE[[#This Row],[Work Role]:[Work Role]]&lt;&gt;AH$1,0,
IF(PART_NUMBER_GENERATOR_TABLE[[#This Row],[Work Type]:[Work Type]]&lt;&gt;"BH",0,
SUMIFS(AH$9:AH$24,$M$9:$M$24,PART_NUMBER_GENERATOR_TABLE[[#This Row],[Tech]:[Tech]])))</f>
        <v>0</v>
      </c>
      <c r="AI90" cm="1">
        <f t="array" ref="AI90">IF(PART_NUMBER_GENERATOR_TABLE[[#This Row],[Work Role]:[Work Role]]&lt;&gt;AI$1,0,
IF(PART_NUMBER_GENERATOR_TABLE[[#This Row],[Work Type]:[Work Type]]&lt;&gt;"BH",0,
SUMIFS(AI$9:AI$24,$M$9:$M$24,PART_NUMBER_GENERATOR_TABLE[[#This Row],[Tech]:[Tech]])))</f>
        <v>0</v>
      </c>
      <c r="AJ90" cm="1">
        <f t="array" ref="AJ90">IF(PART_NUMBER_GENERATOR_TABLE[[#This Row],[Work Role]:[Work Role]]&lt;&gt;AJ$1,0,
IF(PART_NUMBER_GENERATOR_TABLE[[#This Row],[Work Type]:[Work Type]]&lt;&gt;"BH",0,
SUMIFS(AJ$9:AJ$24,$M$9:$M$24,PART_NUMBER_GENERATOR_TABLE[[#This Row],[Tech]:[Tech]])))</f>
        <v>0</v>
      </c>
      <c r="AK90" cm="1">
        <f t="array" ref="AK90">IF(PART_NUMBER_GENERATOR_TABLE[[#This Row],[Work Role]:[Work Role]]&lt;&gt;AK$1,0,
IF(PART_NUMBER_GENERATOR_TABLE[[#This Row],[Work Type]:[Work Type]]&lt;&gt;"AH",0,
SUMIFS(AK$9:AK$24,$M$9:$M$24,PART_NUMBER_GENERATOR_TABLE[[#This Row],[Tech]:[Tech]])))</f>
        <v>0</v>
      </c>
      <c r="AL90" cm="1">
        <f t="array" ref="AL90">IF(PART_NUMBER_GENERATOR_TABLE[[#This Row],[Work Role]:[Work Role]]&lt;&gt;AL$1,0,
IF(PART_NUMBER_GENERATOR_TABLE[[#This Row],[Work Type]:[Work Type]]&lt;&gt;"BH",0,
SUMIFS(AL$9:AL$24,$M$9:$M$24,PART_NUMBER_GENERATOR_TABLE[[#This Row],[Tech]:[Tech]])))</f>
        <v>0</v>
      </c>
      <c r="AM90">
        <f>0</f>
        <v>0</v>
      </c>
      <c r="AN90" cm="1">
        <f t="array" ref="AN90">IF(PART_NUMBER_GENERATOR_TABLE[[#This Row],[Work Role]:[Work Role]]&lt;&gt;AN$1,0,
IF(PART_NUMBER_GENERATOR_TABLE[[#This Row],[Work Type]:[Work Type]]&lt;&gt;"BH",0,
SUMIFS(AN$24,$AM$24,PART_NUMBER_GENERATOR_TABLE[[#This Row],[Tech]:[Tech]])))</f>
        <v>0</v>
      </c>
      <c r="AO90" cm="1">
        <f t="array" ref="AO90">IF(PART_NUMBER_GENERATOR_TABLE[[#This Row],[Work Role]:[Work Role]]&lt;&gt;AO$1,0,
IF(PART_NUMBER_GENERATOR_TABLE[[#This Row],[Work Type]:[Work Type]]&lt;&gt;"BH",0,
SUMIFS(AO$24,$AM$24,PART_NUMBER_GENERATOR_TABLE[[#This Row],[Tech]:[Tech]])))</f>
        <v>0</v>
      </c>
      <c r="AP90" cm="1">
        <f t="array" ref="AP90">IF(PART_NUMBER_GENERATOR_TABLE[[#This Row],[Work Role]:[Work Role]]&lt;&gt;AP$1,0,
IF(PART_NUMBER_GENERATOR_TABLE[[#This Row],[Work Type]:[Work Type]]&lt;&gt;"BH",0,
SUMIFS(AP$24,$AM$24,PART_NUMBER_GENERATOR_TABLE[[#This Row],[Tech]:[Tech]])))</f>
        <v>0</v>
      </c>
      <c r="AQ90" cm="1">
        <f t="array" ref="AQ90">IF(PART_NUMBER_GENERATOR_TABLE[[#This Row],[Work Role]:[Work Role]]&lt;&gt;AQ$1,0,
IF(PART_NUMBER_GENERATOR_TABLE[[#This Row],[Work Type]:[Work Type]]&lt;&gt;"BH",0,
SUMIFS(AQ$24,$AM$24,PART_NUMBER_GENERATOR_TABLE[[#This Row],[Tech]:[Tech]])))</f>
        <v>0</v>
      </c>
      <c r="AR90" cm="1">
        <f t="array" ref="AR90">IF(PART_NUMBER_GENERATOR_TABLE[[#This Row],[Work Role]:[Work Role]]&lt;&gt;AR$1,0,
IF(PART_NUMBER_GENERATOR_TABLE[[#This Row],[Work Type]:[Work Type]]&lt;&gt;"BH",0,
SUMIFS(AR$24,$AM$24,PART_NUMBER_GENERATOR_TABLE[[#This Row],[Tech]:[Tech]])))</f>
        <v>0</v>
      </c>
      <c r="AS90" cm="1">
        <f t="array" ref="AS90">IF(PART_NUMBER_GENERATOR_TABLE[[#This Row],[Work Role]:[Work Role]]&lt;&gt;AS$1,0,
IF(PART_NUMBER_GENERATOR_TABLE[[#This Row],[Work Type]:[Work Type]]&lt;&gt;"BH",0,
SUMIFS(AS$24,$AM$24,PART_NUMBER_GENERATOR_TABLE[[#This Row],[Tech]:[Tech]])))</f>
        <v>0</v>
      </c>
      <c r="AT90" cm="1">
        <f t="array" ref="AT90">IF(PART_NUMBER_GENERATOR_TABLE[[#This Row],[Work Role]:[Work Role]]&lt;&gt;AS$1,0,
IF(PART_NUMBER_GENERATOR_TABLE[[#This Row],[Work Type]:[Work Type]]&lt;&gt;"BH",0,
SUMIFS(AT$24,$AM$24,PART_NUMBER_GENERATOR_TABLE[[#This Row],[Tech]:[Tech]])))</f>
        <v>0</v>
      </c>
      <c r="AU90">
        <f>SUM(PART_NUMBER_GENERATOR_TABLE[[#This Row],[Resource 1 BH]:[Resource 5 AH]],PART_NUMBER_GENERATOR_TABLE[[#This Row],[R1 Mandatory Tasks]:[R5 Mandatory Tasks]],PART_NUMBER_GENERATOR_TABLE[[#This Row],[R1 Remainder]:[R5 Remainder]])</f>
        <v>0</v>
      </c>
      <c r="AV90">
        <f>PART_NUMBER_GENERATOR_TABLE[[#This Row],[Professional Engineering Hours]]*PART_NUMBER_GENERATOR_TABLE[[#This Row],[Sell Rate]]</f>
        <v>0</v>
      </c>
      <c r="AW90">
        <f>PART_NUMBER_GENERATOR_TABLE[[#This Row],[Professional Engineering Hours]]*PART_NUMBER_GENERATOR_TABLE[[#This Row],[Cost Rate]]</f>
        <v>0</v>
      </c>
      <c r="AX90">
        <f>SUM(PART_NUMBER_GENERATOR_TABLE[[#This Row],[PM Trips]:[R5 Trips]])</f>
        <v>0</v>
      </c>
      <c r="AY90">
        <f>PART_NUMBER_GENERATOR_TABLE[[#This Row],[Travel &amp; Accommodation Hours]]*PART_NUMBER_GENERATOR_TABLE[[#This Row],[Sell Rate]]</f>
        <v>0</v>
      </c>
      <c r="AZ90">
        <f>PART_NUMBER_GENERATOR_TABLE[[#This Row],[Travel &amp; Accommodation Hours]]*PART_NUMBER_GENERATOR_TABLE[[#This Row],[Cost Rate]]</f>
        <v>0</v>
      </c>
      <c r="BA90">
        <f>PART_NUMBER_GENERATOR_TABLE[[#This Row],[PM Hours]]+PART_NUMBER_GENERATOR_TABLE[[#This Row],[PM Remainder]]</f>
        <v>0</v>
      </c>
      <c r="BB90">
        <f>PART_NUMBER_GENERATOR_TABLE[[#This Row],[Project Management Hours]]*PART_NUMBER_GENERATOR_TABLE[[#This Row],[Sell Rate]]</f>
        <v>0</v>
      </c>
      <c r="BC90">
        <f>PART_NUMBER_GENERATOR_TABLE[[#This Row],[Project Management Hours]]*PART_NUMBER_GENERATOR_TABLE[[#This Row],[Cost Rate]]</f>
        <v>0</v>
      </c>
      <c r="BD90">
        <f>SUM(PART_NUMBER_GENERATOR_TABLE[[#This Row],[SSE RISK BH]:[PM RISK]],PART_NUMBER_GENERATOR_TABLE[[#This Row],[SSE Remainder RISK BH]:[PM Remainder RISK]])</f>
        <v>0</v>
      </c>
      <c r="BE90">
        <f>PART_NUMBER_GENERATOR_TABLE[[#This Row],[Project Risk Service Hours]]*PART_NUMBER_GENERATOR_TABLE[[#This Row],[Sell Rate]]</f>
        <v>0</v>
      </c>
      <c r="BF90">
        <f>PART_NUMBER_GENERATOR_TABLE[[#This Row],[Project Risk Service Hours]]*PART_NUMBER_GENERATOR_TABLE[[#This Row],[Cost Rate]]</f>
        <v>0</v>
      </c>
      <c r="BG90">
        <f>PART_NUMBER_GENERATOR_TABLE[[#This Row],[SSE RISK TRAVEL]]</f>
        <v>0</v>
      </c>
      <c r="BH90">
        <f>PART_NUMBER_GENERATOR_TABLE[[#This Row],[Sell Rate]]*PART_NUMBER_GENERATOR_TABLE[[#This Row],[Project Risk Travel Hours]]</f>
        <v>0</v>
      </c>
      <c r="BI90">
        <f>PART_NUMBER_GENERATOR_TABLE[[#This Row],[Project Risk Travel Hours]]*PART_NUMBER_GENERATOR_TABLE[[#This Row],[Cost Rate]]</f>
        <v>0</v>
      </c>
      <c r="BJ9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9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90">
        <f>IFERROR(-VLOOKUP(INDEX(ENGINEER_ROLES,MATCH(PART_NUMBER_GENERATOR_TABLE[[#This Row],[Work Role]],settings.Table_Engineer.Roles[ID],0),1),Settings_Hidden!$H$359:$K$366,4,FALSE),0)</f>
        <v>0</v>
      </c>
      <c r="BM90" s="680">
        <f>-Summary!$C$66</f>
        <v>0</v>
      </c>
      <c r="BN90" s="465">
        <f>PART_NUMBER_GENERATOR_TABLE[[#This Row],[Total Base Price]]*MIN(PART_NUMBER_GENERATOR_TABLE[[#This Row],[Rate Service Discount]:[Flat Service Discount]])</f>
        <v>0</v>
      </c>
      <c r="BO90" s="451" t="str">
        <f>IF(PART_NUMBER_GENERATOR_TABLE[[#This Row],[Quantity]]&lt;&gt;0,MAX($BO$30:BO89)+1,"")</f>
        <v/>
      </c>
      <c r="BP90" t="str">
        <f>PART_NUMBER_GENERATOR_TABLE[[#This Row],[Part Number]]</f>
        <v>A-PS-E-TRAVEL-SE-BH</v>
      </c>
      <c r="BQ90">
        <f>PART_NUMBER_GENERATOR_TABLE[[#This Row],[Total Hours]]</f>
        <v>0</v>
      </c>
      <c r="BR90">
        <f>PART_NUMBER_GENERATOR_TABLE[[#This Row],[Cost Rate]]</f>
        <v>126.11855927829811</v>
      </c>
      <c r="BS90" s="465">
        <f>PART_NUMBER_GENERATOR_TABLE[[#This Row],[Sell Rate]]+(PART_NUMBER_GENERATOR_TABLE[[#This Row],[Sell Rate]]*MIN(PART_NUMBER_GENERATOR_TABLE[[#This Row],[Rate Service Discount]:[Flat Service Discount]]))</f>
        <v>235</v>
      </c>
    </row>
    <row r="91" spans="1:71">
      <c r="A91">
        <v>61</v>
      </c>
      <c r="C91" t="s">
        <v>1135</v>
      </c>
      <c r="D91" t="str" cm="1">
        <f t="array" ref="D91">INDEX(Table.Settings_Skill.List[Skill Name],MATCH(INDEX(_xlfn.TEXTSPLIT(C91,"-",,TRUE),4),Table.Settings_Skill.List[Skill Code],0),1)</f>
        <v>Travel</v>
      </c>
      <c r="E91" t="str" cm="1">
        <f t="array" ref="E91">INDEX(_xlfn.TEXTSPLIT(C91,"-",,TRUE),5)</f>
        <v>SSE</v>
      </c>
      <c r="F91" t="str">
        <f>IFERROR(INDEX(settings.Table_Engineer.Roles[Department Code],MATCH(PART_NUMBER_GENERATOR_TABLE[[#This Row],[Work Role]],settings.Table_Engineer.Roles[ID],0),1),"PMO")</f>
        <v>ENG</v>
      </c>
      <c r="G91" t="str" cm="1">
        <f t="array" ref="G91">INDEX(_xlfn.TEXTSPLIT(C91,"-",,TRUE),6)</f>
        <v>BH</v>
      </c>
      <c r="H9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9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91" cm="1">
        <f t="array" ref="J91">IF(J$1&lt;&gt;PART_NUMBER_GENERATOR_TABLE[[#This Row],[Work Role]:[Work Role]],0,
IF(RIGHT(J$30,2)&lt;&gt;PART_NUMBER_GENERATOR_TABLE[[#This Row],[Work Type]:[Work Type]],0,
SUMIFS(Input_Tasks[R1 Business Hours],Input_Tasks[[Skill Required]:[Skill Required]],PART_NUMBER_GENERATOR_TABLE[[#This Row],[Tech]:[Tech]])))</f>
        <v>0</v>
      </c>
      <c r="K91" cm="1">
        <f t="array" ref="K91">IF(K$1&lt;&gt;PART_NUMBER_GENERATOR_TABLE[[#This Row],[Work Role]:[Work Role]],0,
IF(RIGHT(K$30,2)&lt;&gt;PART_NUMBER_GENERATOR_TABLE[[#This Row],[Work Type]:[Work Type]],0,
SUMIFS(Input_Tasks[R1 After Hours],Input_Tasks[[Skill Required]:[Skill Required]],PART_NUMBER_GENERATOR_TABLE[[#This Row],[Tech]:[Tech]])))</f>
        <v>0</v>
      </c>
      <c r="L91" cm="1">
        <f t="array" ref="L91">IF(L$1&lt;&gt;PART_NUMBER_GENERATOR_TABLE[[#This Row],[Work Role]:[Work Role]],0,
IF(RIGHT(L$30,2)&lt;&gt;PART_NUMBER_GENERATOR_TABLE[[#This Row],[Work Type]:[Work Type]],0,
SUMIFS(Input_Tasks[R2 Business Hours],Input_Tasks[[Skill Required]:[Skill Required]],PART_NUMBER_GENERATOR_TABLE[[#This Row],[Tech]:[Tech]])))</f>
        <v>0</v>
      </c>
      <c r="M91" cm="1">
        <f t="array" ref="M91">IF(M$1&lt;&gt;PART_NUMBER_GENERATOR_TABLE[[#This Row],[Work Role]:[Work Role]],0,
IF(RIGHT(M$30,2)&lt;&gt;PART_NUMBER_GENERATOR_TABLE[[#This Row],[Work Type]:[Work Type]],0,
SUMIFS(Input_Tasks[R2 After Hours],Input_Tasks[[Skill Required]:[Skill Required]],PART_NUMBER_GENERATOR_TABLE[[#This Row],[Tech]:[Tech]])))</f>
        <v>0</v>
      </c>
      <c r="N91" cm="1">
        <f t="array" ref="N91">IF(N$1&lt;&gt;PART_NUMBER_GENERATOR_TABLE[[#This Row],[Work Role]:[Work Role]],0,
IF(RIGHT(N$30,2)&lt;&gt;PART_NUMBER_GENERATOR_TABLE[[#This Row],[Work Type]:[Work Type]],0,
SUMIFS(Input_Tasks[R3 Business Hours],Input_Tasks[[Skill Required]:[Skill Required]],PART_NUMBER_GENERATOR_TABLE[[#This Row],[Tech]:[Tech]])))</f>
        <v>0</v>
      </c>
      <c r="O91" cm="1">
        <f t="array" ref="O91">IF(O$1&lt;&gt;PART_NUMBER_GENERATOR_TABLE[[#This Row],[Work Role]:[Work Role]],0,
IF(RIGHT(O$30,2)&lt;&gt;PART_NUMBER_GENERATOR_TABLE[[#This Row],[Work Type]:[Work Type]],0,
SUMIFS(Input_Tasks[R3 After Hours],Input_Tasks[[Skill Required]:[Skill Required]],PART_NUMBER_GENERATOR_TABLE[[#This Row],[Tech]:[Tech]])))</f>
        <v>0</v>
      </c>
      <c r="P91" cm="1">
        <f t="array" ref="P91">IF(P$1&lt;&gt;PART_NUMBER_GENERATOR_TABLE[[#This Row],[Work Role]:[Work Role]],0,
IF(RIGHT(P$30,2)&lt;&gt;PART_NUMBER_GENERATOR_TABLE[[#This Row],[Work Type]:[Work Type]],0,
SUMIFS(Input_Tasks[R4 Business Hours],Input_Tasks[[Skill Required]:[Skill Required]],PART_NUMBER_GENERATOR_TABLE[[#This Row],[Tech]:[Tech]])))</f>
        <v>0</v>
      </c>
      <c r="Q91" cm="1">
        <f t="array" ref="Q91">IF(Q$1&lt;&gt;PART_NUMBER_GENERATOR_TABLE[[#This Row],[Work Role]:[Work Role]],0,
IF(RIGHT(Q$30,2)&lt;&gt;PART_NUMBER_GENERATOR_TABLE[[#This Row],[Work Type]:[Work Type]],0,
SUMIFS(Input_Tasks[R4 After Hours],Input_Tasks[[Skill Required]:[Skill Required]],PART_NUMBER_GENERATOR_TABLE[[#This Row],[Tech]:[Tech]])))</f>
        <v>0</v>
      </c>
      <c r="R91" cm="1">
        <f t="array" ref="R91">IF(R$1&lt;&gt;PART_NUMBER_GENERATOR_TABLE[[#This Row],[Work Role]:[Work Role]],0,
IF(RIGHT(R$30,2)&lt;&gt;PART_NUMBER_GENERATOR_TABLE[[#This Row],[Work Type]:[Work Type]],0,
SUMIFS(Input_Tasks[R5 Business Hours],Input_Tasks[[Skill Required]:[Skill Required]],PART_NUMBER_GENERATOR_TABLE[[#This Row],[Tech]:[Tech]])))</f>
        <v>0</v>
      </c>
      <c r="S91" cm="1">
        <f t="array" ref="S91">IF(S$1&lt;&gt;PART_NUMBER_GENERATOR_TABLE[[#This Row],[Work Role]:[Work Role]],0,
IF(RIGHT(S$30,2)&lt;&gt;PART_NUMBER_GENERATOR_TABLE[[#This Row],[Work Type]:[Work Type]],0,
SUMIFS(Input_Tasks[R5 After Hours],Input_Tasks[[Skill Required]:[Skill Required]],PART_NUMBER_GENERATOR_TABLE[[#This Row],[Tech]:[Tech]])))</f>
        <v>0</v>
      </c>
      <c r="T91" cm="1">
        <f t="array" ref="T91">IF(PART_NUMBER_GENERATOR_TABLE[[#This Row],[Work Role]:[Work Role]]&lt;&gt;T$1,0,
IF(PART_NUMBER_GENERATOR_TABLE[[#This Row],[Work Type]:[Work Type]]&lt;&gt;"BH",0,
SUMIFS(T$9:T$24,$M$9:$M$24,PART_NUMBER_GENERATOR_TABLE[[#This Row],[Tech]:[Tech]])))</f>
        <v>0</v>
      </c>
      <c r="U91" cm="1">
        <f t="array" ref="U91">IF(PART_NUMBER_GENERATOR_TABLE[[#This Row],[Work Role]:[Work Role]]&lt;&gt;U$1,0,
IF(PART_NUMBER_GENERATOR_TABLE[[#This Row],[Work Type]:[Work Type]]&lt;&gt;"BH",0,
SUMIFS(U$9:U$24,$M$9:$M$24,PART_NUMBER_GENERATOR_TABLE[[#This Row],[Tech]:[Tech]])))</f>
        <v>0</v>
      </c>
      <c r="V91" cm="1">
        <f t="array" ref="V91">IF(PART_NUMBER_GENERATOR_TABLE[[#This Row],[Work Role]:[Work Role]]&lt;&gt;V$1,0,
IF(PART_NUMBER_GENERATOR_TABLE[[#This Row],[Work Type]:[Work Type]]&lt;&gt;"BH",0,
SUMIFS(V$9:V$24,$M$9:$M$24,PART_NUMBER_GENERATOR_TABLE[[#This Row],[Tech]:[Tech]])))</f>
        <v>0</v>
      </c>
      <c r="W91" cm="1">
        <f t="array" ref="W91">IF(PART_NUMBER_GENERATOR_TABLE[[#This Row],[Work Role]:[Work Role]]&lt;&gt;W$1,0,
IF(PART_NUMBER_GENERATOR_TABLE[[#This Row],[Work Type]:[Work Type]]&lt;&gt;"BH",0,
SUMIFS(W$9:W$24,$M$9:$M$24,PART_NUMBER_GENERATOR_TABLE[[#This Row],[Tech]:[Tech]])))</f>
        <v>0</v>
      </c>
      <c r="X91" cm="1">
        <f t="array" ref="X91">IF(PART_NUMBER_GENERATOR_TABLE[[#This Row],[Work Role]:[Work Role]]&lt;&gt;X$1,0,
IF(PART_NUMBER_GENERATOR_TABLE[[#This Row],[Work Type]:[Work Type]]&lt;&gt;"BH",0,
SUMIFS(X$9:X$24,$M$9:$M$24,PART_NUMBER_GENERATOR_TABLE[[#This Row],[Tech]:[Tech]])))</f>
        <v>0</v>
      </c>
      <c r="Y91" cm="1">
        <f t="array" ref="Y91">IF(PART_NUMBER_GENERATOR_TABLE[[#This Row],[Work Role]:[Work Role]]&lt;&gt;Y$1,0,
IF(PART_NUMBER_GENERATOR_TABLE[[#This Row],[Work Type]:[Work Type]]&lt;&gt;"BH",0,
SUMIFS(Y$9:Y$24,$M$9:$M$24,PART_NUMBER_GENERATOR_TABLE[[#This Row],[Tech]:[Tech]])))</f>
        <v>0</v>
      </c>
      <c r="Z91" cm="1">
        <f t="array" ref="Z91">IF(PART_NUMBER_GENERATOR_TABLE[[#This Row],[Work Role]:[Work Role]]&lt;&gt;Z$1,0,
IF(PART_NUMBER_GENERATOR_TABLE[[#This Row],[Work Type]:[Work Type]]&lt;&gt;"BH",0,
SUMIFS(Z$9:Z$24,$M$9:$M$24,PART_NUMBER_GENERATOR_TABLE[[#This Row],[Tech]:[Tech]])))</f>
        <v>0</v>
      </c>
      <c r="AA91" cm="1">
        <f t="array" ref="AA91">IF(PART_NUMBER_GENERATOR_TABLE[[#This Row],[Work Role]:[Work Role]]&lt;&gt;AA$1,0,
IF(PART_NUMBER_GENERATOR_TABLE[[#This Row],[Work Type]:[Work Type]]&lt;&gt;"BH",0,
SUMIFS(AA$9:AA$24,$M$9:$M$24,PART_NUMBER_GENERATOR_TABLE[[#This Row],[Tech]:[Tech]])))</f>
        <v>0</v>
      </c>
      <c r="AB91" cm="1">
        <f t="array" ref="AB91">IF(PART_NUMBER_GENERATOR_TABLE[[#This Row],[Work Role]:[Work Role]]&lt;&gt;AB$1,0,
IF(PART_NUMBER_GENERATOR_TABLE[[#This Row],[Work Type]:[Work Type]]&lt;&gt;"BH",0,
SUMIFS(AB$9:AB$24,$M$9:$M$24,PART_NUMBER_GENERATOR_TABLE[[#This Row],[Tech]:[Tech]])))</f>
        <v>0</v>
      </c>
      <c r="AC91" cm="1">
        <f t="array" ref="AC91">IF(PART_NUMBER_GENERATOR_TABLE[[#This Row],[Work Role]:[Work Role]]&lt;&gt;AC$1,0,
IF(PART_NUMBER_GENERATOR_TABLE[[#This Row],[Work Type]:[Work Type]]&lt;&gt;"BH",0,
SUMIFS(AC$9:AC$24,$M$9:$M$24,PART_NUMBER_GENERATOR_TABLE[[#This Row],[Tech]:[Tech]])))</f>
        <v>0</v>
      </c>
      <c r="AD91" cm="1">
        <f t="array" ref="AD91">IF(PART_NUMBER_GENERATOR_TABLE[[#This Row],[Work Role]:[Work Role]]&lt;&gt;AD$1,0,
IF(PART_NUMBER_GENERATOR_TABLE[[#This Row],[Work Type]:[Work Type]]&lt;&gt;"BH",0,
SUMIFS(AD$9:AD$24,$M$9:$M$24,PART_NUMBER_GENERATOR_TABLE[[#This Row],[Tech]:[Tech]])))</f>
        <v>0</v>
      </c>
      <c r="AE91" cm="1">
        <f t="array" ref="AE91">IF(PART_NUMBER_GENERATOR_TABLE[[#This Row],[Work Role]:[Work Role]]&lt;&gt;AE$1,0,
IF(PART_NUMBER_GENERATOR_TABLE[[#This Row],[Work Type]:[Work Type]]&lt;&gt;"BH",0,
SUMIFS(AE$9:AE$24,$M$9:$M$24,PART_NUMBER_GENERATOR_TABLE[[#This Row],[Tech]:[Tech]])))</f>
        <v>0</v>
      </c>
      <c r="AF91" cm="1">
        <f t="array" ref="AF91">IF(PART_NUMBER_GENERATOR_TABLE[[#This Row],[Work Role]:[Work Role]]&lt;&gt;AF$1,0,
IF(PART_NUMBER_GENERATOR_TABLE[[#This Row],[Work Type]:[Work Type]]&lt;&gt;"BH",0,
SUMIFS(AF$9:AF$24,$M$9:$M$24,PART_NUMBER_GENERATOR_TABLE[[#This Row],[Tech]:[Tech]])))</f>
        <v>0</v>
      </c>
      <c r="AG91" cm="1">
        <f t="array" ref="AG91">IF(PART_NUMBER_GENERATOR_TABLE[[#This Row],[Work Role]:[Work Role]]&lt;&gt;AG$1,0,
IF(PART_NUMBER_GENERATOR_TABLE[[#This Row],[Work Type]:[Work Type]]&lt;&gt;"AH",0,
SUMIFS(AG$9:AG$24,$M$9:$M$24,PART_NUMBER_GENERATOR_TABLE[[#This Row],[Tech]:[Tech]])))</f>
        <v>0</v>
      </c>
      <c r="AH91" cm="1">
        <f t="array" ref="AH91">IF(PART_NUMBER_GENERATOR_TABLE[[#This Row],[Work Role]:[Work Role]]&lt;&gt;AH$1,0,
IF(PART_NUMBER_GENERATOR_TABLE[[#This Row],[Work Type]:[Work Type]]&lt;&gt;"BH",0,
SUMIFS(AH$9:AH$24,$M$9:$M$24,PART_NUMBER_GENERATOR_TABLE[[#This Row],[Tech]:[Tech]])))</f>
        <v>0</v>
      </c>
      <c r="AI91" cm="1">
        <f t="array" ref="AI91">IF(PART_NUMBER_GENERATOR_TABLE[[#This Row],[Work Role]:[Work Role]]&lt;&gt;AI$1,0,
IF(PART_NUMBER_GENERATOR_TABLE[[#This Row],[Work Type]:[Work Type]]&lt;&gt;"BH",0,
SUMIFS(AI$9:AI$24,$M$9:$M$24,PART_NUMBER_GENERATOR_TABLE[[#This Row],[Tech]:[Tech]])))</f>
        <v>0</v>
      </c>
      <c r="AJ91" cm="1">
        <f t="array" ref="AJ91">IF(PART_NUMBER_GENERATOR_TABLE[[#This Row],[Work Role]:[Work Role]]&lt;&gt;AJ$1,0,
IF(PART_NUMBER_GENERATOR_TABLE[[#This Row],[Work Type]:[Work Type]]&lt;&gt;"BH",0,
SUMIFS(AJ$9:AJ$24,$M$9:$M$24,PART_NUMBER_GENERATOR_TABLE[[#This Row],[Tech]:[Tech]])))</f>
        <v>0</v>
      </c>
      <c r="AK91" cm="1">
        <f t="array" ref="AK91">IF(PART_NUMBER_GENERATOR_TABLE[[#This Row],[Work Role]:[Work Role]]&lt;&gt;AK$1,0,
IF(PART_NUMBER_GENERATOR_TABLE[[#This Row],[Work Type]:[Work Type]]&lt;&gt;"AH",0,
SUMIFS(AK$9:AK$24,$M$9:$M$24,PART_NUMBER_GENERATOR_TABLE[[#This Row],[Tech]:[Tech]])))</f>
        <v>0</v>
      </c>
      <c r="AL91" cm="1">
        <f t="array" ref="AL91">IF(PART_NUMBER_GENERATOR_TABLE[[#This Row],[Work Role]:[Work Role]]&lt;&gt;AL$1,0,
IF(PART_NUMBER_GENERATOR_TABLE[[#This Row],[Work Type]:[Work Type]]&lt;&gt;"BH",0,
SUMIFS(AL$9:AL$24,$M$9:$M$24,PART_NUMBER_GENERATOR_TABLE[[#This Row],[Tech]:[Tech]])))</f>
        <v>0</v>
      </c>
      <c r="AM91">
        <f>0</f>
        <v>0</v>
      </c>
      <c r="AN91" cm="1">
        <f t="array" ref="AN91">IF(PART_NUMBER_GENERATOR_TABLE[[#This Row],[Work Role]:[Work Role]]&lt;&gt;AN$1,0,
IF(PART_NUMBER_GENERATOR_TABLE[[#This Row],[Work Type]:[Work Type]]&lt;&gt;"BH",0,
SUMIFS(AN$24,$AM$24,PART_NUMBER_GENERATOR_TABLE[[#This Row],[Tech]:[Tech]])))</f>
        <v>0</v>
      </c>
      <c r="AO91" cm="1">
        <f t="array" ref="AO91">IF(PART_NUMBER_GENERATOR_TABLE[[#This Row],[Work Role]:[Work Role]]&lt;&gt;AO$1,0,
IF(PART_NUMBER_GENERATOR_TABLE[[#This Row],[Work Type]:[Work Type]]&lt;&gt;"BH",0,
SUMIFS(AO$24,$AM$24,PART_NUMBER_GENERATOR_TABLE[[#This Row],[Tech]:[Tech]])))</f>
        <v>0</v>
      </c>
      <c r="AP91" cm="1">
        <f t="array" ref="AP91">IF(PART_NUMBER_GENERATOR_TABLE[[#This Row],[Work Role]:[Work Role]]&lt;&gt;AP$1,0,
IF(PART_NUMBER_GENERATOR_TABLE[[#This Row],[Work Type]:[Work Type]]&lt;&gt;"BH",0,
SUMIFS(AP$24,$AM$24,PART_NUMBER_GENERATOR_TABLE[[#This Row],[Tech]:[Tech]])))</f>
        <v>0</v>
      </c>
      <c r="AQ91" cm="1">
        <f t="array" ref="AQ91">IF(PART_NUMBER_GENERATOR_TABLE[[#This Row],[Work Role]:[Work Role]]&lt;&gt;AQ$1,0,
IF(PART_NUMBER_GENERATOR_TABLE[[#This Row],[Work Type]:[Work Type]]&lt;&gt;"BH",0,
SUMIFS(AQ$24,$AM$24,PART_NUMBER_GENERATOR_TABLE[[#This Row],[Tech]:[Tech]])))</f>
        <v>0</v>
      </c>
      <c r="AR91" cm="1">
        <f t="array" ref="AR91">IF(PART_NUMBER_GENERATOR_TABLE[[#This Row],[Work Role]:[Work Role]]&lt;&gt;AR$1,0,
IF(PART_NUMBER_GENERATOR_TABLE[[#This Row],[Work Type]:[Work Type]]&lt;&gt;"BH",0,
SUMIFS(AR$24,$AM$24,PART_NUMBER_GENERATOR_TABLE[[#This Row],[Tech]:[Tech]])))</f>
        <v>0</v>
      </c>
      <c r="AS91" cm="1">
        <f t="array" ref="AS91">IF(PART_NUMBER_GENERATOR_TABLE[[#This Row],[Work Role]:[Work Role]]&lt;&gt;AS$1,0,
IF(PART_NUMBER_GENERATOR_TABLE[[#This Row],[Work Type]:[Work Type]]&lt;&gt;"BH",0,
SUMIFS(AS$24,$AM$24,PART_NUMBER_GENERATOR_TABLE[[#This Row],[Tech]:[Tech]])))</f>
        <v>0</v>
      </c>
      <c r="AT91" cm="1">
        <f t="array" ref="AT91">IF(PART_NUMBER_GENERATOR_TABLE[[#This Row],[Work Role]:[Work Role]]&lt;&gt;AS$1,0,
IF(PART_NUMBER_GENERATOR_TABLE[[#This Row],[Work Type]:[Work Type]]&lt;&gt;"BH",0,
SUMIFS(AT$24,$AM$24,PART_NUMBER_GENERATOR_TABLE[[#This Row],[Tech]:[Tech]])))</f>
        <v>0</v>
      </c>
      <c r="AU91">
        <f>SUM(PART_NUMBER_GENERATOR_TABLE[[#This Row],[Resource 1 BH]:[Resource 5 AH]],PART_NUMBER_GENERATOR_TABLE[[#This Row],[R1 Mandatory Tasks]:[R5 Mandatory Tasks]],PART_NUMBER_GENERATOR_TABLE[[#This Row],[R1 Remainder]:[R5 Remainder]])</f>
        <v>0</v>
      </c>
      <c r="AV91">
        <f>PART_NUMBER_GENERATOR_TABLE[[#This Row],[Professional Engineering Hours]]*PART_NUMBER_GENERATOR_TABLE[[#This Row],[Sell Rate]]</f>
        <v>0</v>
      </c>
      <c r="AW91">
        <f>PART_NUMBER_GENERATOR_TABLE[[#This Row],[Professional Engineering Hours]]*PART_NUMBER_GENERATOR_TABLE[[#This Row],[Cost Rate]]</f>
        <v>0</v>
      </c>
      <c r="AX91">
        <f>SUM(PART_NUMBER_GENERATOR_TABLE[[#This Row],[PM Trips]:[R5 Trips]])</f>
        <v>0</v>
      </c>
      <c r="AY91">
        <f>PART_NUMBER_GENERATOR_TABLE[[#This Row],[Travel &amp; Accommodation Hours]]*PART_NUMBER_GENERATOR_TABLE[[#This Row],[Sell Rate]]</f>
        <v>0</v>
      </c>
      <c r="AZ91">
        <f>PART_NUMBER_GENERATOR_TABLE[[#This Row],[Travel &amp; Accommodation Hours]]*PART_NUMBER_GENERATOR_TABLE[[#This Row],[Cost Rate]]</f>
        <v>0</v>
      </c>
      <c r="BA91">
        <f>PART_NUMBER_GENERATOR_TABLE[[#This Row],[PM Hours]]+PART_NUMBER_GENERATOR_TABLE[[#This Row],[PM Remainder]]</f>
        <v>0</v>
      </c>
      <c r="BB91">
        <f>PART_NUMBER_GENERATOR_TABLE[[#This Row],[Project Management Hours]]*PART_NUMBER_GENERATOR_TABLE[[#This Row],[Sell Rate]]</f>
        <v>0</v>
      </c>
      <c r="BC91">
        <f>PART_NUMBER_GENERATOR_TABLE[[#This Row],[Project Management Hours]]*PART_NUMBER_GENERATOR_TABLE[[#This Row],[Cost Rate]]</f>
        <v>0</v>
      </c>
      <c r="BD91">
        <f>SUM(PART_NUMBER_GENERATOR_TABLE[[#This Row],[SSE RISK BH]:[PM RISK]],PART_NUMBER_GENERATOR_TABLE[[#This Row],[SSE Remainder RISK BH]:[PM Remainder RISK]])</f>
        <v>0</v>
      </c>
      <c r="BE91">
        <f>PART_NUMBER_GENERATOR_TABLE[[#This Row],[Project Risk Service Hours]]*PART_NUMBER_GENERATOR_TABLE[[#This Row],[Sell Rate]]</f>
        <v>0</v>
      </c>
      <c r="BF91">
        <f>PART_NUMBER_GENERATOR_TABLE[[#This Row],[Project Risk Service Hours]]*PART_NUMBER_GENERATOR_TABLE[[#This Row],[Cost Rate]]</f>
        <v>0</v>
      </c>
      <c r="BG91">
        <f>PART_NUMBER_GENERATOR_TABLE[[#This Row],[SSE RISK TRAVEL]]</f>
        <v>0</v>
      </c>
      <c r="BH91">
        <f>PART_NUMBER_GENERATOR_TABLE[[#This Row],[Sell Rate]]*PART_NUMBER_GENERATOR_TABLE[[#This Row],[Project Risk Travel Hours]]</f>
        <v>0</v>
      </c>
      <c r="BI91">
        <f>PART_NUMBER_GENERATOR_TABLE[[#This Row],[Project Risk Travel Hours]]*PART_NUMBER_GENERATOR_TABLE[[#This Row],[Cost Rate]]</f>
        <v>0</v>
      </c>
      <c r="BJ9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9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91">
        <f>IFERROR(-VLOOKUP(INDEX(ENGINEER_ROLES,MATCH(PART_NUMBER_GENERATOR_TABLE[[#This Row],[Work Role]],settings.Table_Engineer.Roles[ID],0),1),Settings_Hidden!$H$359:$K$366,4,FALSE),0)</f>
        <v>0</v>
      </c>
      <c r="BM91" s="680">
        <f>-Summary!$C$66</f>
        <v>0</v>
      </c>
      <c r="BN91" s="465">
        <f>PART_NUMBER_GENERATOR_TABLE[[#This Row],[Total Base Price]]*MIN(PART_NUMBER_GENERATOR_TABLE[[#This Row],[Rate Service Discount]:[Flat Service Discount]])</f>
        <v>0</v>
      </c>
      <c r="BO91" s="451" t="str">
        <f>IF(PART_NUMBER_GENERATOR_TABLE[[#This Row],[Quantity]]&lt;&gt;0,MAX($BO$30:BO90)+1,"")</f>
        <v/>
      </c>
      <c r="BP91" t="str">
        <f>PART_NUMBER_GENERATOR_TABLE[[#This Row],[Part Number]]</f>
        <v>A-PS-E-TRAVEL-SSE-BH</v>
      </c>
      <c r="BQ91">
        <f>PART_NUMBER_GENERATOR_TABLE[[#This Row],[Total Hours]]</f>
        <v>0</v>
      </c>
      <c r="BR91">
        <f>PART_NUMBER_GENERATOR_TABLE[[#This Row],[Cost Rate]]</f>
        <v>126.11855927829811</v>
      </c>
      <c r="BS91" s="465">
        <f>PART_NUMBER_GENERATOR_TABLE[[#This Row],[Sell Rate]]+(PART_NUMBER_GENERATOR_TABLE[[#This Row],[Sell Rate]]*MIN(PART_NUMBER_GENERATOR_TABLE[[#This Row],[Rate Service Discount]:[Flat Service Discount]]))</f>
        <v>235</v>
      </c>
    </row>
    <row r="92" spans="1:71">
      <c r="A92">
        <v>62</v>
      </c>
      <c r="C92" t="s">
        <v>1138</v>
      </c>
      <c r="D92" t="str" cm="1">
        <f t="array" ref="D92">INDEX(Table.Settings_Skill.List[Skill Name],MATCH(INDEX(_xlfn.TEXTSPLIT(C92,"-",,TRUE),4),Table.Settings_Skill.List[Skill Code],0),1)</f>
        <v>Travel</v>
      </c>
      <c r="E92" t="str" cm="1">
        <f t="array" ref="E92">INDEX(_xlfn.TEXTSPLIT(C92,"-",,TRUE),5)</f>
        <v>TA</v>
      </c>
      <c r="F92" t="str">
        <f>IFERROR(INDEX(settings.Table_Engineer.Roles[Department Code],MATCH(PART_NUMBER_GENERATOR_TABLE[[#This Row],[Work Role]],settings.Table_Engineer.Roles[ID],0),1),"PMO")</f>
        <v>ENG</v>
      </c>
      <c r="G92" t="str" cm="1">
        <f t="array" ref="G92">INDEX(_xlfn.TEXTSPLIT(C92,"-",,TRUE),6)</f>
        <v>BH</v>
      </c>
      <c r="H9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9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92" cm="1">
        <f t="array" ref="J92">IF(J$1&lt;&gt;PART_NUMBER_GENERATOR_TABLE[[#This Row],[Work Role]:[Work Role]],0,
IF(RIGHT(J$30,2)&lt;&gt;PART_NUMBER_GENERATOR_TABLE[[#This Row],[Work Type]:[Work Type]],0,
SUMIFS(Input_Tasks[R1 Business Hours],Input_Tasks[[Skill Required]:[Skill Required]],PART_NUMBER_GENERATOR_TABLE[[#This Row],[Tech]:[Tech]])))</f>
        <v>0</v>
      </c>
      <c r="K92" cm="1">
        <f t="array" ref="K92">IF(K$1&lt;&gt;PART_NUMBER_GENERATOR_TABLE[[#This Row],[Work Role]:[Work Role]],0,
IF(RIGHT(K$30,2)&lt;&gt;PART_NUMBER_GENERATOR_TABLE[[#This Row],[Work Type]:[Work Type]],0,
SUMIFS(Input_Tasks[R1 After Hours],Input_Tasks[[Skill Required]:[Skill Required]],PART_NUMBER_GENERATOR_TABLE[[#This Row],[Tech]:[Tech]])))</f>
        <v>0</v>
      </c>
      <c r="L92" cm="1">
        <f t="array" ref="L92">IF(L$1&lt;&gt;PART_NUMBER_GENERATOR_TABLE[[#This Row],[Work Role]:[Work Role]],0,
IF(RIGHT(L$30,2)&lt;&gt;PART_NUMBER_GENERATOR_TABLE[[#This Row],[Work Type]:[Work Type]],0,
SUMIFS(Input_Tasks[R2 Business Hours],Input_Tasks[[Skill Required]:[Skill Required]],PART_NUMBER_GENERATOR_TABLE[[#This Row],[Tech]:[Tech]])))</f>
        <v>0</v>
      </c>
      <c r="M92" cm="1">
        <f t="array" ref="M92">IF(M$1&lt;&gt;PART_NUMBER_GENERATOR_TABLE[[#This Row],[Work Role]:[Work Role]],0,
IF(RIGHT(M$30,2)&lt;&gt;PART_NUMBER_GENERATOR_TABLE[[#This Row],[Work Type]:[Work Type]],0,
SUMIFS(Input_Tasks[R2 After Hours],Input_Tasks[[Skill Required]:[Skill Required]],PART_NUMBER_GENERATOR_TABLE[[#This Row],[Tech]:[Tech]])))</f>
        <v>0</v>
      </c>
      <c r="N92" cm="1">
        <f t="array" ref="N92">IF(N$1&lt;&gt;PART_NUMBER_GENERATOR_TABLE[[#This Row],[Work Role]:[Work Role]],0,
IF(RIGHT(N$30,2)&lt;&gt;PART_NUMBER_GENERATOR_TABLE[[#This Row],[Work Type]:[Work Type]],0,
SUMIFS(Input_Tasks[R3 Business Hours],Input_Tasks[[Skill Required]:[Skill Required]],PART_NUMBER_GENERATOR_TABLE[[#This Row],[Tech]:[Tech]])))</f>
        <v>0</v>
      </c>
      <c r="O92" cm="1">
        <f t="array" ref="O92">IF(O$1&lt;&gt;PART_NUMBER_GENERATOR_TABLE[[#This Row],[Work Role]:[Work Role]],0,
IF(RIGHT(O$30,2)&lt;&gt;PART_NUMBER_GENERATOR_TABLE[[#This Row],[Work Type]:[Work Type]],0,
SUMIFS(Input_Tasks[R3 After Hours],Input_Tasks[[Skill Required]:[Skill Required]],PART_NUMBER_GENERATOR_TABLE[[#This Row],[Tech]:[Tech]])))</f>
        <v>0</v>
      </c>
      <c r="P92" cm="1">
        <f t="array" ref="P92">IF(P$1&lt;&gt;PART_NUMBER_GENERATOR_TABLE[[#This Row],[Work Role]:[Work Role]],0,
IF(RIGHT(P$30,2)&lt;&gt;PART_NUMBER_GENERATOR_TABLE[[#This Row],[Work Type]:[Work Type]],0,
SUMIFS(Input_Tasks[R4 Business Hours],Input_Tasks[[Skill Required]:[Skill Required]],PART_NUMBER_GENERATOR_TABLE[[#This Row],[Tech]:[Tech]])))</f>
        <v>0</v>
      </c>
      <c r="Q92" cm="1">
        <f t="array" ref="Q92">IF(Q$1&lt;&gt;PART_NUMBER_GENERATOR_TABLE[[#This Row],[Work Role]:[Work Role]],0,
IF(RIGHT(Q$30,2)&lt;&gt;PART_NUMBER_GENERATOR_TABLE[[#This Row],[Work Type]:[Work Type]],0,
SUMIFS(Input_Tasks[R4 After Hours],Input_Tasks[[Skill Required]:[Skill Required]],PART_NUMBER_GENERATOR_TABLE[[#This Row],[Tech]:[Tech]])))</f>
        <v>0</v>
      </c>
      <c r="R92" cm="1">
        <f t="array" ref="R92">IF(R$1&lt;&gt;PART_NUMBER_GENERATOR_TABLE[[#This Row],[Work Role]:[Work Role]],0,
IF(RIGHT(R$30,2)&lt;&gt;PART_NUMBER_GENERATOR_TABLE[[#This Row],[Work Type]:[Work Type]],0,
SUMIFS(Input_Tasks[R5 Business Hours],Input_Tasks[[Skill Required]:[Skill Required]],PART_NUMBER_GENERATOR_TABLE[[#This Row],[Tech]:[Tech]])))</f>
        <v>0</v>
      </c>
      <c r="S92" cm="1">
        <f t="array" ref="S92">IF(S$1&lt;&gt;PART_NUMBER_GENERATOR_TABLE[[#This Row],[Work Role]:[Work Role]],0,
IF(RIGHT(S$30,2)&lt;&gt;PART_NUMBER_GENERATOR_TABLE[[#This Row],[Work Type]:[Work Type]],0,
SUMIFS(Input_Tasks[R5 After Hours],Input_Tasks[[Skill Required]:[Skill Required]],PART_NUMBER_GENERATOR_TABLE[[#This Row],[Tech]:[Tech]])))</f>
        <v>0</v>
      </c>
      <c r="T92" cm="1">
        <f t="array" ref="T92">IF(PART_NUMBER_GENERATOR_TABLE[[#This Row],[Work Role]:[Work Role]]&lt;&gt;T$1,0,
IF(PART_NUMBER_GENERATOR_TABLE[[#This Row],[Work Type]:[Work Type]]&lt;&gt;"BH",0,
SUMIFS(T$9:T$24,$M$9:$M$24,PART_NUMBER_GENERATOR_TABLE[[#This Row],[Tech]:[Tech]])))</f>
        <v>0</v>
      </c>
      <c r="U92" cm="1">
        <f t="array" ref="U92">IF(PART_NUMBER_GENERATOR_TABLE[[#This Row],[Work Role]:[Work Role]]&lt;&gt;U$1,0,
IF(PART_NUMBER_GENERATOR_TABLE[[#This Row],[Work Type]:[Work Type]]&lt;&gt;"BH",0,
SUMIFS(U$9:U$24,$M$9:$M$24,PART_NUMBER_GENERATOR_TABLE[[#This Row],[Tech]:[Tech]])))</f>
        <v>0</v>
      </c>
      <c r="V92" cm="1">
        <f t="array" ref="V92">IF(PART_NUMBER_GENERATOR_TABLE[[#This Row],[Work Role]:[Work Role]]&lt;&gt;V$1,0,
IF(PART_NUMBER_GENERATOR_TABLE[[#This Row],[Work Type]:[Work Type]]&lt;&gt;"BH",0,
SUMIFS(V$9:V$24,$M$9:$M$24,PART_NUMBER_GENERATOR_TABLE[[#This Row],[Tech]:[Tech]])))</f>
        <v>0</v>
      </c>
      <c r="W92" cm="1">
        <f t="array" ref="W92">IF(PART_NUMBER_GENERATOR_TABLE[[#This Row],[Work Role]:[Work Role]]&lt;&gt;W$1,0,
IF(PART_NUMBER_GENERATOR_TABLE[[#This Row],[Work Type]:[Work Type]]&lt;&gt;"BH",0,
SUMIFS(W$9:W$24,$M$9:$M$24,PART_NUMBER_GENERATOR_TABLE[[#This Row],[Tech]:[Tech]])))</f>
        <v>0</v>
      </c>
      <c r="X92" cm="1">
        <f t="array" ref="X92">IF(PART_NUMBER_GENERATOR_TABLE[[#This Row],[Work Role]:[Work Role]]&lt;&gt;X$1,0,
IF(PART_NUMBER_GENERATOR_TABLE[[#This Row],[Work Type]:[Work Type]]&lt;&gt;"BH",0,
SUMIFS(X$9:X$24,$M$9:$M$24,PART_NUMBER_GENERATOR_TABLE[[#This Row],[Tech]:[Tech]])))</f>
        <v>0</v>
      </c>
      <c r="Y92" cm="1">
        <f t="array" ref="Y92">IF(PART_NUMBER_GENERATOR_TABLE[[#This Row],[Work Role]:[Work Role]]&lt;&gt;Y$1,0,
IF(PART_NUMBER_GENERATOR_TABLE[[#This Row],[Work Type]:[Work Type]]&lt;&gt;"BH",0,
SUMIFS(Y$9:Y$24,$M$9:$M$24,PART_NUMBER_GENERATOR_TABLE[[#This Row],[Tech]:[Tech]])))</f>
        <v>0</v>
      </c>
      <c r="Z92" cm="1">
        <f t="array" ref="Z92">IF(PART_NUMBER_GENERATOR_TABLE[[#This Row],[Work Role]:[Work Role]]&lt;&gt;Z$1,0,
IF(PART_NUMBER_GENERATOR_TABLE[[#This Row],[Work Type]:[Work Type]]&lt;&gt;"BH",0,
SUMIFS(Z$9:Z$24,$M$9:$M$24,PART_NUMBER_GENERATOR_TABLE[[#This Row],[Tech]:[Tech]])))</f>
        <v>0</v>
      </c>
      <c r="AA92" cm="1">
        <f t="array" ref="AA92">IF(PART_NUMBER_GENERATOR_TABLE[[#This Row],[Work Role]:[Work Role]]&lt;&gt;AA$1,0,
IF(PART_NUMBER_GENERATOR_TABLE[[#This Row],[Work Type]:[Work Type]]&lt;&gt;"BH",0,
SUMIFS(AA$9:AA$24,$M$9:$M$24,PART_NUMBER_GENERATOR_TABLE[[#This Row],[Tech]:[Tech]])))</f>
        <v>0</v>
      </c>
      <c r="AB92" cm="1">
        <f t="array" ref="AB92">IF(PART_NUMBER_GENERATOR_TABLE[[#This Row],[Work Role]:[Work Role]]&lt;&gt;AB$1,0,
IF(PART_NUMBER_GENERATOR_TABLE[[#This Row],[Work Type]:[Work Type]]&lt;&gt;"BH",0,
SUMIFS(AB$9:AB$24,$M$9:$M$24,PART_NUMBER_GENERATOR_TABLE[[#This Row],[Tech]:[Tech]])))</f>
        <v>0</v>
      </c>
      <c r="AC92" cm="1">
        <f t="array" ref="AC92">IF(PART_NUMBER_GENERATOR_TABLE[[#This Row],[Work Role]:[Work Role]]&lt;&gt;AC$1,0,
IF(PART_NUMBER_GENERATOR_TABLE[[#This Row],[Work Type]:[Work Type]]&lt;&gt;"BH",0,
SUMIFS(AC$9:AC$24,$M$9:$M$24,PART_NUMBER_GENERATOR_TABLE[[#This Row],[Tech]:[Tech]])))</f>
        <v>0</v>
      </c>
      <c r="AD92" cm="1">
        <f t="array" ref="AD92">IF(PART_NUMBER_GENERATOR_TABLE[[#This Row],[Work Role]:[Work Role]]&lt;&gt;AD$1,0,
IF(PART_NUMBER_GENERATOR_TABLE[[#This Row],[Work Type]:[Work Type]]&lt;&gt;"BH",0,
SUMIFS(AD$9:AD$24,$M$9:$M$24,PART_NUMBER_GENERATOR_TABLE[[#This Row],[Tech]:[Tech]])))</f>
        <v>0</v>
      </c>
      <c r="AE92" cm="1">
        <f t="array" ref="AE92">IF(PART_NUMBER_GENERATOR_TABLE[[#This Row],[Work Role]:[Work Role]]&lt;&gt;AE$1,0,
IF(PART_NUMBER_GENERATOR_TABLE[[#This Row],[Work Type]:[Work Type]]&lt;&gt;"BH",0,
SUMIFS(AE$9:AE$24,$M$9:$M$24,PART_NUMBER_GENERATOR_TABLE[[#This Row],[Tech]:[Tech]])))</f>
        <v>0</v>
      </c>
      <c r="AF92" cm="1">
        <f t="array" ref="AF92">IF(PART_NUMBER_GENERATOR_TABLE[[#This Row],[Work Role]:[Work Role]]&lt;&gt;AF$1,0,
IF(PART_NUMBER_GENERATOR_TABLE[[#This Row],[Work Type]:[Work Type]]&lt;&gt;"BH",0,
SUMIFS(AF$9:AF$24,$M$9:$M$24,PART_NUMBER_GENERATOR_TABLE[[#This Row],[Tech]:[Tech]])))</f>
        <v>0</v>
      </c>
      <c r="AG92" cm="1">
        <f t="array" ref="AG92">IF(PART_NUMBER_GENERATOR_TABLE[[#This Row],[Work Role]:[Work Role]]&lt;&gt;AG$1,0,
IF(PART_NUMBER_GENERATOR_TABLE[[#This Row],[Work Type]:[Work Type]]&lt;&gt;"AH",0,
SUMIFS(AG$9:AG$24,$M$9:$M$24,PART_NUMBER_GENERATOR_TABLE[[#This Row],[Tech]:[Tech]])))</f>
        <v>0</v>
      </c>
      <c r="AH92" cm="1">
        <f t="array" ref="AH92">IF(PART_NUMBER_GENERATOR_TABLE[[#This Row],[Work Role]:[Work Role]]&lt;&gt;AH$1,0,
IF(PART_NUMBER_GENERATOR_TABLE[[#This Row],[Work Type]:[Work Type]]&lt;&gt;"BH",0,
SUMIFS(AH$9:AH$24,$M$9:$M$24,PART_NUMBER_GENERATOR_TABLE[[#This Row],[Tech]:[Tech]])))</f>
        <v>0</v>
      </c>
      <c r="AI92" cm="1">
        <f t="array" ref="AI92">IF(PART_NUMBER_GENERATOR_TABLE[[#This Row],[Work Role]:[Work Role]]&lt;&gt;AI$1,0,
IF(PART_NUMBER_GENERATOR_TABLE[[#This Row],[Work Type]:[Work Type]]&lt;&gt;"BH",0,
SUMIFS(AI$9:AI$24,$M$9:$M$24,PART_NUMBER_GENERATOR_TABLE[[#This Row],[Tech]:[Tech]])))</f>
        <v>0</v>
      </c>
      <c r="AJ92" cm="1">
        <f t="array" ref="AJ92">IF(PART_NUMBER_GENERATOR_TABLE[[#This Row],[Work Role]:[Work Role]]&lt;&gt;AJ$1,0,
IF(PART_NUMBER_GENERATOR_TABLE[[#This Row],[Work Type]:[Work Type]]&lt;&gt;"BH",0,
SUMIFS(AJ$9:AJ$24,$M$9:$M$24,PART_NUMBER_GENERATOR_TABLE[[#This Row],[Tech]:[Tech]])))</f>
        <v>0</v>
      </c>
      <c r="AK92" cm="1">
        <f t="array" ref="AK92">IF(PART_NUMBER_GENERATOR_TABLE[[#This Row],[Work Role]:[Work Role]]&lt;&gt;AK$1,0,
IF(PART_NUMBER_GENERATOR_TABLE[[#This Row],[Work Type]:[Work Type]]&lt;&gt;"AH",0,
SUMIFS(AK$9:AK$24,$M$9:$M$24,PART_NUMBER_GENERATOR_TABLE[[#This Row],[Tech]:[Tech]])))</f>
        <v>0</v>
      </c>
      <c r="AL92" cm="1">
        <f t="array" ref="AL92">IF(PART_NUMBER_GENERATOR_TABLE[[#This Row],[Work Role]:[Work Role]]&lt;&gt;AL$1,0,
IF(PART_NUMBER_GENERATOR_TABLE[[#This Row],[Work Type]:[Work Type]]&lt;&gt;"BH",0,
SUMIFS(AL$9:AL$24,$M$9:$M$24,PART_NUMBER_GENERATOR_TABLE[[#This Row],[Tech]:[Tech]])))</f>
        <v>0</v>
      </c>
      <c r="AM92">
        <f>0</f>
        <v>0</v>
      </c>
      <c r="AN92" cm="1">
        <f t="array" ref="AN92">IF(PART_NUMBER_GENERATOR_TABLE[[#This Row],[Work Role]:[Work Role]]&lt;&gt;AN$1,0,
IF(PART_NUMBER_GENERATOR_TABLE[[#This Row],[Work Type]:[Work Type]]&lt;&gt;"BH",0,
SUMIFS(AN$24,$AM$24,PART_NUMBER_GENERATOR_TABLE[[#This Row],[Tech]:[Tech]])))</f>
        <v>0</v>
      </c>
      <c r="AO92" cm="1">
        <f t="array" ref="AO92">IF(PART_NUMBER_GENERATOR_TABLE[[#This Row],[Work Role]:[Work Role]]&lt;&gt;AO$1,0,
IF(PART_NUMBER_GENERATOR_TABLE[[#This Row],[Work Type]:[Work Type]]&lt;&gt;"BH",0,
SUMIFS(AO$24,$AM$24,PART_NUMBER_GENERATOR_TABLE[[#This Row],[Tech]:[Tech]])))</f>
        <v>0</v>
      </c>
      <c r="AP92" cm="1">
        <f t="array" ref="AP92">IF(PART_NUMBER_GENERATOR_TABLE[[#This Row],[Work Role]:[Work Role]]&lt;&gt;AP$1,0,
IF(PART_NUMBER_GENERATOR_TABLE[[#This Row],[Work Type]:[Work Type]]&lt;&gt;"BH",0,
SUMIFS(AP$24,$AM$24,PART_NUMBER_GENERATOR_TABLE[[#This Row],[Tech]:[Tech]])))</f>
        <v>0</v>
      </c>
      <c r="AQ92" cm="1">
        <f t="array" ref="AQ92">IF(PART_NUMBER_GENERATOR_TABLE[[#This Row],[Work Role]:[Work Role]]&lt;&gt;AQ$1,0,
IF(PART_NUMBER_GENERATOR_TABLE[[#This Row],[Work Type]:[Work Type]]&lt;&gt;"BH",0,
SUMIFS(AQ$24,$AM$24,PART_NUMBER_GENERATOR_TABLE[[#This Row],[Tech]:[Tech]])))</f>
        <v>0</v>
      </c>
      <c r="AR92" cm="1">
        <f t="array" ref="AR92">IF(PART_NUMBER_GENERATOR_TABLE[[#This Row],[Work Role]:[Work Role]]&lt;&gt;AR$1,0,
IF(PART_NUMBER_GENERATOR_TABLE[[#This Row],[Work Type]:[Work Type]]&lt;&gt;"BH",0,
SUMIFS(AR$24,$AM$24,PART_NUMBER_GENERATOR_TABLE[[#This Row],[Tech]:[Tech]])))</f>
        <v>0</v>
      </c>
      <c r="AS92" cm="1">
        <f t="array" ref="AS92">IF(PART_NUMBER_GENERATOR_TABLE[[#This Row],[Work Role]:[Work Role]]&lt;&gt;AS$1,0,
IF(PART_NUMBER_GENERATOR_TABLE[[#This Row],[Work Type]:[Work Type]]&lt;&gt;"BH",0,
SUMIFS(AS$24,$AM$24,PART_NUMBER_GENERATOR_TABLE[[#This Row],[Tech]:[Tech]])))</f>
        <v>0</v>
      </c>
      <c r="AT92" cm="1">
        <f t="array" ref="AT92">IF(PART_NUMBER_GENERATOR_TABLE[[#This Row],[Work Role]:[Work Role]]&lt;&gt;AS$1,0,
IF(PART_NUMBER_GENERATOR_TABLE[[#This Row],[Work Type]:[Work Type]]&lt;&gt;"BH",0,
SUMIFS(AT$24,$AM$24,PART_NUMBER_GENERATOR_TABLE[[#This Row],[Tech]:[Tech]])))</f>
        <v>0</v>
      </c>
      <c r="AU92">
        <f>SUM(PART_NUMBER_GENERATOR_TABLE[[#This Row],[Resource 1 BH]:[Resource 5 AH]],PART_NUMBER_GENERATOR_TABLE[[#This Row],[R1 Mandatory Tasks]:[R5 Mandatory Tasks]],PART_NUMBER_GENERATOR_TABLE[[#This Row],[R1 Remainder]:[R5 Remainder]])</f>
        <v>0</v>
      </c>
      <c r="AV92">
        <f>PART_NUMBER_GENERATOR_TABLE[[#This Row],[Professional Engineering Hours]]*PART_NUMBER_GENERATOR_TABLE[[#This Row],[Sell Rate]]</f>
        <v>0</v>
      </c>
      <c r="AW92">
        <f>PART_NUMBER_GENERATOR_TABLE[[#This Row],[Professional Engineering Hours]]*PART_NUMBER_GENERATOR_TABLE[[#This Row],[Cost Rate]]</f>
        <v>0</v>
      </c>
      <c r="AX92">
        <f>SUM(PART_NUMBER_GENERATOR_TABLE[[#This Row],[PM Trips]:[R5 Trips]])</f>
        <v>0</v>
      </c>
      <c r="AY92">
        <f>PART_NUMBER_GENERATOR_TABLE[[#This Row],[Travel &amp; Accommodation Hours]]*PART_NUMBER_GENERATOR_TABLE[[#This Row],[Sell Rate]]</f>
        <v>0</v>
      </c>
      <c r="AZ92">
        <f>PART_NUMBER_GENERATOR_TABLE[[#This Row],[Travel &amp; Accommodation Hours]]*PART_NUMBER_GENERATOR_TABLE[[#This Row],[Cost Rate]]</f>
        <v>0</v>
      </c>
      <c r="BA92">
        <f>PART_NUMBER_GENERATOR_TABLE[[#This Row],[PM Hours]]+PART_NUMBER_GENERATOR_TABLE[[#This Row],[PM Remainder]]</f>
        <v>0</v>
      </c>
      <c r="BB92">
        <f>PART_NUMBER_GENERATOR_TABLE[[#This Row],[Project Management Hours]]*PART_NUMBER_GENERATOR_TABLE[[#This Row],[Sell Rate]]</f>
        <v>0</v>
      </c>
      <c r="BC92">
        <f>PART_NUMBER_GENERATOR_TABLE[[#This Row],[Project Management Hours]]*PART_NUMBER_GENERATOR_TABLE[[#This Row],[Cost Rate]]</f>
        <v>0</v>
      </c>
      <c r="BD92">
        <f>SUM(PART_NUMBER_GENERATOR_TABLE[[#This Row],[SSE RISK BH]:[PM RISK]],PART_NUMBER_GENERATOR_TABLE[[#This Row],[SSE Remainder RISK BH]:[PM Remainder RISK]])</f>
        <v>0</v>
      </c>
      <c r="BE92">
        <f>PART_NUMBER_GENERATOR_TABLE[[#This Row],[Project Risk Service Hours]]*PART_NUMBER_GENERATOR_TABLE[[#This Row],[Sell Rate]]</f>
        <v>0</v>
      </c>
      <c r="BF92">
        <f>PART_NUMBER_GENERATOR_TABLE[[#This Row],[Project Risk Service Hours]]*PART_NUMBER_GENERATOR_TABLE[[#This Row],[Cost Rate]]</f>
        <v>0</v>
      </c>
      <c r="BG92">
        <f>PART_NUMBER_GENERATOR_TABLE[[#This Row],[SSE RISK TRAVEL]]</f>
        <v>0</v>
      </c>
      <c r="BH92">
        <f>PART_NUMBER_GENERATOR_TABLE[[#This Row],[Sell Rate]]*PART_NUMBER_GENERATOR_TABLE[[#This Row],[Project Risk Travel Hours]]</f>
        <v>0</v>
      </c>
      <c r="BI92">
        <f>PART_NUMBER_GENERATOR_TABLE[[#This Row],[Project Risk Travel Hours]]*PART_NUMBER_GENERATOR_TABLE[[#This Row],[Cost Rate]]</f>
        <v>0</v>
      </c>
      <c r="BJ9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9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92">
        <f>IFERROR(-VLOOKUP(INDEX(ENGINEER_ROLES,MATCH(PART_NUMBER_GENERATOR_TABLE[[#This Row],[Work Role]],settings.Table_Engineer.Roles[ID],0),1),Settings_Hidden!$H$359:$K$366,4,FALSE),0)</f>
        <v>0</v>
      </c>
      <c r="BM92" s="680">
        <f>-Summary!$C$66</f>
        <v>0</v>
      </c>
      <c r="BN92" s="465">
        <f>PART_NUMBER_GENERATOR_TABLE[[#This Row],[Total Base Price]]*MIN(PART_NUMBER_GENERATOR_TABLE[[#This Row],[Rate Service Discount]:[Flat Service Discount]])</f>
        <v>0</v>
      </c>
      <c r="BO92" s="451" t="str">
        <f>IF(PART_NUMBER_GENERATOR_TABLE[[#This Row],[Quantity]]&lt;&gt;0,MAX($BO$30:BO91)+1,"")</f>
        <v/>
      </c>
      <c r="BP92" t="str">
        <f>PART_NUMBER_GENERATOR_TABLE[[#This Row],[Part Number]]</f>
        <v>A-PS-E-TRAVEL-TA-BH</v>
      </c>
      <c r="BQ92">
        <f>PART_NUMBER_GENERATOR_TABLE[[#This Row],[Total Hours]]</f>
        <v>0</v>
      </c>
      <c r="BR92">
        <f>PART_NUMBER_GENERATOR_TABLE[[#This Row],[Cost Rate]]</f>
        <v>126.11855927829811</v>
      </c>
      <c r="BS92" s="465">
        <f>PART_NUMBER_GENERATOR_TABLE[[#This Row],[Sell Rate]]+(PART_NUMBER_GENERATOR_TABLE[[#This Row],[Sell Rate]]*MIN(PART_NUMBER_GENERATOR_TABLE[[#This Row],[Rate Service Discount]:[Flat Service Discount]]))</f>
        <v>235</v>
      </c>
    </row>
    <row r="93" spans="1:71">
      <c r="A93">
        <v>63</v>
      </c>
      <c r="C93" t="s">
        <v>910</v>
      </c>
      <c r="D93" t="str" cm="1">
        <f t="array" ref="D93">INDEX(Table.Settings_Skill.List[Skill Name],MATCH(INDEX(_xlfn.TEXTSPLIT(C93,"-",,TRUE),4),Table.Settings_Skill.List[Skill Code],0),1)</f>
        <v>Collaboration</v>
      </c>
      <c r="E93" t="str" cm="1">
        <f t="array" ref="E93">INDEX(_xlfn.TEXTSPLIT(C93,"-",,TRUE),5)</f>
        <v>TA</v>
      </c>
      <c r="F93" t="str">
        <f>IFERROR(INDEX(settings.Table_Engineer.Roles[Department Code],MATCH(PART_NUMBER_GENERATOR_TABLE[[#This Row],[Work Role]],settings.Table_Engineer.Roles[ID],0),1),"PMO")</f>
        <v>ENG</v>
      </c>
      <c r="G93" t="str" cm="1">
        <f t="array" ref="G93">INDEX(_xlfn.TEXTSPLIT(C93,"-",,TRUE),6)</f>
        <v>AH</v>
      </c>
      <c r="H9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232.5</v>
      </c>
      <c r="I9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122.02019862032805</v>
      </c>
      <c r="J93" cm="1">
        <f t="array" ref="J93">IF(J$1&lt;&gt;PART_NUMBER_GENERATOR_TABLE[[#This Row],[Work Role]:[Work Role]],0,
IF(RIGHT(J$30,2)&lt;&gt;PART_NUMBER_GENERATOR_TABLE[[#This Row],[Work Type]:[Work Type]],0,
SUMIFS(Input_Tasks[R1 Business Hours],Input_Tasks[[Skill Required]:[Skill Required]],PART_NUMBER_GENERATOR_TABLE[[#This Row],[Tech]:[Tech]])))</f>
        <v>0</v>
      </c>
      <c r="K93" cm="1">
        <f t="array" ref="K93">IF(K$1&lt;&gt;PART_NUMBER_GENERATOR_TABLE[[#This Row],[Work Role]:[Work Role]],0,
IF(RIGHT(K$30,2)&lt;&gt;PART_NUMBER_GENERATOR_TABLE[[#This Row],[Work Type]:[Work Type]],0,
SUMIFS(Input_Tasks[R1 After Hours],Input_Tasks[[Skill Required]:[Skill Required]],PART_NUMBER_GENERATOR_TABLE[[#This Row],[Tech]:[Tech]])))</f>
        <v>0</v>
      </c>
      <c r="L93" cm="1">
        <f t="array" ref="L93">IF(L$1&lt;&gt;PART_NUMBER_GENERATOR_TABLE[[#This Row],[Work Role]:[Work Role]],0,
IF(RIGHT(L$30,2)&lt;&gt;PART_NUMBER_GENERATOR_TABLE[[#This Row],[Work Type]:[Work Type]],0,
SUMIFS(Input_Tasks[R2 Business Hours],Input_Tasks[[Skill Required]:[Skill Required]],PART_NUMBER_GENERATOR_TABLE[[#This Row],[Tech]:[Tech]])))</f>
        <v>0</v>
      </c>
      <c r="M93" cm="1">
        <f t="array" ref="M93">IF(M$1&lt;&gt;PART_NUMBER_GENERATOR_TABLE[[#This Row],[Work Role]:[Work Role]],0,
IF(RIGHT(M$30,2)&lt;&gt;PART_NUMBER_GENERATOR_TABLE[[#This Row],[Work Type]:[Work Type]],0,
SUMIFS(Input_Tasks[R2 After Hours],Input_Tasks[[Skill Required]:[Skill Required]],PART_NUMBER_GENERATOR_TABLE[[#This Row],[Tech]:[Tech]])))</f>
        <v>0</v>
      </c>
      <c r="N93" cm="1">
        <f t="array" ref="N93">IF(N$1&lt;&gt;PART_NUMBER_GENERATOR_TABLE[[#This Row],[Work Role]:[Work Role]],0,
IF(RIGHT(N$30,2)&lt;&gt;PART_NUMBER_GENERATOR_TABLE[[#This Row],[Work Type]:[Work Type]],0,
SUMIFS(Input_Tasks[R3 Business Hours],Input_Tasks[[Skill Required]:[Skill Required]],PART_NUMBER_GENERATOR_TABLE[[#This Row],[Tech]:[Tech]])))</f>
        <v>0</v>
      </c>
      <c r="O93" cm="1">
        <f t="array" ref="O93">IF(O$1&lt;&gt;PART_NUMBER_GENERATOR_TABLE[[#This Row],[Work Role]:[Work Role]],0,
IF(RIGHT(O$30,2)&lt;&gt;PART_NUMBER_GENERATOR_TABLE[[#This Row],[Work Type]:[Work Type]],0,
SUMIFS(Input_Tasks[R3 After Hours],Input_Tasks[[Skill Required]:[Skill Required]],PART_NUMBER_GENERATOR_TABLE[[#This Row],[Tech]:[Tech]])))</f>
        <v>0</v>
      </c>
      <c r="P93" cm="1">
        <f t="array" ref="P93">IF(P$1&lt;&gt;PART_NUMBER_GENERATOR_TABLE[[#This Row],[Work Role]:[Work Role]],0,
IF(RIGHT(P$30,2)&lt;&gt;PART_NUMBER_GENERATOR_TABLE[[#This Row],[Work Type]:[Work Type]],0,
SUMIFS(Input_Tasks[R4 Business Hours],Input_Tasks[[Skill Required]:[Skill Required]],PART_NUMBER_GENERATOR_TABLE[[#This Row],[Tech]:[Tech]])))</f>
        <v>0</v>
      </c>
      <c r="Q93" cm="1">
        <f t="array" ref="Q93">IF(Q$1&lt;&gt;PART_NUMBER_GENERATOR_TABLE[[#This Row],[Work Role]:[Work Role]],0,
IF(RIGHT(Q$30,2)&lt;&gt;PART_NUMBER_GENERATOR_TABLE[[#This Row],[Work Type]:[Work Type]],0,
SUMIFS(Input_Tasks[R4 After Hours],Input_Tasks[[Skill Required]:[Skill Required]],PART_NUMBER_GENERATOR_TABLE[[#This Row],[Tech]:[Tech]])))</f>
        <v>0</v>
      </c>
      <c r="R93" cm="1">
        <f t="array" ref="R93">IF(R$1&lt;&gt;PART_NUMBER_GENERATOR_TABLE[[#This Row],[Work Role]:[Work Role]],0,
IF(RIGHT(R$30,2)&lt;&gt;PART_NUMBER_GENERATOR_TABLE[[#This Row],[Work Type]:[Work Type]],0,
SUMIFS(Input_Tasks[R5 Business Hours],Input_Tasks[[Skill Required]:[Skill Required]],PART_NUMBER_GENERATOR_TABLE[[#This Row],[Tech]:[Tech]])))</f>
        <v>0</v>
      </c>
      <c r="S93" cm="1">
        <f t="array" ref="S93">IF(S$1&lt;&gt;PART_NUMBER_GENERATOR_TABLE[[#This Row],[Work Role]:[Work Role]],0,
IF(RIGHT(S$30,2)&lt;&gt;PART_NUMBER_GENERATOR_TABLE[[#This Row],[Work Type]:[Work Type]],0,
SUMIFS(Input_Tasks[R5 After Hours],Input_Tasks[[Skill Required]:[Skill Required]],PART_NUMBER_GENERATOR_TABLE[[#This Row],[Tech]:[Tech]])))</f>
        <v>0</v>
      </c>
      <c r="T93" cm="1">
        <f t="array" ref="T93">IF(PART_NUMBER_GENERATOR_TABLE[[#This Row],[Work Role]:[Work Role]]&lt;&gt;T$1,0,
IF(PART_NUMBER_GENERATOR_TABLE[[#This Row],[Work Type]:[Work Type]]&lt;&gt;"BH",0,
SUMIFS(T$9:T$24,$M$9:$M$24,PART_NUMBER_GENERATOR_TABLE[[#This Row],[Tech]:[Tech]])))</f>
        <v>0</v>
      </c>
      <c r="U93" cm="1">
        <f t="array" ref="U93">IF(PART_NUMBER_GENERATOR_TABLE[[#This Row],[Work Role]:[Work Role]]&lt;&gt;U$1,0,
IF(PART_NUMBER_GENERATOR_TABLE[[#This Row],[Work Type]:[Work Type]]&lt;&gt;"BH",0,
SUMIFS(U$9:U$24,$M$9:$M$24,PART_NUMBER_GENERATOR_TABLE[[#This Row],[Tech]:[Tech]])))</f>
        <v>0</v>
      </c>
      <c r="V93" cm="1">
        <f t="array" ref="V93">IF(PART_NUMBER_GENERATOR_TABLE[[#This Row],[Work Role]:[Work Role]]&lt;&gt;V$1,0,
IF(PART_NUMBER_GENERATOR_TABLE[[#This Row],[Work Type]:[Work Type]]&lt;&gt;"BH",0,
SUMIFS(V$9:V$24,$M$9:$M$24,PART_NUMBER_GENERATOR_TABLE[[#This Row],[Tech]:[Tech]])))</f>
        <v>0</v>
      </c>
      <c r="W93" cm="1">
        <f t="array" ref="W93">IF(PART_NUMBER_GENERATOR_TABLE[[#This Row],[Work Role]:[Work Role]]&lt;&gt;W$1,0,
IF(PART_NUMBER_GENERATOR_TABLE[[#This Row],[Work Type]:[Work Type]]&lt;&gt;"BH",0,
SUMIFS(W$9:W$24,$M$9:$M$24,PART_NUMBER_GENERATOR_TABLE[[#This Row],[Tech]:[Tech]])))</f>
        <v>0</v>
      </c>
      <c r="X93" cm="1">
        <f t="array" ref="X93">IF(PART_NUMBER_GENERATOR_TABLE[[#This Row],[Work Role]:[Work Role]]&lt;&gt;X$1,0,
IF(PART_NUMBER_GENERATOR_TABLE[[#This Row],[Work Type]:[Work Type]]&lt;&gt;"BH",0,
SUMIFS(X$9:X$24,$M$9:$M$24,PART_NUMBER_GENERATOR_TABLE[[#This Row],[Tech]:[Tech]])))</f>
        <v>0</v>
      </c>
      <c r="Y93" cm="1">
        <f t="array" ref="Y93">IF(PART_NUMBER_GENERATOR_TABLE[[#This Row],[Work Role]:[Work Role]]&lt;&gt;Y$1,0,
IF(PART_NUMBER_GENERATOR_TABLE[[#This Row],[Work Type]:[Work Type]]&lt;&gt;"BH",0,
SUMIFS(Y$9:Y$24,$M$9:$M$24,PART_NUMBER_GENERATOR_TABLE[[#This Row],[Tech]:[Tech]])))</f>
        <v>0</v>
      </c>
      <c r="Z93" cm="1">
        <f t="array" ref="Z93">IF(PART_NUMBER_GENERATOR_TABLE[[#This Row],[Work Role]:[Work Role]]&lt;&gt;Z$1,0,
IF(PART_NUMBER_GENERATOR_TABLE[[#This Row],[Work Type]:[Work Type]]&lt;&gt;"BH",0,
SUMIFS(Z$9:Z$24,$M$9:$M$24,PART_NUMBER_GENERATOR_TABLE[[#This Row],[Tech]:[Tech]])))</f>
        <v>0</v>
      </c>
      <c r="AA93" cm="1">
        <f t="array" ref="AA93">IF(PART_NUMBER_GENERATOR_TABLE[[#This Row],[Work Role]:[Work Role]]&lt;&gt;AA$1,0,
IF(PART_NUMBER_GENERATOR_TABLE[[#This Row],[Work Type]:[Work Type]]&lt;&gt;"BH",0,
SUMIFS(AA$9:AA$24,$M$9:$M$24,PART_NUMBER_GENERATOR_TABLE[[#This Row],[Tech]:[Tech]])))</f>
        <v>0</v>
      </c>
      <c r="AB93" cm="1">
        <f t="array" ref="AB93">IF(PART_NUMBER_GENERATOR_TABLE[[#This Row],[Work Role]:[Work Role]]&lt;&gt;AB$1,0,
IF(PART_NUMBER_GENERATOR_TABLE[[#This Row],[Work Type]:[Work Type]]&lt;&gt;"BH",0,
SUMIFS(AB$9:AB$24,$M$9:$M$24,PART_NUMBER_GENERATOR_TABLE[[#This Row],[Tech]:[Tech]])))</f>
        <v>0</v>
      </c>
      <c r="AC93" cm="1">
        <f t="array" ref="AC93">IF(PART_NUMBER_GENERATOR_TABLE[[#This Row],[Work Role]:[Work Role]]&lt;&gt;AC$1,0,
IF(PART_NUMBER_GENERATOR_TABLE[[#This Row],[Work Type]:[Work Type]]&lt;&gt;"BH",0,
SUMIFS(AC$9:AC$24,$M$9:$M$24,PART_NUMBER_GENERATOR_TABLE[[#This Row],[Tech]:[Tech]])))</f>
        <v>0</v>
      </c>
      <c r="AD93" cm="1">
        <f t="array" ref="AD93">IF(PART_NUMBER_GENERATOR_TABLE[[#This Row],[Work Role]:[Work Role]]&lt;&gt;AD$1,0,
IF(PART_NUMBER_GENERATOR_TABLE[[#This Row],[Work Type]:[Work Type]]&lt;&gt;"BH",0,
SUMIFS(AD$9:AD$24,$M$9:$M$24,PART_NUMBER_GENERATOR_TABLE[[#This Row],[Tech]:[Tech]])))</f>
        <v>0</v>
      </c>
      <c r="AE93" cm="1">
        <f t="array" ref="AE93">IF(PART_NUMBER_GENERATOR_TABLE[[#This Row],[Work Role]:[Work Role]]&lt;&gt;AE$1,0,
IF(PART_NUMBER_GENERATOR_TABLE[[#This Row],[Work Type]:[Work Type]]&lt;&gt;"BH",0,
SUMIFS(AE$9:AE$24,$M$9:$M$24,PART_NUMBER_GENERATOR_TABLE[[#This Row],[Tech]:[Tech]])))</f>
        <v>0</v>
      </c>
      <c r="AF93" cm="1">
        <f t="array" ref="AF93">IF(PART_NUMBER_GENERATOR_TABLE[[#This Row],[Work Role]:[Work Role]]&lt;&gt;AF$1,0,
IF(PART_NUMBER_GENERATOR_TABLE[[#This Row],[Work Type]:[Work Type]]&lt;&gt;"BH",0,
SUMIFS(AF$9:AF$24,$M$9:$M$24,PART_NUMBER_GENERATOR_TABLE[[#This Row],[Tech]:[Tech]])))</f>
        <v>0</v>
      </c>
      <c r="AG93" cm="1">
        <f t="array" ref="AG93">IF(PART_NUMBER_GENERATOR_TABLE[[#This Row],[Work Role]:[Work Role]]&lt;&gt;AG$1,0,
IF(PART_NUMBER_GENERATOR_TABLE[[#This Row],[Work Type]:[Work Type]]&lt;&gt;"AH",0,
SUMIFS(AG$9:AG$24,$M$9:$M$24,PART_NUMBER_GENERATOR_TABLE[[#This Row],[Tech]:[Tech]])))</f>
        <v>0</v>
      </c>
      <c r="AH93" cm="1">
        <f t="array" ref="AH93">IF(PART_NUMBER_GENERATOR_TABLE[[#This Row],[Work Role]:[Work Role]]&lt;&gt;AH$1,0,
IF(PART_NUMBER_GENERATOR_TABLE[[#This Row],[Work Type]:[Work Type]]&lt;&gt;"BH",0,
SUMIFS(AH$9:AH$24,$M$9:$M$24,PART_NUMBER_GENERATOR_TABLE[[#This Row],[Tech]:[Tech]])))</f>
        <v>0</v>
      </c>
      <c r="AI93" cm="1">
        <f t="array" ref="AI93">IF(PART_NUMBER_GENERATOR_TABLE[[#This Row],[Work Role]:[Work Role]]&lt;&gt;AI$1,0,
IF(PART_NUMBER_GENERATOR_TABLE[[#This Row],[Work Type]:[Work Type]]&lt;&gt;"BH",0,
SUMIFS(AI$9:AI$24,$M$9:$M$24,PART_NUMBER_GENERATOR_TABLE[[#This Row],[Tech]:[Tech]])))</f>
        <v>0</v>
      </c>
      <c r="AJ93" cm="1">
        <f t="array" ref="AJ93">IF(PART_NUMBER_GENERATOR_TABLE[[#This Row],[Work Role]:[Work Role]]&lt;&gt;AJ$1,0,
IF(PART_NUMBER_GENERATOR_TABLE[[#This Row],[Work Type]:[Work Type]]&lt;&gt;"BH",0,
SUMIFS(AJ$9:AJ$24,$M$9:$M$24,PART_NUMBER_GENERATOR_TABLE[[#This Row],[Tech]:[Tech]])))</f>
        <v>0</v>
      </c>
      <c r="AK93" cm="1">
        <f t="array" ref="AK93">IF(PART_NUMBER_GENERATOR_TABLE[[#This Row],[Work Role]:[Work Role]]&lt;&gt;AK$1,0,
IF(PART_NUMBER_GENERATOR_TABLE[[#This Row],[Work Type]:[Work Type]]&lt;&gt;"AH",0,
SUMIFS(AK$9:AK$24,$M$9:$M$24,PART_NUMBER_GENERATOR_TABLE[[#This Row],[Tech]:[Tech]])))</f>
        <v>0</v>
      </c>
      <c r="AL93" cm="1">
        <f t="array" ref="AL93">IF(PART_NUMBER_GENERATOR_TABLE[[#This Row],[Work Role]:[Work Role]]&lt;&gt;AL$1,0,
IF(PART_NUMBER_GENERATOR_TABLE[[#This Row],[Work Type]:[Work Type]]&lt;&gt;"BH",0,
SUMIFS(AL$9:AL$24,$M$9:$M$24,PART_NUMBER_GENERATOR_TABLE[[#This Row],[Tech]:[Tech]])))</f>
        <v>0</v>
      </c>
      <c r="AM93">
        <f>0</f>
        <v>0</v>
      </c>
      <c r="AN93" cm="1">
        <f t="array" ref="AN93">IF(PART_NUMBER_GENERATOR_TABLE[[#This Row],[Work Role]:[Work Role]]&lt;&gt;AN$1,0,
IF(PART_NUMBER_GENERATOR_TABLE[[#This Row],[Work Type]:[Work Type]]&lt;&gt;"BH",0,
SUMIFS(AN$24,$AM$24,PART_NUMBER_GENERATOR_TABLE[[#This Row],[Tech]:[Tech]])))</f>
        <v>0</v>
      </c>
      <c r="AO93" cm="1">
        <f t="array" ref="AO93">IF(PART_NUMBER_GENERATOR_TABLE[[#This Row],[Work Role]:[Work Role]]&lt;&gt;AO$1,0,
IF(PART_NUMBER_GENERATOR_TABLE[[#This Row],[Work Type]:[Work Type]]&lt;&gt;"BH",0,
SUMIFS(AO$24,$AM$24,PART_NUMBER_GENERATOR_TABLE[[#This Row],[Tech]:[Tech]])))</f>
        <v>0</v>
      </c>
      <c r="AP93" cm="1">
        <f t="array" ref="AP93">IF(PART_NUMBER_GENERATOR_TABLE[[#This Row],[Work Role]:[Work Role]]&lt;&gt;AP$1,0,
IF(PART_NUMBER_GENERATOR_TABLE[[#This Row],[Work Type]:[Work Type]]&lt;&gt;"BH",0,
SUMIFS(AP$24,$AM$24,PART_NUMBER_GENERATOR_TABLE[[#This Row],[Tech]:[Tech]])))</f>
        <v>0</v>
      </c>
      <c r="AQ93" cm="1">
        <f t="array" ref="AQ93">IF(PART_NUMBER_GENERATOR_TABLE[[#This Row],[Work Role]:[Work Role]]&lt;&gt;AQ$1,0,
IF(PART_NUMBER_GENERATOR_TABLE[[#This Row],[Work Type]:[Work Type]]&lt;&gt;"BH",0,
SUMIFS(AQ$24,$AM$24,PART_NUMBER_GENERATOR_TABLE[[#This Row],[Tech]:[Tech]])))</f>
        <v>0</v>
      </c>
      <c r="AR93" cm="1">
        <f t="array" ref="AR93">IF(PART_NUMBER_GENERATOR_TABLE[[#This Row],[Work Role]:[Work Role]]&lt;&gt;AR$1,0,
IF(PART_NUMBER_GENERATOR_TABLE[[#This Row],[Work Type]:[Work Type]]&lt;&gt;"BH",0,
SUMIFS(AR$24,$AM$24,PART_NUMBER_GENERATOR_TABLE[[#This Row],[Tech]:[Tech]])))</f>
        <v>0</v>
      </c>
      <c r="AS93" cm="1">
        <f t="array" ref="AS93">IF(PART_NUMBER_GENERATOR_TABLE[[#This Row],[Work Role]:[Work Role]]&lt;&gt;AS$1,0,
IF(PART_NUMBER_GENERATOR_TABLE[[#This Row],[Work Type]:[Work Type]]&lt;&gt;"BH",0,
SUMIFS(AS$24,$AM$24,PART_NUMBER_GENERATOR_TABLE[[#This Row],[Tech]:[Tech]])))</f>
        <v>0</v>
      </c>
      <c r="AT93" cm="1">
        <f t="array" ref="AT93">IF(PART_NUMBER_GENERATOR_TABLE[[#This Row],[Work Role]:[Work Role]]&lt;&gt;AS$1,0,
IF(PART_NUMBER_GENERATOR_TABLE[[#This Row],[Work Type]:[Work Type]]&lt;&gt;"BH",0,
SUMIFS(AT$24,$AM$24,PART_NUMBER_GENERATOR_TABLE[[#This Row],[Tech]:[Tech]])))</f>
        <v>0</v>
      </c>
      <c r="AU93">
        <f>SUM(PART_NUMBER_GENERATOR_TABLE[[#This Row],[Resource 1 BH]:[Resource 5 AH]],PART_NUMBER_GENERATOR_TABLE[[#This Row],[R1 Mandatory Tasks]:[R5 Mandatory Tasks]],PART_NUMBER_GENERATOR_TABLE[[#This Row],[R1 Remainder]:[R5 Remainder]])</f>
        <v>0</v>
      </c>
      <c r="AV93">
        <f>PART_NUMBER_GENERATOR_TABLE[[#This Row],[Professional Engineering Hours]]*PART_NUMBER_GENERATOR_TABLE[[#This Row],[Sell Rate]]</f>
        <v>0</v>
      </c>
      <c r="AW93">
        <f>PART_NUMBER_GENERATOR_TABLE[[#This Row],[Professional Engineering Hours]]*PART_NUMBER_GENERATOR_TABLE[[#This Row],[Cost Rate]]</f>
        <v>0</v>
      </c>
      <c r="AX93">
        <f>SUM(PART_NUMBER_GENERATOR_TABLE[[#This Row],[PM Trips]:[R5 Trips]])</f>
        <v>0</v>
      </c>
      <c r="AY93">
        <f>PART_NUMBER_GENERATOR_TABLE[[#This Row],[Travel &amp; Accommodation Hours]]*PART_NUMBER_GENERATOR_TABLE[[#This Row],[Sell Rate]]</f>
        <v>0</v>
      </c>
      <c r="AZ93">
        <f>PART_NUMBER_GENERATOR_TABLE[[#This Row],[Travel &amp; Accommodation Hours]]*PART_NUMBER_GENERATOR_TABLE[[#This Row],[Cost Rate]]</f>
        <v>0</v>
      </c>
      <c r="BA93">
        <f>PART_NUMBER_GENERATOR_TABLE[[#This Row],[PM Hours]]+PART_NUMBER_GENERATOR_TABLE[[#This Row],[PM Remainder]]</f>
        <v>0</v>
      </c>
      <c r="BB93">
        <f>PART_NUMBER_GENERATOR_TABLE[[#This Row],[Project Management Hours]]*PART_NUMBER_GENERATOR_TABLE[[#This Row],[Sell Rate]]</f>
        <v>0</v>
      </c>
      <c r="BC93">
        <f>PART_NUMBER_GENERATOR_TABLE[[#This Row],[Project Management Hours]]*PART_NUMBER_GENERATOR_TABLE[[#This Row],[Cost Rate]]</f>
        <v>0</v>
      </c>
      <c r="BD93">
        <f>SUM(PART_NUMBER_GENERATOR_TABLE[[#This Row],[SSE RISK BH]:[PM RISK]],PART_NUMBER_GENERATOR_TABLE[[#This Row],[SSE Remainder RISK BH]:[PM Remainder RISK]])</f>
        <v>0</v>
      </c>
      <c r="BE93">
        <f>PART_NUMBER_GENERATOR_TABLE[[#This Row],[Project Risk Service Hours]]*PART_NUMBER_GENERATOR_TABLE[[#This Row],[Sell Rate]]</f>
        <v>0</v>
      </c>
      <c r="BF93">
        <f>PART_NUMBER_GENERATOR_TABLE[[#This Row],[Project Risk Service Hours]]*PART_NUMBER_GENERATOR_TABLE[[#This Row],[Cost Rate]]</f>
        <v>0</v>
      </c>
      <c r="BG93">
        <f>PART_NUMBER_GENERATOR_TABLE[[#This Row],[SSE RISK TRAVEL]]</f>
        <v>0</v>
      </c>
      <c r="BH93">
        <f>PART_NUMBER_GENERATOR_TABLE[[#This Row],[Sell Rate]]*PART_NUMBER_GENERATOR_TABLE[[#This Row],[Project Risk Travel Hours]]</f>
        <v>0</v>
      </c>
      <c r="BI93">
        <f>PART_NUMBER_GENERATOR_TABLE[[#This Row],[Project Risk Travel Hours]]*PART_NUMBER_GENERATOR_TABLE[[#This Row],[Cost Rate]]</f>
        <v>0</v>
      </c>
      <c r="BJ9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9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93">
        <f>IFERROR(-VLOOKUP(INDEX(ENGINEER_ROLES,MATCH(PART_NUMBER_GENERATOR_TABLE[[#This Row],[Work Role]],settings.Table_Engineer.Roles[ID],0),1),Settings_Hidden!$H$359:$K$366,4,FALSE),0)</f>
        <v>0</v>
      </c>
      <c r="BM93" s="680">
        <f>-Summary!$C$66</f>
        <v>0</v>
      </c>
      <c r="BN93" s="465">
        <f>PART_NUMBER_GENERATOR_TABLE[[#This Row],[Total Base Price]]*MIN(PART_NUMBER_GENERATOR_TABLE[[#This Row],[Rate Service Discount]:[Flat Service Discount]])</f>
        <v>0</v>
      </c>
      <c r="BO93" s="451" t="str">
        <f>IF(PART_NUMBER_GENERATOR_TABLE[[#This Row],[Quantity]]&lt;&gt;0,MAX($BO$30:BO92)+1,"")</f>
        <v/>
      </c>
      <c r="BP93" t="str">
        <f>PART_NUMBER_GENERATOR_TABLE[[#This Row],[Part Number]]</f>
        <v>A-PS-E-COLLAB-TA-AH</v>
      </c>
      <c r="BQ93">
        <f>PART_NUMBER_GENERATOR_TABLE[[#This Row],[Total Hours]]</f>
        <v>0</v>
      </c>
      <c r="BR93">
        <f>PART_NUMBER_GENERATOR_TABLE[[#This Row],[Cost Rate]]</f>
        <v>122.02019862032805</v>
      </c>
      <c r="BS93" s="465">
        <f>PART_NUMBER_GENERATOR_TABLE[[#This Row],[Sell Rate]]+(PART_NUMBER_GENERATOR_TABLE[[#This Row],[Sell Rate]]*MIN(PART_NUMBER_GENERATOR_TABLE[[#This Row],[Rate Service Discount]:[Flat Service Discount]]))</f>
        <v>232.5</v>
      </c>
    </row>
    <row r="94" spans="1:71">
      <c r="A94">
        <v>64</v>
      </c>
      <c r="C94" t="s">
        <v>906</v>
      </c>
      <c r="D94" t="str" cm="1">
        <f t="array" ref="D94">INDEX(Table.Settings_Skill.List[Skill Name],MATCH(INDEX(_xlfn.TEXTSPLIT(C94,"-",,TRUE),4),Table.Settings_Skill.List[Skill Code],0),1)</f>
        <v>Collaboration</v>
      </c>
      <c r="E94" t="str" cm="1">
        <f t="array" ref="E94">INDEX(_xlfn.TEXTSPLIT(C94,"-",,TRUE),5)</f>
        <v>SE</v>
      </c>
      <c r="F94" t="str">
        <f>IFERROR(INDEX(settings.Table_Engineer.Roles[Department Code],MATCH(PART_NUMBER_GENERATOR_TABLE[[#This Row],[Work Role]],settings.Table_Engineer.Roles[ID],0),1),"PMO")</f>
        <v>ENG</v>
      </c>
      <c r="G94" t="str" cm="1">
        <f t="array" ref="G94">INDEX(_xlfn.TEXTSPLIT(C94,"-",,TRUE),6)</f>
        <v>AH</v>
      </c>
      <c r="H9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352.5</v>
      </c>
      <c r="I9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189.17783891744716</v>
      </c>
      <c r="J94" cm="1">
        <f t="array" ref="J94">IF(J$1&lt;&gt;PART_NUMBER_GENERATOR_TABLE[[#This Row],[Work Role]:[Work Role]],0,
IF(RIGHT(J$30,2)&lt;&gt;PART_NUMBER_GENERATOR_TABLE[[#This Row],[Work Type]:[Work Type]],0,
SUMIFS(Input_Tasks[R1 Business Hours],Input_Tasks[[Skill Required]:[Skill Required]],PART_NUMBER_GENERATOR_TABLE[[#This Row],[Tech]:[Tech]])))</f>
        <v>0</v>
      </c>
      <c r="K94" cm="1">
        <f t="array" ref="K94">IF(K$1&lt;&gt;PART_NUMBER_GENERATOR_TABLE[[#This Row],[Work Role]:[Work Role]],0,
IF(RIGHT(K$30,2)&lt;&gt;PART_NUMBER_GENERATOR_TABLE[[#This Row],[Work Type]:[Work Type]],0,
SUMIFS(Input_Tasks[R1 After Hours],Input_Tasks[[Skill Required]:[Skill Required]],PART_NUMBER_GENERATOR_TABLE[[#This Row],[Tech]:[Tech]])))</f>
        <v>0</v>
      </c>
      <c r="L94" cm="1">
        <f t="array" ref="L94">IF(L$1&lt;&gt;PART_NUMBER_GENERATOR_TABLE[[#This Row],[Work Role]:[Work Role]],0,
IF(RIGHT(L$30,2)&lt;&gt;PART_NUMBER_GENERATOR_TABLE[[#This Row],[Work Type]:[Work Type]],0,
SUMIFS(Input_Tasks[R2 Business Hours],Input_Tasks[[Skill Required]:[Skill Required]],PART_NUMBER_GENERATOR_TABLE[[#This Row],[Tech]:[Tech]])))</f>
        <v>0</v>
      </c>
      <c r="M94" cm="1">
        <f t="array" ref="M94">IF(M$1&lt;&gt;PART_NUMBER_GENERATOR_TABLE[[#This Row],[Work Role]:[Work Role]],0,
IF(RIGHT(M$30,2)&lt;&gt;PART_NUMBER_GENERATOR_TABLE[[#This Row],[Work Type]:[Work Type]],0,
SUMIFS(Input_Tasks[R2 After Hours],Input_Tasks[[Skill Required]:[Skill Required]],PART_NUMBER_GENERATOR_TABLE[[#This Row],[Tech]:[Tech]])))</f>
        <v>0</v>
      </c>
      <c r="N94" cm="1">
        <f t="array" ref="N94">IF(N$1&lt;&gt;PART_NUMBER_GENERATOR_TABLE[[#This Row],[Work Role]:[Work Role]],0,
IF(RIGHT(N$30,2)&lt;&gt;PART_NUMBER_GENERATOR_TABLE[[#This Row],[Work Type]:[Work Type]],0,
SUMIFS(Input_Tasks[R3 Business Hours],Input_Tasks[[Skill Required]:[Skill Required]],PART_NUMBER_GENERATOR_TABLE[[#This Row],[Tech]:[Tech]])))</f>
        <v>0</v>
      </c>
      <c r="O94" cm="1">
        <f t="array" ref="O94">IF(O$1&lt;&gt;PART_NUMBER_GENERATOR_TABLE[[#This Row],[Work Role]:[Work Role]],0,
IF(RIGHT(O$30,2)&lt;&gt;PART_NUMBER_GENERATOR_TABLE[[#This Row],[Work Type]:[Work Type]],0,
SUMIFS(Input_Tasks[R3 After Hours],Input_Tasks[[Skill Required]:[Skill Required]],PART_NUMBER_GENERATOR_TABLE[[#This Row],[Tech]:[Tech]])))</f>
        <v>0</v>
      </c>
      <c r="P94" cm="1">
        <f t="array" ref="P94">IF(P$1&lt;&gt;PART_NUMBER_GENERATOR_TABLE[[#This Row],[Work Role]:[Work Role]],0,
IF(RIGHT(P$30,2)&lt;&gt;PART_NUMBER_GENERATOR_TABLE[[#This Row],[Work Type]:[Work Type]],0,
SUMIFS(Input_Tasks[R4 Business Hours],Input_Tasks[[Skill Required]:[Skill Required]],PART_NUMBER_GENERATOR_TABLE[[#This Row],[Tech]:[Tech]])))</f>
        <v>0</v>
      </c>
      <c r="Q94" cm="1">
        <f t="array" ref="Q94">IF(Q$1&lt;&gt;PART_NUMBER_GENERATOR_TABLE[[#This Row],[Work Role]:[Work Role]],0,
IF(RIGHT(Q$30,2)&lt;&gt;PART_NUMBER_GENERATOR_TABLE[[#This Row],[Work Type]:[Work Type]],0,
SUMIFS(Input_Tasks[R4 After Hours],Input_Tasks[[Skill Required]:[Skill Required]],PART_NUMBER_GENERATOR_TABLE[[#This Row],[Tech]:[Tech]])))</f>
        <v>0</v>
      </c>
      <c r="R94" cm="1">
        <f t="array" ref="R94">IF(R$1&lt;&gt;PART_NUMBER_GENERATOR_TABLE[[#This Row],[Work Role]:[Work Role]],0,
IF(RIGHT(R$30,2)&lt;&gt;PART_NUMBER_GENERATOR_TABLE[[#This Row],[Work Type]:[Work Type]],0,
SUMIFS(Input_Tasks[R5 Business Hours],Input_Tasks[[Skill Required]:[Skill Required]],PART_NUMBER_GENERATOR_TABLE[[#This Row],[Tech]:[Tech]])))</f>
        <v>0</v>
      </c>
      <c r="S94" cm="1">
        <f t="array" ref="S94">IF(S$1&lt;&gt;PART_NUMBER_GENERATOR_TABLE[[#This Row],[Work Role]:[Work Role]],0,
IF(RIGHT(S$30,2)&lt;&gt;PART_NUMBER_GENERATOR_TABLE[[#This Row],[Work Type]:[Work Type]],0,
SUMIFS(Input_Tasks[R5 After Hours],Input_Tasks[[Skill Required]:[Skill Required]],PART_NUMBER_GENERATOR_TABLE[[#This Row],[Tech]:[Tech]])))</f>
        <v>0</v>
      </c>
      <c r="T94" cm="1">
        <f t="array" ref="T94">IF(PART_NUMBER_GENERATOR_TABLE[[#This Row],[Work Role]:[Work Role]]&lt;&gt;T$1,0,
IF(PART_NUMBER_GENERATOR_TABLE[[#This Row],[Work Type]:[Work Type]]&lt;&gt;"BH",0,
SUMIFS(T$9:T$24,$M$9:$M$24,PART_NUMBER_GENERATOR_TABLE[[#This Row],[Tech]:[Tech]])))</f>
        <v>0</v>
      </c>
      <c r="U94" cm="1">
        <f t="array" ref="U94">IF(PART_NUMBER_GENERATOR_TABLE[[#This Row],[Work Role]:[Work Role]]&lt;&gt;U$1,0,
IF(PART_NUMBER_GENERATOR_TABLE[[#This Row],[Work Type]:[Work Type]]&lt;&gt;"BH",0,
SUMIFS(U$9:U$24,$M$9:$M$24,PART_NUMBER_GENERATOR_TABLE[[#This Row],[Tech]:[Tech]])))</f>
        <v>0</v>
      </c>
      <c r="V94" cm="1">
        <f t="array" ref="V94">IF(PART_NUMBER_GENERATOR_TABLE[[#This Row],[Work Role]:[Work Role]]&lt;&gt;V$1,0,
IF(PART_NUMBER_GENERATOR_TABLE[[#This Row],[Work Type]:[Work Type]]&lt;&gt;"BH",0,
SUMIFS(V$9:V$24,$M$9:$M$24,PART_NUMBER_GENERATOR_TABLE[[#This Row],[Tech]:[Tech]])))</f>
        <v>0</v>
      </c>
      <c r="W94" cm="1">
        <f t="array" ref="W94">IF(PART_NUMBER_GENERATOR_TABLE[[#This Row],[Work Role]:[Work Role]]&lt;&gt;W$1,0,
IF(PART_NUMBER_GENERATOR_TABLE[[#This Row],[Work Type]:[Work Type]]&lt;&gt;"BH",0,
SUMIFS(W$9:W$24,$M$9:$M$24,PART_NUMBER_GENERATOR_TABLE[[#This Row],[Tech]:[Tech]])))</f>
        <v>0</v>
      </c>
      <c r="X94" cm="1">
        <f t="array" ref="X94">IF(PART_NUMBER_GENERATOR_TABLE[[#This Row],[Work Role]:[Work Role]]&lt;&gt;X$1,0,
IF(PART_NUMBER_GENERATOR_TABLE[[#This Row],[Work Type]:[Work Type]]&lt;&gt;"BH",0,
SUMIFS(X$9:X$24,$M$9:$M$24,PART_NUMBER_GENERATOR_TABLE[[#This Row],[Tech]:[Tech]])))</f>
        <v>0</v>
      </c>
      <c r="Y94" cm="1">
        <f t="array" ref="Y94">IF(PART_NUMBER_GENERATOR_TABLE[[#This Row],[Work Role]:[Work Role]]&lt;&gt;Y$1,0,
IF(PART_NUMBER_GENERATOR_TABLE[[#This Row],[Work Type]:[Work Type]]&lt;&gt;"BH",0,
SUMIFS(Y$9:Y$24,$M$9:$M$24,PART_NUMBER_GENERATOR_TABLE[[#This Row],[Tech]:[Tech]])))</f>
        <v>0</v>
      </c>
      <c r="Z94" cm="1">
        <f t="array" ref="Z94">IF(PART_NUMBER_GENERATOR_TABLE[[#This Row],[Work Role]:[Work Role]]&lt;&gt;Z$1,0,
IF(PART_NUMBER_GENERATOR_TABLE[[#This Row],[Work Type]:[Work Type]]&lt;&gt;"BH",0,
SUMIFS(Z$9:Z$24,$M$9:$M$24,PART_NUMBER_GENERATOR_TABLE[[#This Row],[Tech]:[Tech]])))</f>
        <v>0</v>
      </c>
      <c r="AA94" cm="1">
        <f t="array" ref="AA94">IF(PART_NUMBER_GENERATOR_TABLE[[#This Row],[Work Role]:[Work Role]]&lt;&gt;AA$1,0,
IF(PART_NUMBER_GENERATOR_TABLE[[#This Row],[Work Type]:[Work Type]]&lt;&gt;"BH",0,
SUMIFS(AA$9:AA$24,$M$9:$M$24,PART_NUMBER_GENERATOR_TABLE[[#This Row],[Tech]:[Tech]])))</f>
        <v>0</v>
      </c>
      <c r="AB94" cm="1">
        <f t="array" ref="AB94">IF(PART_NUMBER_GENERATOR_TABLE[[#This Row],[Work Role]:[Work Role]]&lt;&gt;AB$1,0,
IF(PART_NUMBER_GENERATOR_TABLE[[#This Row],[Work Type]:[Work Type]]&lt;&gt;"BH",0,
SUMIFS(AB$9:AB$24,$M$9:$M$24,PART_NUMBER_GENERATOR_TABLE[[#This Row],[Tech]:[Tech]])))</f>
        <v>0</v>
      </c>
      <c r="AC94" cm="1">
        <f t="array" ref="AC94">IF(PART_NUMBER_GENERATOR_TABLE[[#This Row],[Work Role]:[Work Role]]&lt;&gt;AC$1,0,
IF(PART_NUMBER_GENERATOR_TABLE[[#This Row],[Work Type]:[Work Type]]&lt;&gt;"BH",0,
SUMIFS(AC$9:AC$24,$M$9:$M$24,PART_NUMBER_GENERATOR_TABLE[[#This Row],[Tech]:[Tech]])))</f>
        <v>0</v>
      </c>
      <c r="AD94" cm="1">
        <f t="array" ref="AD94">IF(PART_NUMBER_GENERATOR_TABLE[[#This Row],[Work Role]:[Work Role]]&lt;&gt;AD$1,0,
IF(PART_NUMBER_GENERATOR_TABLE[[#This Row],[Work Type]:[Work Type]]&lt;&gt;"BH",0,
SUMIFS(AD$9:AD$24,$M$9:$M$24,PART_NUMBER_GENERATOR_TABLE[[#This Row],[Tech]:[Tech]])))</f>
        <v>0</v>
      </c>
      <c r="AE94" cm="1">
        <f t="array" ref="AE94">IF(PART_NUMBER_GENERATOR_TABLE[[#This Row],[Work Role]:[Work Role]]&lt;&gt;AE$1,0,
IF(PART_NUMBER_GENERATOR_TABLE[[#This Row],[Work Type]:[Work Type]]&lt;&gt;"BH",0,
SUMIFS(AE$9:AE$24,$M$9:$M$24,PART_NUMBER_GENERATOR_TABLE[[#This Row],[Tech]:[Tech]])))</f>
        <v>0</v>
      </c>
      <c r="AF94" cm="1">
        <f t="array" ref="AF94">IF(PART_NUMBER_GENERATOR_TABLE[[#This Row],[Work Role]:[Work Role]]&lt;&gt;AF$1,0,
IF(PART_NUMBER_GENERATOR_TABLE[[#This Row],[Work Type]:[Work Type]]&lt;&gt;"BH",0,
SUMIFS(AF$9:AF$24,$M$9:$M$24,PART_NUMBER_GENERATOR_TABLE[[#This Row],[Tech]:[Tech]])))</f>
        <v>0</v>
      </c>
      <c r="AG94" cm="1">
        <f t="array" ref="AG94">IF(PART_NUMBER_GENERATOR_TABLE[[#This Row],[Work Role]:[Work Role]]&lt;&gt;AG$1,0,
IF(PART_NUMBER_GENERATOR_TABLE[[#This Row],[Work Type]:[Work Type]]&lt;&gt;"AH",0,
SUMIFS(AG$9:AG$24,$M$9:$M$24,PART_NUMBER_GENERATOR_TABLE[[#This Row],[Tech]:[Tech]])))</f>
        <v>0</v>
      </c>
      <c r="AH94" cm="1">
        <f t="array" ref="AH94">IF(PART_NUMBER_GENERATOR_TABLE[[#This Row],[Work Role]:[Work Role]]&lt;&gt;AH$1,0,
IF(PART_NUMBER_GENERATOR_TABLE[[#This Row],[Work Type]:[Work Type]]&lt;&gt;"BH",0,
SUMIFS(AH$9:AH$24,$M$9:$M$24,PART_NUMBER_GENERATOR_TABLE[[#This Row],[Tech]:[Tech]])))</f>
        <v>0</v>
      </c>
      <c r="AI94" cm="1">
        <f t="array" ref="AI94">IF(PART_NUMBER_GENERATOR_TABLE[[#This Row],[Work Role]:[Work Role]]&lt;&gt;AI$1,0,
IF(PART_NUMBER_GENERATOR_TABLE[[#This Row],[Work Type]:[Work Type]]&lt;&gt;"BH",0,
SUMIFS(AI$9:AI$24,$M$9:$M$24,PART_NUMBER_GENERATOR_TABLE[[#This Row],[Tech]:[Tech]])))</f>
        <v>0</v>
      </c>
      <c r="AJ94" cm="1">
        <f t="array" ref="AJ94">IF(PART_NUMBER_GENERATOR_TABLE[[#This Row],[Work Role]:[Work Role]]&lt;&gt;AJ$1,0,
IF(PART_NUMBER_GENERATOR_TABLE[[#This Row],[Work Type]:[Work Type]]&lt;&gt;"BH",0,
SUMIFS(AJ$9:AJ$24,$M$9:$M$24,PART_NUMBER_GENERATOR_TABLE[[#This Row],[Tech]:[Tech]])))</f>
        <v>0</v>
      </c>
      <c r="AK94" cm="1">
        <f t="array" ref="AK94">IF(PART_NUMBER_GENERATOR_TABLE[[#This Row],[Work Role]:[Work Role]]&lt;&gt;AK$1,0,
IF(PART_NUMBER_GENERATOR_TABLE[[#This Row],[Work Type]:[Work Type]]&lt;&gt;"AH",0,
SUMIFS(AK$9:AK$24,$M$9:$M$24,PART_NUMBER_GENERATOR_TABLE[[#This Row],[Tech]:[Tech]])))</f>
        <v>0</v>
      </c>
      <c r="AL94" cm="1">
        <f t="array" ref="AL94">IF(PART_NUMBER_GENERATOR_TABLE[[#This Row],[Work Role]:[Work Role]]&lt;&gt;AL$1,0,
IF(PART_NUMBER_GENERATOR_TABLE[[#This Row],[Work Type]:[Work Type]]&lt;&gt;"BH",0,
SUMIFS(AL$9:AL$24,$M$9:$M$24,PART_NUMBER_GENERATOR_TABLE[[#This Row],[Tech]:[Tech]])))</f>
        <v>0</v>
      </c>
      <c r="AM94">
        <f>0</f>
        <v>0</v>
      </c>
      <c r="AN94" cm="1">
        <f t="array" ref="AN94">IF(PART_NUMBER_GENERATOR_TABLE[[#This Row],[Work Role]:[Work Role]]&lt;&gt;AN$1,0,
IF(PART_NUMBER_GENERATOR_TABLE[[#This Row],[Work Type]:[Work Type]]&lt;&gt;"BH",0,
SUMIFS(AN$24,$AM$24,PART_NUMBER_GENERATOR_TABLE[[#This Row],[Tech]:[Tech]])))</f>
        <v>0</v>
      </c>
      <c r="AO94" cm="1">
        <f t="array" ref="AO94">IF(PART_NUMBER_GENERATOR_TABLE[[#This Row],[Work Role]:[Work Role]]&lt;&gt;AO$1,0,
IF(PART_NUMBER_GENERATOR_TABLE[[#This Row],[Work Type]:[Work Type]]&lt;&gt;"BH",0,
SUMIFS(AO$24,$AM$24,PART_NUMBER_GENERATOR_TABLE[[#This Row],[Tech]:[Tech]])))</f>
        <v>0</v>
      </c>
      <c r="AP94" cm="1">
        <f t="array" ref="AP94">IF(PART_NUMBER_GENERATOR_TABLE[[#This Row],[Work Role]:[Work Role]]&lt;&gt;AP$1,0,
IF(PART_NUMBER_GENERATOR_TABLE[[#This Row],[Work Type]:[Work Type]]&lt;&gt;"BH",0,
SUMIFS(AP$24,$AM$24,PART_NUMBER_GENERATOR_TABLE[[#This Row],[Tech]:[Tech]])))</f>
        <v>0</v>
      </c>
      <c r="AQ94" cm="1">
        <f t="array" ref="AQ94">IF(PART_NUMBER_GENERATOR_TABLE[[#This Row],[Work Role]:[Work Role]]&lt;&gt;AQ$1,0,
IF(PART_NUMBER_GENERATOR_TABLE[[#This Row],[Work Type]:[Work Type]]&lt;&gt;"BH",0,
SUMIFS(AQ$24,$AM$24,PART_NUMBER_GENERATOR_TABLE[[#This Row],[Tech]:[Tech]])))</f>
        <v>0</v>
      </c>
      <c r="AR94" cm="1">
        <f t="array" ref="AR94">IF(PART_NUMBER_GENERATOR_TABLE[[#This Row],[Work Role]:[Work Role]]&lt;&gt;AR$1,0,
IF(PART_NUMBER_GENERATOR_TABLE[[#This Row],[Work Type]:[Work Type]]&lt;&gt;"BH",0,
SUMIFS(AR$24,$AM$24,PART_NUMBER_GENERATOR_TABLE[[#This Row],[Tech]:[Tech]])))</f>
        <v>0</v>
      </c>
      <c r="AS94" cm="1">
        <f t="array" ref="AS94">IF(PART_NUMBER_GENERATOR_TABLE[[#This Row],[Work Role]:[Work Role]]&lt;&gt;AS$1,0,
IF(PART_NUMBER_GENERATOR_TABLE[[#This Row],[Work Type]:[Work Type]]&lt;&gt;"BH",0,
SUMIFS(AS$24,$AM$24,PART_NUMBER_GENERATOR_TABLE[[#This Row],[Tech]:[Tech]])))</f>
        <v>0</v>
      </c>
      <c r="AT94" cm="1">
        <f t="array" ref="AT94">IF(PART_NUMBER_GENERATOR_TABLE[[#This Row],[Work Role]:[Work Role]]&lt;&gt;AS$1,0,
IF(PART_NUMBER_GENERATOR_TABLE[[#This Row],[Work Type]:[Work Type]]&lt;&gt;"BH",0,
SUMIFS(AT$24,$AM$24,PART_NUMBER_GENERATOR_TABLE[[#This Row],[Tech]:[Tech]])))</f>
        <v>0</v>
      </c>
      <c r="AU94">
        <f>SUM(PART_NUMBER_GENERATOR_TABLE[[#This Row],[Resource 1 BH]:[Resource 5 AH]],PART_NUMBER_GENERATOR_TABLE[[#This Row],[R1 Mandatory Tasks]:[R5 Mandatory Tasks]],PART_NUMBER_GENERATOR_TABLE[[#This Row],[R1 Remainder]:[R5 Remainder]])</f>
        <v>0</v>
      </c>
      <c r="AV94">
        <f>PART_NUMBER_GENERATOR_TABLE[[#This Row],[Professional Engineering Hours]]*PART_NUMBER_GENERATOR_TABLE[[#This Row],[Sell Rate]]</f>
        <v>0</v>
      </c>
      <c r="AW94">
        <f>PART_NUMBER_GENERATOR_TABLE[[#This Row],[Professional Engineering Hours]]*PART_NUMBER_GENERATOR_TABLE[[#This Row],[Cost Rate]]</f>
        <v>0</v>
      </c>
      <c r="AX94">
        <f>SUM(PART_NUMBER_GENERATOR_TABLE[[#This Row],[PM Trips]:[R5 Trips]])</f>
        <v>0</v>
      </c>
      <c r="AY94">
        <f>PART_NUMBER_GENERATOR_TABLE[[#This Row],[Travel &amp; Accommodation Hours]]*PART_NUMBER_GENERATOR_TABLE[[#This Row],[Sell Rate]]</f>
        <v>0</v>
      </c>
      <c r="AZ94">
        <f>PART_NUMBER_GENERATOR_TABLE[[#This Row],[Travel &amp; Accommodation Hours]]*PART_NUMBER_GENERATOR_TABLE[[#This Row],[Cost Rate]]</f>
        <v>0</v>
      </c>
      <c r="BA94">
        <f>PART_NUMBER_GENERATOR_TABLE[[#This Row],[PM Hours]]+PART_NUMBER_GENERATOR_TABLE[[#This Row],[PM Remainder]]</f>
        <v>0</v>
      </c>
      <c r="BB94">
        <f>PART_NUMBER_GENERATOR_TABLE[[#This Row],[Project Management Hours]]*PART_NUMBER_GENERATOR_TABLE[[#This Row],[Sell Rate]]</f>
        <v>0</v>
      </c>
      <c r="BC94">
        <f>PART_NUMBER_GENERATOR_TABLE[[#This Row],[Project Management Hours]]*PART_NUMBER_GENERATOR_TABLE[[#This Row],[Cost Rate]]</f>
        <v>0</v>
      </c>
      <c r="BD94">
        <f>SUM(PART_NUMBER_GENERATOR_TABLE[[#This Row],[SSE RISK BH]:[PM RISK]],PART_NUMBER_GENERATOR_TABLE[[#This Row],[SSE Remainder RISK BH]:[PM Remainder RISK]])</f>
        <v>0</v>
      </c>
      <c r="BE94">
        <f>PART_NUMBER_GENERATOR_TABLE[[#This Row],[Project Risk Service Hours]]*PART_NUMBER_GENERATOR_TABLE[[#This Row],[Sell Rate]]</f>
        <v>0</v>
      </c>
      <c r="BF94">
        <f>PART_NUMBER_GENERATOR_TABLE[[#This Row],[Project Risk Service Hours]]*PART_NUMBER_GENERATOR_TABLE[[#This Row],[Cost Rate]]</f>
        <v>0</v>
      </c>
      <c r="BG94">
        <f>PART_NUMBER_GENERATOR_TABLE[[#This Row],[SSE RISK TRAVEL]]</f>
        <v>0</v>
      </c>
      <c r="BH94">
        <f>PART_NUMBER_GENERATOR_TABLE[[#This Row],[Sell Rate]]*PART_NUMBER_GENERATOR_TABLE[[#This Row],[Project Risk Travel Hours]]</f>
        <v>0</v>
      </c>
      <c r="BI94">
        <f>PART_NUMBER_GENERATOR_TABLE[[#This Row],[Project Risk Travel Hours]]*PART_NUMBER_GENERATOR_TABLE[[#This Row],[Cost Rate]]</f>
        <v>0</v>
      </c>
      <c r="BJ9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9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94">
        <f>IFERROR(-VLOOKUP(INDEX(ENGINEER_ROLES,MATCH(PART_NUMBER_GENERATOR_TABLE[[#This Row],[Work Role]],settings.Table_Engineer.Roles[ID],0),1),Settings_Hidden!$H$359:$K$366,4,FALSE),0)</f>
        <v>0</v>
      </c>
      <c r="BM94" s="680">
        <f>-Summary!$C$66</f>
        <v>0</v>
      </c>
      <c r="BN94" s="465">
        <f>PART_NUMBER_GENERATOR_TABLE[[#This Row],[Total Base Price]]*MIN(PART_NUMBER_GENERATOR_TABLE[[#This Row],[Rate Service Discount]:[Flat Service Discount]])</f>
        <v>0</v>
      </c>
      <c r="BO94" s="451" t="str">
        <f>IF(PART_NUMBER_GENERATOR_TABLE[[#This Row],[Quantity]]&lt;&gt;0,MAX($BO$30:BO93)+1,"")</f>
        <v/>
      </c>
      <c r="BP94" t="str">
        <f>PART_NUMBER_GENERATOR_TABLE[[#This Row],[Part Number]]</f>
        <v>A-PS-E-COLLAB-SE-AH</v>
      </c>
      <c r="BQ94">
        <f>PART_NUMBER_GENERATOR_TABLE[[#This Row],[Total Hours]]</f>
        <v>0</v>
      </c>
      <c r="BR94">
        <f>PART_NUMBER_GENERATOR_TABLE[[#This Row],[Cost Rate]]</f>
        <v>189.17783891744716</v>
      </c>
      <c r="BS94" s="465">
        <f>PART_NUMBER_GENERATOR_TABLE[[#This Row],[Sell Rate]]+(PART_NUMBER_GENERATOR_TABLE[[#This Row],[Sell Rate]]*MIN(PART_NUMBER_GENERATOR_TABLE[[#This Row],[Rate Service Discount]:[Flat Service Discount]]))</f>
        <v>352.5</v>
      </c>
    </row>
    <row r="95" spans="1:71">
      <c r="A95">
        <v>65</v>
      </c>
      <c r="C95" t="s">
        <v>900</v>
      </c>
      <c r="D95" t="str" cm="1">
        <f t="array" ref="D95">INDEX(Table.Settings_Skill.List[Skill Name],MATCH(INDEX(_xlfn.TEXTSPLIT(C95,"-",,TRUE),4),Table.Settings_Skill.List[Skill Code],0),1)</f>
        <v>Collaboration</v>
      </c>
      <c r="E95" t="str" cm="1">
        <f t="array" ref="E95">INDEX(_xlfn.TEXTSPLIT(C95,"-",,TRUE),5)</f>
        <v>SSE</v>
      </c>
      <c r="F95" t="str">
        <f>IFERROR(INDEX(settings.Table_Engineer.Roles[Department Code],MATCH(PART_NUMBER_GENERATOR_TABLE[[#This Row],[Work Role]],settings.Table_Engineer.Roles[ID],0),1),"PMO")</f>
        <v>ENG</v>
      </c>
      <c r="G95" t="str" cm="1">
        <f t="array" ref="G95">INDEX(_xlfn.TEXTSPLIT(C95,"-",,TRUE),6)</f>
        <v>AH</v>
      </c>
      <c r="H9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420.75</v>
      </c>
      <c r="I9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224.87758587669589</v>
      </c>
      <c r="J95" cm="1">
        <f t="array" ref="J95">IF(J$1&lt;&gt;PART_NUMBER_GENERATOR_TABLE[[#This Row],[Work Role]:[Work Role]],0,
IF(RIGHT(J$30,2)&lt;&gt;PART_NUMBER_GENERATOR_TABLE[[#This Row],[Work Type]:[Work Type]],0,
SUMIFS(Input_Tasks[R1 Business Hours],Input_Tasks[[Skill Required]:[Skill Required]],PART_NUMBER_GENERATOR_TABLE[[#This Row],[Tech]:[Tech]])))</f>
        <v>0</v>
      </c>
      <c r="K95" cm="1">
        <f t="array" ref="K95">IF(K$1&lt;&gt;PART_NUMBER_GENERATOR_TABLE[[#This Row],[Work Role]:[Work Role]],0,
IF(RIGHT(K$30,2)&lt;&gt;PART_NUMBER_GENERATOR_TABLE[[#This Row],[Work Type]:[Work Type]],0,
SUMIFS(Input_Tasks[R1 After Hours],Input_Tasks[[Skill Required]:[Skill Required]],PART_NUMBER_GENERATOR_TABLE[[#This Row],[Tech]:[Tech]])))</f>
        <v>0</v>
      </c>
      <c r="L95" cm="1">
        <f t="array" ref="L95">IF(L$1&lt;&gt;PART_NUMBER_GENERATOR_TABLE[[#This Row],[Work Role]:[Work Role]],0,
IF(RIGHT(L$30,2)&lt;&gt;PART_NUMBER_GENERATOR_TABLE[[#This Row],[Work Type]:[Work Type]],0,
SUMIFS(Input_Tasks[R2 Business Hours],Input_Tasks[[Skill Required]:[Skill Required]],PART_NUMBER_GENERATOR_TABLE[[#This Row],[Tech]:[Tech]])))</f>
        <v>0</v>
      </c>
      <c r="M95" cm="1">
        <f t="array" ref="M95">IF(M$1&lt;&gt;PART_NUMBER_GENERATOR_TABLE[[#This Row],[Work Role]:[Work Role]],0,
IF(RIGHT(M$30,2)&lt;&gt;PART_NUMBER_GENERATOR_TABLE[[#This Row],[Work Type]:[Work Type]],0,
SUMIFS(Input_Tasks[R2 After Hours],Input_Tasks[[Skill Required]:[Skill Required]],PART_NUMBER_GENERATOR_TABLE[[#This Row],[Tech]:[Tech]])))</f>
        <v>0</v>
      </c>
      <c r="N95" cm="1">
        <f t="array" ref="N95">IF(N$1&lt;&gt;PART_NUMBER_GENERATOR_TABLE[[#This Row],[Work Role]:[Work Role]],0,
IF(RIGHT(N$30,2)&lt;&gt;PART_NUMBER_GENERATOR_TABLE[[#This Row],[Work Type]:[Work Type]],0,
SUMIFS(Input_Tasks[R3 Business Hours],Input_Tasks[[Skill Required]:[Skill Required]],PART_NUMBER_GENERATOR_TABLE[[#This Row],[Tech]:[Tech]])))</f>
        <v>0</v>
      </c>
      <c r="O95" cm="1">
        <f t="array" ref="O95">IF(O$1&lt;&gt;PART_NUMBER_GENERATOR_TABLE[[#This Row],[Work Role]:[Work Role]],0,
IF(RIGHT(O$30,2)&lt;&gt;PART_NUMBER_GENERATOR_TABLE[[#This Row],[Work Type]:[Work Type]],0,
SUMIFS(Input_Tasks[R3 After Hours],Input_Tasks[[Skill Required]:[Skill Required]],PART_NUMBER_GENERATOR_TABLE[[#This Row],[Tech]:[Tech]])))</f>
        <v>0</v>
      </c>
      <c r="P95" cm="1">
        <f t="array" ref="P95">IF(P$1&lt;&gt;PART_NUMBER_GENERATOR_TABLE[[#This Row],[Work Role]:[Work Role]],0,
IF(RIGHT(P$30,2)&lt;&gt;PART_NUMBER_GENERATOR_TABLE[[#This Row],[Work Type]:[Work Type]],0,
SUMIFS(Input_Tasks[R4 Business Hours],Input_Tasks[[Skill Required]:[Skill Required]],PART_NUMBER_GENERATOR_TABLE[[#This Row],[Tech]:[Tech]])))</f>
        <v>0</v>
      </c>
      <c r="Q95" cm="1">
        <f t="array" ref="Q95">IF(Q$1&lt;&gt;PART_NUMBER_GENERATOR_TABLE[[#This Row],[Work Role]:[Work Role]],0,
IF(RIGHT(Q$30,2)&lt;&gt;PART_NUMBER_GENERATOR_TABLE[[#This Row],[Work Type]:[Work Type]],0,
SUMIFS(Input_Tasks[R4 After Hours],Input_Tasks[[Skill Required]:[Skill Required]],PART_NUMBER_GENERATOR_TABLE[[#This Row],[Tech]:[Tech]])))</f>
        <v>0</v>
      </c>
      <c r="R95" cm="1">
        <f t="array" ref="R95">IF(R$1&lt;&gt;PART_NUMBER_GENERATOR_TABLE[[#This Row],[Work Role]:[Work Role]],0,
IF(RIGHT(R$30,2)&lt;&gt;PART_NUMBER_GENERATOR_TABLE[[#This Row],[Work Type]:[Work Type]],0,
SUMIFS(Input_Tasks[R5 Business Hours],Input_Tasks[[Skill Required]:[Skill Required]],PART_NUMBER_GENERATOR_TABLE[[#This Row],[Tech]:[Tech]])))</f>
        <v>0</v>
      </c>
      <c r="S95" cm="1">
        <f t="array" ref="S95">IF(S$1&lt;&gt;PART_NUMBER_GENERATOR_TABLE[[#This Row],[Work Role]:[Work Role]],0,
IF(RIGHT(S$30,2)&lt;&gt;PART_NUMBER_GENERATOR_TABLE[[#This Row],[Work Type]:[Work Type]],0,
SUMIFS(Input_Tasks[R5 After Hours],Input_Tasks[[Skill Required]:[Skill Required]],PART_NUMBER_GENERATOR_TABLE[[#This Row],[Tech]:[Tech]])))</f>
        <v>0</v>
      </c>
      <c r="T95" cm="1">
        <f t="array" ref="T95">IF(PART_NUMBER_GENERATOR_TABLE[[#This Row],[Work Role]:[Work Role]]&lt;&gt;T$1,0,
IF(PART_NUMBER_GENERATOR_TABLE[[#This Row],[Work Type]:[Work Type]]&lt;&gt;"BH",0,
SUMIFS(T$9:T$24,$M$9:$M$24,PART_NUMBER_GENERATOR_TABLE[[#This Row],[Tech]:[Tech]])))</f>
        <v>0</v>
      </c>
      <c r="U95" cm="1">
        <f t="array" ref="U95">IF(PART_NUMBER_GENERATOR_TABLE[[#This Row],[Work Role]:[Work Role]]&lt;&gt;U$1,0,
IF(PART_NUMBER_GENERATOR_TABLE[[#This Row],[Work Type]:[Work Type]]&lt;&gt;"BH",0,
SUMIFS(U$9:U$24,$M$9:$M$24,PART_NUMBER_GENERATOR_TABLE[[#This Row],[Tech]:[Tech]])))</f>
        <v>0</v>
      </c>
      <c r="V95" cm="1">
        <f t="array" ref="V95">IF(PART_NUMBER_GENERATOR_TABLE[[#This Row],[Work Role]:[Work Role]]&lt;&gt;V$1,0,
IF(PART_NUMBER_GENERATOR_TABLE[[#This Row],[Work Type]:[Work Type]]&lt;&gt;"BH",0,
SUMIFS(V$9:V$24,$M$9:$M$24,PART_NUMBER_GENERATOR_TABLE[[#This Row],[Tech]:[Tech]])))</f>
        <v>0</v>
      </c>
      <c r="W95" cm="1">
        <f t="array" ref="W95">IF(PART_NUMBER_GENERATOR_TABLE[[#This Row],[Work Role]:[Work Role]]&lt;&gt;W$1,0,
IF(PART_NUMBER_GENERATOR_TABLE[[#This Row],[Work Type]:[Work Type]]&lt;&gt;"BH",0,
SUMIFS(W$9:W$24,$M$9:$M$24,PART_NUMBER_GENERATOR_TABLE[[#This Row],[Tech]:[Tech]])))</f>
        <v>0</v>
      </c>
      <c r="X95" cm="1">
        <f t="array" ref="X95">IF(PART_NUMBER_GENERATOR_TABLE[[#This Row],[Work Role]:[Work Role]]&lt;&gt;X$1,0,
IF(PART_NUMBER_GENERATOR_TABLE[[#This Row],[Work Type]:[Work Type]]&lt;&gt;"BH",0,
SUMIFS(X$9:X$24,$M$9:$M$24,PART_NUMBER_GENERATOR_TABLE[[#This Row],[Tech]:[Tech]])))</f>
        <v>0</v>
      </c>
      <c r="Y95" cm="1">
        <f t="array" ref="Y95">IF(PART_NUMBER_GENERATOR_TABLE[[#This Row],[Work Role]:[Work Role]]&lt;&gt;Y$1,0,
IF(PART_NUMBER_GENERATOR_TABLE[[#This Row],[Work Type]:[Work Type]]&lt;&gt;"BH",0,
SUMIFS(Y$9:Y$24,$M$9:$M$24,PART_NUMBER_GENERATOR_TABLE[[#This Row],[Tech]:[Tech]])))</f>
        <v>0</v>
      </c>
      <c r="Z95" cm="1">
        <f t="array" ref="Z95">IF(PART_NUMBER_GENERATOR_TABLE[[#This Row],[Work Role]:[Work Role]]&lt;&gt;Z$1,0,
IF(PART_NUMBER_GENERATOR_TABLE[[#This Row],[Work Type]:[Work Type]]&lt;&gt;"BH",0,
SUMIFS(Z$9:Z$24,$M$9:$M$24,PART_NUMBER_GENERATOR_TABLE[[#This Row],[Tech]:[Tech]])))</f>
        <v>0</v>
      </c>
      <c r="AA95" cm="1">
        <f t="array" ref="AA95">IF(PART_NUMBER_GENERATOR_TABLE[[#This Row],[Work Role]:[Work Role]]&lt;&gt;AA$1,0,
IF(PART_NUMBER_GENERATOR_TABLE[[#This Row],[Work Type]:[Work Type]]&lt;&gt;"BH",0,
SUMIFS(AA$9:AA$24,$M$9:$M$24,PART_NUMBER_GENERATOR_TABLE[[#This Row],[Tech]:[Tech]])))</f>
        <v>0</v>
      </c>
      <c r="AB95" cm="1">
        <f t="array" ref="AB95">IF(PART_NUMBER_GENERATOR_TABLE[[#This Row],[Work Role]:[Work Role]]&lt;&gt;AB$1,0,
IF(PART_NUMBER_GENERATOR_TABLE[[#This Row],[Work Type]:[Work Type]]&lt;&gt;"BH",0,
SUMIFS(AB$9:AB$24,$M$9:$M$24,PART_NUMBER_GENERATOR_TABLE[[#This Row],[Tech]:[Tech]])))</f>
        <v>0</v>
      </c>
      <c r="AC95" cm="1">
        <f t="array" ref="AC95">IF(PART_NUMBER_GENERATOR_TABLE[[#This Row],[Work Role]:[Work Role]]&lt;&gt;AC$1,0,
IF(PART_NUMBER_GENERATOR_TABLE[[#This Row],[Work Type]:[Work Type]]&lt;&gt;"BH",0,
SUMIFS(AC$9:AC$24,$M$9:$M$24,PART_NUMBER_GENERATOR_TABLE[[#This Row],[Tech]:[Tech]])))</f>
        <v>0</v>
      </c>
      <c r="AD95" cm="1">
        <f t="array" ref="AD95">IF(PART_NUMBER_GENERATOR_TABLE[[#This Row],[Work Role]:[Work Role]]&lt;&gt;AD$1,0,
IF(PART_NUMBER_GENERATOR_TABLE[[#This Row],[Work Type]:[Work Type]]&lt;&gt;"BH",0,
SUMIFS(AD$9:AD$24,$M$9:$M$24,PART_NUMBER_GENERATOR_TABLE[[#This Row],[Tech]:[Tech]])))</f>
        <v>0</v>
      </c>
      <c r="AE95" cm="1">
        <f t="array" ref="AE95">IF(PART_NUMBER_GENERATOR_TABLE[[#This Row],[Work Role]:[Work Role]]&lt;&gt;AE$1,0,
IF(PART_NUMBER_GENERATOR_TABLE[[#This Row],[Work Type]:[Work Type]]&lt;&gt;"BH",0,
SUMIFS(AE$9:AE$24,$M$9:$M$24,PART_NUMBER_GENERATOR_TABLE[[#This Row],[Tech]:[Tech]])))</f>
        <v>0</v>
      </c>
      <c r="AF95" cm="1">
        <f t="array" ref="AF95">IF(PART_NUMBER_GENERATOR_TABLE[[#This Row],[Work Role]:[Work Role]]&lt;&gt;AF$1,0,
IF(PART_NUMBER_GENERATOR_TABLE[[#This Row],[Work Type]:[Work Type]]&lt;&gt;"BH",0,
SUMIFS(AF$9:AF$24,$M$9:$M$24,PART_NUMBER_GENERATOR_TABLE[[#This Row],[Tech]:[Tech]])))</f>
        <v>0</v>
      </c>
      <c r="AG95" cm="1">
        <f t="array" ref="AG95">IF(PART_NUMBER_GENERATOR_TABLE[[#This Row],[Work Role]:[Work Role]]&lt;&gt;AG$1,0,
IF(PART_NUMBER_GENERATOR_TABLE[[#This Row],[Work Type]:[Work Type]]&lt;&gt;"AH",0,
SUMIFS(AG$9:AG$24,$M$9:$M$24,PART_NUMBER_GENERATOR_TABLE[[#This Row],[Tech]:[Tech]])))</f>
        <v>0</v>
      </c>
      <c r="AH95" cm="1">
        <f t="array" ref="AH95">IF(PART_NUMBER_GENERATOR_TABLE[[#This Row],[Work Role]:[Work Role]]&lt;&gt;AH$1,0,
IF(PART_NUMBER_GENERATOR_TABLE[[#This Row],[Work Type]:[Work Type]]&lt;&gt;"BH",0,
SUMIFS(AH$9:AH$24,$M$9:$M$24,PART_NUMBER_GENERATOR_TABLE[[#This Row],[Tech]:[Tech]])))</f>
        <v>0</v>
      </c>
      <c r="AI95" cm="1">
        <f t="array" ref="AI95">IF(PART_NUMBER_GENERATOR_TABLE[[#This Row],[Work Role]:[Work Role]]&lt;&gt;AI$1,0,
IF(PART_NUMBER_GENERATOR_TABLE[[#This Row],[Work Type]:[Work Type]]&lt;&gt;"BH",0,
SUMIFS(AI$9:AI$24,$M$9:$M$24,PART_NUMBER_GENERATOR_TABLE[[#This Row],[Tech]:[Tech]])))</f>
        <v>0</v>
      </c>
      <c r="AJ95" cm="1">
        <f t="array" ref="AJ95">IF(PART_NUMBER_GENERATOR_TABLE[[#This Row],[Work Role]:[Work Role]]&lt;&gt;AJ$1,0,
IF(PART_NUMBER_GENERATOR_TABLE[[#This Row],[Work Type]:[Work Type]]&lt;&gt;"BH",0,
SUMIFS(AJ$9:AJ$24,$M$9:$M$24,PART_NUMBER_GENERATOR_TABLE[[#This Row],[Tech]:[Tech]])))</f>
        <v>0</v>
      </c>
      <c r="AK95" cm="1">
        <f t="array" ref="AK95">IF(PART_NUMBER_GENERATOR_TABLE[[#This Row],[Work Role]:[Work Role]]&lt;&gt;AK$1,0,
IF(PART_NUMBER_GENERATOR_TABLE[[#This Row],[Work Type]:[Work Type]]&lt;&gt;"AH",0,
SUMIFS(AK$9:AK$24,$M$9:$M$24,PART_NUMBER_GENERATOR_TABLE[[#This Row],[Tech]:[Tech]])))</f>
        <v>0</v>
      </c>
      <c r="AL95" cm="1">
        <f t="array" ref="AL95">IF(PART_NUMBER_GENERATOR_TABLE[[#This Row],[Work Role]:[Work Role]]&lt;&gt;AL$1,0,
IF(PART_NUMBER_GENERATOR_TABLE[[#This Row],[Work Type]:[Work Type]]&lt;&gt;"BH",0,
SUMIFS(AL$9:AL$24,$M$9:$M$24,PART_NUMBER_GENERATOR_TABLE[[#This Row],[Tech]:[Tech]])))</f>
        <v>0</v>
      </c>
      <c r="AM95">
        <f>0</f>
        <v>0</v>
      </c>
      <c r="AN95" cm="1">
        <f t="array" ref="AN95">IF(PART_NUMBER_GENERATOR_TABLE[[#This Row],[Work Role]:[Work Role]]&lt;&gt;AN$1,0,
IF(PART_NUMBER_GENERATOR_TABLE[[#This Row],[Work Type]:[Work Type]]&lt;&gt;"BH",0,
SUMIFS(AN$24,$AM$24,PART_NUMBER_GENERATOR_TABLE[[#This Row],[Tech]:[Tech]])))</f>
        <v>0</v>
      </c>
      <c r="AO95" cm="1">
        <f t="array" ref="AO95">IF(PART_NUMBER_GENERATOR_TABLE[[#This Row],[Work Role]:[Work Role]]&lt;&gt;AO$1,0,
IF(PART_NUMBER_GENERATOR_TABLE[[#This Row],[Work Type]:[Work Type]]&lt;&gt;"BH",0,
SUMIFS(AO$24,$AM$24,PART_NUMBER_GENERATOR_TABLE[[#This Row],[Tech]:[Tech]])))</f>
        <v>0</v>
      </c>
      <c r="AP95" cm="1">
        <f t="array" ref="AP95">IF(PART_NUMBER_GENERATOR_TABLE[[#This Row],[Work Role]:[Work Role]]&lt;&gt;AP$1,0,
IF(PART_NUMBER_GENERATOR_TABLE[[#This Row],[Work Type]:[Work Type]]&lt;&gt;"BH",0,
SUMIFS(AP$24,$AM$24,PART_NUMBER_GENERATOR_TABLE[[#This Row],[Tech]:[Tech]])))</f>
        <v>0</v>
      </c>
      <c r="AQ95" cm="1">
        <f t="array" ref="AQ95">IF(PART_NUMBER_GENERATOR_TABLE[[#This Row],[Work Role]:[Work Role]]&lt;&gt;AQ$1,0,
IF(PART_NUMBER_GENERATOR_TABLE[[#This Row],[Work Type]:[Work Type]]&lt;&gt;"BH",0,
SUMIFS(AQ$24,$AM$24,PART_NUMBER_GENERATOR_TABLE[[#This Row],[Tech]:[Tech]])))</f>
        <v>0</v>
      </c>
      <c r="AR95" cm="1">
        <f t="array" ref="AR95">IF(PART_NUMBER_GENERATOR_TABLE[[#This Row],[Work Role]:[Work Role]]&lt;&gt;AR$1,0,
IF(PART_NUMBER_GENERATOR_TABLE[[#This Row],[Work Type]:[Work Type]]&lt;&gt;"BH",0,
SUMIFS(AR$24,$AM$24,PART_NUMBER_GENERATOR_TABLE[[#This Row],[Tech]:[Tech]])))</f>
        <v>0</v>
      </c>
      <c r="AS95" cm="1">
        <f t="array" ref="AS95">IF(PART_NUMBER_GENERATOR_TABLE[[#This Row],[Work Role]:[Work Role]]&lt;&gt;AS$1,0,
IF(PART_NUMBER_GENERATOR_TABLE[[#This Row],[Work Type]:[Work Type]]&lt;&gt;"BH",0,
SUMIFS(AS$24,$AM$24,PART_NUMBER_GENERATOR_TABLE[[#This Row],[Tech]:[Tech]])))</f>
        <v>0</v>
      </c>
      <c r="AT95" cm="1">
        <f t="array" ref="AT95">IF(PART_NUMBER_GENERATOR_TABLE[[#This Row],[Work Role]:[Work Role]]&lt;&gt;AS$1,0,
IF(PART_NUMBER_GENERATOR_TABLE[[#This Row],[Work Type]:[Work Type]]&lt;&gt;"BH",0,
SUMIFS(AT$24,$AM$24,PART_NUMBER_GENERATOR_TABLE[[#This Row],[Tech]:[Tech]])))</f>
        <v>0</v>
      </c>
      <c r="AU95">
        <f>SUM(PART_NUMBER_GENERATOR_TABLE[[#This Row],[Resource 1 BH]:[Resource 5 AH]],PART_NUMBER_GENERATOR_TABLE[[#This Row],[R1 Mandatory Tasks]:[R5 Mandatory Tasks]],PART_NUMBER_GENERATOR_TABLE[[#This Row],[R1 Remainder]:[R5 Remainder]])</f>
        <v>0</v>
      </c>
      <c r="AV95">
        <f>PART_NUMBER_GENERATOR_TABLE[[#This Row],[Professional Engineering Hours]]*PART_NUMBER_GENERATOR_TABLE[[#This Row],[Sell Rate]]</f>
        <v>0</v>
      </c>
      <c r="AW95">
        <f>PART_NUMBER_GENERATOR_TABLE[[#This Row],[Professional Engineering Hours]]*PART_NUMBER_GENERATOR_TABLE[[#This Row],[Cost Rate]]</f>
        <v>0</v>
      </c>
      <c r="AX95">
        <f>SUM(PART_NUMBER_GENERATOR_TABLE[[#This Row],[PM Trips]:[R5 Trips]])</f>
        <v>0</v>
      </c>
      <c r="AY95">
        <f>PART_NUMBER_GENERATOR_TABLE[[#This Row],[Travel &amp; Accommodation Hours]]*PART_NUMBER_GENERATOR_TABLE[[#This Row],[Sell Rate]]</f>
        <v>0</v>
      </c>
      <c r="AZ95">
        <f>PART_NUMBER_GENERATOR_TABLE[[#This Row],[Travel &amp; Accommodation Hours]]*PART_NUMBER_GENERATOR_TABLE[[#This Row],[Cost Rate]]</f>
        <v>0</v>
      </c>
      <c r="BA95">
        <f>PART_NUMBER_GENERATOR_TABLE[[#This Row],[PM Hours]]+PART_NUMBER_GENERATOR_TABLE[[#This Row],[PM Remainder]]</f>
        <v>0</v>
      </c>
      <c r="BB95">
        <f>PART_NUMBER_GENERATOR_TABLE[[#This Row],[Project Management Hours]]*PART_NUMBER_GENERATOR_TABLE[[#This Row],[Sell Rate]]</f>
        <v>0</v>
      </c>
      <c r="BC95">
        <f>PART_NUMBER_GENERATOR_TABLE[[#This Row],[Project Management Hours]]*PART_NUMBER_GENERATOR_TABLE[[#This Row],[Cost Rate]]</f>
        <v>0</v>
      </c>
      <c r="BD95">
        <f>SUM(PART_NUMBER_GENERATOR_TABLE[[#This Row],[SSE RISK BH]:[PM RISK]],PART_NUMBER_GENERATOR_TABLE[[#This Row],[SSE Remainder RISK BH]:[PM Remainder RISK]])</f>
        <v>0</v>
      </c>
      <c r="BE95">
        <f>PART_NUMBER_GENERATOR_TABLE[[#This Row],[Project Risk Service Hours]]*PART_NUMBER_GENERATOR_TABLE[[#This Row],[Sell Rate]]</f>
        <v>0</v>
      </c>
      <c r="BF95">
        <f>PART_NUMBER_GENERATOR_TABLE[[#This Row],[Project Risk Service Hours]]*PART_NUMBER_GENERATOR_TABLE[[#This Row],[Cost Rate]]</f>
        <v>0</v>
      </c>
      <c r="BG95">
        <f>PART_NUMBER_GENERATOR_TABLE[[#This Row],[SSE RISK TRAVEL]]</f>
        <v>0</v>
      </c>
      <c r="BH95">
        <f>PART_NUMBER_GENERATOR_TABLE[[#This Row],[Sell Rate]]*PART_NUMBER_GENERATOR_TABLE[[#This Row],[Project Risk Travel Hours]]</f>
        <v>0</v>
      </c>
      <c r="BI95">
        <f>PART_NUMBER_GENERATOR_TABLE[[#This Row],[Project Risk Travel Hours]]*PART_NUMBER_GENERATOR_TABLE[[#This Row],[Cost Rate]]</f>
        <v>0</v>
      </c>
      <c r="BJ9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9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95">
        <f>IFERROR(-VLOOKUP(INDEX(ENGINEER_ROLES,MATCH(PART_NUMBER_GENERATOR_TABLE[[#This Row],[Work Role]],settings.Table_Engineer.Roles[ID],0),1),Settings_Hidden!$H$359:$K$366,4,FALSE),0)</f>
        <v>0</v>
      </c>
      <c r="BM95" s="680">
        <f>-Summary!$C$66</f>
        <v>0</v>
      </c>
      <c r="BN95" s="465">
        <f>PART_NUMBER_GENERATOR_TABLE[[#This Row],[Total Base Price]]*MIN(PART_NUMBER_GENERATOR_TABLE[[#This Row],[Rate Service Discount]:[Flat Service Discount]])</f>
        <v>0</v>
      </c>
      <c r="BO95" s="451" t="str">
        <f>IF(PART_NUMBER_GENERATOR_TABLE[[#This Row],[Quantity]]&lt;&gt;0,MAX($BO$30:BO94)+1,"")</f>
        <v/>
      </c>
      <c r="BP95" t="str">
        <f>PART_NUMBER_GENERATOR_TABLE[[#This Row],[Part Number]]</f>
        <v>A-PS-E-COLLAB-SSE-AH</v>
      </c>
      <c r="BQ95">
        <f>PART_NUMBER_GENERATOR_TABLE[[#This Row],[Total Hours]]</f>
        <v>0</v>
      </c>
      <c r="BR95">
        <f>PART_NUMBER_GENERATOR_TABLE[[#This Row],[Cost Rate]]</f>
        <v>224.87758587669589</v>
      </c>
      <c r="BS95" s="465">
        <f>PART_NUMBER_GENERATOR_TABLE[[#This Row],[Sell Rate]]+(PART_NUMBER_GENERATOR_TABLE[[#This Row],[Sell Rate]]*MIN(PART_NUMBER_GENERATOR_TABLE[[#This Row],[Rate Service Discount]:[Flat Service Discount]]))</f>
        <v>420.75</v>
      </c>
    </row>
    <row r="96" spans="1:71">
      <c r="A96">
        <v>66</v>
      </c>
      <c r="C96" t="s">
        <v>892</v>
      </c>
      <c r="D96" t="str" cm="1">
        <f t="array" ref="D96">INDEX(Table.Settings_Skill.List[Skill Name],MATCH(INDEX(_xlfn.TEXTSPLIT(C96,"-",,TRUE),4),Table.Settings_Skill.List[Skill Code],0),1)</f>
        <v>Collaboration</v>
      </c>
      <c r="E96" t="str" cm="1">
        <f t="array" ref="E96">INDEX(_xlfn.TEXTSPLIT(C96,"-",,TRUE),5)</f>
        <v>SCE</v>
      </c>
      <c r="F96" t="str">
        <f>IFERROR(INDEX(settings.Table_Engineer.Roles[Department Code],MATCH(PART_NUMBER_GENERATOR_TABLE[[#This Row],[Work Role]],settings.Table_Engineer.Roles[ID],0),1),"PMO")</f>
        <v>ENG</v>
      </c>
      <c r="G96" t="str" cm="1">
        <f t="array" ref="G96">INDEX(_xlfn.TEXTSPLIT(C96,"-",,TRUE),6)</f>
        <v>AH</v>
      </c>
      <c r="H9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9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96" cm="1">
        <f t="array" ref="J96">IF(J$1&lt;&gt;PART_NUMBER_GENERATOR_TABLE[[#This Row],[Work Role]:[Work Role]],0,
IF(RIGHT(J$30,2)&lt;&gt;PART_NUMBER_GENERATOR_TABLE[[#This Row],[Work Type]:[Work Type]],0,
SUMIFS(Input_Tasks[R1 Business Hours],Input_Tasks[[Skill Required]:[Skill Required]],PART_NUMBER_GENERATOR_TABLE[[#This Row],[Tech]:[Tech]])))</f>
        <v>0</v>
      </c>
      <c r="K96" cm="1">
        <f t="array" ref="K96">IF(K$1&lt;&gt;PART_NUMBER_GENERATOR_TABLE[[#This Row],[Work Role]:[Work Role]],0,
IF(RIGHT(K$30,2)&lt;&gt;PART_NUMBER_GENERATOR_TABLE[[#This Row],[Work Type]:[Work Type]],0,
SUMIFS(Input_Tasks[R1 After Hours],Input_Tasks[[Skill Required]:[Skill Required]],PART_NUMBER_GENERATOR_TABLE[[#This Row],[Tech]:[Tech]])))</f>
        <v>0</v>
      </c>
      <c r="L96" cm="1">
        <f t="array" ref="L96">IF(L$1&lt;&gt;PART_NUMBER_GENERATOR_TABLE[[#This Row],[Work Role]:[Work Role]],0,
IF(RIGHT(L$30,2)&lt;&gt;PART_NUMBER_GENERATOR_TABLE[[#This Row],[Work Type]:[Work Type]],0,
SUMIFS(Input_Tasks[R2 Business Hours],Input_Tasks[[Skill Required]:[Skill Required]],PART_NUMBER_GENERATOR_TABLE[[#This Row],[Tech]:[Tech]])))</f>
        <v>0</v>
      </c>
      <c r="M96" cm="1">
        <f t="array" ref="M96">IF(M$1&lt;&gt;PART_NUMBER_GENERATOR_TABLE[[#This Row],[Work Role]:[Work Role]],0,
IF(RIGHT(M$30,2)&lt;&gt;PART_NUMBER_GENERATOR_TABLE[[#This Row],[Work Type]:[Work Type]],0,
SUMIFS(Input_Tasks[R2 After Hours],Input_Tasks[[Skill Required]:[Skill Required]],PART_NUMBER_GENERATOR_TABLE[[#This Row],[Tech]:[Tech]])))</f>
        <v>0</v>
      </c>
      <c r="N96" cm="1">
        <f t="array" ref="N96">IF(N$1&lt;&gt;PART_NUMBER_GENERATOR_TABLE[[#This Row],[Work Role]:[Work Role]],0,
IF(RIGHT(N$30,2)&lt;&gt;PART_NUMBER_GENERATOR_TABLE[[#This Row],[Work Type]:[Work Type]],0,
SUMIFS(Input_Tasks[R3 Business Hours],Input_Tasks[[Skill Required]:[Skill Required]],PART_NUMBER_GENERATOR_TABLE[[#This Row],[Tech]:[Tech]])))</f>
        <v>0</v>
      </c>
      <c r="O96" cm="1">
        <f t="array" ref="O96">IF(O$1&lt;&gt;PART_NUMBER_GENERATOR_TABLE[[#This Row],[Work Role]:[Work Role]],0,
IF(RIGHT(O$30,2)&lt;&gt;PART_NUMBER_GENERATOR_TABLE[[#This Row],[Work Type]:[Work Type]],0,
SUMIFS(Input_Tasks[R3 After Hours],Input_Tasks[[Skill Required]:[Skill Required]],PART_NUMBER_GENERATOR_TABLE[[#This Row],[Tech]:[Tech]])))</f>
        <v>0</v>
      </c>
      <c r="P96" cm="1">
        <f t="array" ref="P96">IF(P$1&lt;&gt;PART_NUMBER_GENERATOR_TABLE[[#This Row],[Work Role]:[Work Role]],0,
IF(RIGHT(P$30,2)&lt;&gt;PART_NUMBER_GENERATOR_TABLE[[#This Row],[Work Type]:[Work Type]],0,
SUMIFS(Input_Tasks[R4 Business Hours],Input_Tasks[[Skill Required]:[Skill Required]],PART_NUMBER_GENERATOR_TABLE[[#This Row],[Tech]:[Tech]])))</f>
        <v>0</v>
      </c>
      <c r="Q96" cm="1">
        <f t="array" ref="Q96">IF(Q$1&lt;&gt;PART_NUMBER_GENERATOR_TABLE[[#This Row],[Work Role]:[Work Role]],0,
IF(RIGHT(Q$30,2)&lt;&gt;PART_NUMBER_GENERATOR_TABLE[[#This Row],[Work Type]:[Work Type]],0,
SUMIFS(Input_Tasks[R4 After Hours],Input_Tasks[[Skill Required]:[Skill Required]],PART_NUMBER_GENERATOR_TABLE[[#This Row],[Tech]:[Tech]])))</f>
        <v>0</v>
      </c>
      <c r="R96" cm="1">
        <f t="array" ref="R96">IF(R$1&lt;&gt;PART_NUMBER_GENERATOR_TABLE[[#This Row],[Work Role]:[Work Role]],0,
IF(RIGHT(R$30,2)&lt;&gt;PART_NUMBER_GENERATOR_TABLE[[#This Row],[Work Type]:[Work Type]],0,
SUMIFS(Input_Tasks[R5 Business Hours],Input_Tasks[[Skill Required]:[Skill Required]],PART_NUMBER_GENERATOR_TABLE[[#This Row],[Tech]:[Tech]])))</f>
        <v>0</v>
      </c>
      <c r="S96" cm="1">
        <f t="array" ref="S96">IF(S$1&lt;&gt;PART_NUMBER_GENERATOR_TABLE[[#This Row],[Work Role]:[Work Role]],0,
IF(RIGHT(S$30,2)&lt;&gt;PART_NUMBER_GENERATOR_TABLE[[#This Row],[Work Type]:[Work Type]],0,
SUMIFS(Input_Tasks[R5 After Hours],Input_Tasks[[Skill Required]:[Skill Required]],PART_NUMBER_GENERATOR_TABLE[[#This Row],[Tech]:[Tech]])))</f>
        <v>0</v>
      </c>
      <c r="T96" cm="1">
        <f t="array" ref="T96">IF(PART_NUMBER_GENERATOR_TABLE[[#This Row],[Work Role]:[Work Role]]&lt;&gt;T$1,0,
IF(PART_NUMBER_GENERATOR_TABLE[[#This Row],[Work Type]:[Work Type]]&lt;&gt;"BH",0,
SUMIFS(T$9:T$24,$M$9:$M$24,PART_NUMBER_GENERATOR_TABLE[[#This Row],[Tech]:[Tech]])))</f>
        <v>0</v>
      </c>
      <c r="U96" cm="1">
        <f t="array" ref="U96">IF(PART_NUMBER_GENERATOR_TABLE[[#This Row],[Work Role]:[Work Role]]&lt;&gt;U$1,0,
IF(PART_NUMBER_GENERATOR_TABLE[[#This Row],[Work Type]:[Work Type]]&lt;&gt;"BH",0,
SUMIFS(U$9:U$24,$M$9:$M$24,PART_NUMBER_GENERATOR_TABLE[[#This Row],[Tech]:[Tech]])))</f>
        <v>0</v>
      </c>
      <c r="V96" cm="1">
        <f t="array" ref="V96">IF(PART_NUMBER_GENERATOR_TABLE[[#This Row],[Work Role]:[Work Role]]&lt;&gt;V$1,0,
IF(PART_NUMBER_GENERATOR_TABLE[[#This Row],[Work Type]:[Work Type]]&lt;&gt;"BH",0,
SUMIFS(V$9:V$24,$M$9:$M$24,PART_NUMBER_GENERATOR_TABLE[[#This Row],[Tech]:[Tech]])))</f>
        <v>0</v>
      </c>
      <c r="W96" cm="1">
        <f t="array" ref="W96">IF(PART_NUMBER_GENERATOR_TABLE[[#This Row],[Work Role]:[Work Role]]&lt;&gt;W$1,0,
IF(PART_NUMBER_GENERATOR_TABLE[[#This Row],[Work Type]:[Work Type]]&lt;&gt;"BH",0,
SUMIFS(W$9:W$24,$M$9:$M$24,PART_NUMBER_GENERATOR_TABLE[[#This Row],[Tech]:[Tech]])))</f>
        <v>0</v>
      </c>
      <c r="X96" cm="1">
        <f t="array" ref="X96">IF(PART_NUMBER_GENERATOR_TABLE[[#This Row],[Work Role]:[Work Role]]&lt;&gt;X$1,0,
IF(PART_NUMBER_GENERATOR_TABLE[[#This Row],[Work Type]:[Work Type]]&lt;&gt;"BH",0,
SUMIFS(X$9:X$24,$M$9:$M$24,PART_NUMBER_GENERATOR_TABLE[[#This Row],[Tech]:[Tech]])))</f>
        <v>0</v>
      </c>
      <c r="Y96" cm="1">
        <f t="array" ref="Y96">IF(PART_NUMBER_GENERATOR_TABLE[[#This Row],[Work Role]:[Work Role]]&lt;&gt;Y$1,0,
IF(PART_NUMBER_GENERATOR_TABLE[[#This Row],[Work Type]:[Work Type]]&lt;&gt;"BH",0,
SUMIFS(Y$9:Y$24,$M$9:$M$24,PART_NUMBER_GENERATOR_TABLE[[#This Row],[Tech]:[Tech]])))</f>
        <v>0</v>
      </c>
      <c r="Z96" cm="1">
        <f t="array" ref="Z96">IF(PART_NUMBER_GENERATOR_TABLE[[#This Row],[Work Role]:[Work Role]]&lt;&gt;Z$1,0,
IF(PART_NUMBER_GENERATOR_TABLE[[#This Row],[Work Type]:[Work Type]]&lt;&gt;"BH",0,
SUMIFS(Z$9:Z$24,$M$9:$M$24,PART_NUMBER_GENERATOR_TABLE[[#This Row],[Tech]:[Tech]])))</f>
        <v>0</v>
      </c>
      <c r="AA96" cm="1">
        <f t="array" ref="AA96">IF(PART_NUMBER_GENERATOR_TABLE[[#This Row],[Work Role]:[Work Role]]&lt;&gt;AA$1,0,
IF(PART_NUMBER_GENERATOR_TABLE[[#This Row],[Work Type]:[Work Type]]&lt;&gt;"BH",0,
SUMIFS(AA$9:AA$24,$M$9:$M$24,PART_NUMBER_GENERATOR_TABLE[[#This Row],[Tech]:[Tech]])))</f>
        <v>0</v>
      </c>
      <c r="AB96" cm="1">
        <f t="array" ref="AB96">IF(PART_NUMBER_GENERATOR_TABLE[[#This Row],[Work Role]:[Work Role]]&lt;&gt;AB$1,0,
IF(PART_NUMBER_GENERATOR_TABLE[[#This Row],[Work Type]:[Work Type]]&lt;&gt;"BH",0,
SUMIFS(AB$9:AB$24,$M$9:$M$24,PART_NUMBER_GENERATOR_TABLE[[#This Row],[Tech]:[Tech]])))</f>
        <v>0</v>
      </c>
      <c r="AC96" cm="1">
        <f t="array" ref="AC96">IF(PART_NUMBER_GENERATOR_TABLE[[#This Row],[Work Role]:[Work Role]]&lt;&gt;AC$1,0,
IF(PART_NUMBER_GENERATOR_TABLE[[#This Row],[Work Type]:[Work Type]]&lt;&gt;"BH",0,
SUMIFS(AC$9:AC$24,$M$9:$M$24,PART_NUMBER_GENERATOR_TABLE[[#This Row],[Tech]:[Tech]])))</f>
        <v>0</v>
      </c>
      <c r="AD96" cm="1">
        <f t="array" ref="AD96">IF(PART_NUMBER_GENERATOR_TABLE[[#This Row],[Work Role]:[Work Role]]&lt;&gt;AD$1,0,
IF(PART_NUMBER_GENERATOR_TABLE[[#This Row],[Work Type]:[Work Type]]&lt;&gt;"BH",0,
SUMIFS(AD$9:AD$24,$M$9:$M$24,PART_NUMBER_GENERATOR_TABLE[[#This Row],[Tech]:[Tech]])))</f>
        <v>0</v>
      </c>
      <c r="AE96" cm="1">
        <f t="array" ref="AE96">IF(PART_NUMBER_GENERATOR_TABLE[[#This Row],[Work Role]:[Work Role]]&lt;&gt;AE$1,0,
IF(PART_NUMBER_GENERATOR_TABLE[[#This Row],[Work Type]:[Work Type]]&lt;&gt;"BH",0,
SUMIFS(AE$9:AE$24,$M$9:$M$24,PART_NUMBER_GENERATOR_TABLE[[#This Row],[Tech]:[Tech]])))</f>
        <v>0</v>
      </c>
      <c r="AF96" cm="1">
        <f t="array" ref="AF96">IF(PART_NUMBER_GENERATOR_TABLE[[#This Row],[Work Role]:[Work Role]]&lt;&gt;AF$1,0,
IF(PART_NUMBER_GENERATOR_TABLE[[#This Row],[Work Type]:[Work Type]]&lt;&gt;"BH",0,
SUMIFS(AF$9:AF$24,$M$9:$M$24,PART_NUMBER_GENERATOR_TABLE[[#This Row],[Tech]:[Tech]])))</f>
        <v>0</v>
      </c>
      <c r="AG96" cm="1">
        <f t="array" ref="AG96">IF(PART_NUMBER_GENERATOR_TABLE[[#This Row],[Work Role]:[Work Role]]&lt;&gt;AG$1,0,
IF(PART_NUMBER_GENERATOR_TABLE[[#This Row],[Work Type]:[Work Type]]&lt;&gt;"AH",0,
SUMIFS(AG$9:AG$24,$M$9:$M$24,PART_NUMBER_GENERATOR_TABLE[[#This Row],[Tech]:[Tech]])))</f>
        <v>0</v>
      </c>
      <c r="AH96" cm="1">
        <f t="array" ref="AH96">IF(PART_NUMBER_GENERATOR_TABLE[[#This Row],[Work Role]:[Work Role]]&lt;&gt;AH$1,0,
IF(PART_NUMBER_GENERATOR_TABLE[[#This Row],[Work Type]:[Work Type]]&lt;&gt;"BH",0,
SUMIFS(AH$9:AH$24,$M$9:$M$24,PART_NUMBER_GENERATOR_TABLE[[#This Row],[Tech]:[Tech]])))</f>
        <v>0</v>
      </c>
      <c r="AI96" cm="1">
        <f t="array" ref="AI96">IF(PART_NUMBER_GENERATOR_TABLE[[#This Row],[Work Role]:[Work Role]]&lt;&gt;AI$1,0,
IF(PART_NUMBER_GENERATOR_TABLE[[#This Row],[Work Type]:[Work Type]]&lt;&gt;"BH",0,
SUMIFS(AI$9:AI$24,$M$9:$M$24,PART_NUMBER_GENERATOR_TABLE[[#This Row],[Tech]:[Tech]])))</f>
        <v>0</v>
      </c>
      <c r="AJ96" cm="1">
        <f t="array" ref="AJ96">IF(PART_NUMBER_GENERATOR_TABLE[[#This Row],[Work Role]:[Work Role]]&lt;&gt;AJ$1,0,
IF(PART_NUMBER_GENERATOR_TABLE[[#This Row],[Work Type]:[Work Type]]&lt;&gt;"BH",0,
SUMIFS(AJ$9:AJ$24,$M$9:$M$24,PART_NUMBER_GENERATOR_TABLE[[#This Row],[Tech]:[Tech]])))</f>
        <v>0</v>
      </c>
      <c r="AK96" cm="1">
        <f t="array" ref="AK96">IF(PART_NUMBER_GENERATOR_TABLE[[#This Row],[Work Role]:[Work Role]]&lt;&gt;AK$1,0,
IF(PART_NUMBER_GENERATOR_TABLE[[#This Row],[Work Type]:[Work Type]]&lt;&gt;"AH",0,
SUMIFS(AK$9:AK$24,$M$9:$M$24,PART_NUMBER_GENERATOR_TABLE[[#This Row],[Tech]:[Tech]])))</f>
        <v>0</v>
      </c>
      <c r="AL96" cm="1">
        <f t="array" ref="AL96">IF(PART_NUMBER_GENERATOR_TABLE[[#This Row],[Work Role]:[Work Role]]&lt;&gt;AL$1,0,
IF(PART_NUMBER_GENERATOR_TABLE[[#This Row],[Work Type]:[Work Type]]&lt;&gt;"BH",0,
SUMIFS(AL$9:AL$24,$M$9:$M$24,PART_NUMBER_GENERATOR_TABLE[[#This Row],[Tech]:[Tech]])))</f>
        <v>0</v>
      </c>
      <c r="AM96">
        <f>0</f>
        <v>0</v>
      </c>
      <c r="AN96" cm="1">
        <f t="array" ref="AN96">IF(PART_NUMBER_GENERATOR_TABLE[[#This Row],[Work Role]:[Work Role]]&lt;&gt;AN$1,0,
IF(PART_NUMBER_GENERATOR_TABLE[[#This Row],[Work Type]:[Work Type]]&lt;&gt;"BH",0,
SUMIFS(AN$24,$AM$24,PART_NUMBER_GENERATOR_TABLE[[#This Row],[Tech]:[Tech]])))</f>
        <v>0</v>
      </c>
      <c r="AO96" cm="1">
        <f t="array" ref="AO96">IF(PART_NUMBER_GENERATOR_TABLE[[#This Row],[Work Role]:[Work Role]]&lt;&gt;AO$1,0,
IF(PART_NUMBER_GENERATOR_TABLE[[#This Row],[Work Type]:[Work Type]]&lt;&gt;"BH",0,
SUMIFS(AO$24,$AM$24,PART_NUMBER_GENERATOR_TABLE[[#This Row],[Tech]:[Tech]])))</f>
        <v>0</v>
      </c>
      <c r="AP96" cm="1">
        <f t="array" ref="AP96">IF(PART_NUMBER_GENERATOR_TABLE[[#This Row],[Work Role]:[Work Role]]&lt;&gt;AP$1,0,
IF(PART_NUMBER_GENERATOR_TABLE[[#This Row],[Work Type]:[Work Type]]&lt;&gt;"BH",0,
SUMIFS(AP$24,$AM$24,PART_NUMBER_GENERATOR_TABLE[[#This Row],[Tech]:[Tech]])))</f>
        <v>0</v>
      </c>
      <c r="AQ96" cm="1">
        <f t="array" ref="AQ96">IF(PART_NUMBER_GENERATOR_TABLE[[#This Row],[Work Role]:[Work Role]]&lt;&gt;AQ$1,0,
IF(PART_NUMBER_GENERATOR_TABLE[[#This Row],[Work Type]:[Work Type]]&lt;&gt;"BH",0,
SUMIFS(AQ$24,$AM$24,PART_NUMBER_GENERATOR_TABLE[[#This Row],[Tech]:[Tech]])))</f>
        <v>0</v>
      </c>
      <c r="AR96" cm="1">
        <f t="array" ref="AR96">IF(PART_NUMBER_GENERATOR_TABLE[[#This Row],[Work Role]:[Work Role]]&lt;&gt;AR$1,0,
IF(PART_NUMBER_GENERATOR_TABLE[[#This Row],[Work Type]:[Work Type]]&lt;&gt;"BH",0,
SUMIFS(AR$24,$AM$24,PART_NUMBER_GENERATOR_TABLE[[#This Row],[Tech]:[Tech]])))</f>
        <v>0</v>
      </c>
      <c r="AS96" cm="1">
        <f t="array" ref="AS96">IF(PART_NUMBER_GENERATOR_TABLE[[#This Row],[Work Role]:[Work Role]]&lt;&gt;AS$1,0,
IF(PART_NUMBER_GENERATOR_TABLE[[#This Row],[Work Type]:[Work Type]]&lt;&gt;"BH",0,
SUMIFS(AS$24,$AM$24,PART_NUMBER_GENERATOR_TABLE[[#This Row],[Tech]:[Tech]])))</f>
        <v>0</v>
      </c>
      <c r="AT96" cm="1">
        <f t="array" ref="AT96">IF(PART_NUMBER_GENERATOR_TABLE[[#This Row],[Work Role]:[Work Role]]&lt;&gt;AS$1,0,
IF(PART_NUMBER_GENERATOR_TABLE[[#This Row],[Work Type]:[Work Type]]&lt;&gt;"BH",0,
SUMIFS(AT$24,$AM$24,PART_NUMBER_GENERATOR_TABLE[[#This Row],[Tech]:[Tech]])))</f>
        <v>0</v>
      </c>
      <c r="AU96">
        <f>SUM(PART_NUMBER_GENERATOR_TABLE[[#This Row],[Resource 1 BH]:[Resource 5 AH]],PART_NUMBER_GENERATOR_TABLE[[#This Row],[R1 Mandatory Tasks]:[R5 Mandatory Tasks]],PART_NUMBER_GENERATOR_TABLE[[#This Row],[R1 Remainder]:[R5 Remainder]])</f>
        <v>0</v>
      </c>
      <c r="AV96">
        <f>PART_NUMBER_GENERATOR_TABLE[[#This Row],[Professional Engineering Hours]]*PART_NUMBER_GENERATOR_TABLE[[#This Row],[Sell Rate]]</f>
        <v>0</v>
      </c>
      <c r="AW96">
        <f>PART_NUMBER_GENERATOR_TABLE[[#This Row],[Professional Engineering Hours]]*PART_NUMBER_GENERATOR_TABLE[[#This Row],[Cost Rate]]</f>
        <v>0</v>
      </c>
      <c r="AX96">
        <f>SUM(PART_NUMBER_GENERATOR_TABLE[[#This Row],[PM Trips]:[R5 Trips]])</f>
        <v>0</v>
      </c>
      <c r="AY96">
        <f>PART_NUMBER_GENERATOR_TABLE[[#This Row],[Travel &amp; Accommodation Hours]]*PART_NUMBER_GENERATOR_TABLE[[#This Row],[Sell Rate]]</f>
        <v>0</v>
      </c>
      <c r="AZ96">
        <f>PART_NUMBER_GENERATOR_TABLE[[#This Row],[Travel &amp; Accommodation Hours]]*PART_NUMBER_GENERATOR_TABLE[[#This Row],[Cost Rate]]</f>
        <v>0</v>
      </c>
      <c r="BA96">
        <f>PART_NUMBER_GENERATOR_TABLE[[#This Row],[PM Hours]]+PART_NUMBER_GENERATOR_TABLE[[#This Row],[PM Remainder]]</f>
        <v>0</v>
      </c>
      <c r="BB96">
        <f>PART_NUMBER_GENERATOR_TABLE[[#This Row],[Project Management Hours]]*PART_NUMBER_GENERATOR_TABLE[[#This Row],[Sell Rate]]</f>
        <v>0</v>
      </c>
      <c r="BC96">
        <f>PART_NUMBER_GENERATOR_TABLE[[#This Row],[Project Management Hours]]*PART_NUMBER_GENERATOR_TABLE[[#This Row],[Cost Rate]]</f>
        <v>0</v>
      </c>
      <c r="BD96">
        <f>SUM(PART_NUMBER_GENERATOR_TABLE[[#This Row],[SSE RISK BH]:[PM RISK]],PART_NUMBER_GENERATOR_TABLE[[#This Row],[SSE Remainder RISK BH]:[PM Remainder RISK]])</f>
        <v>0</v>
      </c>
      <c r="BE96">
        <f>PART_NUMBER_GENERATOR_TABLE[[#This Row],[Project Risk Service Hours]]*PART_NUMBER_GENERATOR_TABLE[[#This Row],[Sell Rate]]</f>
        <v>0</v>
      </c>
      <c r="BF96">
        <f>PART_NUMBER_GENERATOR_TABLE[[#This Row],[Project Risk Service Hours]]*PART_NUMBER_GENERATOR_TABLE[[#This Row],[Cost Rate]]</f>
        <v>0</v>
      </c>
      <c r="BG96">
        <f>PART_NUMBER_GENERATOR_TABLE[[#This Row],[SSE RISK TRAVEL]]</f>
        <v>0</v>
      </c>
      <c r="BH96">
        <f>PART_NUMBER_GENERATOR_TABLE[[#This Row],[Sell Rate]]*PART_NUMBER_GENERATOR_TABLE[[#This Row],[Project Risk Travel Hours]]</f>
        <v>0</v>
      </c>
      <c r="BI96">
        <f>PART_NUMBER_GENERATOR_TABLE[[#This Row],[Project Risk Travel Hours]]*PART_NUMBER_GENERATOR_TABLE[[#This Row],[Cost Rate]]</f>
        <v>0</v>
      </c>
      <c r="BJ9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9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96">
        <f>IFERROR(-VLOOKUP(INDEX(ENGINEER_ROLES,MATCH(PART_NUMBER_GENERATOR_TABLE[[#This Row],[Work Role]],settings.Table_Engineer.Roles[ID],0),1),Settings_Hidden!$H$359:$K$366,4,FALSE),0)</f>
        <v>0</v>
      </c>
      <c r="BM96" s="680">
        <f>-Summary!$C$66</f>
        <v>0</v>
      </c>
      <c r="BN96" s="465">
        <f>PART_NUMBER_GENERATOR_TABLE[[#This Row],[Total Base Price]]*MIN(PART_NUMBER_GENERATOR_TABLE[[#This Row],[Rate Service Discount]:[Flat Service Discount]])</f>
        <v>0</v>
      </c>
      <c r="BO96" s="451" t="str">
        <f>IF(PART_NUMBER_GENERATOR_TABLE[[#This Row],[Quantity]]&lt;&gt;0,MAX($BO$30:BO95)+1,"")</f>
        <v/>
      </c>
      <c r="BP96" t="str">
        <f>PART_NUMBER_GENERATOR_TABLE[[#This Row],[Part Number]]</f>
        <v>A-PS-E-COLLAB-SCE-AH</v>
      </c>
      <c r="BQ96">
        <f>PART_NUMBER_GENERATOR_TABLE[[#This Row],[Total Hours]]</f>
        <v>0</v>
      </c>
      <c r="BR96">
        <f>PART_NUMBER_GENERATOR_TABLE[[#This Row],[Cost Rate]]</f>
        <v>251.41552370953494</v>
      </c>
      <c r="BS96" s="465">
        <f>PART_NUMBER_GENERATOR_TABLE[[#This Row],[Sell Rate]]+(PART_NUMBER_GENERATOR_TABLE[[#This Row],[Sell Rate]]*MIN(PART_NUMBER_GENERATOR_TABLE[[#This Row],[Rate Service Discount]:[Flat Service Discount]]))</f>
        <v>472.5</v>
      </c>
    </row>
    <row r="97" spans="1:71">
      <c r="A97">
        <v>67</v>
      </c>
      <c r="C97" t="s">
        <v>936</v>
      </c>
      <c r="D97" t="str" cm="1">
        <f t="array" ref="D97">INDEX(Table.Settings_Skill.List[Skill Name],MATCH(INDEX(_xlfn.TEXTSPLIT(C97,"-",,TRUE),4),Table.Settings_Skill.List[Skill Code],0),1)</f>
        <v>Data Centre / Cloud</v>
      </c>
      <c r="E97" t="str" cm="1">
        <f t="array" ref="E97">INDEX(_xlfn.TEXTSPLIT(C97,"-",,TRUE),5)</f>
        <v>TA</v>
      </c>
      <c r="F97" t="str">
        <f>IFERROR(INDEX(settings.Table_Engineer.Roles[Department Code],MATCH(PART_NUMBER_GENERATOR_TABLE[[#This Row],[Work Role]],settings.Table_Engineer.Roles[ID],0),1),"PMO")</f>
        <v>ENG</v>
      </c>
      <c r="G97" t="str" cm="1">
        <f t="array" ref="G97">INDEX(_xlfn.TEXTSPLIT(C97,"-",,TRUE),6)</f>
        <v>AH</v>
      </c>
      <c r="H9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232.5</v>
      </c>
      <c r="I9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122.02019862032805</v>
      </c>
      <c r="J97" cm="1">
        <f t="array" ref="J97">IF(J$1&lt;&gt;PART_NUMBER_GENERATOR_TABLE[[#This Row],[Work Role]:[Work Role]],0,
IF(RIGHT(J$30,2)&lt;&gt;PART_NUMBER_GENERATOR_TABLE[[#This Row],[Work Type]:[Work Type]],0,
SUMIFS(Input_Tasks[R1 Business Hours],Input_Tasks[[Skill Required]:[Skill Required]],PART_NUMBER_GENERATOR_TABLE[[#This Row],[Tech]:[Tech]])))</f>
        <v>0</v>
      </c>
      <c r="K97" cm="1">
        <f t="array" ref="K97">IF(K$1&lt;&gt;PART_NUMBER_GENERATOR_TABLE[[#This Row],[Work Role]:[Work Role]],0,
IF(RIGHT(K$30,2)&lt;&gt;PART_NUMBER_GENERATOR_TABLE[[#This Row],[Work Type]:[Work Type]],0,
SUMIFS(Input_Tasks[R1 After Hours],Input_Tasks[[Skill Required]:[Skill Required]],PART_NUMBER_GENERATOR_TABLE[[#This Row],[Tech]:[Tech]])))</f>
        <v>0</v>
      </c>
      <c r="L97" cm="1">
        <f t="array" ref="L97">IF(L$1&lt;&gt;PART_NUMBER_GENERATOR_TABLE[[#This Row],[Work Role]:[Work Role]],0,
IF(RIGHT(L$30,2)&lt;&gt;PART_NUMBER_GENERATOR_TABLE[[#This Row],[Work Type]:[Work Type]],0,
SUMIFS(Input_Tasks[R2 Business Hours],Input_Tasks[[Skill Required]:[Skill Required]],PART_NUMBER_GENERATOR_TABLE[[#This Row],[Tech]:[Tech]])))</f>
        <v>0</v>
      </c>
      <c r="M97" cm="1">
        <f t="array" ref="M97">IF(M$1&lt;&gt;PART_NUMBER_GENERATOR_TABLE[[#This Row],[Work Role]:[Work Role]],0,
IF(RIGHT(M$30,2)&lt;&gt;PART_NUMBER_GENERATOR_TABLE[[#This Row],[Work Type]:[Work Type]],0,
SUMIFS(Input_Tasks[R2 After Hours],Input_Tasks[[Skill Required]:[Skill Required]],PART_NUMBER_GENERATOR_TABLE[[#This Row],[Tech]:[Tech]])))</f>
        <v>0</v>
      </c>
      <c r="N97" cm="1">
        <f t="array" ref="N97">IF(N$1&lt;&gt;PART_NUMBER_GENERATOR_TABLE[[#This Row],[Work Role]:[Work Role]],0,
IF(RIGHT(N$30,2)&lt;&gt;PART_NUMBER_GENERATOR_TABLE[[#This Row],[Work Type]:[Work Type]],0,
SUMIFS(Input_Tasks[R3 Business Hours],Input_Tasks[[Skill Required]:[Skill Required]],PART_NUMBER_GENERATOR_TABLE[[#This Row],[Tech]:[Tech]])))</f>
        <v>0</v>
      </c>
      <c r="O97" cm="1">
        <f t="array" ref="O97">IF(O$1&lt;&gt;PART_NUMBER_GENERATOR_TABLE[[#This Row],[Work Role]:[Work Role]],0,
IF(RIGHT(O$30,2)&lt;&gt;PART_NUMBER_GENERATOR_TABLE[[#This Row],[Work Type]:[Work Type]],0,
SUMIFS(Input_Tasks[R3 After Hours],Input_Tasks[[Skill Required]:[Skill Required]],PART_NUMBER_GENERATOR_TABLE[[#This Row],[Tech]:[Tech]])))</f>
        <v>0</v>
      </c>
      <c r="P97" cm="1">
        <f t="array" ref="P97">IF(P$1&lt;&gt;PART_NUMBER_GENERATOR_TABLE[[#This Row],[Work Role]:[Work Role]],0,
IF(RIGHT(P$30,2)&lt;&gt;PART_NUMBER_GENERATOR_TABLE[[#This Row],[Work Type]:[Work Type]],0,
SUMIFS(Input_Tasks[R4 Business Hours],Input_Tasks[[Skill Required]:[Skill Required]],PART_NUMBER_GENERATOR_TABLE[[#This Row],[Tech]:[Tech]])))</f>
        <v>0</v>
      </c>
      <c r="Q97" cm="1">
        <f t="array" ref="Q97">IF(Q$1&lt;&gt;PART_NUMBER_GENERATOR_TABLE[[#This Row],[Work Role]:[Work Role]],0,
IF(RIGHT(Q$30,2)&lt;&gt;PART_NUMBER_GENERATOR_TABLE[[#This Row],[Work Type]:[Work Type]],0,
SUMIFS(Input_Tasks[R4 After Hours],Input_Tasks[[Skill Required]:[Skill Required]],PART_NUMBER_GENERATOR_TABLE[[#This Row],[Tech]:[Tech]])))</f>
        <v>0</v>
      </c>
      <c r="R97" cm="1">
        <f t="array" ref="R97">IF(R$1&lt;&gt;PART_NUMBER_GENERATOR_TABLE[[#This Row],[Work Role]:[Work Role]],0,
IF(RIGHT(R$30,2)&lt;&gt;PART_NUMBER_GENERATOR_TABLE[[#This Row],[Work Type]:[Work Type]],0,
SUMIFS(Input_Tasks[R5 Business Hours],Input_Tasks[[Skill Required]:[Skill Required]],PART_NUMBER_GENERATOR_TABLE[[#This Row],[Tech]:[Tech]])))</f>
        <v>0</v>
      </c>
      <c r="S97" cm="1">
        <f t="array" ref="S97">IF(S$1&lt;&gt;PART_NUMBER_GENERATOR_TABLE[[#This Row],[Work Role]:[Work Role]],0,
IF(RIGHT(S$30,2)&lt;&gt;PART_NUMBER_GENERATOR_TABLE[[#This Row],[Work Type]:[Work Type]],0,
SUMIFS(Input_Tasks[R5 After Hours],Input_Tasks[[Skill Required]:[Skill Required]],PART_NUMBER_GENERATOR_TABLE[[#This Row],[Tech]:[Tech]])))</f>
        <v>0</v>
      </c>
      <c r="T97" cm="1">
        <f t="array" ref="T97">IF(PART_NUMBER_GENERATOR_TABLE[[#This Row],[Work Role]:[Work Role]]&lt;&gt;T$1,0,
IF(PART_NUMBER_GENERATOR_TABLE[[#This Row],[Work Type]:[Work Type]]&lt;&gt;"BH",0,
SUMIFS(T$9:T$24,$M$9:$M$24,PART_NUMBER_GENERATOR_TABLE[[#This Row],[Tech]:[Tech]])))</f>
        <v>0</v>
      </c>
      <c r="U97" cm="1">
        <f t="array" ref="U97">IF(PART_NUMBER_GENERATOR_TABLE[[#This Row],[Work Role]:[Work Role]]&lt;&gt;U$1,0,
IF(PART_NUMBER_GENERATOR_TABLE[[#This Row],[Work Type]:[Work Type]]&lt;&gt;"BH",0,
SUMIFS(U$9:U$24,$M$9:$M$24,PART_NUMBER_GENERATOR_TABLE[[#This Row],[Tech]:[Tech]])))</f>
        <v>0</v>
      </c>
      <c r="V97" cm="1">
        <f t="array" ref="V97">IF(PART_NUMBER_GENERATOR_TABLE[[#This Row],[Work Role]:[Work Role]]&lt;&gt;V$1,0,
IF(PART_NUMBER_GENERATOR_TABLE[[#This Row],[Work Type]:[Work Type]]&lt;&gt;"BH",0,
SUMIFS(V$9:V$24,$M$9:$M$24,PART_NUMBER_GENERATOR_TABLE[[#This Row],[Tech]:[Tech]])))</f>
        <v>0</v>
      </c>
      <c r="W97" cm="1">
        <f t="array" ref="W97">IF(PART_NUMBER_GENERATOR_TABLE[[#This Row],[Work Role]:[Work Role]]&lt;&gt;W$1,0,
IF(PART_NUMBER_GENERATOR_TABLE[[#This Row],[Work Type]:[Work Type]]&lt;&gt;"BH",0,
SUMIFS(W$9:W$24,$M$9:$M$24,PART_NUMBER_GENERATOR_TABLE[[#This Row],[Tech]:[Tech]])))</f>
        <v>0</v>
      </c>
      <c r="X97" cm="1">
        <f t="array" ref="X97">IF(PART_NUMBER_GENERATOR_TABLE[[#This Row],[Work Role]:[Work Role]]&lt;&gt;X$1,0,
IF(PART_NUMBER_GENERATOR_TABLE[[#This Row],[Work Type]:[Work Type]]&lt;&gt;"BH",0,
SUMIFS(X$9:X$24,$M$9:$M$24,PART_NUMBER_GENERATOR_TABLE[[#This Row],[Tech]:[Tech]])))</f>
        <v>0</v>
      </c>
      <c r="Y97" cm="1">
        <f t="array" ref="Y97">IF(PART_NUMBER_GENERATOR_TABLE[[#This Row],[Work Role]:[Work Role]]&lt;&gt;Y$1,0,
IF(PART_NUMBER_GENERATOR_TABLE[[#This Row],[Work Type]:[Work Type]]&lt;&gt;"BH",0,
SUMIFS(Y$9:Y$24,$M$9:$M$24,PART_NUMBER_GENERATOR_TABLE[[#This Row],[Tech]:[Tech]])))</f>
        <v>0</v>
      </c>
      <c r="Z97" cm="1">
        <f t="array" ref="Z97">IF(PART_NUMBER_GENERATOR_TABLE[[#This Row],[Work Role]:[Work Role]]&lt;&gt;Z$1,0,
IF(PART_NUMBER_GENERATOR_TABLE[[#This Row],[Work Type]:[Work Type]]&lt;&gt;"BH",0,
SUMIFS(Z$9:Z$24,$M$9:$M$24,PART_NUMBER_GENERATOR_TABLE[[#This Row],[Tech]:[Tech]])))</f>
        <v>0</v>
      </c>
      <c r="AA97" cm="1">
        <f t="array" ref="AA97">IF(PART_NUMBER_GENERATOR_TABLE[[#This Row],[Work Role]:[Work Role]]&lt;&gt;AA$1,0,
IF(PART_NUMBER_GENERATOR_TABLE[[#This Row],[Work Type]:[Work Type]]&lt;&gt;"BH",0,
SUMIFS(AA$9:AA$24,$M$9:$M$24,PART_NUMBER_GENERATOR_TABLE[[#This Row],[Tech]:[Tech]])))</f>
        <v>0</v>
      </c>
      <c r="AB97" cm="1">
        <f t="array" ref="AB97">IF(PART_NUMBER_GENERATOR_TABLE[[#This Row],[Work Role]:[Work Role]]&lt;&gt;AB$1,0,
IF(PART_NUMBER_GENERATOR_TABLE[[#This Row],[Work Type]:[Work Type]]&lt;&gt;"BH",0,
SUMIFS(AB$9:AB$24,$M$9:$M$24,PART_NUMBER_GENERATOR_TABLE[[#This Row],[Tech]:[Tech]])))</f>
        <v>0</v>
      </c>
      <c r="AC97" cm="1">
        <f t="array" ref="AC97">IF(PART_NUMBER_GENERATOR_TABLE[[#This Row],[Work Role]:[Work Role]]&lt;&gt;AC$1,0,
IF(PART_NUMBER_GENERATOR_TABLE[[#This Row],[Work Type]:[Work Type]]&lt;&gt;"BH",0,
SUMIFS(AC$9:AC$24,$M$9:$M$24,PART_NUMBER_GENERATOR_TABLE[[#This Row],[Tech]:[Tech]])))</f>
        <v>0</v>
      </c>
      <c r="AD97" cm="1">
        <f t="array" ref="AD97">IF(PART_NUMBER_GENERATOR_TABLE[[#This Row],[Work Role]:[Work Role]]&lt;&gt;AD$1,0,
IF(PART_NUMBER_GENERATOR_TABLE[[#This Row],[Work Type]:[Work Type]]&lt;&gt;"BH",0,
SUMIFS(AD$9:AD$24,$M$9:$M$24,PART_NUMBER_GENERATOR_TABLE[[#This Row],[Tech]:[Tech]])))</f>
        <v>0</v>
      </c>
      <c r="AE97" cm="1">
        <f t="array" ref="AE97">IF(PART_NUMBER_GENERATOR_TABLE[[#This Row],[Work Role]:[Work Role]]&lt;&gt;AE$1,0,
IF(PART_NUMBER_GENERATOR_TABLE[[#This Row],[Work Type]:[Work Type]]&lt;&gt;"BH",0,
SUMIFS(AE$9:AE$24,$M$9:$M$24,PART_NUMBER_GENERATOR_TABLE[[#This Row],[Tech]:[Tech]])))</f>
        <v>0</v>
      </c>
      <c r="AF97" cm="1">
        <f t="array" ref="AF97">IF(PART_NUMBER_GENERATOR_TABLE[[#This Row],[Work Role]:[Work Role]]&lt;&gt;AF$1,0,
IF(PART_NUMBER_GENERATOR_TABLE[[#This Row],[Work Type]:[Work Type]]&lt;&gt;"BH",0,
SUMIFS(AF$9:AF$24,$M$9:$M$24,PART_NUMBER_GENERATOR_TABLE[[#This Row],[Tech]:[Tech]])))</f>
        <v>0</v>
      </c>
      <c r="AG97" cm="1">
        <f t="array" ref="AG97">IF(PART_NUMBER_GENERATOR_TABLE[[#This Row],[Work Role]:[Work Role]]&lt;&gt;AG$1,0,
IF(PART_NUMBER_GENERATOR_TABLE[[#This Row],[Work Type]:[Work Type]]&lt;&gt;"AH",0,
SUMIFS(AG$9:AG$24,$M$9:$M$24,PART_NUMBER_GENERATOR_TABLE[[#This Row],[Tech]:[Tech]])))</f>
        <v>0</v>
      </c>
      <c r="AH97" cm="1">
        <f t="array" ref="AH97">IF(PART_NUMBER_GENERATOR_TABLE[[#This Row],[Work Role]:[Work Role]]&lt;&gt;AH$1,0,
IF(PART_NUMBER_GENERATOR_TABLE[[#This Row],[Work Type]:[Work Type]]&lt;&gt;"BH",0,
SUMIFS(AH$9:AH$24,$M$9:$M$24,PART_NUMBER_GENERATOR_TABLE[[#This Row],[Tech]:[Tech]])))</f>
        <v>0</v>
      </c>
      <c r="AI97" cm="1">
        <f t="array" ref="AI97">IF(PART_NUMBER_GENERATOR_TABLE[[#This Row],[Work Role]:[Work Role]]&lt;&gt;AI$1,0,
IF(PART_NUMBER_GENERATOR_TABLE[[#This Row],[Work Type]:[Work Type]]&lt;&gt;"BH",0,
SUMIFS(AI$9:AI$24,$M$9:$M$24,PART_NUMBER_GENERATOR_TABLE[[#This Row],[Tech]:[Tech]])))</f>
        <v>0</v>
      </c>
      <c r="AJ97" cm="1">
        <f t="array" ref="AJ97">IF(PART_NUMBER_GENERATOR_TABLE[[#This Row],[Work Role]:[Work Role]]&lt;&gt;AJ$1,0,
IF(PART_NUMBER_GENERATOR_TABLE[[#This Row],[Work Type]:[Work Type]]&lt;&gt;"BH",0,
SUMIFS(AJ$9:AJ$24,$M$9:$M$24,PART_NUMBER_GENERATOR_TABLE[[#This Row],[Tech]:[Tech]])))</f>
        <v>0</v>
      </c>
      <c r="AK97" cm="1">
        <f t="array" ref="AK97">IF(PART_NUMBER_GENERATOR_TABLE[[#This Row],[Work Role]:[Work Role]]&lt;&gt;AK$1,0,
IF(PART_NUMBER_GENERATOR_TABLE[[#This Row],[Work Type]:[Work Type]]&lt;&gt;"AH",0,
SUMIFS(AK$9:AK$24,$M$9:$M$24,PART_NUMBER_GENERATOR_TABLE[[#This Row],[Tech]:[Tech]])))</f>
        <v>0</v>
      </c>
      <c r="AL97" cm="1">
        <f t="array" ref="AL97">IF(PART_NUMBER_GENERATOR_TABLE[[#This Row],[Work Role]:[Work Role]]&lt;&gt;AL$1,0,
IF(PART_NUMBER_GENERATOR_TABLE[[#This Row],[Work Type]:[Work Type]]&lt;&gt;"BH",0,
SUMIFS(AL$9:AL$24,$M$9:$M$24,PART_NUMBER_GENERATOR_TABLE[[#This Row],[Tech]:[Tech]])))</f>
        <v>0</v>
      </c>
      <c r="AM97">
        <f>0</f>
        <v>0</v>
      </c>
      <c r="AN97" cm="1">
        <f t="array" ref="AN97">IF(PART_NUMBER_GENERATOR_TABLE[[#This Row],[Work Role]:[Work Role]]&lt;&gt;AN$1,0,
IF(PART_NUMBER_GENERATOR_TABLE[[#This Row],[Work Type]:[Work Type]]&lt;&gt;"BH",0,
SUMIFS(AN$24,$AM$24,PART_NUMBER_GENERATOR_TABLE[[#This Row],[Tech]:[Tech]])))</f>
        <v>0</v>
      </c>
      <c r="AO97" cm="1">
        <f t="array" ref="AO97">IF(PART_NUMBER_GENERATOR_TABLE[[#This Row],[Work Role]:[Work Role]]&lt;&gt;AO$1,0,
IF(PART_NUMBER_GENERATOR_TABLE[[#This Row],[Work Type]:[Work Type]]&lt;&gt;"BH",0,
SUMIFS(AO$24,$AM$24,PART_NUMBER_GENERATOR_TABLE[[#This Row],[Tech]:[Tech]])))</f>
        <v>0</v>
      </c>
      <c r="AP97" cm="1">
        <f t="array" ref="AP97">IF(PART_NUMBER_GENERATOR_TABLE[[#This Row],[Work Role]:[Work Role]]&lt;&gt;AP$1,0,
IF(PART_NUMBER_GENERATOR_TABLE[[#This Row],[Work Type]:[Work Type]]&lt;&gt;"BH",0,
SUMIFS(AP$24,$AM$24,PART_NUMBER_GENERATOR_TABLE[[#This Row],[Tech]:[Tech]])))</f>
        <v>0</v>
      </c>
      <c r="AQ97" cm="1">
        <f t="array" ref="AQ97">IF(PART_NUMBER_GENERATOR_TABLE[[#This Row],[Work Role]:[Work Role]]&lt;&gt;AQ$1,0,
IF(PART_NUMBER_GENERATOR_TABLE[[#This Row],[Work Type]:[Work Type]]&lt;&gt;"BH",0,
SUMIFS(AQ$24,$AM$24,PART_NUMBER_GENERATOR_TABLE[[#This Row],[Tech]:[Tech]])))</f>
        <v>0</v>
      </c>
      <c r="AR97" cm="1">
        <f t="array" ref="AR97">IF(PART_NUMBER_GENERATOR_TABLE[[#This Row],[Work Role]:[Work Role]]&lt;&gt;AR$1,0,
IF(PART_NUMBER_GENERATOR_TABLE[[#This Row],[Work Type]:[Work Type]]&lt;&gt;"BH",0,
SUMIFS(AR$24,$AM$24,PART_NUMBER_GENERATOR_TABLE[[#This Row],[Tech]:[Tech]])))</f>
        <v>0</v>
      </c>
      <c r="AS97" cm="1">
        <f t="array" ref="AS97">IF(PART_NUMBER_GENERATOR_TABLE[[#This Row],[Work Role]:[Work Role]]&lt;&gt;AS$1,0,
IF(PART_NUMBER_GENERATOR_TABLE[[#This Row],[Work Type]:[Work Type]]&lt;&gt;"BH",0,
SUMIFS(AS$24,$AM$24,PART_NUMBER_GENERATOR_TABLE[[#This Row],[Tech]:[Tech]])))</f>
        <v>0</v>
      </c>
      <c r="AT97" cm="1">
        <f t="array" ref="AT97">IF(PART_NUMBER_GENERATOR_TABLE[[#This Row],[Work Role]:[Work Role]]&lt;&gt;AS$1,0,
IF(PART_NUMBER_GENERATOR_TABLE[[#This Row],[Work Type]:[Work Type]]&lt;&gt;"BH",0,
SUMIFS(AT$24,$AM$24,PART_NUMBER_GENERATOR_TABLE[[#This Row],[Tech]:[Tech]])))</f>
        <v>0</v>
      </c>
      <c r="AU97">
        <f>SUM(PART_NUMBER_GENERATOR_TABLE[[#This Row],[Resource 1 BH]:[Resource 5 AH]],PART_NUMBER_GENERATOR_TABLE[[#This Row],[R1 Mandatory Tasks]:[R5 Mandatory Tasks]],PART_NUMBER_GENERATOR_TABLE[[#This Row],[R1 Remainder]:[R5 Remainder]])</f>
        <v>0</v>
      </c>
      <c r="AV97">
        <f>PART_NUMBER_GENERATOR_TABLE[[#This Row],[Professional Engineering Hours]]*PART_NUMBER_GENERATOR_TABLE[[#This Row],[Sell Rate]]</f>
        <v>0</v>
      </c>
      <c r="AW97">
        <f>PART_NUMBER_GENERATOR_TABLE[[#This Row],[Professional Engineering Hours]]*PART_NUMBER_GENERATOR_TABLE[[#This Row],[Cost Rate]]</f>
        <v>0</v>
      </c>
      <c r="AX97">
        <f>SUM(PART_NUMBER_GENERATOR_TABLE[[#This Row],[PM Trips]:[R5 Trips]])</f>
        <v>0</v>
      </c>
      <c r="AY97">
        <f>PART_NUMBER_GENERATOR_TABLE[[#This Row],[Travel &amp; Accommodation Hours]]*PART_NUMBER_GENERATOR_TABLE[[#This Row],[Sell Rate]]</f>
        <v>0</v>
      </c>
      <c r="AZ97">
        <f>PART_NUMBER_GENERATOR_TABLE[[#This Row],[Travel &amp; Accommodation Hours]]*PART_NUMBER_GENERATOR_TABLE[[#This Row],[Cost Rate]]</f>
        <v>0</v>
      </c>
      <c r="BA97">
        <f>PART_NUMBER_GENERATOR_TABLE[[#This Row],[PM Hours]]+PART_NUMBER_GENERATOR_TABLE[[#This Row],[PM Remainder]]</f>
        <v>0</v>
      </c>
      <c r="BB97">
        <f>PART_NUMBER_GENERATOR_TABLE[[#This Row],[Project Management Hours]]*PART_NUMBER_GENERATOR_TABLE[[#This Row],[Sell Rate]]</f>
        <v>0</v>
      </c>
      <c r="BC97">
        <f>PART_NUMBER_GENERATOR_TABLE[[#This Row],[Project Management Hours]]*PART_NUMBER_GENERATOR_TABLE[[#This Row],[Cost Rate]]</f>
        <v>0</v>
      </c>
      <c r="BD97">
        <f>SUM(PART_NUMBER_GENERATOR_TABLE[[#This Row],[SSE RISK BH]:[PM RISK]],PART_NUMBER_GENERATOR_TABLE[[#This Row],[SSE Remainder RISK BH]:[PM Remainder RISK]])</f>
        <v>0</v>
      </c>
      <c r="BE97">
        <f>PART_NUMBER_GENERATOR_TABLE[[#This Row],[Project Risk Service Hours]]*PART_NUMBER_GENERATOR_TABLE[[#This Row],[Sell Rate]]</f>
        <v>0</v>
      </c>
      <c r="BF97">
        <f>PART_NUMBER_GENERATOR_TABLE[[#This Row],[Project Risk Service Hours]]*PART_NUMBER_GENERATOR_TABLE[[#This Row],[Cost Rate]]</f>
        <v>0</v>
      </c>
      <c r="BG97">
        <f>PART_NUMBER_GENERATOR_TABLE[[#This Row],[SSE RISK TRAVEL]]</f>
        <v>0</v>
      </c>
      <c r="BH97">
        <f>PART_NUMBER_GENERATOR_TABLE[[#This Row],[Sell Rate]]*PART_NUMBER_GENERATOR_TABLE[[#This Row],[Project Risk Travel Hours]]</f>
        <v>0</v>
      </c>
      <c r="BI97">
        <f>PART_NUMBER_GENERATOR_TABLE[[#This Row],[Project Risk Travel Hours]]*PART_NUMBER_GENERATOR_TABLE[[#This Row],[Cost Rate]]</f>
        <v>0</v>
      </c>
      <c r="BJ9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9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97">
        <f>IFERROR(-VLOOKUP(INDEX(ENGINEER_ROLES,MATCH(PART_NUMBER_GENERATOR_TABLE[[#This Row],[Work Role]],settings.Table_Engineer.Roles[ID],0),1),Settings_Hidden!$H$359:$K$366,4,FALSE),0)</f>
        <v>0</v>
      </c>
      <c r="BM97" s="680">
        <f>-Summary!$C$66</f>
        <v>0</v>
      </c>
      <c r="BN97" s="465">
        <f>PART_NUMBER_GENERATOR_TABLE[[#This Row],[Total Base Price]]*MIN(PART_NUMBER_GENERATOR_TABLE[[#This Row],[Rate Service Discount]:[Flat Service Discount]])</f>
        <v>0</v>
      </c>
      <c r="BO97" s="451" t="str">
        <f>IF(PART_NUMBER_GENERATOR_TABLE[[#This Row],[Quantity]]&lt;&gt;0,MAX($BO$30:BO96)+1,"")</f>
        <v/>
      </c>
      <c r="BP97" t="str">
        <f>PART_NUMBER_GENERATOR_TABLE[[#This Row],[Part Number]]</f>
        <v>A-PS-E-DATACC-TA-AH</v>
      </c>
      <c r="BQ97">
        <f>PART_NUMBER_GENERATOR_TABLE[[#This Row],[Total Hours]]</f>
        <v>0</v>
      </c>
      <c r="BR97">
        <f>PART_NUMBER_GENERATOR_TABLE[[#This Row],[Cost Rate]]</f>
        <v>122.02019862032805</v>
      </c>
      <c r="BS97" s="465">
        <f>PART_NUMBER_GENERATOR_TABLE[[#This Row],[Sell Rate]]+(PART_NUMBER_GENERATOR_TABLE[[#This Row],[Sell Rate]]*MIN(PART_NUMBER_GENERATOR_TABLE[[#This Row],[Rate Service Discount]:[Flat Service Discount]]))</f>
        <v>232.5</v>
      </c>
    </row>
    <row r="98" spans="1:71">
      <c r="A98">
        <v>68</v>
      </c>
      <c r="C98" t="s">
        <v>932</v>
      </c>
      <c r="D98" t="str" cm="1">
        <f t="array" ref="D98">INDEX(Table.Settings_Skill.List[Skill Name],MATCH(INDEX(_xlfn.TEXTSPLIT(C98,"-",,TRUE),4),Table.Settings_Skill.List[Skill Code],0),1)</f>
        <v>Data Centre / Cloud</v>
      </c>
      <c r="E98" t="str" cm="1">
        <f t="array" ref="E98">INDEX(_xlfn.TEXTSPLIT(C98,"-",,TRUE),5)</f>
        <v>SE</v>
      </c>
      <c r="F98" t="str">
        <f>IFERROR(INDEX(settings.Table_Engineer.Roles[Department Code],MATCH(PART_NUMBER_GENERATOR_TABLE[[#This Row],[Work Role]],settings.Table_Engineer.Roles[ID],0),1),"PMO")</f>
        <v>ENG</v>
      </c>
      <c r="G98" t="str" cm="1">
        <f t="array" ref="G98">INDEX(_xlfn.TEXTSPLIT(C98,"-",,TRUE),6)</f>
        <v>AH</v>
      </c>
      <c r="H9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352.5</v>
      </c>
      <c r="I9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189.17783891744716</v>
      </c>
      <c r="J98" cm="1">
        <f t="array" ref="J98">IF(J$1&lt;&gt;PART_NUMBER_GENERATOR_TABLE[[#This Row],[Work Role]:[Work Role]],0,
IF(RIGHT(J$30,2)&lt;&gt;PART_NUMBER_GENERATOR_TABLE[[#This Row],[Work Type]:[Work Type]],0,
SUMIFS(Input_Tasks[R1 Business Hours],Input_Tasks[[Skill Required]:[Skill Required]],PART_NUMBER_GENERATOR_TABLE[[#This Row],[Tech]:[Tech]])))</f>
        <v>0</v>
      </c>
      <c r="K98" cm="1">
        <f t="array" ref="K98">IF(K$1&lt;&gt;PART_NUMBER_GENERATOR_TABLE[[#This Row],[Work Role]:[Work Role]],0,
IF(RIGHT(K$30,2)&lt;&gt;PART_NUMBER_GENERATOR_TABLE[[#This Row],[Work Type]:[Work Type]],0,
SUMIFS(Input_Tasks[R1 After Hours],Input_Tasks[[Skill Required]:[Skill Required]],PART_NUMBER_GENERATOR_TABLE[[#This Row],[Tech]:[Tech]])))</f>
        <v>0</v>
      </c>
      <c r="L98" cm="1">
        <f t="array" ref="L98">IF(L$1&lt;&gt;PART_NUMBER_GENERATOR_TABLE[[#This Row],[Work Role]:[Work Role]],0,
IF(RIGHT(L$30,2)&lt;&gt;PART_NUMBER_GENERATOR_TABLE[[#This Row],[Work Type]:[Work Type]],0,
SUMIFS(Input_Tasks[R2 Business Hours],Input_Tasks[[Skill Required]:[Skill Required]],PART_NUMBER_GENERATOR_TABLE[[#This Row],[Tech]:[Tech]])))</f>
        <v>0</v>
      </c>
      <c r="M98" cm="1">
        <f t="array" ref="M98">IF(M$1&lt;&gt;PART_NUMBER_GENERATOR_TABLE[[#This Row],[Work Role]:[Work Role]],0,
IF(RIGHT(M$30,2)&lt;&gt;PART_NUMBER_GENERATOR_TABLE[[#This Row],[Work Type]:[Work Type]],0,
SUMIFS(Input_Tasks[R2 After Hours],Input_Tasks[[Skill Required]:[Skill Required]],PART_NUMBER_GENERATOR_TABLE[[#This Row],[Tech]:[Tech]])))</f>
        <v>0</v>
      </c>
      <c r="N98" cm="1">
        <f t="array" ref="N98">IF(N$1&lt;&gt;PART_NUMBER_GENERATOR_TABLE[[#This Row],[Work Role]:[Work Role]],0,
IF(RIGHT(N$30,2)&lt;&gt;PART_NUMBER_GENERATOR_TABLE[[#This Row],[Work Type]:[Work Type]],0,
SUMIFS(Input_Tasks[R3 Business Hours],Input_Tasks[[Skill Required]:[Skill Required]],PART_NUMBER_GENERATOR_TABLE[[#This Row],[Tech]:[Tech]])))</f>
        <v>0</v>
      </c>
      <c r="O98" cm="1">
        <f t="array" ref="O98">IF(O$1&lt;&gt;PART_NUMBER_GENERATOR_TABLE[[#This Row],[Work Role]:[Work Role]],0,
IF(RIGHT(O$30,2)&lt;&gt;PART_NUMBER_GENERATOR_TABLE[[#This Row],[Work Type]:[Work Type]],0,
SUMIFS(Input_Tasks[R3 After Hours],Input_Tasks[[Skill Required]:[Skill Required]],PART_NUMBER_GENERATOR_TABLE[[#This Row],[Tech]:[Tech]])))</f>
        <v>0</v>
      </c>
      <c r="P98" cm="1">
        <f t="array" ref="P98">IF(P$1&lt;&gt;PART_NUMBER_GENERATOR_TABLE[[#This Row],[Work Role]:[Work Role]],0,
IF(RIGHT(P$30,2)&lt;&gt;PART_NUMBER_GENERATOR_TABLE[[#This Row],[Work Type]:[Work Type]],0,
SUMIFS(Input_Tasks[R4 Business Hours],Input_Tasks[[Skill Required]:[Skill Required]],PART_NUMBER_GENERATOR_TABLE[[#This Row],[Tech]:[Tech]])))</f>
        <v>0</v>
      </c>
      <c r="Q98" cm="1">
        <f t="array" ref="Q98">IF(Q$1&lt;&gt;PART_NUMBER_GENERATOR_TABLE[[#This Row],[Work Role]:[Work Role]],0,
IF(RIGHT(Q$30,2)&lt;&gt;PART_NUMBER_GENERATOR_TABLE[[#This Row],[Work Type]:[Work Type]],0,
SUMIFS(Input_Tasks[R4 After Hours],Input_Tasks[[Skill Required]:[Skill Required]],PART_NUMBER_GENERATOR_TABLE[[#This Row],[Tech]:[Tech]])))</f>
        <v>0</v>
      </c>
      <c r="R98" cm="1">
        <f t="array" ref="R98">IF(R$1&lt;&gt;PART_NUMBER_GENERATOR_TABLE[[#This Row],[Work Role]:[Work Role]],0,
IF(RIGHT(R$30,2)&lt;&gt;PART_NUMBER_GENERATOR_TABLE[[#This Row],[Work Type]:[Work Type]],0,
SUMIFS(Input_Tasks[R5 Business Hours],Input_Tasks[[Skill Required]:[Skill Required]],PART_NUMBER_GENERATOR_TABLE[[#This Row],[Tech]:[Tech]])))</f>
        <v>0</v>
      </c>
      <c r="S98" cm="1">
        <f t="array" ref="S98">IF(S$1&lt;&gt;PART_NUMBER_GENERATOR_TABLE[[#This Row],[Work Role]:[Work Role]],0,
IF(RIGHT(S$30,2)&lt;&gt;PART_NUMBER_GENERATOR_TABLE[[#This Row],[Work Type]:[Work Type]],0,
SUMIFS(Input_Tasks[R5 After Hours],Input_Tasks[[Skill Required]:[Skill Required]],PART_NUMBER_GENERATOR_TABLE[[#This Row],[Tech]:[Tech]])))</f>
        <v>0</v>
      </c>
      <c r="T98" cm="1">
        <f t="array" ref="T98">IF(PART_NUMBER_GENERATOR_TABLE[[#This Row],[Work Role]:[Work Role]]&lt;&gt;T$1,0,
IF(PART_NUMBER_GENERATOR_TABLE[[#This Row],[Work Type]:[Work Type]]&lt;&gt;"BH",0,
SUMIFS(T$9:T$24,$M$9:$M$24,PART_NUMBER_GENERATOR_TABLE[[#This Row],[Tech]:[Tech]])))</f>
        <v>0</v>
      </c>
      <c r="U98" cm="1">
        <f t="array" ref="U98">IF(PART_NUMBER_GENERATOR_TABLE[[#This Row],[Work Role]:[Work Role]]&lt;&gt;U$1,0,
IF(PART_NUMBER_GENERATOR_TABLE[[#This Row],[Work Type]:[Work Type]]&lt;&gt;"BH",0,
SUMIFS(U$9:U$24,$M$9:$M$24,PART_NUMBER_GENERATOR_TABLE[[#This Row],[Tech]:[Tech]])))</f>
        <v>0</v>
      </c>
      <c r="V98" cm="1">
        <f t="array" ref="V98">IF(PART_NUMBER_GENERATOR_TABLE[[#This Row],[Work Role]:[Work Role]]&lt;&gt;V$1,0,
IF(PART_NUMBER_GENERATOR_TABLE[[#This Row],[Work Type]:[Work Type]]&lt;&gt;"BH",0,
SUMIFS(V$9:V$24,$M$9:$M$24,PART_NUMBER_GENERATOR_TABLE[[#This Row],[Tech]:[Tech]])))</f>
        <v>0</v>
      </c>
      <c r="W98" cm="1">
        <f t="array" ref="W98">IF(PART_NUMBER_GENERATOR_TABLE[[#This Row],[Work Role]:[Work Role]]&lt;&gt;W$1,0,
IF(PART_NUMBER_GENERATOR_TABLE[[#This Row],[Work Type]:[Work Type]]&lt;&gt;"BH",0,
SUMIFS(W$9:W$24,$M$9:$M$24,PART_NUMBER_GENERATOR_TABLE[[#This Row],[Tech]:[Tech]])))</f>
        <v>0</v>
      </c>
      <c r="X98" cm="1">
        <f t="array" ref="X98">IF(PART_NUMBER_GENERATOR_TABLE[[#This Row],[Work Role]:[Work Role]]&lt;&gt;X$1,0,
IF(PART_NUMBER_GENERATOR_TABLE[[#This Row],[Work Type]:[Work Type]]&lt;&gt;"BH",0,
SUMIFS(X$9:X$24,$M$9:$M$24,PART_NUMBER_GENERATOR_TABLE[[#This Row],[Tech]:[Tech]])))</f>
        <v>0</v>
      </c>
      <c r="Y98" cm="1">
        <f t="array" ref="Y98">IF(PART_NUMBER_GENERATOR_TABLE[[#This Row],[Work Role]:[Work Role]]&lt;&gt;Y$1,0,
IF(PART_NUMBER_GENERATOR_TABLE[[#This Row],[Work Type]:[Work Type]]&lt;&gt;"BH",0,
SUMIFS(Y$9:Y$24,$M$9:$M$24,PART_NUMBER_GENERATOR_TABLE[[#This Row],[Tech]:[Tech]])))</f>
        <v>0</v>
      </c>
      <c r="Z98" cm="1">
        <f t="array" ref="Z98">IF(PART_NUMBER_GENERATOR_TABLE[[#This Row],[Work Role]:[Work Role]]&lt;&gt;Z$1,0,
IF(PART_NUMBER_GENERATOR_TABLE[[#This Row],[Work Type]:[Work Type]]&lt;&gt;"BH",0,
SUMIFS(Z$9:Z$24,$M$9:$M$24,PART_NUMBER_GENERATOR_TABLE[[#This Row],[Tech]:[Tech]])))</f>
        <v>0</v>
      </c>
      <c r="AA98" cm="1">
        <f t="array" ref="AA98">IF(PART_NUMBER_GENERATOR_TABLE[[#This Row],[Work Role]:[Work Role]]&lt;&gt;AA$1,0,
IF(PART_NUMBER_GENERATOR_TABLE[[#This Row],[Work Type]:[Work Type]]&lt;&gt;"BH",0,
SUMIFS(AA$9:AA$24,$M$9:$M$24,PART_NUMBER_GENERATOR_TABLE[[#This Row],[Tech]:[Tech]])))</f>
        <v>0</v>
      </c>
      <c r="AB98" cm="1">
        <f t="array" ref="AB98">IF(PART_NUMBER_GENERATOR_TABLE[[#This Row],[Work Role]:[Work Role]]&lt;&gt;AB$1,0,
IF(PART_NUMBER_GENERATOR_TABLE[[#This Row],[Work Type]:[Work Type]]&lt;&gt;"BH",0,
SUMIFS(AB$9:AB$24,$M$9:$M$24,PART_NUMBER_GENERATOR_TABLE[[#This Row],[Tech]:[Tech]])))</f>
        <v>0</v>
      </c>
      <c r="AC98" cm="1">
        <f t="array" ref="AC98">IF(PART_NUMBER_GENERATOR_TABLE[[#This Row],[Work Role]:[Work Role]]&lt;&gt;AC$1,0,
IF(PART_NUMBER_GENERATOR_TABLE[[#This Row],[Work Type]:[Work Type]]&lt;&gt;"BH",0,
SUMIFS(AC$9:AC$24,$M$9:$M$24,PART_NUMBER_GENERATOR_TABLE[[#This Row],[Tech]:[Tech]])))</f>
        <v>0</v>
      </c>
      <c r="AD98" cm="1">
        <f t="array" ref="AD98">IF(PART_NUMBER_GENERATOR_TABLE[[#This Row],[Work Role]:[Work Role]]&lt;&gt;AD$1,0,
IF(PART_NUMBER_GENERATOR_TABLE[[#This Row],[Work Type]:[Work Type]]&lt;&gt;"BH",0,
SUMIFS(AD$9:AD$24,$M$9:$M$24,PART_NUMBER_GENERATOR_TABLE[[#This Row],[Tech]:[Tech]])))</f>
        <v>0</v>
      </c>
      <c r="AE98" cm="1">
        <f t="array" ref="AE98">IF(PART_NUMBER_GENERATOR_TABLE[[#This Row],[Work Role]:[Work Role]]&lt;&gt;AE$1,0,
IF(PART_NUMBER_GENERATOR_TABLE[[#This Row],[Work Type]:[Work Type]]&lt;&gt;"BH",0,
SUMIFS(AE$9:AE$24,$M$9:$M$24,PART_NUMBER_GENERATOR_TABLE[[#This Row],[Tech]:[Tech]])))</f>
        <v>0</v>
      </c>
      <c r="AF98" cm="1">
        <f t="array" ref="AF98">IF(PART_NUMBER_GENERATOR_TABLE[[#This Row],[Work Role]:[Work Role]]&lt;&gt;AF$1,0,
IF(PART_NUMBER_GENERATOR_TABLE[[#This Row],[Work Type]:[Work Type]]&lt;&gt;"BH",0,
SUMIFS(AF$9:AF$24,$M$9:$M$24,PART_NUMBER_GENERATOR_TABLE[[#This Row],[Tech]:[Tech]])))</f>
        <v>0</v>
      </c>
      <c r="AG98" cm="1">
        <f t="array" ref="AG98">IF(PART_NUMBER_GENERATOR_TABLE[[#This Row],[Work Role]:[Work Role]]&lt;&gt;AG$1,0,
IF(PART_NUMBER_GENERATOR_TABLE[[#This Row],[Work Type]:[Work Type]]&lt;&gt;"AH",0,
SUMIFS(AG$9:AG$24,$M$9:$M$24,PART_NUMBER_GENERATOR_TABLE[[#This Row],[Tech]:[Tech]])))</f>
        <v>0</v>
      </c>
      <c r="AH98" cm="1">
        <f t="array" ref="AH98">IF(PART_NUMBER_GENERATOR_TABLE[[#This Row],[Work Role]:[Work Role]]&lt;&gt;AH$1,0,
IF(PART_NUMBER_GENERATOR_TABLE[[#This Row],[Work Type]:[Work Type]]&lt;&gt;"BH",0,
SUMIFS(AH$9:AH$24,$M$9:$M$24,PART_NUMBER_GENERATOR_TABLE[[#This Row],[Tech]:[Tech]])))</f>
        <v>0</v>
      </c>
      <c r="AI98" cm="1">
        <f t="array" ref="AI98">IF(PART_NUMBER_GENERATOR_TABLE[[#This Row],[Work Role]:[Work Role]]&lt;&gt;AI$1,0,
IF(PART_NUMBER_GENERATOR_TABLE[[#This Row],[Work Type]:[Work Type]]&lt;&gt;"BH",0,
SUMIFS(AI$9:AI$24,$M$9:$M$24,PART_NUMBER_GENERATOR_TABLE[[#This Row],[Tech]:[Tech]])))</f>
        <v>0</v>
      </c>
      <c r="AJ98" cm="1">
        <f t="array" ref="AJ98">IF(PART_NUMBER_GENERATOR_TABLE[[#This Row],[Work Role]:[Work Role]]&lt;&gt;AJ$1,0,
IF(PART_NUMBER_GENERATOR_TABLE[[#This Row],[Work Type]:[Work Type]]&lt;&gt;"BH",0,
SUMIFS(AJ$9:AJ$24,$M$9:$M$24,PART_NUMBER_GENERATOR_TABLE[[#This Row],[Tech]:[Tech]])))</f>
        <v>0</v>
      </c>
      <c r="AK98" cm="1">
        <f t="array" ref="AK98">IF(PART_NUMBER_GENERATOR_TABLE[[#This Row],[Work Role]:[Work Role]]&lt;&gt;AK$1,0,
IF(PART_NUMBER_GENERATOR_TABLE[[#This Row],[Work Type]:[Work Type]]&lt;&gt;"AH",0,
SUMIFS(AK$9:AK$24,$M$9:$M$24,PART_NUMBER_GENERATOR_TABLE[[#This Row],[Tech]:[Tech]])))</f>
        <v>0</v>
      </c>
      <c r="AL98" cm="1">
        <f t="array" ref="AL98">IF(PART_NUMBER_GENERATOR_TABLE[[#This Row],[Work Role]:[Work Role]]&lt;&gt;AL$1,0,
IF(PART_NUMBER_GENERATOR_TABLE[[#This Row],[Work Type]:[Work Type]]&lt;&gt;"BH",0,
SUMIFS(AL$9:AL$24,$M$9:$M$24,PART_NUMBER_GENERATOR_TABLE[[#This Row],[Tech]:[Tech]])))</f>
        <v>0</v>
      </c>
      <c r="AM98">
        <f>0</f>
        <v>0</v>
      </c>
      <c r="AN98" cm="1">
        <f t="array" ref="AN98">IF(PART_NUMBER_GENERATOR_TABLE[[#This Row],[Work Role]:[Work Role]]&lt;&gt;AN$1,0,
IF(PART_NUMBER_GENERATOR_TABLE[[#This Row],[Work Type]:[Work Type]]&lt;&gt;"BH",0,
SUMIFS(AN$24,$AM$24,PART_NUMBER_GENERATOR_TABLE[[#This Row],[Tech]:[Tech]])))</f>
        <v>0</v>
      </c>
      <c r="AO98" cm="1">
        <f t="array" ref="AO98">IF(PART_NUMBER_GENERATOR_TABLE[[#This Row],[Work Role]:[Work Role]]&lt;&gt;AO$1,0,
IF(PART_NUMBER_GENERATOR_TABLE[[#This Row],[Work Type]:[Work Type]]&lt;&gt;"BH",0,
SUMIFS(AO$24,$AM$24,PART_NUMBER_GENERATOR_TABLE[[#This Row],[Tech]:[Tech]])))</f>
        <v>0</v>
      </c>
      <c r="AP98" cm="1">
        <f t="array" ref="AP98">IF(PART_NUMBER_GENERATOR_TABLE[[#This Row],[Work Role]:[Work Role]]&lt;&gt;AP$1,0,
IF(PART_NUMBER_GENERATOR_TABLE[[#This Row],[Work Type]:[Work Type]]&lt;&gt;"BH",0,
SUMIFS(AP$24,$AM$24,PART_NUMBER_GENERATOR_TABLE[[#This Row],[Tech]:[Tech]])))</f>
        <v>0</v>
      </c>
      <c r="AQ98" cm="1">
        <f t="array" ref="AQ98">IF(PART_NUMBER_GENERATOR_TABLE[[#This Row],[Work Role]:[Work Role]]&lt;&gt;AQ$1,0,
IF(PART_NUMBER_GENERATOR_TABLE[[#This Row],[Work Type]:[Work Type]]&lt;&gt;"BH",0,
SUMIFS(AQ$24,$AM$24,PART_NUMBER_GENERATOR_TABLE[[#This Row],[Tech]:[Tech]])))</f>
        <v>0</v>
      </c>
      <c r="AR98" cm="1">
        <f t="array" ref="AR98">IF(PART_NUMBER_GENERATOR_TABLE[[#This Row],[Work Role]:[Work Role]]&lt;&gt;AR$1,0,
IF(PART_NUMBER_GENERATOR_TABLE[[#This Row],[Work Type]:[Work Type]]&lt;&gt;"BH",0,
SUMIFS(AR$24,$AM$24,PART_NUMBER_GENERATOR_TABLE[[#This Row],[Tech]:[Tech]])))</f>
        <v>0</v>
      </c>
      <c r="AS98" cm="1">
        <f t="array" ref="AS98">IF(PART_NUMBER_GENERATOR_TABLE[[#This Row],[Work Role]:[Work Role]]&lt;&gt;AS$1,0,
IF(PART_NUMBER_GENERATOR_TABLE[[#This Row],[Work Type]:[Work Type]]&lt;&gt;"BH",0,
SUMIFS(AS$24,$AM$24,PART_NUMBER_GENERATOR_TABLE[[#This Row],[Tech]:[Tech]])))</f>
        <v>0</v>
      </c>
      <c r="AT98" cm="1">
        <f t="array" ref="AT98">IF(PART_NUMBER_GENERATOR_TABLE[[#This Row],[Work Role]:[Work Role]]&lt;&gt;AS$1,0,
IF(PART_NUMBER_GENERATOR_TABLE[[#This Row],[Work Type]:[Work Type]]&lt;&gt;"BH",0,
SUMIFS(AT$24,$AM$24,PART_NUMBER_GENERATOR_TABLE[[#This Row],[Tech]:[Tech]])))</f>
        <v>0</v>
      </c>
      <c r="AU98">
        <f>SUM(PART_NUMBER_GENERATOR_TABLE[[#This Row],[Resource 1 BH]:[Resource 5 AH]],PART_NUMBER_GENERATOR_TABLE[[#This Row],[R1 Mandatory Tasks]:[R5 Mandatory Tasks]],PART_NUMBER_GENERATOR_TABLE[[#This Row],[R1 Remainder]:[R5 Remainder]])</f>
        <v>0</v>
      </c>
      <c r="AV98">
        <f>PART_NUMBER_GENERATOR_TABLE[[#This Row],[Professional Engineering Hours]]*PART_NUMBER_GENERATOR_TABLE[[#This Row],[Sell Rate]]</f>
        <v>0</v>
      </c>
      <c r="AW98">
        <f>PART_NUMBER_GENERATOR_TABLE[[#This Row],[Professional Engineering Hours]]*PART_NUMBER_GENERATOR_TABLE[[#This Row],[Cost Rate]]</f>
        <v>0</v>
      </c>
      <c r="AX98">
        <f>SUM(PART_NUMBER_GENERATOR_TABLE[[#This Row],[PM Trips]:[R5 Trips]])</f>
        <v>0</v>
      </c>
      <c r="AY98">
        <f>PART_NUMBER_GENERATOR_TABLE[[#This Row],[Travel &amp; Accommodation Hours]]*PART_NUMBER_GENERATOR_TABLE[[#This Row],[Sell Rate]]</f>
        <v>0</v>
      </c>
      <c r="AZ98">
        <f>PART_NUMBER_GENERATOR_TABLE[[#This Row],[Travel &amp; Accommodation Hours]]*PART_NUMBER_GENERATOR_TABLE[[#This Row],[Cost Rate]]</f>
        <v>0</v>
      </c>
      <c r="BA98">
        <f>PART_NUMBER_GENERATOR_TABLE[[#This Row],[PM Hours]]+PART_NUMBER_GENERATOR_TABLE[[#This Row],[PM Remainder]]</f>
        <v>0</v>
      </c>
      <c r="BB98">
        <f>PART_NUMBER_GENERATOR_TABLE[[#This Row],[Project Management Hours]]*PART_NUMBER_GENERATOR_TABLE[[#This Row],[Sell Rate]]</f>
        <v>0</v>
      </c>
      <c r="BC98">
        <f>PART_NUMBER_GENERATOR_TABLE[[#This Row],[Project Management Hours]]*PART_NUMBER_GENERATOR_TABLE[[#This Row],[Cost Rate]]</f>
        <v>0</v>
      </c>
      <c r="BD98">
        <f>SUM(PART_NUMBER_GENERATOR_TABLE[[#This Row],[SSE RISK BH]:[PM RISK]],PART_NUMBER_GENERATOR_TABLE[[#This Row],[SSE Remainder RISK BH]:[PM Remainder RISK]])</f>
        <v>0</v>
      </c>
      <c r="BE98">
        <f>PART_NUMBER_GENERATOR_TABLE[[#This Row],[Project Risk Service Hours]]*PART_NUMBER_GENERATOR_TABLE[[#This Row],[Sell Rate]]</f>
        <v>0</v>
      </c>
      <c r="BF98">
        <f>PART_NUMBER_GENERATOR_TABLE[[#This Row],[Project Risk Service Hours]]*PART_NUMBER_GENERATOR_TABLE[[#This Row],[Cost Rate]]</f>
        <v>0</v>
      </c>
      <c r="BG98">
        <f>PART_NUMBER_GENERATOR_TABLE[[#This Row],[SSE RISK TRAVEL]]</f>
        <v>0</v>
      </c>
      <c r="BH98">
        <f>PART_NUMBER_GENERATOR_TABLE[[#This Row],[Sell Rate]]*PART_NUMBER_GENERATOR_TABLE[[#This Row],[Project Risk Travel Hours]]</f>
        <v>0</v>
      </c>
      <c r="BI98">
        <f>PART_NUMBER_GENERATOR_TABLE[[#This Row],[Project Risk Travel Hours]]*PART_NUMBER_GENERATOR_TABLE[[#This Row],[Cost Rate]]</f>
        <v>0</v>
      </c>
      <c r="BJ9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9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98">
        <f>IFERROR(-VLOOKUP(INDEX(ENGINEER_ROLES,MATCH(PART_NUMBER_GENERATOR_TABLE[[#This Row],[Work Role]],settings.Table_Engineer.Roles[ID],0),1),Settings_Hidden!$H$359:$K$366,4,FALSE),0)</f>
        <v>0</v>
      </c>
      <c r="BM98" s="680">
        <f>-Summary!$C$66</f>
        <v>0</v>
      </c>
      <c r="BN98" s="465">
        <f>PART_NUMBER_GENERATOR_TABLE[[#This Row],[Total Base Price]]*MIN(PART_NUMBER_GENERATOR_TABLE[[#This Row],[Rate Service Discount]:[Flat Service Discount]])</f>
        <v>0</v>
      </c>
      <c r="BO98" s="451" t="str">
        <f>IF(PART_NUMBER_GENERATOR_TABLE[[#This Row],[Quantity]]&lt;&gt;0,MAX($BO$30:BO97)+1,"")</f>
        <v/>
      </c>
      <c r="BP98" t="str">
        <f>PART_NUMBER_GENERATOR_TABLE[[#This Row],[Part Number]]</f>
        <v>A-PS-E-DATACC-SE-AH</v>
      </c>
      <c r="BQ98">
        <f>PART_NUMBER_GENERATOR_TABLE[[#This Row],[Total Hours]]</f>
        <v>0</v>
      </c>
      <c r="BR98">
        <f>PART_NUMBER_GENERATOR_TABLE[[#This Row],[Cost Rate]]</f>
        <v>189.17783891744716</v>
      </c>
      <c r="BS98" s="465">
        <f>PART_NUMBER_GENERATOR_TABLE[[#This Row],[Sell Rate]]+(PART_NUMBER_GENERATOR_TABLE[[#This Row],[Sell Rate]]*MIN(PART_NUMBER_GENERATOR_TABLE[[#This Row],[Rate Service Discount]:[Flat Service Discount]]))</f>
        <v>352.5</v>
      </c>
    </row>
    <row r="99" spans="1:71">
      <c r="A99">
        <v>69</v>
      </c>
      <c r="C99" t="s">
        <v>926</v>
      </c>
      <c r="D99" t="str" cm="1">
        <f t="array" ref="D99">INDEX(Table.Settings_Skill.List[Skill Name],MATCH(INDEX(_xlfn.TEXTSPLIT(C99,"-",,TRUE),4),Table.Settings_Skill.List[Skill Code],0),1)</f>
        <v>Data Centre / Cloud</v>
      </c>
      <c r="E99" t="str" cm="1">
        <f t="array" ref="E99">INDEX(_xlfn.TEXTSPLIT(C99,"-",,TRUE),5)</f>
        <v>SSE</v>
      </c>
      <c r="F99" t="str">
        <f>IFERROR(INDEX(settings.Table_Engineer.Roles[Department Code],MATCH(PART_NUMBER_GENERATOR_TABLE[[#This Row],[Work Role]],settings.Table_Engineer.Roles[ID],0),1),"PMO")</f>
        <v>ENG</v>
      </c>
      <c r="G99" t="str" cm="1">
        <f t="array" ref="G99">INDEX(_xlfn.TEXTSPLIT(C99,"-",,TRUE),6)</f>
        <v>AH</v>
      </c>
      <c r="H9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420.75</v>
      </c>
      <c r="I9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224.87758587669589</v>
      </c>
      <c r="J99" cm="1">
        <f t="array" ref="J99">IF(J$1&lt;&gt;PART_NUMBER_GENERATOR_TABLE[[#This Row],[Work Role]:[Work Role]],0,
IF(RIGHT(J$30,2)&lt;&gt;PART_NUMBER_GENERATOR_TABLE[[#This Row],[Work Type]:[Work Type]],0,
SUMIFS(Input_Tasks[R1 Business Hours],Input_Tasks[[Skill Required]:[Skill Required]],PART_NUMBER_GENERATOR_TABLE[[#This Row],[Tech]:[Tech]])))</f>
        <v>0</v>
      </c>
      <c r="K99" cm="1">
        <f t="array" ref="K99">IF(K$1&lt;&gt;PART_NUMBER_GENERATOR_TABLE[[#This Row],[Work Role]:[Work Role]],0,
IF(RIGHT(K$30,2)&lt;&gt;PART_NUMBER_GENERATOR_TABLE[[#This Row],[Work Type]:[Work Type]],0,
SUMIFS(Input_Tasks[R1 After Hours],Input_Tasks[[Skill Required]:[Skill Required]],PART_NUMBER_GENERATOR_TABLE[[#This Row],[Tech]:[Tech]])))</f>
        <v>0</v>
      </c>
      <c r="L99" cm="1">
        <f t="array" ref="L99">IF(L$1&lt;&gt;PART_NUMBER_GENERATOR_TABLE[[#This Row],[Work Role]:[Work Role]],0,
IF(RIGHT(L$30,2)&lt;&gt;PART_NUMBER_GENERATOR_TABLE[[#This Row],[Work Type]:[Work Type]],0,
SUMIFS(Input_Tasks[R2 Business Hours],Input_Tasks[[Skill Required]:[Skill Required]],PART_NUMBER_GENERATOR_TABLE[[#This Row],[Tech]:[Tech]])))</f>
        <v>0</v>
      </c>
      <c r="M99" cm="1">
        <f t="array" ref="M99">IF(M$1&lt;&gt;PART_NUMBER_GENERATOR_TABLE[[#This Row],[Work Role]:[Work Role]],0,
IF(RIGHT(M$30,2)&lt;&gt;PART_NUMBER_GENERATOR_TABLE[[#This Row],[Work Type]:[Work Type]],0,
SUMIFS(Input_Tasks[R2 After Hours],Input_Tasks[[Skill Required]:[Skill Required]],PART_NUMBER_GENERATOR_TABLE[[#This Row],[Tech]:[Tech]])))</f>
        <v>0</v>
      </c>
      <c r="N99" cm="1">
        <f t="array" ref="N99">IF(N$1&lt;&gt;PART_NUMBER_GENERATOR_TABLE[[#This Row],[Work Role]:[Work Role]],0,
IF(RIGHT(N$30,2)&lt;&gt;PART_NUMBER_GENERATOR_TABLE[[#This Row],[Work Type]:[Work Type]],0,
SUMIFS(Input_Tasks[R3 Business Hours],Input_Tasks[[Skill Required]:[Skill Required]],PART_NUMBER_GENERATOR_TABLE[[#This Row],[Tech]:[Tech]])))</f>
        <v>0</v>
      </c>
      <c r="O99" cm="1">
        <f t="array" ref="O99">IF(O$1&lt;&gt;PART_NUMBER_GENERATOR_TABLE[[#This Row],[Work Role]:[Work Role]],0,
IF(RIGHT(O$30,2)&lt;&gt;PART_NUMBER_GENERATOR_TABLE[[#This Row],[Work Type]:[Work Type]],0,
SUMIFS(Input_Tasks[R3 After Hours],Input_Tasks[[Skill Required]:[Skill Required]],PART_NUMBER_GENERATOR_TABLE[[#This Row],[Tech]:[Tech]])))</f>
        <v>0</v>
      </c>
      <c r="P99" cm="1">
        <f t="array" ref="P99">IF(P$1&lt;&gt;PART_NUMBER_GENERATOR_TABLE[[#This Row],[Work Role]:[Work Role]],0,
IF(RIGHT(P$30,2)&lt;&gt;PART_NUMBER_GENERATOR_TABLE[[#This Row],[Work Type]:[Work Type]],0,
SUMIFS(Input_Tasks[R4 Business Hours],Input_Tasks[[Skill Required]:[Skill Required]],PART_NUMBER_GENERATOR_TABLE[[#This Row],[Tech]:[Tech]])))</f>
        <v>0</v>
      </c>
      <c r="Q99" cm="1">
        <f t="array" ref="Q99">IF(Q$1&lt;&gt;PART_NUMBER_GENERATOR_TABLE[[#This Row],[Work Role]:[Work Role]],0,
IF(RIGHT(Q$30,2)&lt;&gt;PART_NUMBER_GENERATOR_TABLE[[#This Row],[Work Type]:[Work Type]],0,
SUMIFS(Input_Tasks[R4 After Hours],Input_Tasks[[Skill Required]:[Skill Required]],PART_NUMBER_GENERATOR_TABLE[[#This Row],[Tech]:[Tech]])))</f>
        <v>0</v>
      </c>
      <c r="R99" cm="1">
        <f t="array" ref="R99">IF(R$1&lt;&gt;PART_NUMBER_GENERATOR_TABLE[[#This Row],[Work Role]:[Work Role]],0,
IF(RIGHT(R$30,2)&lt;&gt;PART_NUMBER_GENERATOR_TABLE[[#This Row],[Work Type]:[Work Type]],0,
SUMIFS(Input_Tasks[R5 Business Hours],Input_Tasks[[Skill Required]:[Skill Required]],PART_NUMBER_GENERATOR_TABLE[[#This Row],[Tech]:[Tech]])))</f>
        <v>0</v>
      </c>
      <c r="S99" cm="1">
        <f t="array" ref="S99">IF(S$1&lt;&gt;PART_NUMBER_GENERATOR_TABLE[[#This Row],[Work Role]:[Work Role]],0,
IF(RIGHT(S$30,2)&lt;&gt;PART_NUMBER_GENERATOR_TABLE[[#This Row],[Work Type]:[Work Type]],0,
SUMIFS(Input_Tasks[R5 After Hours],Input_Tasks[[Skill Required]:[Skill Required]],PART_NUMBER_GENERATOR_TABLE[[#This Row],[Tech]:[Tech]])))</f>
        <v>0</v>
      </c>
      <c r="T99" cm="1">
        <f t="array" ref="T99">IF(PART_NUMBER_GENERATOR_TABLE[[#This Row],[Work Role]:[Work Role]]&lt;&gt;T$1,0,
IF(PART_NUMBER_GENERATOR_TABLE[[#This Row],[Work Type]:[Work Type]]&lt;&gt;"BH",0,
SUMIFS(T$9:T$24,$M$9:$M$24,PART_NUMBER_GENERATOR_TABLE[[#This Row],[Tech]:[Tech]])))</f>
        <v>0</v>
      </c>
      <c r="U99" cm="1">
        <f t="array" ref="U99">IF(PART_NUMBER_GENERATOR_TABLE[[#This Row],[Work Role]:[Work Role]]&lt;&gt;U$1,0,
IF(PART_NUMBER_GENERATOR_TABLE[[#This Row],[Work Type]:[Work Type]]&lt;&gt;"BH",0,
SUMIFS(U$9:U$24,$M$9:$M$24,PART_NUMBER_GENERATOR_TABLE[[#This Row],[Tech]:[Tech]])))</f>
        <v>0</v>
      </c>
      <c r="V99" cm="1">
        <f t="array" ref="V99">IF(PART_NUMBER_GENERATOR_TABLE[[#This Row],[Work Role]:[Work Role]]&lt;&gt;V$1,0,
IF(PART_NUMBER_GENERATOR_TABLE[[#This Row],[Work Type]:[Work Type]]&lt;&gt;"BH",0,
SUMIFS(V$9:V$24,$M$9:$M$24,PART_NUMBER_GENERATOR_TABLE[[#This Row],[Tech]:[Tech]])))</f>
        <v>0</v>
      </c>
      <c r="W99" cm="1">
        <f t="array" ref="W99">IF(PART_NUMBER_GENERATOR_TABLE[[#This Row],[Work Role]:[Work Role]]&lt;&gt;W$1,0,
IF(PART_NUMBER_GENERATOR_TABLE[[#This Row],[Work Type]:[Work Type]]&lt;&gt;"BH",0,
SUMIFS(W$9:W$24,$M$9:$M$24,PART_NUMBER_GENERATOR_TABLE[[#This Row],[Tech]:[Tech]])))</f>
        <v>0</v>
      </c>
      <c r="X99" cm="1">
        <f t="array" ref="X99">IF(PART_NUMBER_GENERATOR_TABLE[[#This Row],[Work Role]:[Work Role]]&lt;&gt;X$1,0,
IF(PART_NUMBER_GENERATOR_TABLE[[#This Row],[Work Type]:[Work Type]]&lt;&gt;"BH",0,
SUMIFS(X$9:X$24,$M$9:$M$24,PART_NUMBER_GENERATOR_TABLE[[#This Row],[Tech]:[Tech]])))</f>
        <v>0</v>
      </c>
      <c r="Y99" cm="1">
        <f t="array" ref="Y99">IF(PART_NUMBER_GENERATOR_TABLE[[#This Row],[Work Role]:[Work Role]]&lt;&gt;Y$1,0,
IF(PART_NUMBER_GENERATOR_TABLE[[#This Row],[Work Type]:[Work Type]]&lt;&gt;"BH",0,
SUMIFS(Y$9:Y$24,$M$9:$M$24,PART_NUMBER_GENERATOR_TABLE[[#This Row],[Tech]:[Tech]])))</f>
        <v>0</v>
      </c>
      <c r="Z99" cm="1">
        <f t="array" ref="Z99">IF(PART_NUMBER_GENERATOR_TABLE[[#This Row],[Work Role]:[Work Role]]&lt;&gt;Z$1,0,
IF(PART_NUMBER_GENERATOR_TABLE[[#This Row],[Work Type]:[Work Type]]&lt;&gt;"BH",0,
SUMIFS(Z$9:Z$24,$M$9:$M$24,PART_NUMBER_GENERATOR_TABLE[[#This Row],[Tech]:[Tech]])))</f>
        <v>0</v>
      </c>
      <c r="AA99" cm="1">
        <f t="array" ref="AA99">IF(PART_NUMBER_GENERATOR_TABLE[[#This Row],[Work Role]:[Work Role]]&lt;&gt;AA$1,0,
IF(PART_NUMBER_GENERATOR_TABLE[[#This Row],[Work Type]:[Work Type]]&lt;&gt;"BH",0,
SUMIFS(AA$9:AA$24,$M$9:$M$24,PART_NUMBER_GENERATOR_TABLE[[#This Row],[Tech]:[Tech]])))</f>
        <v>0</v>
      </c>
      <c r="AB99" cm="1">
        <f t="array" ref="AB99">IF(PART_NUMBER_GENERATOR_TABLE[[#This Row],[Work Role]:[Work Role]]&lt;&gt;AB$1,0,
IF(PART_NUMBER_GENERATOR_TABLE[[#This Row],[Work Type]:[Work Type]]&lt;&gt;"BH",0,
SUMIFS(AB$9:AB$24,$M$9:$M$24,PART_NUMBER_GENERATOR_TABLE[[#This Row],[Tech]:[Tech]])))</f>
        <v>0</v>
      </c>
      <c r="AC99" cm="1">
        <f t="array" ref="AC99">IF(PART_NUMBER_GENERATOR_TABLE[[#This Row],[Work Role]:[Work Role]]&lt;&gt;AC$1,0,
IF(PART_NUMBER_GENERATOR_TABLE[[#This Row],[Work Type]:[Work Type]]&lt;&gt;"BH",0,
SUMIFS(AC$9:AC$24,$M$9:$M$24,PART_NUMBER_GENERATOR_TABLE[[#This Row],[Tech]:[Tech]])))</f>
        <v>0</v>
      </c>
      <c r="AD99" cm="1">
        <f t="array" ref="AD99">IF(PART_NUMBER_GENERATOR_TABLE[[#This Row],[Work Role]:[Work Role]]&lt;&gt;AD$1,0,
IF(PART_NUMBER_GENERATOR_TABLE[[#This Row],[Work Type]:[Work Type]]&lt;&gt;"BH",0,
SUMIFS(AD$9:AD$24,$M$9:$M$24,PART_NUMBER_GENERATOR_TABLE[[#This Row],[Tech]:[Tech]])))</f>
        <v>0</v>
      </c>
      <c r="AE99" cm="1">
        <f t="array" ref="AE99">IF(PART_NUMBER_GENERATOR_TABLE[[#This Row],[Work Role]:[Work Role]]&lt;&gt;AE$1,0,
IF(PART_NUMBER_GENERATOR_TABLE[[#This Row],[Work Type]:[Work Type]]&lt;&gt;"BH",0,
SUMIFS(AE$9:AE$24,$M$9:$M$24,PART_NUMBER_GENERATOR_TABLE[[#This Row],[Tech]:[Tech]])))</f>
        <v>0</v>
      </c>
      <c r="AF99" cm="1">
        <f t="array" ref="AF99">IF(PART_NUMBER_GENERATOR_TABLE[[#This Row],[Work Role]:[Work Role]]&lt;&gt;AF$1,0,
IF(PART_NUMBER_GENERATOR_TABLE[[#This Row],[Work Type]:[Work Type]]&lt;&gt;"BH",0,
SUMIFS(AF$9:AF$24,$M$9:$M$24,PART_NUMBER_GENERATOR_TABLE[[#This Row],[Tech]:[Tech]])))</f>
        <v>0</v>
      </c>
      <c r="AG99" cm="1">
        <f t="array" ref="AG99">IF(PART_NUMBER_GENERATOR_TABLE[[#This Row],[Work Role]:[Work Role]]&lt;&gt;AG$1,0,
IF(PART_NUMBER_GENERATOR_TABLE[[#This Row],[Work Type]:[Work Type]]&lt;&gt;"AH",0,
SUMIFS(AG$9:AG$24,$M$9:$M$24,PART_NUMBER_GENERATOR_TABLE[[#This Row],[Tech]:[Tech]])))</f>
        <v>0</v>
      </c>
      <c r="AH99" cm="1">
        <f t="array" ref="AH99">IF(PART_NUMBER_GENERATOR_TABLE[[#This Row],[Work Role]:[Work Role]]&lt;&gt;AH$1,0,
IF(PART_NUMBER_GENERATOR_TABLE[[#This Row],[Work Type]:[Work Type]]&lt;&gt;"BH",0,
SUMIFS(AH$9:AH$24,$M$9:$M$24,PART_NUMBER_GENERATOR_TABLE[[#This Row],[Tech]:[Tech]])))</f>
        <v>0</v>
      </c>
      <c r="AI99" cm="1">
        <f t="array" ref="AI99">IF(PART_NUMBER_GENERATOR_TABLE[[#This Row],[Work Role]:[Work Role]]&lt;&gt;AI$1,0,
IF(PART_NUMBER_GENERATOR_TABLE[[#This Row],[Work Type]:[Work Type]]&lt;&gt;"BH",0,
SUMIFS(AI$9:AI$24,$M$9:$M$24,PART_NUMBER_GENERATOR_TABLE[[#This Row],[Tech]:[Tech]])))</f>
        <v>0</v>
      </c>
      <c r="AJ99" cm="1">
        <f t="array" ref="AJ99">IF(PART_NUMBER_GENERATOR_TABLE[[#This Row],[Work Role]:[Work Role]]&lt;&gt;AJ$1,0,
IF(PART_NUMBER_GENERATOR_TABLE[[#This Row],[Work Type]:[Work Type]]&lt;&gt;"BH",0,
SUMIFS(AJ$9:AJ$24,$M$9:$M$24,PART_NUMBER_GENERATOR_TABLE[[#This Row],[Tech]:[Tech]])))</f>
        <v>0</v>
      </c>
      <c r="AK99" cm="1">
        <f t="array" ref="AK99">IF(PART_NUMBER_GENERATOR_TABLE[[#This Row],[Work Role]:[Work Role]]&lt;&gt;AK$1,0,
IF(PART_NUMBER_GENERATOR_TABLE[[#This Row],[Work Type]:[Work Type]]&lt;&gt;"AH",0,
SUMIFS(AK$9:AK$24,$M$9:$M$24,PART_NUMBER_GENERATOR_TABLE[[#This Row],[Tech]:[Tech]])))</f>
        <v>0</v>
      </c>
      <c r="AL99" cm="1">
        <f t="array" ref="AL99">IF(PART_NUMBER_GENERATOR_TABLE[[#This Row],[Work Role]:[Work Role]]&lt;&gt;AL$1,0,
IF(PART_NUMBER_GENERATOR_TABLE[[#This Row],[Work Type]:[Work Type]]&lt;&gt;"BH",0,
SUMIFS(AL$9:AL$24,$M$9:$M$24,PART_NUMBER_GENERATOR_TABLE[[#This Row],[Tech]:[Tech]])))</f>
        <v>0</v>
      </c>
      <c r="AM99">
        <f>0</f>
        <v>0</v>
      </c>
      <c r="AN99" cm="1">
        <f t="array" ref="AN99">IF(PART_NUMBER_GENERATOR_TABLE[[#This Row],[Work Role]:[Work Role]]&lt;&gt;AN$1,0,
IF(PART_NUMBER_GENERATOR_TABLE[[#This Row],[Work Type]:[Work Type]]&lt;&gt;"BH",0,
SUMIFS(AN$24,$AM$24,PART_NUMBER_GENERATOR_TABLE[[#This Row],[Tech]:[Tech]])))</f>
        <v>0</v>
      </c>
      <c r="AO99" cm="1">
        <f t="array" ref="AO99">IF(PART_NUMBER_GENERATOR_TABLE[[#This Row],[Work Role]:[Work Role]]&lt;&gt;AO$1,0,
IF(PART_NUMBER_GENERATOR_TABLE[[#This Row],[Work Type]:[Work Type]]&lt;&gt;"BH",0,
SUMIFS(AO$24,$AM$24,PART_NUMBER_GENERATOR_TABLE[[#This Row],[Tech]:[Tech]])))</f>
        <v>0</v>
      </c>
      <c r="AP99" cm="1">
        <f t="array" ref="AP99">IF(PART_NUMBER_GENERATOR_TABLE[[#This Row],[Work Role]:[Work Role]]&lt;&gt;AP$1,0,
IF(PART_NUMBER_GENERATOR_TABLE[[#This Row],[Work Type]:[Work Type]]&lt;&gt;"BH",0,
SUMIFS(AP$24,$AM$24,PART_NUMBER_GENERATOR_TABLE[[#This Row],[Tech]:[Tech]])))</f>
        <v>0</v>
      </c>
      <c r="AQ99" cm="1">
        <f t="array" ref="AQ99">IF(PART_NUMBER_GENERATOR_TABLE[[#This Row],[Work Role]:[Work Role]]&lt;&gt;AQ$1,0,
IF(PART_NUMBER_GENERATOR_TABLE[[#This Row],[Work Type]:[Work Type]]&lt;&gt;"BH",0,
SUMIFS(AQ$24,$AM$24,PART_NUMBER_GENERATOR_TABLE[[#This Row],[Tech]:[Tech]])))</f>
        <v>0</v>
      </c>
      <c r="AR99" cm="1">
        <f t="array" ref="AR99">IF(PART_NUMBER_GENERATOR_TABLE[[#This Row],[Work Role]:[Work Role]]&lt;&gt;AR$1,0,
IF(PART_NUMBER_GENERATOR_TABLE[[#This Row],[Work Type]:[Work Type]]&lt;&gt;"BH",0,
SUMIFS(AR$24,$AM$24,PART_NUMBER_GENERATOR_TABLE[[#This Row],[Tech]:[Tech]])))</f>
        <v>0</v>
      </c>
      <c r="AS99" cm="1">
        <f t="array" ref="AS99">IF(PART_NUMBER_GENERATOR_TABLE[[#This Row],[Work Role]:[Work Role]]&lt;&gt;AS$1,0,
IF(PART_NUMBER_GENERATOR_TABLE[[#This Row],[Work Type]:[Work Type]]&lt;&gt;"BH",0,
SUMIFS(AS$24,$AM$24,PART_NUMBER_GENERATOR_TABLE[[#This Row],[Tech]:[Tech]])))</f>
        <v>0</v>
      </c>
      <c r="AT99" cm="1">
        <f t="array" ref="AT99">IF(PART_NUMBER_GENERATOR_TABLE[[#This Row],[Work Role]:[Work Role]]&lt;&gt;AS$1,0,
IF(PART_NUMBER_GENERATOR_TABLE[[#This Row],[Work Type]:[Work Type]]&lt;&gt;"BH",0,
SUMIFS(AT$24,$AM$24,PART_NUMBER_GENERATOR_TABLE[[#This Row],[Tech]:[Tech]])))</f>
        <v>0</v>
      </c>
      <c r="AU99">
        <f>SUM(PART_NUMBER_GENERATOR_TABLE[[#This Row],[Resource 1 BH]:[Resource 5 AH]],PART_NUMBER_GENERATOR_TABLE[[#This Row],[R1 Mandatory Tasks]:[R5 Mandatory Tasks]],PART_NUMBER_GENERATOR_TABLE[[#This Row],[R1 Remainder]:[R5 Remainder]])</f>
        <v>0</v>
      </c>
      <c r="AV99">
        <f>PART_NUMBER_GENERATOR_TABLE[[#This Row],[Professional Engineering Hours]]*PART_NUMBER_GENERATOR_TABLE[[#This Row],[Sell Rate]]</f>
        <v>0</v>
      </c>
      <c r="AW99">
        <f>PART_NUMBER_GENERATOR_TABLE[[#This Row],[Professional Engineering Hours]]*PART_NUMBER_GENERATOR_TABLE[[#This Row],[Cost Rate]]</f>
        <v>0</v>
      </c>
      <c r="AX99">
        <f>SUM(PART_NUMBER_GENERATOR_TABLE[[#This Row],[PM Trips]:[R5 Trips]])</f>
        <v>0</v>
      </c>
      <c r="AY99">
        <f>PART_NUMBER_GENERATOR_TABLE[[#This Row],[Travel &amp; Accommodation Hours]]*PART_NUMBER_GENERATOR_TABLE[[#This Row],[Sell Rate]]</f>
        <v>0</v>
      </c>
      <c r="AZ99">
        <f>PART_NUMBER_GENERATOR_TABLE[[#This Row],[Travel &amp; Accommodation Hours]]*PART_NUMBER_GENERATOR_TABLE[[#This Row],[Cost Rate]]</f>
        <v>0</v>
      </c>
      <c r="BA99">
        <f>PART_NUMBER_GENERATOR_TABLE[[#This Row],[PM Hours]]+PART_NUMBER_GENERATOR_TABLE[[#This Row],[PM Remainder]]</f>
        <v>0</v>
      </c>
      <c r="BB99">
        <f>PART_NUMBER_GENERATOR_TABLE[[#This Row],[Project Management Hours]]*PART_NUMBER_GENERATOR_TABLE[[#This Row],[Sell Rate]]</f>
        <v>0</v>
      </c>
      <c r="BC99">
        <f>PART_NUMBER_GENERATOR_TABLE[[#This Row],[Project Management Hours]]*PART_NUMBER_GENERATOR_TABLE[[#This Row],[Cost Rate]]</f>
        <v>0</v>
      </c>
      <c r="BD99">
        <f>SUM(PART_NUMBER_GENERATOR_TABLE[[#This Row],[SSE RISK BH]:[PM RISK]],PART_NUMBER_GENERATOR_TABLE[[#This Row],[SSE Remainder RISK BH]:[PM Remainder RISK]])</f>
        <v>0</v>
      </c>
      <c r="BE99">
        <f>PART_NUMBER_GENERATOR_TABLE[[#This Row],[Project Risk Service Hours]]*PART_NUMBER_GENERATOR_TABLE[[#This Row],[Sell Rate]]</f>
        <v>0</v>
      </c>
      <c r="BF99">
        <f>PART_NUMBER_GENERATOR_TABLE[[#This Row],[Project Risk Service Hours]]*PART_NUMBER_GENERATOR_TABLE[[#This Row],[Cost Rate]]</f>
        <v>0</v>
      </c>
      <c r="BG99">
        <f>PART_NUMBER_GENERATOR_TABLE[[#This Row],[SSE RISK TRAVEL]]</f>
        <v>0</v>
      </c>
      <c r="BH99">
        <f>PART_NUMBER_GENERATOR_TABLE[[#This Row],[Sell Rate]]*PART_NUMBER_GENERATOR_TABLE[[#This Row],[Project Risk Travel Hours]]</f>
        <v>0</v>
      </c>
      <c r="BI99">
        <f>PART_NUMBER_GENERATOR_TABLE[[#This Row],[Project Risk Travel Hours]]*PART_NUMBER_GENERATOR_TABLE[[#This Row],[Cost Rate]]</f>
        <v>0</v>
      </c>
      <c r="BJ9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9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99">
        <f>IFERROR(-VLOOKUP(INDEX(ENGINEER_ROLES,MATCH(PART_NUMBER_GENERATOR_TABLE[[#This Row],[Work Role]],settings.Table_Engineer.Roles[ID],0),1),Settings_Hidden!$H$359:$K$366,4,FALSE),0)</f>
        <v>0</v>
      </c>
      <c r="BM99" s="680">
        <f>-Summary!$C$66</f>
        <v>0</v>
      </c>
      <c r="BN99" s="465">
        <f>PART_NUMBER_GENERATOR_TABLE[[#This Row],[Total Base Price]]*MIN(PART_NUMBER_GENERATOR_TABLE[[#This Row],[Rate Service Discount]:[Flat Service Discount]])</f>
        <v>0</v>
      </c>
      <c r="BO99" s="451" t="str">
        <f>IF(PART_NUMBER_GENERATOR_TABLE[[#This Row],[Quantity]]&lt;&gt;0,MAX($BO$30:BO98)+1,"")</f>
        <v/>
      </c>
      <c r="BP99" t="str">
        <f>PART_NUMBER_GENERATOR_TABLE[[#This Row],[Part Number]]</f>
        <v>A-PS-E-DATACC-SSE-AH</v>
      </c>
      <c r="BQ99">
        <f>PART_NUMBER_GENERATOR_TABLE[[#This Row],[Total Hours]]</f>
        <v>0</v>
      </c>
      <c r="BR99">
        <f>PART_NUMBER_GENERATOR_TABLE[[#This Row],[Cost Rate]]</f>
        <v>224.87758587669589</v>
      </c>
      <c r="BS99" s="465">
        <f>PART_NUMBER_GENERATOR_TABLE[[#This Row],[Sell Rate]]+(PART_NUMBER_GENERATOR_TABLE[[#This Row],[Sell Rate]]*MIN(PART_NUMBER_GENERATOR_TABLE[[#This Row],[Rate Service Discount]:[Flat Service Discount]]))</f>
        <v>420.75</v>
      </c>
    </row>
    <row r="100" spans="1:71">
      <c r="A100">
        <v>70</v>
      </c>
      <c r="C100" t="s">
        <v>918</v>
      </c>
      <c r="D100" t="str" cm="1">
        <f t="array" ref="D100">INDEX(Table.Settings_Skill.List[Skill Name],MATCH(INDEX(_xlfn.TEXTSPLIT(C100,"-",,TRUE),4),Table.Settings_Skill.List[Skill Code],0),1)</f>
        <v>Data Centre / Cloud</v>
      </c>
      <c r="E100" t="str" cm="1">
        <f t="array" ref="E100">INDEX(_xlfn.TEXTSPLIT(C100,"-",,TRUE),5)</f>
        <v>SCE</v>
      </c>
      <c r="F100" t="str">
        <f>IFERROR(INDEX(settings.Table_Engineer.Roles[Department Code],MATCH(PART_NUMBER_GENERATOR_TABLE[[#This Row],[Work Role]],settings.Table_Engineer.Roles[ID],0),1),"PMO")</f>
        <v>ENG</v>
      </c>
      <c r="G100" t="str" cm="1">
        <f t="array" ref="G100">INDEX(_xlfn.TEXTSPLIT(C100,"-",,TRUE),6)</f>
        <v>AH</v>
      </c>
      <c r="H10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0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00" cm="1">
        <f t="array" ref="J100">IF(J$1&lt;&gt;PART_NUMBER_GENERATOR_TABLE[[#This Row],[Work Role]:[Work Role]],0,
IF(RIGHT(J$30,2)&lt;&gt;PART_NUMBER_GENERATOR_TABLE[[#This Row],[Work Type]:[Work Type]],0,
SUMIFS(Input_Tasks[R1 Business Hours],Input_Tasks[[Skill Required]:[Skill Required]],PART_NUMBER_GENERATOR_TABLE[[#This Row],[Tech]:[Tech]])))</f>
        <v>0</v>
      </c>
      <c r="K100" cm="1">
        <f t="array" ref="K100">IF(K$1&lt;&gt;PART_NUMBER_GENERATOR_TABLE[[#This Row],[Work Role]:[Work Role]],0,
IF(RIGHT(K$30,2)&lt;&gt;PART_NUMBER_GENERATOR_TABLE[[#This Row],[Work Type]:[Work Type]],0,
SUMIFS(Input_Tasks[R1 After Hours],Input_Tasks[[Skill Required]:[Skill Required]],PART_NUMBER_GENERATOR_TABLE[[#This Row],[Tech]:[Tech]])))</f>
        <v>0</v>
      </c>
      <c r="L100" cm="1">
        <f t="array" ref="L100">IF(L$1&lt;&gt;PART_NUMBER_GENERATOR_TABLE[[#This Row],[Work Role]:[Work Role]],0,
IF(RIGHT(L$30,2)&lt;&gt;PART_NUMBER_GENERATOR_TABLE[[#This Row],[Work Type]:[Work Type]],0,
SUMIFS(Input_Tasks[R2 Business Hours],Input_Tasks[[Skill Required]:[Skill Required]],PART_NUMBER_GENERATOR_TABLE[[#This Row],[Tech]:[Tech]])))</f>
        <v>0</v>
      </c>
      <c r="M100" cm="1">
        <f t="array" ref="M100">IF(M$1&lt;&gt;PART_NUMBER_GENERATOR_TABLE[[#This Row],[Work Role]:[Work Role]],0,
IF(RIGHT(M$30,2)&lt;&gt;PART_NUMBER_GENERATOR_TABLE[[#This Row],[Work Type]:[Work Type]],0,
SUMIFS(Input_Tasks[R2 After Hours],Input_Tasks[[Skill Required]:[Skill Required]],PART_NUMBER_GENERATOR_TABLE[[#This Row],[Tech]:[Tech]])))</f>
        <v>0</v>
      </c>
      <c r="N100" cm="1">
        <f t="array" ref="N100">IF(N$1&lt;&gt;PART_NUMBER_GENERATOR_TABLE[[#This Row],[Work Role]:[Work Role]],0,
IF(RIGHT(N$30,2)&lt;&gt;PART_NUMBER_GENERATOR_TABLE[[#This Row],[Work Type]:[Work Type]],0,
SUMIFS(Input_Tasks[R3 Business Hours],Input_Tasks[[Skill Required]:[Skill Required]],PART_NUMBER_GENERATOR_TABLE[[#This Row],[Tech]:[Tech]])))</f>
        <v>0</v>
      </c>
      <c r="O100" cm="1">
        <f t="array" ref="O100">IF(O$1&lt;&gt;PART_NUMBER_GENERATOR_TABLE[[#This Row],[Work Role]:[Work Role]],0,
IF(RIGHT(O$30,2)&lt;&gt;PART_NUMBER_GENERATOR_TABLE[[#This Row],[Work Type]:[Work Type]],0,
SUMIFS(Input_Tasks[R3 After Hours],Input_Tasks[[Skill Required]:[Skill Required]],PART_NUMBER_GENERATOR_TABLE[[#This Row],[Tech]:[Tech]])))</f>
        <v>0</v>
      </c>
      <c r="P100" cm="1">
        <f t="array" ref="P100">IF(P$1&lt;&gt;PART_NUMBER_GENERATOR_TABLE[[#This Row],[Work Role]:[Work Role]],0,
IF(RIGHT(P$30,2)&lt;&gt;PART_NUMBER_GENERATOR_TABLE[[#This Row],[Work Type]:[Work Type]],0,
SUMIFS(Input_Tasks[R4 Business Hours],Input_Tasks[[Skill Required]:[Skill Required]],PART_NUMBER_GENERATOR_TABLE[[#This Row],[Tech]:[Tech]])))</f>
        <v>0</v>
      </c>
      <c r="Q100" cm="1">
        <f t="array" ref="Q100">IF(Q$1&lt;&gt;PART_NUMBER_GENERATOR_TABLE[[#This Row],[Work Role]:[Work Role]],0,
IF(RIGHT(Q$30,2)&lt;&gt;PART_NUMBER_GENERATOR_TABLE[[#This Row],[Work Type]:[Work Type]],0,
SUMIFS(Input_Tasks[R4 After Hours],Input_Tasks[[Skill Required]:[Skill Required]],PART_NUMBER_GENERATOR_TABLE[[#This Row],[Tech]:[Tech]])))</f>
        <v>0</v>
      </c>
      <c r="R100" cm="1">
        <f t="array" ref="R100">IF(R$1&lt;&gt;PART_NUMBER_GENERATOR_TABLE[[#This Row],[Work Role]:[Work Role]],0,
IF(RIGHT(R$30,2)&lt;&gt;PART_NUMBER_GENERATOR_TABLE[[#This Row],[Work Type]:[Work Type]],0,
SUMIFS(Input_Tasks[R5 Business Hours],Input_Tasks[[Skill Required]:[Skill Required]],PART_NUMBER_GENERATOR_TABLE[[#This Row],[Tech]:[Tech]])))</f>
        <v>0</v>
      </c>
      <c r="S100" cm="1">
        <f t="array" ref="S100">IF(S$1&lt;&gt;PART_NUMBER_GENERATOR_TABLE[[#This Row],[Work Role]:[Work Role]],0,
IF(RIGHT(S$30,2)&lt;&gt;PART_NUMBER_GENERATOR_TABLE[[#This Row],[Work Type]:[Work Type]],0,
SUMIFS(Input_Tasks[R5 After Hours],Input_Tasks[[Skill Required]:[Skill Required]],PART_NUMBER_GENERATOR_TABLE[[#This Row],[Tech]:[Tech]])))</f>
        <v>0</v>
      </c>
      <c r="T100" cm="1">
        <f t="array" ref="T100">IF(PART_NUMBER_GENERATOR_TABLE[[#This Row],[Work Role]:[Work Role]]&lt;&gt;T$1,0,
IF(PART_NUMBER_GENERATOR_TABLE[[#This Row],[Work Type]:[Work Type]]&lt;&gt;"BH",0,
SUMIFS(T$9:T$24,$M$9:$M$24,PART_NUMBER_GENERATOR_TABLE[[#This Row],[Tech]:[Tech]])))</f>
        <v>0</v>
      </c>
      <c r="U100" cm="1">
        <f t="array" ref="U100">IF(PART_NUMBER_GENERATOR_TABLE[[#This Row],[Work Role]:[Work Role]]&lt;&gt;U$1,0,
IF(PART_NUMBER_GENERATOR_TABLE[[#This Row],[Work Type]:[Work Type]]&lt;&gt;"BH",0,
SUMIFS(U$9:U$24,$M$9:$M$24,PART_NUMBER_GENERATOR_TABLE[[#This Row],[Tech]:[Tech]])))</f>
        <v>0</v>
      </c>
      <c r="V100" cm="1">
        <f t="array" ref="V100">IF(PART_NUMBER_GENERATOR_TABLE[[#This Row],[Work Role]:[Work Role]]&lt;&gt;V$1,0,
IF(PART_NUMBER_GENERATOR_TABLE[[#This Row],[Work Type]:[Work Type]]&lt;&gt;"BH",0,
SUMIFS(V$9:V$24,$M$9:$M$24,PART_NUMBER_GENERATOR_TABLE[[#This Row],[Tech]:[Tech]])))</f>
        <v>0</v>
      </c>
      <c r="W100" cm="1">
        <f t="array" ref="W100">IF(PART_NUMBER_GENERATOR_TABLE[[#This Row],[Work Role]:[Work Role]]&lt;&gt;W$1,0,
IF(PART_NUMBER_GENERATOR_TABLE[[#This Row],[Work Type]:[Work Type]]&lt;&gt;"BH",0,
SUMIFS(W$9:W$24,$M$9:$M$24,PART_NUMBER_GENERATOR_TABLE[[#This Row],[Tech]:[Tech]])))</f>
        <v>0</v>
      </c>
      <c r="X100" cm="1">
        <f t="array" ref="X100">IF(PART_NUMBER_GENERATOR_TABLE[[#This Row],[Work Role]:[Work Role]]&lt;&gt;X$1,0,
IF(PART_NUMBER_GENERATOR_TABLE[[#This Row],[Work Type]:[Work Type]]&lt;&gt;"BH",0,
SUMIFS(X$9:X$24,$M$9:$M$24,PART_NUMBER_GENERATOR_TABLE[[#This Row],[Tech]:[Tech]])))</f>
        <v>0</v>
      </c>
      <c r="Y100" cm="1">
        <f t="array" ref="Y100">IF(PART_NUMBER_GENERATOR_TABLE[[#This Row],[Work Role]:[Work Role]]&lt;&gt;Y$1,0,
IF(PART_NUMBER_GENERATOR_TABLE[[#This Row],[Work Type]:[Work Type]]&lt;&gt;"BH",0,
SUMIFS(Y$9:Y$24,$M$9:$M$24,PART_NUMBER_GENERATOR_TABLE[[#This Row],[Tech]:[Tech]])))</f>
        <v>0</v>
      </c>
      <c r="Z100" cm="1">
        <f t="array" ref="Z100">IF(PART_NUMBER_GENERATOR_TABLE[[#This Row],[Work Role]:[Work Role]]&lt;&gt;Z$1,0,
IF(PART_NUMBER_GENERATOR_TABLE[[#This Row],[Work Type]:[Work Type]]&lt;&gt;"BH",0,
SUMIFS(Z$9:Z$24,$M$9:$M$24,PART_NUMBER_GENERATOR_TABLE[[#This Row],[Tech]:[Tech]])))</f>
        <v>0</v>
      </c>
      <c r="AA100" cm="1">
        <f t="array" ref="AA100">IF(PART_NUMBER_GENERATOR_TABLE[[#This Row],[Work Role]:[Work Role]]&lt;&gt;AA$1,0,
IF(PART_NUMBER_GENERATOR_TABLE[[#This Row],[Work Type]:[Work Type]]&lt;&gt;"BH",0,
SUMIFS(AA$9:AA$24,$M$9:$M$24,PART_NUMBER_GENERATOR_TABLE[[#This Row],[Tech]:[Tech]])))</f>
        <v>0</v>
      </c>
      <c r="AB100" cm="1">
        <f t="array" ref="AB100">IF(PART_NUMBER_GENERATOR_TABLE[[#This Row],[Work Role]:[Work Role]]&lt;&gt;AB$1,0,
IF(PART_NUMBER_GENERATOR_TABLE[[#This Row],[Work Type]:[Work Type]]&lt;&gt;"BH",0,
SUMIFS(AB$9:AB$24,$M$9:$M$24,PART_NUMBER_GENERATOR_TABLE[[#This Row],[Tech]:[Tech]])))</f>
        <v>0</v>
      </c>
      <c r="AC100" cm="1">
        <f t="array" ref="AC100">IF(PART_NUMBER_GENERATOR_TABLE[[#This Row],[Work Role]:[Work Role]]&lt;&gt;AC$1,0,
IF(PART_NUMBER_GENERATOR_TABLE[[#This Row],[Work Type]:[Work Type]]&lt;&gt;"BH",0,
SUMIFS(AC$9:AC$24,$M$9:$M$24,PART_NUMBER_GENERATOR_TABLE[[#This Row],[Tech]:[Tech]])))</f>
        <v>0</v>
      </c>
      <c r="AD100" cm="1">
        <f t="array" ref="AD100">IF(PART_NUMBER_GENERATOR_TABLE[[#This Row],[Work Role]:[Work Role]]&lt;&gt;AD$1,0,
IF(PART_NUMBER_GENERATOR_TABLE[[#This Row],[Work Type]:[Work Type]]&lt;&gt;"BH",0,
SUMIFS(AD$9:AD$24,$M$9:$M$24,PART_NUMBER_GENERATOR_TABLE[[#This Row],[Tech]:[Tech]])))</f>
        <v>0</v>
      </c>
      <c r="AE100" cm="1">
        <f t="array" ref="AE100">IF(PART_NUMBER_GENERATOR_TABLE[[#This Row],[Work Role]:[Work Role]]&lt;&gt;AE$1,0,
IF(PART_NUMBER_GENERATOR_TABLE[[#This Row],[Work Type]:[Work Type]]&lt;&gt;"BH",0,
SUMIFS(AE$9:AE$24,$M$9:$M$24,PART_NUMBER_GENERATOR_TABLE[[#This Row],[Tech]:[Tech]])))</f>
        <v>0</v>
      </c>
      <c r="AF100" cm="1">
        <f t="array" ref="AF100">IF(PART_NUMBER_GENERATOR_TABLE[[#This Row],[Work Role]:[Work Role]]&lt;&gt;AF$1,0,
IF(PART_NUMBER_GENERATOR_TABLE[[#This Row],[Work Type]:[Work Type]]&lt;&gt;"BH",0,
SUMIFS(AF$9:AF$24,$M$9:$M$24,PART_NUMBER_GENERATOR_TABLE[[#This Row],[Tech]:[Tech]])))</f>
        <v>0</v>
      </c>
      <c r="AG100" cm="1">
        <f t="array" ref="AG100">IF(PART_NUMBER_GENERATOR_TABLE[[#This Row],[Work Role]:[Work Role]]&lt;&gt;AG$1,0,
IF(PART_NUMBER_GENERATOR_TABLE[[#This Row],[Work Type]:[Work Type]]&lt;&gt;"AH",0,
SUMIFS(AG$9:AG$24,$M$9:$M$24,PART_NUMBER_GENERATOR_TABLE[[#This Row],[Tech]:[Tech]])))</f>
        <v>0</v>
      </c>
      <c r="AH100" cm="1">
        <f t="array" ref="AH100">IF(PART_NUMBER_GENERATOR_TABLE[[#This Row],[Work Role]:[Work Role]]&lt;&gt;AH$1,0,
IF(PART_NUMBER_GENERATOR_TABLE[[#This Row],[Work Type]:[Work Type]]&lt;&gt;"BH",0,
SUMIFS(AH$9:AH$24,$M$9:$M$24,PART_NUMBER_GENERATOR_TABLE[[#This Row],[Tech]:[Tech]])))</f>
        <v>0</v>
      </c>
      <c r="AI100" cm="1">
        <f t="array" ref="AI100">IF(PART_NUMBER_GENERATOR_TABLE[[#This Row],[Work Role]:[Work Role]]&lt;&gt;AI$1,0,
IF(PART_NUMBER_GENERATOR_TABLE[[#This Row],[Work Type]:[Work Type]]&lt;&gt;"BH",0,
SUMIFS(AI$9:AI$24,$M$9:$M$24,PART_NUMBER_GENERATOR_TABLE[[#This Row],[Tech]:[Tech]])))</f>
        <v>0</v>
      </c>
      <c r="AJ100" cm="1">
        <f t="array" ref="AJ100">IF(PART_NUMBER_GENERATOR_TABLE[[#This Row],[Work Role]:[Work Role]]&lt;&gt;AJ$1,0,
IF(PART_NUMBER_GENERATOR_TABLE[[#This Row],[Work Type]:[Work Type]]&lt;&gt;"BH",0,
SUMIFS(AJ$9:AJ$24,$M$9:$M$24,PART_NUMBER_GENERATOR_TABLE[[#This Row],[Tech]:[Tech]])))</f>
        <v>0</v>
      </c>
      <c r="AK100" cm="1">
        <f t="array" ref="AK100">IF(PART_NUMBER_GENERATOR_TABLE[[#This Row],[Work Role]:[Work Role]]&lt;&gt;AK$1,0,
IF(PART_NUMBER_GENERATOR_TABLE[[#This Row],[Work Type]:[Work Type]]&lt;&gt;"AH",0,
SUMIFS(AK$9:AK$24,$M$9:$M$24,PART_NUMBER_GENERATOR_TABLE[[#This Row],[Tech]:[Tech]])))</f>
        <v>0</v>
      </c>
      <c r="AL100" cm="1">
        <f t="array" ref="AL100">IF(PART_NUMBER_GENERATOR_TABLE[[#This Row],[Work Role]:[Work Role]]&lt;&gt;AL$1,0,
IF(PART_NUMBER_GENERATOR_TABLE[[#This Row],[Work Type]:[Work Type]]&lt;&gt;"BH",0,
SUMIFS(AL$9:AL$24,$M$9:$M$24,PART_NUMBER_GENERATOR_TABLE[[#This Row],[Tech]:[Tech]])))</f>
        <v>0</v>
      </c>
      <c r="AM100">
        <f>0</f>
        <v>0</v>
      </c>
      <c r="AN100" cm="1">
        <f t="array" ref="AN100">IF(PART_NUMBER_GENERATOR_TABLE[[#This Row],[Work Role]:[Work Role]]&lt;&gt;AN$1,0,
IF(PART_NUMBER_GENERATOR_TABLE[[#This Row],[Work Type]:[Work Type]]&lt;&gt;"BH",0,
SUMIFS(AN$24,$AM$24,PART_NUMBER_GENERATOR_TABLE[[#This Row],[Tech]:[Tech]])))</f>
        <v>0</v>
      </c>
      <c r="AO100" cm="1">
        <f t="array" ref="AO100">IF(PART_NUMBER_GENERATOR_TABLE[[#This Row],[Work Role]:[Work Role]]&lt;&gt;AO$1,0,
IF(PART_NUMBER_GENERATOR_TABLE[[#This Row],[Work Type]:[Work Type]]&lt;&gt;"BH",0,
SUMIFS(AO$24,$AM$24,PART_NUMBER_GENERATOR_TABLE[[#This Row],[Tech]:[Tech]])))</f>
        <v>0</v>
      </c>
      <c r="AP100" cm="1">
        <f t="array" ref="AP100">IF(PART_NUMBER_GENERATOR_TABLE[[#This Row],[Work Role]:[Work Role]]&lt;&gt;AP$1,0,
IF(PART_NUMBER_GENERATOR_TABLE[[#This Row],[Work Type]:[Work Type]]&lt;&gt;"BH",0,
SUMIFS(AP$24,$AM$24,PART_NUMBER_GENERATOR_TABLE[[#This Row],[Tech]:[Tech]])))</f>
        <v>0</v>
      </c>
      <c r="AQ100" cm="1">
        <f t="array" ref="AQ100">IF(PART_NUMBER_GENERATOR_TABLE[[#This Row],[Work Role]:[Work Role]]&lt;&gt;AQ$1,0,
IF(PART_NUMBER_GENERATOR_TABLE[[#This Row],[Work Type]:[Work Type]]&lt;&gt;"BH",0,
SUMIFS(AQ$24,$AM$24,PART_NUMBER_GENERATOR_TABLE[[#This Row],[Tech]:[Tech]])))</f>
        <v>0</v>
      </c>
      <c r="AR100" cm="1">
        <f t="array" ref="AR100">IF(PART_NUMBER_GENERATOR_TABLE[[#This Row],[Work Role]:[Work Role]]&lt;&gt;AR$1,0,
IF(PART_NUMBER_GENERATOR_TABLE[[#This Row],[Work Type]:[Work Type]]&lt;&gt;"BH",0,
SUMIFS(AR$24,$AM$24,PART_NUMBER_GENERATOR_TABLE[[#This Row],[Tech]:[Tech]])))</f>
        <v>0</v>
      </c>
      <c r="AS100" cm="1">
        <f t="array" ref="AS100">IF(PART_NUMBER_GENERATOR_TABLE[[#This Row],[Work Role]:[Work Role]]&lt;&gt;AS$1,0,
IF(PART_NUMBER_GENERATOR_TABLE[[#This Row],[Work Type]:[Work Type]]&lt;&gt;"BH",0,
SUMIFS(AS$24,$AM$24,PART_NUMBER_GENERATOR_TABLE[[#This Row],[Tech]:[Tech]])))</f>
        <v>0</v>
      </c>
      <c r="AT100" cm="1">
        <f t="array" ref="AT100">IF(PART_NUMBER_GENERATOR_TABLE[[#This Row],[Work Role]:[Work Role]]&lt;&gt;AS$1,0,
IF(PART_NUMBER_GENERATOR_TABLE[[#This Row],[Work Type]:[Work Type]]&lt;&gt;"BH",0,
SUMIFS(AT$24,$AM$24,PART_NUMBER_GENERATOR_TABLE[[#This Row],[Tech]:[Tech]])))</f>
        <v>0</v>
      </c>
      <c r="AU100">
        <f>SUM(PART_NUMBER_GENERATOR_TABLE[[#This Row],[Resource 1 BH]:[Resource 5 AH]],PART_NUMBER_GENERATOR_TABLE[[#This Row],[R1 Mandatory Tasks]:[R5 Mandatory Tasks]],PART_NUMBER_GENERATOR_TABLE[[#This Row],[R1 Remainder]:[R5 Remainder]])</f>
        <v>0</v>
      </c>
      <c r="AV100">
        <f>PART_NUMBER_GENERATOR_TABLE[[#This Row],[Professional Engineering Hours]]*PART_NUMBER_GENERATOR_TABLE[[#This Row],[Sell Rate]]</f>
        <v>0</v>
      </c>
      <c r="AW100">
        <f>PART_NUMBER_GENERATOR_TABLE[[#This Row],[Professional Engineering Hours]]*PART_NUMBER_GENERATOR_TABLE[[#This Row],[Cost Rate]]</f>
        <v>0</v>
      </c>
      <c r="AX100">
        <f>SUM(PART_NUMBER_GENERATOR_TABLE[[#This Row],[PM Trips]:[R5 Trips]])</f>
        <v>0</v>
      </c>
      <c r="AY100">
        <f>PART_NUMBER_GENERATOR_TABLE[[#This Row],[Travel &amp; Accommodation Hours]]*PART_NUMBER_GENERATOR_TABLE[[#This Row],[Sell Rate]]</f>
        <v>0</v>
      </c>
      <c r="AZ100">
        <f>PART_NUMBER_GENERATOR_TABLE[[#This Row],[Travel &amp; Accommodation Hours]]*PART_NUMBER_GENERATOR_TABLE[[#This Row],[Cost Rate]]</f>
        <v>0</v>
      </c>
      <c r="BA100">
        <f>PART_NUMBER_GENERATOR_TABLE[[#This Row],[PM Hours]]+PART_NUMBER_GENERATOR_TABLE[[#This Row],[PM Remainder]]</f>
        <v>0</v>
      </c>
      <c r="BB100">
        <f>PART_NUMBER_GENERATOR_TABLE[[#This Row],[Project Management Hours]]*PART_NUMBER_GENERATOR_TABLE[[#This Row],[Sell Rate]]</f>
        <v>0</v>
      </c>
      <c r="BC100">
        <f>PART_NUMBER_GENERATOR_TABLE[[#This Row],[Project Management Hours]]*PART_NUMBER_GENERATOR_TABLE[[#This Row],[Cost Rate]]</f>
        <v>0</v>
      </c>
      <c r="BD100">
        <f>SUM(PART_NUMBER_GENERATOR_TABLE[[#This Row],[SSE RISK BH]:[PM RISK]],PART_NUMBER_GENERATOR_TABLE[[#This Row],[SSE Remainder RISK BH]:[PM Remainder RISK]])</f>
        <v>0</v>
      </c>
      <c r="BE100">
        <f>PART_NUMBER_GENERATOR_TABLE[[#This Row],[Project Risk Service Hours]]*PART_NUMBER_GENERATOR_TABLE[[#This Row],[Sell Rate]]</f>
        <v>0</v>
      </c>
      <c r="BF100">
        <f>PART_NUMBER_GENERATOR_TABLE[[#This Row],[Project Risk Service Hours]]*PART_NUMBER_GENERATOR_TABLE[[#This Row],[Cost Rate]]</f>
        <v>0</v>
      </c>
      <c r="BG100">
        <f>PART_NUMBER_GENERATOR_TABLE[[#This Row],[SSE RISK TRAVEL]]</f>
        <v>0</v>
      </c>
      <c r="BH100">
        <f>PART_NUMBER_GENERATOR_TABLE[[#This Row],[Sell Rate]]*PART_NUMBER_GENERATOR_TABLE[[#This Row],[Project Risk Travel Hours]]</f>
        <v>0</v>
      </c>
      <c r="BI100">
        <f>PART_NUMBER_GENERATOR_TABLE[[#This Row],[Project Risk Travel Hours]]*PART_NUMBER_GENERATOR_TABLE[[#This Row],[Cost Rate]]</f>
        <v>0</v>
      </c>
      <c r="BJ10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0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00">
        <f>IFERROR(-VLOOKUP(INDEX(ENGINEER_ROLES,MATCH(PART_NUMBER_GENERATOR_TABLE[[#This Row],[Work Role]],settings.Table_Engineer.Roles[ID],0),1),Settings_Hidden!$H$359:$K$366,4,FALSE),0)</f>
        <v>0</v>
      </c>
      <c r="BM100" s="680">
        <f>-Summary!$C$66</f>
        <v>0</v>
      </c>
      <c r="BN100" s="465">
        <f>PART_NUMBER_GENERATOR_TABLE[[#This Row],[Total Base Price]]*MIN(PART_NUMBER_GENERATOR_TABLE[[#This Row],[Rate Service Discount]:[Flat Service Discount]])</f>
        <v>0</v>
      </c>
      <c r="BO100" s="451" t="str">
        <f>IF(PART_NUMBER_GENERATOR_TABLE[[#This Row],[Quantity]]&lt;&gt;0,MAX($BO$30:BO99)+1,"")</f>
        <v/>
      </c>
      <c r="BP100" t="str">
        <f>PART_NUMBER_GENERATOR_TABLE[[#This Row],[Part Number]]</f>
        <v>A-PS-E-DATACC-SCE-AH</v>
      </c>
      <c r="BQ100">
        <f>PART_NUMBER_GENERATOR_TABLE[[#This Row],[Total Hours]]</f>
        <v>0</v>
      </c>
      <c r="BR100">
        <f>PART_NUMBER_GENERATOR_TABLE[[#This Row],[Cost Rate]]</f>
        <v>251.41552370953494</v>
      </c>
      <c r="BS100" s="465">
        <f>PART_NUMBER_GENERATOR_TABLE[[#This Row],[Sell Rate]]+(PART_NUMBER_GENERATOR_TABLE[[#This Row],[Sell Rate]]*MIN(PART_NUMBER_GENERATOR_TABLE[[#This Row],[Rate Service Discount]:[Flat Service Discount]]))</f>
        <v>472.5</v>
      </c>
    </row>
    <row r="101" spans="1:71">
      <c r="A101">
        <v>71</v>
      </c>
      <c r="C101" t="s">
        <v>962</v>
      </c>
      <c r="D101" t="str" cm="1">
        <f t="array" ref="D101">INDEX(Table.Settings_Skill.List[Skill Name],MATCH(INDEX(_xlfn.TEXTSPLIT(C101,"-",,TRUE),4),Table.Settings_Skill.List[Skill Code],0),1)</f>
        <v>Integrated Health</v>
      </c>
      <c r="E101" t="str" cm="1">
        <f t="array" ref="E101">INDEX(_xlfn.TEXTSPLIT(C101,"-",,TRUE),5)</f>
        <v>TA</v>
      </c>
      <c r="F101" t="str">
        <f>IFERROR(INDEX(settings.Table_Engineer.Roles[Department Code],MATCH(PART_NUMBER_GENERATOR_TABLE[[#This Row],[Work Role]],settings.Table_Engineer.Roles[ID],0),1),"PMO")</f>
        <v>ENG</v>
      </c>
      <c r="G101" t="str" cm="1">
        <f t="array" ref="G101">INDEX(_xlfn.TEXTSPLIT(C101,"-",,TRUE),6)</f>
        <v>AH</v>
      </c>
      <c r="H10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232.5</v>
      </c>
      <c r="I10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122.02019862032805</v>
      </c>
      <c r="J101" cm="1">
        <f t="array" ref="J101">IF(J$1&lt;&gt;PART_NUMBER_GENERATOR_TABLE[[#This Row],[Work Role]:[Work Role]],0,
IF(RIGHT(J$30,2)&lt;&gt;PART_NUMBER_GENERATOR_TABLE[[#This Row],[Work Type]:[Work Type]],0,
SUMIFS(Input_Tasks[R1 Business Hours],Input_Tasks[[Skill Required]:[Skill Required]],PART_NUMBER_GENERATOR_TABLE[[#This Row],[Tech]:[Tech]])))</f>
        <v>0</v>
      </c>
      <c r="K101" cm="1">
        <f t="array" ref="K101">IF(K$1&lt;&gt;PART_NUMBER_GENERATOR_TABLE[[#This Row],[Work Role]:[Work Role]],0,
IF(RIGHT(K$30,2)&lt;&gt;PART_NUMBER_GENERATOR_TABLE[[#This Row],[Work Type]:[Work Type]],0,
SUMIFS(Input_Tasks[R1 After Hours],Input_Tasks[[Skill Required]:[Skill Required]],PART_NUMBER_GENERATOR_TABLE[[#This Row],[Tech]:[Tech]])))</f>
        <v>0</v>
      </c>
      <c r="L101" cm="1">
        <f t="array" ref="L101">IF(L$1&lt;&gt;PART_NUMBER_GENERATOR_TABLE[[#This Row],[Work Role]:[Work Role]],0,
IF(RIGHT(L$30,2)&lt;&gt;PART_NUMBER_GENERATOR_TABLE[[#This Row],[Work Type]:[Work Type]],0,
SUMIFS(Input_Tasks[R2 Business Hours],Input_Tasks[[Skill Required]:[Skill Required]],PART_NUMBER_GENERATOR_TABLE[[#This Row],[Tech]:[Tech]])))</f>
        <v>0</v>
      </c>
      <c r="M101" cm="1">
        <f t="array" ref="M101">IF(M$1&lt;&gt;PART_NUMBER_GENERATOR_TABLE[[#This Row],[Work Role]:[Work Role]],0,
IF(RIGHT(M$30,2)&lt;&gt;PART_NUMBER_GENERATOR_TABLE[[#This Row],[Work Type]:[Work Type]],0,
SUMIFS(Input_Tasks[R2 After Hours],Input_Tasks[[Skill Required]:[Skill Required]],PART_NUMBER_GENERATOR_TABLE[[#This Row],[Tech]:[Tech]])))</f>
        <v>0</v>
      </c>
      <c r="N101" cm="1">
        <f t="array" ref="N101">IF(N$1&lt;&gt;PART_NUMBER_GENERATOR_TABLE[[#This Row],[Work Role]:[Work Role]],0,
IF(RIGHT(N$30,2)&lt;&gt;PART_NUMBER_GENERATOR_TABLE[[#This Row],[Work Type]:[Work Type]],0,
SUMIFS(Input_Tasks[R3 Business Hours],Input_Tasks[[Skill Required]:[Skill Required]],PART_NUMBER_GENERATOR_TABLE[[#This Row],[Tech]:[Tech]])))</f>
        <v>0</v>
      </c>
      <c r="O101" cm="1">
        <f t="array" ref="O101">IF(O$1&lt;&gt;PART_NUMBER_GENERATOR_TABLE[[#This Row],[Work Role]:[Work Role]],0,
IF(RIGHT(O$30,2)&lt;&gt;PART_NUMBER_GENERATOR_TABLE[[#This Row],[Work Type]:[Work Type]],0,
SUMIFS(Input_Tasks[R3 After Hours],Input_Tasks[[Skill Required]:[Skill Required]],PART_NUMBER_GENERATOR_TABLE[[#This Row],[Tech]:[Tech]])))</f>
        <v>0</v>
      </c>
      <c r="P101" cm="1">
        <f t="array" ref="P101">IF(P$1&lt;&gt;PART_NUMBER_GENERATOR_TABLE[[#This Row],[Work Role]:[Work Role]],0,
IF(RIGHT(P$30,2)&lt;&gt;PART_NUMBER_GENERATOR_TABLE[[#This Row],[Work Type]:[Work Type]],0,
SUMIFS(Input_Tasks[R4 Business Hours],Input_Tasks[[Skill Required]:[Skill Required]],PART_NUMBER_GENERATOR_TABLE[[#This Row],[Tech]:[Tech]])))</f>
        <v>0</v>
      </c>
      <c r="Q101" cm="1">
        <f t="array" ref="Q101">IF(Q$1&lt;&gt;PART_NUMBER_GENERATOR_TABLE[[#This Row],[Work Role]:[Work Role]],0,
IF(RIGHT(Q$30,2)&lt;&gt;PART_NUMBER_GENERATOR_TABLE[[#This Row],[Work Type]:[Work Type]],0,
SUMIFS(Input_Tasks[R4 After Hours],Input_Tasks[[Skill Required]:[Skill Required]],PART_NUMBER_GENERATOR_TABLE[[#This Row],[Tech]:[Tech]])))</f>
        <v>0</v>
      </c>
      <c r="R101" cm="1">
        <f t="array" ref="R101">IF(R$1&lt;&gt;PART_NUMBER_GENERATOR_TABLE[[#This Row],[Work Role]:[Work Role]],0,
IF(RIGHT(R$30,2)&lt;&gt;PART_NUMBER_GENERATOR_TABLE[[#This Row],[Work Type]:[Work Type]],0,
SUMIFS(Input_Tasks[R5 Business Hours],Input_Tasks[[Skill Required]:[Skill Required]],PART_NUMBER_GENERATOR_TABLE[[#This Row],[Tech]:[Tech]])))</f>
        <v>0</v>
      </c>
      <c r="S101" cm="1">
        <f t="array" ref="S101">IF(S$1&lt;&gt;PART_NUMBER_GENERATOR_TABLE[[#This Row],[Work Role]:[Work Role]],0,
IF(RIGHT(S$30,2)&lt;&gt;PART_NUMBER_GENERATOR_TABLE[[#This Row],[Work Type]:[Work Type]],0,
SUMIFS(Input_Tasks[R5 After Hours],Input_Tasks[[Skill Required]:[Skill Required]],PART_NUMBER_GENERATOR_TABLE[[#This Row],[Tech]:[Tech]])))</f>
        <v>0</v>
      </c>
      <c r="T101" cm="1">
        <f t="array" ref="T101">IF(PART_NUMBER_GENERATOR_TABLE[[#This Row],[Work Role]:[Work Role]]&lt;&gt;T$1,0,
IF(PART_NUMBER_GENERATOR_TABLE[[#This Row],[Work Type]:[Work Type]]&lt;&gt;"BH",0,
SUMIFS(T$9:T$24,$M$9:$M$24,PART_NUMBER_GENERATOR_TABLE[[#This Row],[Tech]:[Tech]])))</f>
        <v>0</v>
      </c>
      <c r="U101" cm="1">
        <f t="array" ref="U101">IF(PART_NUMBER_GENERATOR_TABLE[[#This Row],[Work Role]:[Work Role]]&lt;&gt;U$1,0,
IF(PART_NUMBER_GENERATOR_TABLE[[#This Row],[Work Type]:[Work Type]]&lt;&gt;"BH",0,
SUMIFS(U$9:U$24,$M$9:$M$24,PART_NUMBER_GENERATOR_TABLE[[#This Row],[Tech]:[Tech]])))</f>
        <v>0</v>
      </c>
      <c r="V101" cm="1">
        <f t="array" ref="V101">IF(PART_NUMBER_GENERATOR_TABLE[[#This Row],[Work Role]:[Work Role]]&lt;&gt;V$1,0,
IF(PART_NUMBER_GENERATOR_TABLE[[#This Row],[Work Type]:[Work Type]]&lt;&gt;"BH",0,
SUMIFS(V$9:V$24,$M$9:$M$24,PART_NUMBER_GENERATOR_TABLE[[#This Row],[Tech]:[Tech]])))</f>
        <v>0</v>
      </c>
      <c r="W101" cm="1">
        <f t="array" ref="W101">IF(PART_NUMBER_GENERATOR_TABLE[[#This Row],[Work Role]:[Work Role]]&lt;&gt;W$1,0,
IF(PART_NUMBER_GENERATOR_TABLE[[#This Row],[Work Type]:[Work Type]]&lt;&gt;"BH",0,
SUMIFS(W$9:W$24,$M$9:$M$24,PART_NUMBER_GENERATOR_TABLE[[#This Row],[Tech]:[Tech]])))</f>
        <v>0</v>
      </c>
      <c r="X101" cm="1">
        <f t="array" ref="X101">IF(PART_NUMBER_GENERATOR_TABLE[[#This Row],[Work Role]:[Work Role]]&lt;&gt;X$1,0,
IF(PART_NUMBER_GENERATOR_TABLE[[#This Row],[Work Type]:[Work Type]]&lt;&gt;"BH",0,
SUMIFS(X$9:X$24,$M$9:$M$24,PART_NUMBER_GENERATOR_TABLE[[#This Row],[Tech]:[Tech]])))</f>
        <v>0</v>
      </c>
      <c r="Y101" cm="1">
        <f t="array" ref="Y101">IF(PART_NUMBER_GENERATOR_TABLE[[#This Row],[Work Role]:[Work Role]]&lt;&gt;Y$1,0,
IF(PART_NUMBER_GENERATOR_TABLE[[#This Row],[Work Type]:[Work Type]]&lt;&gt;"BH",0,
SUMIFS(Y$9:Y$24,$M$9:$M$24,PART_NUMBER_GENERATOR_TABLE[[#This Row],[Tech]:[Tech]])))</f>
        <v>0</v>
      </c>
      <c r="Z101" cm="1">
        <f t="array" ref="Z101">IF(PART_NUMBER_GENERATOR_TABLE[[#This Row],[Work Role]:[Work Role]]&lt;&gt;Z$1,0,
IF(PART_NUMBER_GENERATOR_TABLE[[#This Row],[Work Type]:[Work Type]]&lt;&gt;"BH",0,
SUMIFS(Z$9:Z$24,$M$9:$M$24,PART_NUMBER_GENERATOR_TABLE[[#This Row],[Tech]:[Tech]])))</f>
        <v>0</v>
      </c>
      <c r="AA101" cm="1">
        <f t="array" ref="AA101">IF(PART_NUMBER_GENERATOR_TABLE[[#This Row],[Work Role]:[Work Role]]&lt;&gt;AA$1,0,
IF(PART_NUMBER_GENERATOR_TABLE[[#This Row],[Work Type]:[Work Type]]&lt;&gt;"BH",0,
SUMIFS(AA$9:AA$24,$M$9:$M$24,PART_NUMBER_GENERATOR_TABLE[[#This Row],[Tech]:[Tech]])))</f>
        <v>0</v>
      </c>
      <c r="AB101" cm="1">
        <f t="array" ref="AB101">IF(PART_NUMBER_GENERATOR_TABLE[[#This Row],[Work Role]:[Work Role]]&lt;&gt;AB$1,0,
IF(PART_NUMBER_GENERATOR_TABLE[[#This Row],[Work Type]:[Work Type]]&lt;&gt;"BH",0,
SUMIFS(AB$9:AB$24,$M$9:$M$24,PART_NUMBER_GENERATOR_TABLE[[#This Row],[Tech]:[Tech]])))</f>
        <v>0</v>
      </c>
      <c r="AC101" cm="1">
        <f t="array" ref="AC101">IF(PART_NUMBER_GENERATOR_TABLE[[#This Row],[Work Role]:[Work Role]]&lt;&gt;AC$1,0,
IF(PART_NUMBER_GENERATOR_TABLE[[#This Row],[Work Type]:[Work Type]]&lt;&gt;"BH",0,
SUMIFS(AC$9:AC$24,$M$9:$M$24,PART_NUMBER_GENERATOR_TABLE[[#This Row],[Tech]:[Tech]])))</f>
        <v>0</v>
      </c>
      <c r="AD101" cm="1">
        <f t="array" ref="AD101">IF(PART_NUMBER_GENERATOR_TABLE[[#This Row],[Work Role]:[Work Role]]&lt;&gt;AD$1,0,
IF(PART_NUMBER_GENERATOR_TABLE[[#This Row],[Work Type]:[Work Type]]&lt;&gt;"BH",0,
SUMIFS(AD$9:AD$24,$M$9:$M$24,PART_NUMBER_GENERATOR_TABLE[[#This Row],[Tech]:[Tech]])))</f>
        <v>0</v>
      </c>
      <c r="AE101" cm="1">
        <f t="array" ref="AE101">IF(PART_NUMBER_GENERATOR_TABLE[[#This Row],[Work Role]:[Work Role]]&lt;&gt;AE$1,0,
IF(PART_NUMBER_GENERATOR_TABLE[[#This Row],[Work Type]:[Work Type]]&lt;&gt;"BH",0,
SUMIFS(AE$9:AE$24,$M$9:$M$24,PART_NUMBER_GENERATOR_TABLE[[#This Row],[Tech]:[Tech]])))</f>
        <v>0</v>
      </c>
      <c r="AF101" cm="1">
        <f t="array" ref="AF101">IF(PART_NUMBER_GENERATOR_TABLE[[#This Row],[Work Role]:[Work Role]]&lt;&gt;AF$1,0,
IF(PART_NUMBER_GENERATOR_TABLE[[#This Row],[Work Type]:[Work Type]]&lt;&gt;"BH",0,
SUMIFS(AF$9:AF$24,$M$9:$M$24,PART_NUMBER_GENERATOR_TABLE[[#This Row],[Tech]:[Tech]])))</f>
        <v>0</v>
      </c>
      <c r="AG101" cm="1">
        <f t="array" ref="AG101">IF(PART_NUMBER_GENERATOR_TABLE[[#This Row],[Work Role]:[Work Role]]&lt;&gt;AG$1,0,
IF(PART_NUMBER_GENERATOR_TABLE[[#This Row],[Work Type]:[Work Type]]&lt;&gt;"AH",0,
SUMIFS(AG$9:AG$24,$M$9:$M$24,PART_NUMBER_GENERATOR_TABLE[[#This Row],[Tech]:[Tech]])))</f>
        <v>0</v>
      </c>
      <c r="AH101" cm="1">
        <f t="array" ref="AH101">IF(PART_NUMBER_GENERATOR_TABLE[[#This Row],[Work Role]:[Work Role]]&lt;&gt;AH$1,0,
IF(PART_NUMBER_GENERATOR_TABLE[[#This Row],[Work Type]:[Work Type]]&lt;&gt;"BH",0,
SUMIFS(AH$9:AH$24,$M$9:$M$24,PART_NUMBER_GENERATOR_TABLE[[#This Row],[Tech]:[Tech]])))</f>
        <v>0</v>
      </c>
      <c r="AI101" cm="1">
        <f t="array" ref="AI101">IF(PART_NUMBER_GENERATOR_TABLE[[#This Row],[Work Role]:[Work Role]]&lt;&gt;AI$1,0,
IF(PART_NUMBER_GENERATOR_TABLE[[#This Row],[Work Type]:[Work Type]]&lt;&gt;"BH",0,
SUMIFS(AI$9:AI$24,$M$9:$M$24,PART_NUMBER_GENERATOR_TABLE[[#This Row],[Tech]:[Tech]])))</f>
        <v>0</v>
      </c>
      <c r="AJ101" cm="1">
        <f t="array" ref="AJ101">IF(PART_NUMBER_GENERATOR_TABLE[[#This Row],[Work Role]:[Work Role]]&lt;&gt;AJ$1,0,
IF(PART_NUMBER_GENERATOR_TABLE[[#This Row],[Work Type]:[Work Type]]&lt;&gt;"BH",0,
SUMIFS(AJ$9:AJ$24,$M$9:$M$24,PART_NUMBER_GENERATOR_TABLE[[#This Row],[Tech]:[Tech]])))</f>
        <v>0</v>
      </c>
      <c r="AK101" cm="1">
        <f t="array" ref="AK101">IF(PART_NUMBER_GENERATOR_TABLE[[#This Row],[Work Role]:[Work Role]]&lt;&gt;AK$1,0,
IF(PART_NUMBER_GENERATOR_TABLE[[#This Row],[Work Type]:[Work Type]]&lt;&gt;"AH",0,
SUMIFS(AK$9:AK$24,$M$9:$M$24,PART_NUMBER_GENERATOR_TABLE[[#This Row],[Tech]:[Tech]])))</f>
        <v>0</v>
      </c>
      <c r="AL101" cm="1">
        <f t="array" ref="AL101">IF(PART_NUMBER_GENERATOR_TABLE[[#This Row],[Work Role]:[Work Role]]&lt;&gt;AL$1,0,
IF(PART_NUMBER_GENERATOR_TABLE[[#This Row],[Work Type]:[Work Type]]&lt;&gt;"BH",0,
SUMIFS(AL$9:AL$24,$M$9:$M$24,PART_NUMBER_GENERATOR_TABLE[[#This Row],[Tech]:[Tech]])))</f>
        <v>0</v>
      </c>
      <c r="AM101">
        <f>0</f>
        <v>0</v>
      </c>
      <c r="AN101" cm="1">
        <f t="array" ref="AN101">IF(PART_NUMBER_GENERATOR_TABLE[[#This Row],[Work Role]:[Work Role]]&lt;&gt;AN$1,0,
IF(PART_NUMBER_GENERATOR_TABLE[[#This Row],[Work Type]:[Work Type]]&lt;&gt;"BH",0,
SUMIFS(AN$24,$AM$24,PART_NUMBER_GENERATOR_TABLE[[#This Row],[Tech]:[Tech]])))</f>
        <v>0</v>
      </c>
      <c r="AO101" cm="1">
        <f t="array" ref="AO101">IF(PART_NUMBER_GENERATOR_TABLE[[#This Row],[Work Role]:[Work Role]]&lt;&gt;AO$1,0,
IF(PART_NUMBER_GENERATOR_TABLE[[#This Row],[Work Type]:[Work Type]]&lt;&gt;"BH",0,
SUMIFS(AO$24,$AM$24,PART_NUMBER_GENERATOR_TABLE[[#This Row],[Tech]:[Tech]])))</f>
        <v>0</v>
      </c>
      <c r="AP101" cm="1">
        <f t="array" ref="AP101">IF(PART_NUMBER_GENERATOR_TABLE[[#This Row],[Work Role]:[Work Role]]&lt;&gt;AP$1,0,
IF(PART_NUMBER_GENERATOR_TABLE[[#This Row],[Work Type]:[Work Type]]&lt;&gt;"BH",0,
SUMIFS(AP$24,$AM$24,PART_NUMBER_GENERATOR_TABLE[[#This Row],[Tech]:[Tech]])))</f>
        <v>0</v>
      </c>
      <c r="AQ101" cm="1">
        <f t="array" ref="AQ101">IF(PART_NUMBER_GENERATOR_TABLE[[#This Row],[Work Role]:[Work Role]]&lt;&gt;AQ$1,0,
IF(PART_NUMBER_GENERATOR_TABLE[[#This Row],[Work Type]:[Work Type]]&lt;&gt;"BH",0,
SUMIFS(AQ$24,$AM$24,PART_NUMBER_GENERATOR_TABLE[[#This Row],[Tech]:[Tech]])))</f>
        <v>0</v>
      </c>
      <c r="AR101" cm="1">
        <f t="array" ref="AR101">IF(PART_NUMBER_GENERATOR_TABLE[[#This Row],[Work Role]:[Work Role]]&lt;&gt;AR$1,0,
IF(PART_NUMBER_GENERATOR_TABLE[[#This Row],[Work Type]:[Work Type]]&lt;&gt;"BH",0,
SUMIFS(AR$24,$AM$24,PART_NUMBER_GENERATOR_TABLE[[#This Row],[Tech]:[Tech]])))</f>
        <v>0</v>
      </c>
      <c r="AS101" cm="1">
        <f t="array" ref="AS101">IF(PART_NUMBER_GENERATOR_TABLE[[#This Row],[Work Role]:[Work Role]]&lt;&gt;AS$1,0,
IF(PART_NUMBER_GENERATOR_TABLE[[#This Row],[Work Type]:[Work Type]]&lt;&gt;"BH",0,
SUMIFS(AS$24,$AM$24,PART_NUMBER_GENERATOR_TABLE[[#This Row],[Tech]:[Tech]])))</f>
        <v>0</v>
      </c>
      <c r="AT101" cm="1">
        <f t="array" ref="AT101">IF(PART_NUMBER_GENERATOR_TABLE[[#This Row],[Work Role]:[Work Role]]&lt;&gt;AS$1,0,
IF(PART_NUMBER_GENERATOR_TABLE[[#This Row],[Work Type]:[Work Type]]&lt;&gt;"BH",0,
SUMIFS(AT$24,$AM$24,PART_NUMBER_GENERATOR_TABLE[[#This Row],[Tech]:[Tech]])))</f>
        <v>0</v>
      </c>
      <c r="AU101">
        <f>SUM(PART_NUMBER_GENERATOR_TABLE[[#This Row],[Resource 1 BH]:[Resource 5 AH]],PART_NUMBER_GENERATOR_TABLE[[#This Row],[R1 Mandatory Tasks]:[R5 Mandatory Tasks]],PART_NUMBER_GENERATOR_TABLE[[#This Row],[R1 Remainder]:[R5 Remainder]])</f>
        <v>0</v>
      </c>
      <c r="AV101">
        <f>PART_NUMBER_GENERATOR_TABLE[[#This Row],[Professional Engineering Hours]]*PART_NUMBER_GENERATOR_TABLE[[#This Row],[Sell Rate]]</f>
        <v>0</v>
      </c>
      <c r="AW101">
        <f>PART_NUMBER_GENERATOR_TABLE[[#This Row],[Professional Engineering Hours]]*PART_NUMBER_GENERATOR_TABLE[[#This Row],[Cost Rate]]</f>
        <v>0</v>
      </c>
      <c r="AX101">
        <f>SUM(PART_NUMBER_GENERATOR_TABLE[[#This Row],[PM Trips]:[R5 Trips]])</f>
        <v>0</v>
      </c>
      <c r="AY101">
        <f>PART_NUMBER_GENERATOR_TABLE[[#This Row],[Travel &amp; Accommodation Hours]]*PART_NUMBER_GENERATOR_TABLE[[#This Row],[Sell Rate]]</f>
        <v>0</v>
      </c>
      <c r="AZ101">
        <f>PART_NUMBER_GENERATOR_TABLE[[#This Row],[Travel &amp; Accommodation Hours]]*PART_NUMBER_GENERATOR_TABLE[[#This Row],[Cost Rate]]</f>
        <v>0</v>
      </c>
      <c r="BA101">
        <f>PART_NUMBER_GENERATOR_TABLE[[#This Row],[PM Hours]]+PART_NUMBER_GENERATOR_TABLE[[#This Row],[PM Remainder]]</f>
        <v>0</v>
      </c>
      <c r="BB101">
        <f>PART_NUMBER_GENERATOR_TABLE[[#This Row],[Project Management Hours]]*PART_NUMBER_GENERATOR_TABLE[[#This Row],[Sell Rate]]</f>
        <v>0</v>
      </c>
      <c r="BC101">
        <f>PART_NUMBER_GENERATOR_TABLE[[#This Row],[Project Management Hours]]*PART_NUMBER_GENERATOR_TABLE[[#This Row],[Cost Rate]]</f>
        <v>0</v>
      </c>
      <c r="BD101">
        <f>SUM(PART_NUMBER_GENERATOR_TABLE[[#This Row],[SSE RISK BH]:[PM RISK]],PART_NUMBER_GENERATOR_TABLE[[#This Row],[SSE Remainder RISK BH]:[PM Remainder RISK]])</f>
        <v>0</v>
      </c>
      <c r="BE101">
        <f>PART_NUMBER_GENERATOR_TABLE[[#This Row],[Project Risk Service Hours]]*PART_NUMBER_GENERATOR_TABLE[[#This Row],[Sell Rate]]</f>
        <v>0</v>
      </c>
      <c r="BF101">
        <f>PART_NUMBER_GENERATOR_TABLE[[#This Row],[Project Risk Service Hours]]*PART_NUMBER_GENERATOR_TABLE[[#This Row],[Cost Rate]]</f>
        <v>0</v>
      </c>
      <c r="BG101">
        <f>PART_NUMBER_GENERATOR_TABLE[[#This Row],[SSE RISK TRAVEL]]</f>
        <v>0</v>
      </c>
      <c r="BH101">
        <f>PART_NUMBER_GENERATOR_TABLE[[#This Row],[Sell Rate]]*PART_NUMBER_GENERATOR_TABLE[[#This Row],[Project Risk Travel Hours]]</f>
        <v>0</v>
      </c>
      <c r="BI101">
        <f>PART_NUMBER_GENERATOR_TABLE[[#This Row],[Project Risk Travel Hours]]*PART_NUMBER_GENERATOR_TABLE[[#This Row],[Cost Rate]]</f>
        <v>0</v>
      </c>
      <c r="BJ10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0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01">
        <f>IFERROR(-VLOOKUP(INDEX(ENGINEER_ROLES,MATCH(PART_NUMBER_GENERATOR_TABLE[[#This Row],[Work Role]],settings.Table_Engineer.Roles[ID],0),1),Settings_Hidden!$H$359:$K$366,4,FALSE),0)</f>
        <v>0</v>
      </c>
      <c r="BM101" s="680">
        <f>-Summary!$C$66</f>
        <v>0</v>
      </c>
      <c r="BN101" s="465">
        <f>PART_NUMBER_GENERATOR_TABLE[[#This Row],[Total Base Price]]*MIN(PART_NUMBER_GENERATOR_TABLE[[#This Row],[Rate Service Discount]:[Flat Service Discount]])</f>
        <v>0</v>
      </c>
      <c r="BO101" s="451" t="str">
        <f>IF(PART_NUMBER_GENERATOR_TABLE[[#This Row],[Quantity]]&lt;&gt;0,MAX($BO$30:BO100)+1,"")</f>
        <v/>
      </c>
      <c r="BP101" t="str">
        <f>PART_NUMBER_GENERATOR_TABLE[[#This Row],[Part Number]]</f>
        <v>A-PS-E-INTHLT-TA-AH</v>
      </c>
      <c r="BQ101">
        <f>PART_NUMBER_GENERATOR_TABLE[[#This Row],[Total Hours]]</f>
        <v>0</v>
      </c>
      <c r="BR101">
        <f>PART_NUMBER_GENERATOR_TABLE[[#This Row],[Cost Rate]]</f>
        <v>122.02019862032805</v>
      </c>
      <c r="BS101" s="465">
        <f>PART_NUMBER_GENERATOR_TABLE[[#This Row],[Sell Rate]]+(PART_NUMBER_GENERATOR_TABLE[[#This Row],[Sell Rate]]*MIN(PART_NUMBER_GENERATOR_TABLE[[#This Row],[Rate Service Discount]:[Flat Service Discount]]))</f>
        <v>232.5</v>
      </c>
    </row>
    <row r="102" spans="1:71">
      <c r="A102">
        <v>72</v>
      </c>
      <c r="C102" t="s">
        <v>958</v>
      </c>
      <c r="D102" t="str" cm="1">
        <f t="array" ref="D102">INDEX(Table.Settings_Skill.List[Skill Name],MATCH(INDEX(_xlfn.TEXTSPLIT(C102,"-",,TRUE),4),Table.Settings_Skill.List[Skill Code],0),1)</f>
        <v>Integrated Health</v>
      </c>
      <c r="E102" t="str" cm="1">
        <f t="array" ref="E102">INDEX(_xlfn.TEXTSPLIT(C102,"-",,TRUE),5)</f>
        <v>SE</v>
      </c>
      <c r="F102" t="str">
        <f>IFERROR(INDEX(settings.Table_Engineer.Roles[Department Code],MATCH(PART_NUMBER_GENERATOR_TABLE[[#This Row],[Work Role]],settings.Table_Engineer.Roles[ID],0),1),"PMO")</f>
        <v>ENG</v>
      </c>
      <c r="G102" t="str" cm="1">
        <f t="array" ref="G102">INDEX(_xlfn.TEXTSPLIT(C102,"-",,TRUE),6)</f>
        <v>AH</v>
      </c>
      <c r="H10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352.5</v>
      </c>
      <c r="I10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189.17783891744716</v>
      </c>
      <c r="J102" cm="1">
        <f t="array" ref="J102">IF(J$1&lt;&gt;PART_NUMBER_GENERATOR_TABLE[[#This Row],[Work Role]:[Work Role]],0,
IF(RIGHT(J$30,2)&lt;&gt;PART_NUMBER_GENERATOR_TABLE[[#This Row],[Work Type]:[Work Type]],0,
SUMIFS(Input_Tasks[R1 Business Hours],Input_Tasks[[Skill Required]:[Skill Required]],PART_NUMBER_GENERATOR_TABLE[[#This Row],[Tech]:[Tech]])))</f>
        <v>0</v>
      </c>
      <c r="K102" cm="1">
        <f t="array" ref="K102">IF(K$1&lt;&gt;PART_NUMBER_GENERATOR_TABLE[[#This Row],[Work Role]:[Work Role]],0,
IF(RIGHT(K$30,2)&lt;&gt;PART_NUMBER_GENERATOR_TABLE[[#This Row],[Work Type]:[Work Type]],0,
SUMIFS(Input_Tasks[R1 After Hours],Input_Tasks[[Skill Required]:[Skill Required]],PART_NUMBER_GENERATOR_TABLE[[#This Row],[Tech]:[Tech]])))</f>
        <v>0</v>
      </c>
      <c r="L102" cm="1">
        <f t="array" ref="L102">IF(L$1&lt;&gt;PART_NUMBER_GENERATOR_TABLE[[#This Row],[Work Role]:[Work Role]],0,
IF(RIGHT(L$30,2)&lt;&gt;PART_NUMBER_GENERATOR_TABLE[[#This Row],[Work Type]:[Work Type]],0,
SUMIFS(Input_Tasks[R2 Business Hours],Input_Tasks[[Skill Required]:[Skill Required]],PART_NUMBER_GENERATOR_TABLE[[#This Row],[Tech]:[Tech]])))</f>
        <v>0</v>
      </c>
      <c r="M102" cm="1">
        <f t="array" ref="M102">IF(M$1&lt;&gt;PART_NUMBER_GENERATOR_TABLE[[#This Row],[Work Role]:[Work Role]],0,
IF(RIGHT(M$30,2)&lt;&gt;PART_NUMBER_GENERATOR_TABLE[[#This Row],[Work Type]:[Work Type]],0,
SUMIFS(Input_Tasks[R2 After Hours],Input_Tasks[[Skill Required]:[Skill Required]],PART_NUMBER_GENERATOR_TABLE[[#This Row],[Tech]:[Tech]])))</f>
        <v>0</v>
      </c>
      <c r="N102" cm="1">
        <f t="array" ref="N102">IF(N$1&lt;&gt;PART_NUMBER_GENERATOR_TABLE[[#This Row],[Work Role]:[Work Role]],0,
IF(RIGHT(N$30,2)&lt;&gt;PART_NUMBER_GENERATOR_TABLE[[#This Row],[Work Type]:[Work Type]],0,
SUMIFS(Input_Tasks[R3 Business Hours],Input_Tasks[[Skill Required]:[Skill Required]],PART_NUMBER_GENERATOR_TABLE[[#This Row],[Tech]:[Tech]])))</f>
        <v>0</v>
      </c>
      <c r="O102" cm="1">
        <f t="array" ref="O102">IF(O$1&lt;&gt;PART_NUMBER_GENERATOR_TABLE[[#This Row],[Work Role]:[Work Role]],0,
IF(RIGHT(O$30,2)&lt;&gt;PART_NUMBER_GENERATOR_TABLE[[#This Row],[Work Type]:[Work Type]],0,
SUMIFS(Input_Tasks[R3 After Hours],Input_Tasks[[Skill Required]:[Skill Required]],PART_NUMBER_GENERATOR_TABLE[[#This Row],[Tech]:[Tech]])))</f>
        <v>0</v>
      </c>
      <c r="P102" cm="1">
        <f t="array" ref="P102">IF(P$1&lt;&gt;PART_NUMBER_GENERATOR_TABLE[[#This Row],[Work Role]:[Work Role]],0,
IF(RIGHT(P$30,2)&lt;&gt;PART_NUMBER_GENERATOR_TABLE[[#This Row],[Work Type]:[Work Type]],0,
SUMIFS(Input_Tasks[R4 Business Hours],Input_Tasks[[Skill Required]:[Skill Required]],PART_NUMBER_GENERATOR_TABLE[[#This Row],[Tech]:[Tech]])))</f>
        <v>0</v>
      </c>
      <c r="Q102" cm="1">
        <f t="array" ref="Q102">IF(Q$1&lt;&gt;PART_NUMBER_GENERATOR_TABLE[[#This Row],[Work Role]:[Work Role]],0,
IF(RIGHT(Q$30,2)&lt;&gt;PART_NUMBER_GENERATOR_TABLE[[#This Row],[Work Type]:[Work Type]],0,
SUMIFS(Input_Tasks[R4 After Hours],Input_Tasks[[Skill Required]:[Skill Required]],PART_NUMBER_GENERATOR_TABLE[[#This Row],[Tech]:[Tech]])))</f>
        <v>0</v>
      </c>
      <c r="R102" cm="1">
        <f t="array" ref="R102">IF(R$1&lt;&gt;PART_NUMBER_GENERATOR_TABLE[[#This Row],[Work Role]:[Work Role]],0,
IF(RIGHT(R$30,2)&lt;&gt;PART_NUMBER_GENERATOR_TABLE[[#This Row],[Work Type]:[Work Type]],0,
SUMIFS(Input_Tasks[R5 Business Hours],Input_Tasks[[Skill Required]:[Skill Required]],PART_NUMBER_GENERATOR_TABLE[[#This Row],[Tech]:[Tech]])))</f>
        <v>0</v>
      </c>
      <c r="S102" cm="1">
        <f t="array" ref="S102">IF(S$1&lt;&gt;PART_NUMBER_GENERATOR_TABLE[[#This Row],[Work Role]:[Work Role]],0,
IF(RIGHT(S$30,2)&lt;&gt;PART_NUMBER_GENERATOR_TABLE[[#This Row],[Work Type]:[Work Type]],0,
SUMIFS(Input_Tasks[R5 After Hours],Input_Tasks[[Skill Required]:[Skill Required]],PART_NUMBER_GENERATOR_TABLE[[#This Row],[Tech]:[Tech]])))</f>
        <v>0</v>
      </c>
      <c r="T102" cm="1">
        <f t="array" ref="T102">IF(PART_NUMBER_GENERATOR_TABLE[[#This Row],[Work Role]:[Work Role]]&lt;&gt;T$1,0,
IF(PART_NUMBER_GENERATOR_TABLE[[#This Row],[Work Type]:[Work Type]]&lt;&gt;"BH",0,
SUMIFS(T$9:T$24,$M$9:$M$24,PART_NUMBER_GENERATOR_TABLE[[#This Row],[Tech]:[Tech]])))</f>
        <v>0</v>
      </c>
      <c r="U102" cm="1">
        <f t="array" ref="U102">IF(PART_NUMBER_GENERATOR_TABLE[[#This Row],[Work Role]:[Work Role]]&lt;&gt;U$1,0,
IF(PART_NUMBER_GENERATOR_TABLE[[#This Row],[Work Type]:[Work Type]]&lt;&gt;"BH",0,
SUMIFS(U$9:U$24,$M$9:$M$24,PART_NUMBER_GENERATOR_TABLE[[#This Row],[Tech]:[Tech]])))</f>
        <v>0</v>
      </c>
      <c r="V102" cm="1">
        <f t="array" ref="V102">IF(PART_NUMBER_GENERATOR_TABLE[[#This Row],[Work Role]:[Work Role]]&lt;&gt;V$1,0,
IF(PART_NUMBER_GENERATOR_TABLE[[#This Row],[Work Type]:[Work Type]]&lt;&gt;"BH",0,
SUMIFS(V$9:V$24,$M$9:$M$24,PART_NUMBER_GENERATOR_TABLE[[#This Row],[Tech]:[Tech]])))</f>
        <v>0</v>
      </c>
      <c r="W102" cm="1">
        <f t="array" ref="W102">IF(PART_NUMBER_GENERATOR_TABLE[[#This Row],[Work Role]:[Work Role]]&lt;&gt;W$1,0,
IF(PART_NUMBER_GENERATOR_TABLE[[#This Row],[Work Type]:[Work Type]]&lt;&gt;"BH",0,
SUMIFS(W$9:W$24,$M$9:$M$24,PART_NUMBER_GENERATOR_TABLE[[#This Row],[Tech]:[Tech]])))</f>
        <v>0</v>
      </c>
      <c r="X102" cm="1">
        <f t="array" ref="X102">IF(PART_NUMBER_GENERATOR_TABLE[[#This Row],[Work Role]:[Work Role]]&lt;&gt;X$1,0,
IF(PART_NUMBER_GENERATOR_TABLE[[#This Row],[Work Type]:[Work Type]]&lt;&gt;"BH",0,
SUMIFS(X$9:X$24,$M$9:$M$24,PART_NUMBER_GENERATOR_TABLE[[#This Row],[Tech]:[Tech]])))</f>
        <v>0</v>
      </c>
      <c r="Y102" cm="1">
        <f t="array" ref="Y102">IF(PART_NUMBER_GENERATOR_TABLE[[#This Row],[Work Role]:[Work Role]]&lt;&gt;Y$1,0,
IF(PART_NUMBER_GENERATOR_TABLE[[#This Row],[Work Type]:[Work Type]]&lt;&gt;"BH",0,
SUMIFS(Y$9:Y$24,$M$9:$M$24,PART_NUMBER_GENERATOR_TABLE[[#This Row],[Tech]:[Tech]])))</f>
        <v>0</v>
      </c>
      <c r="Z102" cm="1">
        <f t="array" ref="Z102">IF(PART_NUMBER_GENERATOR_TABLE[[#This Row],[Work Role]:[Work Role]]&lt;&gt;Z$1,0,
IF(PART_NUMBER_GENERATOR_TABLE[[#This Row],[Work Type]:[Work Type]]&lt;&gt;"BH",0,
SUMIFS(Z$9:Z$24,$M$9:$M$24,PART_NUMBER_GENERATOR_TABLE[[#This Row],[Tech]:[Tech]])))</f>
        <v>0</v>
      </c>
      <c r="AA102" cm="1">
        <f t="array" ref="AA102">IF(PART_NUMBER_GENERATOR_TABLE[[#This Row],[Work Role]:[Work Role]]&lt;&gt;AA$1,0,
IF(PART_NUMBER_GENERATOR_TABLE[[#This Row],[Work Type]:[Work Type]]&lt;&gt;"BH",0,
SUMIFS(AA$9:AA$24,$M$9:$M$24,PART_NUMBER_GENERATOR_TABLE[[#This Row],[Tech]:[Tech]])))</f>
        <v>0</v>
      </c>
      <c r="AB102" cm="1">
        <f t="array" ref="AB102">IF(PART_NUMBER_GENERATOR_TABLE[[#This Row],[Work Role]:[Work Role]]&lt;&gt;AB$1,0,
IF(PART_NUMBER_GENERATOR_TABLE[[#This Row],[Work Type]:[Work Type]]&lt;&gt;"BH",0,
SUMIFS(AB$9:AB$24,$M$9:$M$24,PART_NUMBER_GENERATOR_TABLE[[#This Row],[Tech]:[Tech]])))</f>
        <v>0</v>
      </c>
      <c r="AC102" cm="1">
        <f t="array" ref="AC102">IF(PART_NUMBER_GENERATOR_TABLE[[#This Row],[Work Role]:[Work Role]]&lt;&gt;AC$1,0,
IF(PART_NUMBER_GENERATOR_TABLE[[#This Row],[Work Type]:[Work Type]]&lt;&gt;"BH",0,
SUMIFS(AC$9:AC$24,$M$9:$M$24,PART_NUMBER_GENERATOR_TABLE[[#This Row],[Tech]:[Tech]])))</f>
        <v>0</v>
      </c>
      <c r="AD102" cm="1">
        <f t="array" ref="AD102">IF(PART_NUMBER_GENERATOR_TABLE[[#This Row],[Work Role]:[Work Role]]&lt;&gt;AD$1,0,
IF(PART_NUMBER_GENERATOR_TABLE[[#This Row],[Work Type]:[Work Type]]&lt;&gt;"BH",0,
SUMIFS(AD$9:AD$24,$M$9:$M$24,PART_NUMBER_GENERATOR_TABLE[[#This Row],[Tech]:[Tech]])))</f>
        <v>0</v>
      </c>
      <c r="AE102" cm="1">
        <f t="array" ref="AE102">IF(PART_NUMBER_GENERATOR_TABLE[[#This Row],[Work Role]:[Work Role]]&lt;&gt;AE$1,0,
IF(PART_NUMBER_GENERATOR_TABLE[[#This Row],[Work Type]:[Work Type]]&lt;&gt;"BH",0,
SUMIFS(AE$9:AE$24,$M$9:$M$24,PART_NUMBER_GENERATOR_TABLE[[#This Row],[Tech]:[Tech]])))</f>
        <v>0</v>
      </c>
      <c r="AF102" cm="1">
        <f t="array" ref="AF102">IF(PART_NUMBER_GENERATOR_TABLE[[#This Row],[Work Role]:[Work Role]]&lt;&gt;AF$1,0,
IF(PART_NUMBER_GENERATOR_TABLE[[#This Row],[Work Type]:[Work Type]]&lt;&gt;"BH",0,
SUMIFS(AF$9:AF$24,$M$9:$M$24,PART_NUMBER_GENERATOR_TABLE[[#This Row],[Tech]:[Tech]])))</f>
        <v>0</v>
      </c>
      <c r="AG102" cm="1">
        <f t="array" ref="AG102">IF(PART_NUMBER_GENERATOR_TABLE[[#This Row],[Work Role]:[Work Role]]&lt;&gt;AG$1,0,
IF(PART_NUMBER_GENERATOR_TABLE[[#This Row],[Work Type]:[Work Type]]&lt;&gt;"AH",0,
SUMIFS(AG$9:AG$24,$M$9:$M$24,PART_NUMBER_GENERATOR_TABLE[[#This Row],[Tech]:[Tech]])))</f>
        <v>0</v>
      </c>
      <c r="AH102" cm="1">
        <f t="array" ref="AH102">IF(PART_NUMBER_GENERATOR_TABLE[[#This Row],[Work Role]:[Work Role]]&lt;&gt;AH$1,0,
IF(PART_NUMBER_GENERATOR_TABLE[[#This Row],[Work Type]:[Work Type]]&lt;&gt;"BH",0,
SUMIFS(AH$9:AH$24,$M$9:$M$24,PART_NUMBER_GENERATOR_TABLE[[#This Row],[Tech]:[Tech]])))</f>
        <v>0</v>
      </c>
      <c r="AI102" cm="1">
        <f t="array" ref="AI102">IF(PART_NUMBER_GENERATOR_TABLE[[#This Row],[Work Role]:[Work Role]]&lt;&gt;AI$1,0,
IF(PART_NUMBER_GENERATOR_TABLE[[#This Row],[Work Type]:[Work Type]]&lt;&gt;"BH",0,
SUMIFS(AI$9:AI$24,$M$9:$M$24,PART_NUMBER_GENERATOR_TABLE[[#This Row],[Tech]:[Tech]])))</f>
        <v>0</v>
      </c>
      <c r="AJ102" cm="1">
        <f t="array" ref="AJ102">IF(PART_NUMBER_GENERATOR_TABLE[[#This Row],[Work Role]:[Work Role]]&lt;&gt;AJ$1,0,
IF(PART_NUMBER_GENERATOR_TABLE[[#This Row],[Work Type]:[Work Type]]&lt;&gt;"BH",0,
SUMIFS(AJ$9:AJ$24,$M$9:$M$24,PART_NUMBER_GENERATOR_TABLE[[#This Row],[Tech]:[Tech]])))</f>
        <v>0</v>
      </c>
      <c r="AK102" cm="1">
        <f t="array" ref="AK102">IF(PART_NUMBER_GENERATOR_TABLE[[#This Row],[Work Role]:[Work Role]]&lt;&gt;AK$1,0,
IF(PART_NUMBER_GENERATOR_TABLE[[#This Row],[Work Type]:[Work Type]]&lt;&gt;"AH",0,
SUMIFS(AK$9:AK$24,$M$9:$M$24,PART_NUMBER_GENERATOR_TABLE[[#This Row],[Tech]:[Tech]])))</f>
        <v>0</v>
      </c>
      <c r="AL102" cm="1">
        <f t="array" ref="AL102">IF(PART_NUMBER_GENERATOR_TABLE[[#This Row],[Work Role]:[Work Role]]&lt;&gt;AL$1,0,
IF(PART_NUMBER_GENERATOR_TABLE[[#This Row],[Work Type]:[Work Type]]&lt;&gt;"BH",0,
SUMIFS(AL$9:AL$24,$M$9:$M$24,PART_NUMBER_GENERATOR_TABLE[[#This Row],[Tech]:[Tech]])))</f>
        <v>0</v>
      </c>
      <c r="AM102">
        <f>0</f>
        <v>0</v>
      </c>
      <c r="AN102" cm="1">
        <f t="array" ref="AN102">IF(PART_NUMBER_GENERATOR_TABLE[[#This Row],[Work Role]:[Work Role]]&lt;&gt;AN$1,0,
IF(PART_NUMBER_GENERATOR_TABLE[[#This Row],[Work Type]:[Work Type]]&lt;&gt;"BH",0,
SUMIFS(AN$24,$AM$24,PART_NUMBER_GENERATOR_TABLE[[#This Row],[Tech]:[Tech]])))</f>
        <v>0</v>
      </c>
      <c r="AO102" cm="1">
        <f t="array" ref="AO102">IF(PART_NUMBER_GENERATOR_TABLE[[#This Row],[Work Role]:[Work Role]]&lt;&gt;AO$1,0,
IF(PART_NUMBER_GENERATOR_TABLE[[#This Row],[Work Type]:[Work Type]]&lt;&gt;"BH",0,
SUMIFS(AO$24,$AM$24,PART_NUMBER_GENERATOR_TABLE[[#This Row],[Tech]:[Tech]])))</f>
        <v>0</v>
      </c>
      <c r="AP102" cm="1">
        <f t="array" ref="AP102">IF(PART_NUMBER_GENERATOR_TABLE[[#This Row],[Work Role]:[Work Role]]&lt;&gt;AP$1,0,
IF(PART_NUMBER_GENERATOR_TABLE[[#This Row],[Work Type]:[Work Type]]&lt;&gt;"BH",0,
SUMIFS(AP$24,$AM$24,PART_NUMBER_GENERATOR_TABLE[[#This Row],[Tech]:[Tech]])))</f>
        <v>0</v>
      </c>
      <c r="AQ102" cm="1">
        <f t="array" ref="AQ102">IF(PART_NUMBER_GENERATOR_TABLE[[#This Row],[Work Role]:[Work Role]]&lt;&gt;AQ$1,0,
IF(PART_NUMBER_GENERATOR_TABLE[[#This Row],[Work Type]:[Work Type]]&lt;&gt;"BH",0,
SUMIFS(AQ$24,$AM$24,PART_NUMBER_GENERATOR_TABLE[[#This Row],[Tech]:[Tech]])))</f>
        <v>0</v>
      </c>
      <c r="AR102" cm="1">
        <f t="array" ref="AR102">IF(PART_NUMBER_GENERATOR_TABLE[[#This Row],[Work Role]:[Work Role]]&lt;&gt;AR$1,0,
IF(PART_NUMBER_GENERATOR_TABLE[[#This Row],[Work Type]:[Work Type]]&lt;&gt;"BH",0,
SUMIFS(AR$24,$AM$24,PART_NUMBER_GENERATOR_TABLE[[#This Row],[Tech]:[Tech]])))</f>
        <v>0</v>
      </c>
      <c r="AS102" cm="1">
        <f t="array" ref="AS102">IF(PART_NUMBER_GENERATOR_TABLE[[#This Row],[Work Role]:[Work Role]]&lt;&gt;AS$1,0,
IF(PART_NUMBER_GENERATOR_TABLE[[#This Row],[Work Type]:[Work Type]]&lt;&gt;"BH",0,
SUMIFS(AS$24,$AM$24,PART_NUMBER_GENERATOR_TABLE[[#This Row],[Tech]:[Tech]])))</f>
        <v>0</v>
      </c>
      <c r="AT102" cm="1">
        <f t="array" ref="AT102">IF(PART_NUMBER_GENERATOR_TABLE[[#This Row],[Work Role]:[Work Role]]&lt;&gt;AS$1,0,
IF(PART_NUMBER_GENERATOR_TABLE[[#This Row],[Work Type]:[Work Type]]&lt;&gt;"BH",0,
SUMIFS(AT$24,$AM$24,PART_NUMBER_GENERATOR_TABLE[[#This Row],[Tech]:[Tech]])))</f>
        <v>0</v>
      </c>
      <c r="AU102">
        <f>SUM(PART_NUMBER_GENERATOR_TABLE[[#This Row],[Resource 1 BH]:[Resource 5 AH]],PART_NUMBER_GENERATOR_TABLE[[#This Row],[R1 Mandatory Tasks]:[R5 Mandatory Tasks]],PART_NUMBER_GENERATOR_TABLE[[#This Row],[R1 Remainder]:[R5 Remainder]])</f>
        <v>0</v>
      </c>
      <c r="AV102">
        <f>PART_NUMBER_GENERATOR_TABLE[[#This Row],[Professional Engineering Hours]]*PART_NUMBER_GENERATOR_TABLE[[#This Row],[Sell Rate]]</f>
        <v>0</v>
      </c>
      <c r="AW102">
        <f>PART_NUMBER_GENERATOR_TABLE[[#This Row],[Professional Engineering Hours]]*PART_NUMBER_GENERATOR_TABLE[[#This Row],[Cost Rate]]</f>
        <v>0</v>
      </c>
      <c r="AX102">
        <f>SUM(PART_NUMBER_GENERATOR_TABLE[[#This Row],[PM Trips]:[R5 Trips]])</f>
        <v>0</v>
      </c>
      <c r="AY102">
        <f>PART_NUMBER_GENERATOR_TABLE[[#This Row],[Travel &amp; Accommodation Hours]]*PART_NUMBER_GENERATOR_TABLE[[#This Row],[Sell Rate]]</f>
        <v>0</v>
      </c>
      <c r="AZ102">
        <f>PART_NUMBER_GENERATOR_TABLE[[#This Row],[Travel &amp; Accommodation Hours]]*PART_NUMBER_GENERATOR_TABLE[[#This Row],[Cost Rate]]</f>
        <v>0</v>
      </c>
      <c r="BA102">
        <f>PART_NUMBER_GENERATOR_TABLE[[#This Row],[PM Hours]]+PART_NUMBER_GENERATOR_TABLE[[#This Row],[PM Remainder]]</f>
        <v>0</v>
      </c>
      <c r="BB102">
        <f>PART_NUMBER_GENERATOR_TABLE[[#This Row],[Project Management Hours]]*PART_NUMBER_GENERATOR_TABLE[[#This Row],[Sell Rate]]</f>
        <v>0</v>
      </c>
      <c r="BC102">
        <f>PART_NUMBER_GENERATOR_TABLE[[#This Row],[Project Management Hours]]*PART_NUMBER_GENERATOR_TABLE[[#This Row],[Cost Rate]]</f>
        <v>0</v>
      </c>
      <c r="BD102">
        <f>SUM(PART_NUMBER_GENERATOR_TABLE[[#This Row],[SSE RISK BH]:[PM RISK]],PART_NUMBER_GENERATOR_TABLE[[#This Row],[SSE Remainder RISK BH]:[PM Remainder RISK]])</f>
        <v>0</v>
      </c>
      <c r="BE102">
        <f>PART_NUMBER_GENERATOR_TABLE[[#This Row],[Project Risk Service Hours]]*PART_NUMBER_GENERATOR_TABLE[[#This Row],[Sell Rate]]</f>
        <v>0</v>
      </c>
      <c r="BF102">
        <f>PART_NUMBER_GENERATOR_TABLE[[#This Row],[Project Risk Service Hours]]*PART_NUMBER_GENERATOR_TABLE[[#This Row],[Cost Rate]]</f>
        <v>0</v>
      </c>
      <c r="BG102">
        <f>PART_NUMBER_GENERATOR_TABLE[[#This Row],[SSE RISK TRAVEL]]</f>
        <v>0</v>
      </c>
      <c r="BH102">
        <f>PART_NUMBER_GENERATOR_TABLE[[#This Row],[Sell Rate]]*PART_NUMBER_GENERATOR_TABLE[[#This Row],[Project Risk Travel Hours]]</f>
        <v>0</v>
      </c>
      <c r="BI102">
        <f>PART_NUMBER_GENERATOR_TABLE[[#This Row],[Project Risk Travel Hours]]*PART_NUMBER_GENERATOR_TABLE[[#This Row],[Cost Rate]]</f>
        <v>0</v>
      </c>
      <c r="BJ10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0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02">
        <f>IFERROR(-VLOOKUP(INDEX(ENGINEER_ROLES,MATCH(PART_NUMBER_GENERATOR_TABLE[[#This Row],[Work Role]],settings.Table_Engineer.Roles[ID],0),1),Settings_Hidden!$H$359:$K$366,4,FALSE),0)</f>
        <v>0</v>
      </c>
      <c r="BM102" s="680">
        <f>-Summary!$C$66</f>
        <v>0</v>
      </c>
      <c r="BN102" s="465">
        <f>PART_NUMBER_GENERATOR_TABLE[[#This Row],[Total Base Price]]*MIN(PART_NUMBER_GENERATOR_TABLE[[#This Row],[Rate Service Discount]:[Flat Service Discount]])</f>
        <v>0</v>
      </c>
      <c r="BO102" s="451" t="str">
        <f>IF(PART_NUMBER_GENERATOR_TABLE[[#This Row],[Quantity]]&lt;&gt;0,MAX($BO$30:BO101)+1,"")</f>
        <v/>
      </c>
      <c r="BP102" t="str">
        <f>PART_NUMBER_GENERATOR_TABLE[[#This Row],[Part Number]]</f>
        <v>A-PS-E-INTHLT-SE-AH</v>
      </c>
      <c r="BQ102">
        <f>PART_NUMBER_GENERATOR_TABLE[[#This Row],[Total Hours]]</f>
        <v>0</v>
      </c>
      <c r="BR102">
        <f>PART_NUMBER_GENERATOR_TABLE[[#This Row],[Cost Rate]]</f>
        <v>189.17783891744716</v>
      </c>
      <c r="BS102" s="465">
        <f>PART_NUMBER_GENERATOR_TABLE[[#This Row],[Sell Rate]]+(PART_NUMBER_GENERATOR_TABLE[[#This Row],[Sell Rate]]*MIN(PART_NUMBER_GENERATOR_TABLE[[#This Row],[Rate Service Discount]:[Flat Service Discount]]))</f>
        <v>352.5</v>
      </c>
    </row>
    <row r="103" spans="1:71">
      <c r="A103">
        <v>73</v>
      </c>
      <c r="C103" t="s">
        <v>952</v>
      </c>
      <c r="D103" t="str" cm="1">
        <f t="array" ref="D103">INDEX(Table.Settings_Skill.List[Skill Name],MATCH(INDEX(_xlfn.TEXTSPLIT(C103,"-",,TRUE),4),Table.Settings_Skill.List[Skill Code],0),1)</f>
        <v>Integrated Health</v>
      </c>
      <c r="E103" t="str" cm="1">
        <f t="array" ref="E103">INDEX(_xlfn.TEXTSPLIT(C103,"-",,TRUE),5)</f>
        <v>SSE</v>
      </c>
      <c r="F103" t="str">
        <f>IFERROR(INDEX(settings.Table_Engineer.Roles[Department Code],MATCH(PART_NUMBER_GENERATOR_TABLE[[#This Row],[Work Role]],settings.Table_Engineer.Roles[ID],0),1),"PMO")</f>
        <v>ENG</v>
      </c>
      <c r="G103" t="str" cm="1">
        <f t="array" ref="G103">INDEX(_xlfn.TEXTSPLIT(C103,"-",,TRUE),6)</f>
        <v>AH</v>
      </c>
      <c r="H10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420.75</v>
      </c>
      <c r="I10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224.87758587669589</v>
      </c>
      <c r="J103" cm="1">
        <f t="array" ref="J103">IF(J$1&lt;&gt;PART_NUMBER_GENERATOR_TABLE[[#This Row],[Work Role]:[Work Role]],0,
IF(RIGHT(J$30,2)&lt;&gt;PART_NUMBER_GENERATOR_TABLE[[#This Row],[Work Type]:[Work Type]],0,
SUMIFS(Input_Tasks[R1 Business Hours],Input_Tasks[[Skill Required]:[Skill Required]],PART_NUMBER_GENERATOR_TABLE[[#This Row],[Tech]:[Tech]])))</f>
        <v>0</v>
      </c>
      <c r="K103" cm="1">
        <f t="array" ref="K103">IF(K$1&lt;&gt;PART_NUMBER_GENERATOR_TABLE[[#This Row],[Work Role]:[Work Role]],0,
IF(RIGHT(K$30,2)&lt;&gt;PART_NUMBER_GENERATOR_TABLE[[#This Row],[Work Type]:[Work Type]],0,
SUMIFS(Input_Tasks[R1 After Hours],Input_Tasks[[Skill Required]:[Skill Required]],PART_NUMBER_GENERATOR_TABLE[[#This Row],[Tech]:[Tech]])))</f>
        <v>0</v>
      </c>
      <c r="L103" cm="1">
        <f t="array" ref="L103">IF(L$1&lt;&gt;PART_NUMBER_GENERATOR_TABLE[[#This Row],[Work Role]:[Work Role]],0,
IF(RIGHT(L$30,2)&lt;&gt;PART_NUMBER_GENERATOR_TABLE[[#This Row],[Work Type]:[Work Type]],0,
SUMIFS(Input_Tasks[R2 Business Hours],Input_Tasks[[Skill Required]:[Skill Required]],PART_NUMBER_GENERATOR_TABLE[[#This Row],[Tech]:[Tech]])))</f>
        <v>0</v>
      </c>
      <c r="M103" cm="1">
        <f t="array" ref="M103">IF(M$1&lt;&gt;PART_NUMBER_GENERATOR_TABLE[[#This Row],[Work Role]:[Work Role]],0,
IF(RIGHT(M$30,2)&lt;&gt;PART_NUMBER_GENERATOR_TABLE[[#This Row],[Work Type]:[Work Type]],0,
SUMIFS(Input_Tasks[R2 After Hours],Input_Tasks[[Skill Required]:[Skill Required]],PART_NUMBER_GENERATOR_TABLE[[#This Row],[Tech]:[Tech]])))</f>
        <v>0</v>
      </c>
      <c r="N103" cm="1">
        <f t="array" ref="N103">IF(N$1&lt;&gt;PART_NUMBER_GENERATOR_TABLE[[#This Row],[Work Role]:[Work Role]],0,
IF(RIGHT(N$30,2)&lt;&gt;PART_NUMBER_GENERATOR_TABLE[[#This Row],[Work Type]:[Work Type]],0,
SUMIFS(Input_Tasks[R3 Business Hours],Input_Tasks[[Skill Required]:[Skill Required]],PART_NUMBER_GENERATOR_TABLE[[#This Row],[Tech]:[Tech]])))</f>
        <v>0</v>
      </c>
      <c r="O103" cm="1">
        <f t="array" ref="O103">IF(O$1&lt;&gt;PART_NUMBER_GENERATOR_TABLE[[#This Row],[Work Role]:[Work Role]],0,
IF(RIGHT(O$30,2)&lt;&gt;PART_NUMBER_GENERATOR_TABLE[[#This Row],[Work Type]:[Work Type]],0,
SUMIFS(Input_Tasks[R3 After Hours],Input_Tasks[[Skill Required]:[Skill Required]],PART_NUMBER_GENERATOR_TABLE[[#This Row],[Tech]:[Tech]])))</f>
        <v>0</v>
      </c>
      <c r="P103" cm="1">
        <f t="array" ref="P103">IF(P$1&lt;&gt;PART_NUMBER_GENERATOR_TABLE[[#This Row],[Work Role]:[Work Role]],0,
IF(RIGHT(P$30,2)&lt;&gt;PART_NUMBER_GENERATOR_TABLE[[#This Row],[Work Type]:[Work Type]],0,
SUMIFS(Input_Tasks[R4 Business Hours],Input_Tasks[[Skill Required]:[Skill Required]],PART_NUMBER_GENERATOR_TABLE[[#This Row],[Tech]:[Tech]])))</f>
        <v>0</v>
      </c>
      <c r="Q103" cm="1">
        <f t="array" ref="Q103">IF(Q$1&lt;&gt;PART_NUMBER_GENERATOR_TABLE[[#This Row],[Work Role]:[Work Role]],0,
IF(RIGHT(Q$30,2)&lt;&gt;PART_NUMBER_GENERATOR_TABLE[[#This Row],[Work Type]:[Work Type]],0,
SUMIFS(Input_Tasks[R4 After Hours],Input_Tasks[[Skill Required]:[Skill Required]],PART_NUMBER_GENERATOR_TABLE[[#This Row],[Tech]:[Tech]])))</f>
        <v>0</v>
      </c>
      <c r="R103" cm="1">
        <f t="array" ref="R103">IF(R$1&lt;&gt;PART_NUMBER_GENERATOR_TABLE[[#This Row],[Work Role]:[Work Role]],0,
IF(RIGHT(R$30,2)&lt;&gt;PART_NUMBER_GENERATOR_TABLE[[#This Row],[Work Type]:[Work Type]],0,
SUMIFS(Input_Tasks[R5 Business Hours],Input_Tasks[[Skill Required]:[Skill Required]],PART_NUMBER_GENERATOR_TABLE[[#This Row],[Tech]:[Tech]])))</f>
        <v>0</v>
      </c>
      <c r="S103" cm="1">
        <f t="array" ref="S103">IF(S$1&lt;&gt;PART_NUMBER_GENERATOR_TABLE[[#This Row],[Work Role]:[Work Role]],0,
IF(RIGHT(S$30,2)&lt;&gt;PART_NUMBER_GENERATOR_TABLE[[#This Row],[Work Type]:[Work Type]],0,
SUMIFS(Input_Tasks[R5 After Hours],Input_Tasks[[Skill Required]:[Skill Required]],PART_NUMBER_GENERATOR_TABLE[[#This Row],[Tech]:[Tech]])))</f>
        <v>0</v>
      </c>
      <c r="T103" cm="1">
        <f t="array" ref="T103">IF(PART_NUMBER_GENERATOR_TABLE[[#This Row],[Work Role]:[Work Role]]&lt;&gt;T$1,0,
IF(PART_NUMBER_GENERATOR_TABLE[[#This Row],[Work Type]:[Work Type]]&lt;&gt;"BH",0,
SUMIFS(T$9:T$24,$M$9:$M$24,PART_NUMBER_GENERATOR_TABLE[[#This Row],[Tech]:[Tech]])))</f>
        <v>0</v>
      </c>
      <c r="U103" cm="1">
        <f t="array" ref="U103">IF(PART_NUMBER_GENERATOR_TABLE[[#This Row],[Work Role]:[Work Role]]&lt;&gt;U$1,0,
IF(PART_NUMBER_GENERATOR_TABLE[[#This Row],[Work Type]:[Work Type]]&lt;&gt;"BH",0,
SUMIFS(U$9:U$24,$M$9:$M$24,PART_NUMBER_GENERATOR_TABLE[[#This Row],[Tech]:[Tech]])))</f>
        <v>0</v>
      </c>
      <c r="V103" cm="1">
        <f t="array" ref="V103">IF(PART_NUMBER_GENERATOR_TABLE[[#This Row],[Work Role]:[Work Role]]&lt;&gt;V$1,0,
IF(PART_NUMBER_GENERATOR_TABLE[[#This Row],[Work Type]:[Work Type]]&lt;&gt;"BH",0,
SUMIFS(V$9:V$24,$M$9:$M$24,PART_NUMBER_GENERATOR_TABLE[[#This Row],[Tech]:[Tech]])))</f>
        <v>0</v>
      </c>
      <c r="W103" cm="1">
        <f t="array" ref="W103">IF(PART_NUMBER_GENERATOR_TABLE[[#This Row],[Work Role]:[Work Role]]&lt;&gt;W$1,0,
IF(PART_NUMBER_GENERATOR_TABLE[[#This Row],[Work Type]:[Work Type]]&lt;&gt;"BH",0,
SUMIFS(W$9:W$24,$M$9:$M$24,PART_NUMBER_GENERATOR_TABLE[[#This Row],[Tech]:[Tech]])))</f>
        <v>0</v>
      </c>
      <c r="X103" cm="1">
        <f t="array" ref="X103">IF(PART_NUMBER_GENERATOR_TABLE[[#This Row],[Work Role]:[Work Role]]&lt;&gt;X$1,0,
IF(PART_NUMBER_GENERATOR_TABLE[[#This Row],[Work Type]:[Work Type]]&lt;&gt;"BH",0,
SUMIFS(X$9:X$24,$M$9:$M$24,PART_NUMBER_GENERATOR_TABLE[[#This Row],[Tech]:[Tech]])))</f>
        <v>0</v>
      </c>
      <c r="Y103" cm="1">
        <f t="array" ref="Y103">IF(PART_NUMBER_GENERATOR_TABLE[[#This Row],[Work Role]:[Work Role]]&lt;&gt;Y$1,0,
IF(PART_NUMBER_GENERATOR_TABLE[[#This Row],[Work Type]:[Work Type]]&lt;&gt;"BH",0,
SUMIFS(Y$9:Y$24,$M$9:$M$24,PART_NUMBER_GENERATOR_TABLE[[#This Row],[Tech]:[Tech]])))</f>
        <v>0</v>
      </c>
      <c r="Z103" cm="1">
        <f t="array" ref="Z103">IF(PART_NUMBER_GENERATOR_TABLE[[#This Row],[Work Role]:[Work Role]]&lt;&gt;Z$1,0,
IF(PART_NUMBER_GENERATOR_TABLE[[#This Row],[Work Type]:[Work Type]]&lt;&gt;"BH",0,
SUMIFS(Z$9:Z$24,$M$9:$M$24,PART_NUMBER_GENERATOR_TABLE[[#This Row],[Tech]:[Tech]])))</f>
        <v>0</v>
      </c>
      <c r="AA103" cm="1">
        <f t="array" ref="AA103">IF(PART_NUMBER_GENERATOR_TABLE[[#This Row],[Work Role]:[Work Role]]&lt;&gt;AA$1,0,
IF(PART_NUMBER_GENERATOR_TABLE[[#This Row],[Work Type]:[Work Type]]&lt;&gt;"BH",0,
SUMIFS(AA$9:AA$24,$M$9:$M$24,PART_NUMBER_GENERATOR_TABLE[[#This Row],[Tech]:[Tech]])))</f>
        <v>0</v>
      </c>
      <c r="AB103" cm="1">
        <f t="array" ref="AB103">IF(PART_NUMBER_GENERATOR_TABLE[[#This Row],[Work Role]:[Work Role]]&lt;&gt;AB$1,0,
IF(PART_NUMBER_GENERATOR_TABLE[[#This Row],[Work Type]:[Work Type]]&lt;&gt;"BH",0,
SUMIFS(AB$9:AB$24,$M$9:$M$24,PART_NUMBER_GENERATOR_TABLE[[#This Row],[Tech]:[Tech]])))</f>
        <v>0</v>
      </c>
      <c r="AC103" cm="1">
        <f t="array" ref="AC103">IF(PART_NUMBER_GENERATOR_TABLE[[#This Row],[Work Role]:[Work Role]]&lt;&gt;AC$1,0,
IF(PART_NUMBER_GENERATOR_TABLE[[#This Row],[Work Type]:[Work Type]]&lt;&gt;"BH",0,
SUMIFS(AC$9:AC$24,$M$9:$M$24,PART_NUMBER_GENERATOR_TABLE[[#This Row],[Tech]:[Tech]])))</f>
        <v>0</v>
      </c>
      <c r="AD103" cm="1">
        <f t="array" ref="AD103">IF(PART_NUMBER_GENERATOR_TABLE[[#This Row],[Work Role]:[Work Role]]&lt;&gt;AD$1,0,
IF(PART_NUMBER_GENERATOR_TABLE[[#This Row],[Work Type]:[Work Type]]&lt;&gt;"BH",0,
SUMIFS(AD$9:AD$24,$M$9:$M$24,PART_NUMBER_GENERATOR_TABLE[[#This Row],[Tech]:[Tech]])))</f>
        <v>0</v>
      </c>
      <c r="AE103" cm="1">
        <f t="array" ref="AE103">IF(PART_NUMBER_GENERATOR_TABLE[[#This Row],[Work Role]:[Work Role]]&lt;&gt;AE$1,0,
IF(PART_NUMBER_GENERATOR_TABLE[[#This Row],[Work Type]:[Work Type]]&lt;&gt;"BH",0,
SUMIFS(AE$9:AE$24,$M$9:$M$24,PART_NUMBER_GENERATOR_TABLE[[#This Row],[Tech]:[Tech]])))</f>
        <v>0</v>
      </c>
      <c r="AF103" cm="1">
        <f t="array" ref="AF103">IF(PART_NUMBER_GENERATOR_TABLE[[#This Row],[Work Role]:[Work Role]]&lt;&gt;AF$1,0,
IF(PART_NUMBER_GENERATOR_TABLE[[#This Row],[Work Type]:[Work Type]]&lt;&gt;"BH",0,
SUMIFS(AF$9:AF$24,$M$9:$M$24,PART_NUMBER_GENERATOR_TABLE[[#This Row],[Tech]:[Tech]])))</f>
        <v>0</v>
      </c>
      <c r="AG103" cm="1">
        <f t="array" ref="AG103">IF(PART_NUMBER_GENERATOR_TABLE[[#This Row],[Work Role]:[Work Role]]&lt;&gt;AG$1,0,
IF(PART_NUMBER_GENERATOR_TABLE[[#This Row],[Work Type]:[Work Type]]&lt;&gt;"AH",0,
SUMIFS(AG$9:AG$24,$M$9:$M$24,PART_NUMBER_GENERATOR_TABLE[[#This Row],[Tech]:[Tech]])))</f>
        <v>0</v>
      </c>
      <c r="AH103" cm="1">
        <f t="array" ref="AH103">IF(PART_NUMBER_GENERATOR_TABLE[[#This Row],[Work Role]:[Work Role]]&lt;&gt;AH$1,0,
IF(PART_NUMBER_GENERATOR_TABLE[[#This Row],[Work Type]:[Work Type]]&lt;&gt;"BH",0,
SUMIFS(AH$9:AH$24,$M$9:$M$24,PART_NUMBER_GENERATOR_TABLE[[#This Row],[Tech]:[Tech]])))</f>
        <v>0</v>
      </c>
      <c r="AI103" cm="1">
        <f t="array" ref="AI103">IF(PART_NUMBER_GENERATOR_TABLE[[#This Row],[Work Role]:[Work Role]]&lt;&gt;AI$1,0,
IF(PART_NUMBER_GENERATOR_TABLE[[#This Row],[Work Type]:[Work Type]]&lt;&gt;"BH",0,
SUMIFS(AI$9:AI$24,$M$9:$M$24,PART_NUMBER_GENERATOR_TABLE[[#This Row],[Tech]:[Tech]])))</f>
        <v>0</v>
      </c>
      <c r="AJ103" cm="1">
        <f t="array" ref="AJ103">IF(PART_NUMBER_GENERATOR_TABLE[[#This Row],[Work Role]:[Work Role]]&lt;&gt;AJ$1,0,
IF(PART_NUMBER_GENERATOR_TABLE[[#This Row],[Work Type]:[Work Type]]&lt;&gt;"BH",0,
SUMIFS(AJ$9:AJ$24,$M$9:$M$24,PART_NUMBER_GENERATOR_TABLE[[#This Row],[Tech]:[Tech]])))</f>
        <v>0</v>
      </c>
      <c r="AK103" cm="1">
        <f t="array" ref="AK103">IF(PART_NUMBER_GENERATOR_TABLE[[#This Row],[Work Role]:[Work Role]]&lt;&gt;AK$1,0,
IF(PART_NUMBER_GENERATOR_TABLE[[#This Row],[Work Type]:[Work Type]]&lt;&gt;"AH",0,
SUMIFS(AK$9:AK$24,$M$9:$M$24,PART_NUMBER_GENERATOR_TABLE[[#This Row],[Tech]:[Tech]])))</f>
        <v>0</v>
      </c>
      <c r="AL103" cm="1">
        <f t="array" ref="AL103">IF(PART_NUMBER_GENERATOR_TABLE[[#This Row],[Work Role]:[Work Role]]&lt;&gt;AL$1,0,
IF(PART_NUMBER_GENERATOR_TABLE[[#This Row],[Work Type]:[Work Type]]&lt;&gt;"BH",0,
SUMIFS(AL$9:AL$24,$M$9:$M$24,PART_NUMBER_GENERATOR_TABLE[[#This Row],[Tech]:[Tech]])))</f>
        <v>0</v>
      </c>
      <c r="AM103">
        <f>0</f>
        <v>0</v>
      </c>
      <c r="AN103" cm="1">
        <f t="array" ref="AN103">IF(PART_NUMBER_GENERATOR_TABLE[[#This Row],[Work Role]:[Work Role]]&lt;&gt;AN$1,0,
IF(PART_NUMBER_GENERATOR_TABLE[[#This Row],[Work Type]:[Work Type]]&lt;&gt;"BH",0,
SUMIFS(AN$24,$AM$24,PART_NUMBER_GENERATOR_TABLE[[#This Row],[Tech]:[Tech]])))</f>
        <v>0</v>
      </c>
      <c r="AO103" cm="1">
        <f t="array" ref="AO103">IF(PART_NUMBER_GENERATOR_TABLE[[#This Row],[Work Role]:[Work Role]]&lt;&gt;AO$1,0,
IF(PART_NUMBER_GENERATOR_TABLE[[#This Row],[Work Type]:[Work Type]]&lt;&gt;"BH",0,
SUMIFS(AO$24,$AM$24,PART_NUMBER_GENERATOR_TABLE[[#This Row],[Tech]:[Tech]])))</f>
        <v>0</v>
      </c>
      <c r="AP103" cm="1">
        <f t="array" ref="AP103">IF(PART_NUMBER_GENERATOR_TABLE[[#This Row],[Work Role]:[Work Role]]&lt;&gt;AP$1,0,
IF(PART_NUMBER_GENERATOR_TABLE[[#This Row],[Work Type]:[Work Type]]&lt;&gt;"BH",0,
SUMIFS(AP$24,$AM$24,PART_NUMBER_GENERATOR_TABLE[[#This Row],[Tech]:[Tech]])))</f>
        <v>0</v>
      </c>
      <c r="AQ103" cm="1">
        <f t="array" ref="AQ103">IF(PART_NUMBER_GENERATOR_TABLE[[#This Row],[Work Role]:[Work Role]]&lt;&gt;AQ$1,0,
IF(PART_NUMBER_GENERATOR_TABLE[[#This Row],[Work Type]:[Work Type]]&lt;&gt;"BH",0,
SUMIFS(AQ$24,$AM$24,PART_NUMBER_GENERATOR_TABLE[[#This Row],[Tech]:[Tech]])))</f>
        <v>0</v>
      </c>
      <c r="AR103" cm="1">
        <f t="array" ref="AR103">IF(PART_NUMBER_GENERATOR_TABLE[[#This Row],[Work Role]:[Work Role]]&lt;&gt;AR$1,0,
IF(PART_NUMBER_GENERATOR_TABLE[[#This Row],[Work Type]:[Work Type]]&lt;&gt;"BH",0,
SUMIFS(AR$24,$AM$24,PART_NUMBER_GENERATOR_TABLE[[#This Row],[Tech]:[Tech]])))</f>
        <v>0</v>
      </c>
      <c r="AS103" cm="1">
        <f t="array" ref="AS103">IF(PART_NUMBER_GENERATOR_TABLE[[#This Row],[Work Role]:[Work Role]]&lt;&gt;AS$1,0,
IF(PART_NUMBER_GENERATOR_TABLE[[#This Row],[Work Type]:[Work Type]]&lt;&gt;"BH",0,
SUMIFS(AS$24,$AM$24,PART_NUMBER_GENERATOR_TABLE[[#This Row],[Tech]:[Tech]])))</f>
        <v>0</v>
      </c>
      <c r="AT103" cm="1">
        <f t="array" ref="AT103">IF(PART_NUMBER_GENERATOR_TABLE[[#This Row],[Work Role]:[Work Role]]&lt;&gt;AS$1,0,
IF(PART_NUMBER_GENERATOR_TABLE[[#This Row],[Work Type]:[Work Type]]&lt;&gt;"BH",0,
SUMIFS(AT$24,$AM$24,PART_NUMBER_GENERATOR_TABLE[[#This Row],[Tech]:[Tech]])))</f>
        <v>0</v>
      </c>
      <c r="AU103">
        <f>SUM(PART_NUMBER_GENERATOR_TABLE[[#This Row],[Resource 1 BH]:[Resource 5 AH]],PART_NUMBER_GENERATOR_TABLE[[#This Row],[R1 Mandatory Tasks]:[R5 Mandatory Tasks]],PART_NUMBER_GENERATOR_TABLE[[#This Row],[R1 Remainder]:[R5 Remainder]])</f>
        <v>0</v>
      </c>
      <c r="AV103">
        <f>PART_NUMBER_GENERATOR_TABLE[[#This Row],[Professional Engineering Hours]]*PART_NUMBER_GENERATOR_TABLE[[#This Row],[Sell Rate]]</f>
        <v>0</v>
      </c>
      <c r="AW103">
        <f>PART_NUMBER_GENERATOR_TABLE[[#This Row],[Professional Engineering Hours]]*PART_NUMBER_GENERATOR_TABLE[[#This Row],[Cost Rate]]</f>
        <v>0</v>
      </c>
      <c r="AX103">
        <f>SUM(PART_NUMBER_GENERATOR_TABLE[[#This Row],[PM Trips]:[R5 Trips]])</f>
        <v>0</v>
      </c>
      <c r="AY103">
        <f>PART_NUMBER_GENERATOR_TABLE[[#This Row],[Travel &amp; Accommodation Hours]]*PART_NUMBER_GENERATOR_TABLE[[#This Row],[Sell Rate]]</f>
        <v>0</v>
      </c>
      <c r="AZ103">
        <f>PART_NUMBER_GENERATOR_TABLE[[#This Row],[Travel &amp; Accommodation Hours]]*PART_NUMBER_GENERATOR_TABLE[[#This Row],[Cost Rate]]</f>
        <v>0</v>
      </c>
      <c r="BA103">
        <f>PART_NUMBER_GENERATOR_TABLE[[#This Row],[PM Hours]]+PART_NUMBER_GENERATOR_TABLE[[#This Row],[PM Remainder]]</f>
        <v>0</v>
      </c>
      <c r="BB103">
        <f>PART_NUMBER_GENERATOR_TABLE[[#This Row],[Project Management Hours]]*PART_NUMBER_GENERATOR_TABLE[[#This Row],[Sell Rate]]</f>
        <v>0</v>
      </c>
      <c r="BC103">
        <f>PART_NUMBER_GENERATOR_TABLE[[#This Row],[Project Management Hours]]*PART_NUMBER_GENERATOR_TABLE[[#This Row],[Cost Rate]]</f>
        <v>0</v>
      </c>
      <c r="BD103">
        <f>SUM(PART_NUMBER_GENERATOR_TABLE[[#This Row],[SSE RISK BH]:[PM RISK]],PART_NUMBER_GENERATOR_TABLE[[#This Row],[SSE Remainder RISK BH]:[PM Remainder RISK]])</f>
        <v>0</v>
      </c>
      <c r="BE103">
        <f>PART_NUMBER_GENERATOR_TABLE[[#This Row],[Project Risk Service Hours]]*PART_NUMBER_GENERATOR_TABLE[[#This Row],[Sell Rate]]</f>
        <v>0</v>
      </c>
      <c r="BF103">
        <f>PART_NUMBER_GENERATOR_TABLE[[#This Row],[Project Risk Service Hours]]*PART_NUMBER_GENERATOR_TABLE[[#This Row],[Cost Rate]]</f>
        <v>0</v>
      </c>
      <c r="BG103">
        <f>PART_NUMBER_GENERATOR_TABLE[[#This Row],[SSE RISK TRAVEL]]</f>
        <v>0</v>
      </c>
      <c r="BH103">
        <f>PART_NUMBER_GENERATOR_TABLE[[#This Row],[Sell Rate]]*PART_NUMBER_GENERATOR_TABLE[[#This Row],[Project Risk Travel Hours]]</f>
        <v>0</v>
      </c>
      <c r="BI103">
        <f>PART_NUMBER_GENERATOR_TABLE[[#This Row],[Project Risk Travel Hours]]*PART_NUMBER_GENERATOR_TABLE[[#This Row],[Cost Rate]]</f>
        <v>0</v>
      </c>
      <c r="BJ10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0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03">
        <f>IFERROR(-VLOOKUP(INDEX(ENGINEER_ROLES,MATCH(PART_NUMBER_GENERATOR_TABLE[[#This Row],[Work Role]],settings.Table_Engineer.Roles[ID],0),1),Settings_Hidden!$H$359:$K$366,4,FALSE),0)</f>
        <v>0</v>
      </c>
      <c r="BM103" s="680">
        <f>-Summary!$C$66</f>
        <v>0</v>
      </c>
      <c r="BN103" s="465">
        <f>PART_NUMBER_GENERATOR_TABLE[[#This Row],[Total Base Price]]*MIN(PART_NUMBER_GENERATOR_TABLE[[#This Row],[Rate Service Discount]:[Flat Service Discount]])</f>
        <v>0</v>
      </c>
      <c r="BO103" s="451" t="str">
        <f>IF(PART_NUMBER_GENERATOR_TABLE[[#This Row],[Quantity]]&lt;&gt;0,MAX($BO$30:BO102)+1,"")</f>
        <v/>
      </c>
      <c r="BP103" t="str">
        <f>PART_NUMBER_GENERATOR_TABLE[[#This Row],[Part Number]]</f>
        <v>A-PS-E-INTHLT-SSE-AH</v>
      </c>
      <c r="BQ103">
        <f>PART_NUMBER_GENERATOR_TABLE[[#This Row],[Total Hours]]</f>
        <v>0</v>
      </c>
      <c r="BR103">
        <f>PART_NUMBER_GENERATOR_TABLE[[#This Row],[Cost Rate]]</f>
        <v>224.87758587669589</v>
      </c>
      <c r="BS103" s="465">
        <f>PART_NUMBER_GENERATOR_TABLE[[#This Row],[Sell Rate]]+(PART_NUMBER_GENERATOR_TABLE[[#This Row],[Sell Rate]]*MIN(PART_NUMBER_GENERATOR_TABLE[[#This Row],[Rate Service Discount]:[Flat Service Discount]]))</f>
        <v>420.75</v>
      </c>
    </row>
    <row r="104" spans="1:71">
      <c r="A104">
        <v>74</v>
      </c>
      <c r="C104" t="s">
        <v>944</v>
      </c>
      <c r="D104" t="str" cm="1">
        <f t="array" ref="D104">INDEX(Table.Settings_Skill.List[Skill Name],MATCH(INDEX(_xlfn.TEXTSPLIT(C104,"-",,TRUE),4),Table.Settings_Skill.List[Skill Code],0),1)</f>
        <v>Integrated Health</v>
      </c>
      <c r="E104" t="str" cm="1">
        <f t="array" ref="E104">INDEX(_xlfn.TEXTSPLIT(C104,"-",,TRUE),5)</f>
        <v>SCE</v>
      </c>
      <c r="F104" t="str">
        <f>IFERROR(INDEX(settings.Table_Engineer.Roles[Department Code],MATCH(PART_NUMBER_GENERATOR_TABLE[[#This Row],[Work Role]],settings.Table_Engineer.Roles[ID],0),1),"PMO")</f>
        <v>ENG</v>
      </c>
      <c r="G104" t="str" cm="1">
        <f t="array" ref="G104">INDEX(_xlfn.TEXTSPLIT(C104,"-",,TRUE),6)</f>
        <v>AH</v>
      </c>
      <c r="H10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0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04" cm="1">
        <f t="array" ref="J104">IF(J$1&lt;&gt;PART_NUMBER_GENERATOR_TABLE[[#This Row],[Work Role]:[Work Role]],0,
IF(RIGHT(J$30,2)&lt;&gt;PART_NUMBER_GENERATOR_TABLE[[#This Row],[Work Type]:[Work Type]],0,
SUMIFS(Input_Tasks[R1 Business Hours],Input_Tasks[[Skill Required]:[Skill Required]],PART_NUMBER_GENERATOR_TABLE[[#This Row],[Tech]:[Tech]])))</f>
        <v>0</v>
      </c>
      <c r="K104" cm="1">
        <f t="array" ref="K104">IF(K$1&lt;&gt;PART_NUMBER_GENERATOR_TABLE[[#This Row],[Work Role]:[Work Role]],0,
IF(RIGHT(K$30,2)&lt;&gt;PART_NUMBER_GENERATOR_TABLE[[#This Row],[Work Type]:[Work Type]],0,
SUMIFS(Input_Tasks[R1 After Hours],Input_Tasks[[Skill Required]:[Skill Required]],PART_NUMBER_GENERATOR_TABLE[[#This Row],[Tech]:[Tech]])))</f>
        <v>0</v>
      </c>
      <c r="L104" cm="1">
        <f t="array" ref="L104">IF(L$1&lt;&gt;PART_NUMBER_GENERATOR_TABLE[[#This Row],[Work Role]:[Work Role]],0,
IF(RIGHT(L$30,2)&lt;&gt;PART_NUMBER_GENERATOR_TABLE[[#This Row],[Work Type]:[Work Type]],0,
SUMIFS(Input_Tasks[R2 Business Hours],Input_Tasks[[Skill Required]:[Skill Required]],PART_NUMBER_GENERATOR_TABLE[[#This Row],[Tech]:[Tech]])))</f>
        <v>0</v>
      </c>
      <c r="M104" cm="1">
        <f t="array" ref="M104">IF(M$1&lt;&gt;PART_NUMBER_GENERATOR_TABLE[[#This Row],[Work Role]:[Work Role]],0,
IF(RIGHT(M$30,2)&lt;&gt;PART_NUMBER_GENERATOR_TABLE[[#This Row],[Work Type]:[Work Type]],0,
SUMIFS(Input_Tasks[R2 After Hours],Input_Tasks[[Skill Required]:[Skill Required]],PART_NUMBER_GENERATOR_TABLE[[#This Row],[Tech]:[Tech]])))</f>
        <v>0</v>
      </c>
      <c r="N104" cm="1">
        <f t="array" ref="N104">IF(N$1&lt;&gt;PART_NUMBER_GENERATOR_TABLE[[#This Row],[Work Role]:[Work Role]],0,
IF(RIGHT(N$30,2)&lt;&gt;PART_NUMBER_GENERATOR_TABLE[[#This Row],[Work Type]:[Work Type]],0,
SUMIFS(Input_Tasks[R3 Business Hours],Input_Tasks[[Skill Required]:[Skill Required]],PART_NUMBER_GENERATOR_TABLE[[#This Row],[Tech]:[Tech]])))</f>
        <v>0</v>
      </c>
      <c r="O104" cm="1">
        <f t="array" ref="O104">IF(O$1&lt;&gt;PART_NUMBER_GENERATOR_TABLE[[#This Row],[Work Role]:[Work Role]],0,
IF(RIGHT(O$30,2)&lt;&gt;PART_NUMBER_GENERATOR_TABLE[[#This Row],[Work Type]:[Work Type]],0,
SUMIFS(Input_Tasks[R3 After Hours],Input_Tasks[[Skill Required]:[Skill Required]],PART_NUMBER_GENERATOR_TABLE[[#This Row],[Tech]:[Tech]])))</f>
        <v>0</v>
      </c>
      <c r="P104" cm="1">
        <f t="array" ref="P104">IF(P$1&lt;&gt;PART_NUMBER_GENERATOR_TABLE[[#This Row],[Work Role]:[Work Role]],0,
IF(RIGHT(P$30,2)&lt;&gt;PART_NUMBER_GENERATOR_TABLE[[#This Row],[Work Type]:[Work Type]],0,
SUMIFS(Input_Tasks[R4 Business Hours],Input_Tasks[[Skill Required]:[Skill Required]],PART_NUMBER_GENERATOR_TABLE[[#This Row],[Tech]:[Tech]])))</f>
        <v>0</v>
      </c>
      <c r="Q104" cm="1">
        <f t="array" ref="Q104">IF(Q$1&lt;&gt;PART_NUMBER_GENERATOR_TABLE[[#This Row],[Work Role]:[Work Role]],0,
IF(RIGHT(Q$30,2)&lt;&gt;PART_NUMBER_GENERATOR_TABLE[[#This Row],[Work Type]:[Work Type]],0,
SUMIFS(Input_Tasks[R4 After Hours],Input_Tasks[[Skill Required]:[Skill Required]],PART_NUMBER_GENERATOR_TABLE[[#This Row],[Tech]:[Tech]])))</f>
        <v>0</v>
      </c>
      <c r="R104" cm="1">
        <f t="array" ref="R104">IF(R$1&lt;&gt;PART_NUMBER_GENERATOR_TABLE[[#This Row],[Work Role]:[Work Role]],0,
IF(RIGHT(R$30,2)&lt;&gt;PART_NUMBER_GENERATOR_TABLE[[#This Row],[Work Type]:[Work Type]],0,
SUMIFS(Input_Tasks[R5 Business Hours],Input_Tasks[[Skill Required]:[Skill Required]],PART_NUMBER_GENERATOR_TABLE[[#This Row],[Tech]:[Tech]])))</f>
        <v>0</v>
      </c>
      <c r="S104" cm="1">
        <f t="array" ref="S104">IF(S$1&lt;&gt;PART_NUMBER_GENERATOR_TABLE[[#This Row],[Work Role]:[Work Role]],0,
IF(RIGHT(S$30,2)&lt;&gt;PART_NUMBER_GENERATOR_TABLE[[#This Row],[Work Type]:[Work Type]],0,
SUMIFS(Input_Tasks[R5 After Hours],Input_Tasks[[Skill Required]:[Skill Required]],PART_NUMBER_GENERATOR_TABLE[[#This Row],[Tech]:[Tech]])))</f>
        <v>0</v>
      </c>
      <c r="T104" cm="1">
        <f t="array" ref="T104">IF(PART_NUMBER_GENERATOR_TABLE[[#This Row],[Work Role]:[Work Role]]&lt;&gt;T$1,0,
IF(PART_NUMBER_GENERATOR_TABLE[[#This Row],[Work Type]:[Work Type]]&lt;&gt;"BH",0,
SUMIFS(T$9:T$24,$M$9:$M$24,PART_NUMBER_GENERATOR_TABLE[[#This Row],[Tech]:[Tech]])))</f>
        <v>0</v>
      </c>
      <c r="U104" cm="1">
        <f t="array" ref="U104">IF(PART_NUMBER_GENERATOR_TABLE[[#This Row],[Work Role]:[Work Role]]&lt;&gt;U$1,0,
IF(PART_NUMBER_GENERATOR_TABLE[[#This Row],[Work Type]:[Work Type]]&lt;&gt;"BH",0,
SUMIFS(U$9:U$24,$M$9:$M$24,PART_NUMBER_GENERATOR_TABLE[[#This Row],[Tech]:[Tech]])))</f>
        <v>0</v>
      </c>
      <c r="V104" cm="1">
        <f t="array" ref="V104">IF(PART_NUMBER_GENERATOR_TABLE[[#This Row],[Work Role]:[Work Role]]&lt;&gt;V$1,0,
IF(PART_NUMBER_GENERATOR_TABLE[[#This Row],[Work Type]:[Work Type]]&lt;&gt;"BH",0,
SUMIFS(V$9:V$24,$M$9:$M$24,PART_NUMBER_GENERATOR_TABLE[[#This Row],[Tech]:[Tech]])))</f>
        <v>0</v>
      </c>
      <c r="W104" cm="1">
        <f t="array" ref="W104">IF(PART_NUMBER_GENERATOR_TABLE[[#This Row],[Work Role]:[Work Role]]&lt;&gt;W$1,0,
IF(PART_NUMBER_GENERATOR_TABLE[[#This Row],[Work Type]:[Work Type]]&lt;&gt;"BH",0,
SUMIFS(W$9:W$24,$M$9:$M$24,PART_NUMBER_GENERATOR_TABLE[[#This Row],[Tech]:[Tech]])))</f>
        <v>0</v>
      </c>
      <c r="X104" cm="1">
        <f t="array" ref="X104">IF(PART_NUMBER_GENERATOR_TABLE[[#This Row],[Work Role]:[Work Role]]&lt;&gt;X$1,0,
IF(PART_NUMBER_GENERATOR_TABLE[[#This Row],[Work Type]:[Work Type]]&lt;&gt;"BH",0,
SUMIFS(X$9:X$24,$M$9:$M$24,PART_NUMBER_GENERATOR_TABLE[[#This Row],[Tech]:[Tech]])))</f>
        <v>0</v>
      </c>
      <c r="Y104" cm="1">
        <f t="array" ref="Y104">IF(PART_NUMBER_GENERATOR_TABLE[[#This Row],[Work Role]:[Work Role]]&lt;&gt;Y$1,0,
IF(PART_NUMBER_GENERATOR_TABLE[[#This Row],[Work Type]:[Work Type]]&lt;&gt;"BH",0,
SUMIFS(Y$9:Y$24,$M$9:$M$24,PART_NUMBER_GENERATOR_TABLE[[#This Row],[Tech]:[Tech]])))</f>
        <v>0</v>
      </c>
      <c r="Z104" cm="1">
        <f t="array" ref="Z104">IF(PART_NUMBER_GENERATOR_TABLE[[#This Row],[Work Role]:[Work Role]]&lt;&gt;Z$1,0,
IF(PART_NUMBER_GENERATOR_TABLE[[#This Row],[Work Type]:[Work Type]]&lt;&gt;"BH",0,
SUMIFS(Z$9:Z$24,$M$9:$M$24,PART_NUMBER_GENERATOR_TABLE[[#This Row],[Tech]:[Tech]])))</f>
        <v>0</v>
      </c>
      <c r="AA104" cm="1">
        <f t="array" ref="AA104">IF(PART_NUMBER_GENERATOR_TABLE[[#This Row],[Work Role]:[Work Role]]&lt;&gt;AA$1,0,
IF(PART_NUMBER_GENERATOR_TABLE[[#This Row],[Work Type]:[Work Type]]&lt;&gt;"BH",0,
SUMIFS(AA$9:AA$24,$M$9:$M$24,PART_NUMBER_GENERATOR_TABLE[[#This Row],[Tech]:[Tech]])))</f>
        <v>0</v>
      </c>
      <c r="AB104" cm="1">
        <f t="array" ref="AB104">IF(PART_NUMBER_GENERATOR_TABLE[[#This Row],[Work Role]:[Work Role]]&lt;&gt;AB$1,0,
IF(PART_NUMBER_GENERATOR_TABLE[[#This Row],[Work Type]:[Work Type]]&lt;&gt;"BH",0,
SUMIFS(AB$9:AB$24,$M$9:$M$24,PART_NUMBER_GENERATOR_TABLE[[#This Row],[Tech]:[Tech]])))</f>
        <v>0</v>
      </c>
      <c r="AC104" cm="1">
        <f t="array" ref="AC104">IF(PART_NUMBER_GENERATOR_TABLE[[#This Row],[Work Role]:[Work Role]]&lt;&gt;AC$1,0,
IF(PART_NUMBER_GENERATOR_TABLE[[#This Row],[Work Type]:[Work Type]]&lt;&gt;"BH",0,
SUMIFS(AC$9:AC$24,$M$9:$M$24,PART_NUMBER_GENERATOR_TABLE[[#This Row],[Tech]:[Tech]])))</f>
        <v>0</v>
      </c>
      <c r="AD104" cm="1">
        <f t="array" ref="AD104">IF(PART_NUMBER_GENERATOR_TABLE[[#This Row],[Work Role]:[Work Role]]&lt;&gt;AD$1,0,
IF(PART_NUMBER_GENERATOR_TABLE[[#This Row],[Work Type]:[Work Type]]&lt;&gt;"BH",0,
SUMIFS(AD$9:AD$24,$M$9:$M$24,PART_NUMBER_GENERATOR_TABLE[[#This Row],[Tech]:[Tech]])))</f>
        <v>0</v>
      </c>
      <c r="AE104" cm="1">
        <f t="array" ref="AE104">IF(PART_NUMBER_GENERATOR_TABLE[[#This Row],[Work Role]:[Work Role]]&lt;&gt;AE$1,0,
IF(PART_NUMBER_GENERATOR_TABLE[[#This Row],[Work Type]:[Work Type]]&lt;&gt;"BH",0,
SUMIFS(AE$9:AE$24,$M$9:$M$24,PART_NUMBER_GENERATOR_TABLE[[#This Row],[Tech]:[Tech]])))</f>
        <v>0</v>
      </c>
      <c r="AF104" cm="1">
        <f t="array" ref="AF104">IF(PART_NUMBER_GENERATOR_TABLE[[#This Row],[Work Role]:[Work Role]]&lt;&gt;AF$1,0,
IF(PART_NUMBER_GENERATOR_TABLE[[#This Row],[Work Type]:[Work Type]]&lt;&gt;"BH",0,
SUMIFS(AF$9:AF$24,$M$9:$M$24,PART_NUMBER_GENERATOR_TABLE[[#This Row],[Tech]:[Tech]])))</f>
        <v>0</v>
      </c>
      <c r="AG104" cm="1">
        <f t="array" ref="AG104">IF(PART_NUMBER_GENERATOR_TABLE[[#This Row],[Work Role]:[Work Role]]&lt;&gt;AG$1,0,
IF(PART_NUMBER_GENERATOR_TABLE[[#This Row],[Work Type]:[Work Type]]&lt;&gt;"AH",0,
SUMIFS(AG$9:AG$24,$M$9:$M$24,PART_NUMBER_GENERATOR_TABLE[[#This Row],[Tech]:[Tech]])))</f>
        <v>0</v>
      </c>
      <c r="AH104" cm="1">
        <f t="array" ref="AH104">IF(PART_NUMBER_GENERATOR_TABLE[[#This Row],[Work Role]:[Work Role]]&lt;&gt;AH$1,0,
IF(PART_NUMBER_GENERATOR_TABLE[[#This Row],[Work Type]:[Work Type]]&lt;&gt;"BH",0,
SUMIFS(AH$9:AH$24,$M$9:$M$24,PART_NUMBER_GENERATOR_TABLE[[#This Row],[Tech]:[Tech]])))</f>
        <v>0</v>
      </c>
      <c r="AI104" cm="1">
        <f t="array" ref="AI104">IF(PART_NUMBER_GENERATOR_TABLE[[#This Row],[Work Role]:[Work Role]]&lt;&gt;AI$1,0,
IF(PART_NUMBER_GENERATOR_TABLE[[#This Row],[Work Type]:[Work Type]]&lt;&gt;"BH",0,
SUMIFS(AI$9:AI$24,$M$9:$M$24,PART_NUMBER_GENERATOR_TABLE[[#This Row],[Tech]:[Tech]])))</f>
        <v>0</v>
      </c>
      <c r="AJ104" cm="1">
        <f t="array" ref="AJ104">IF(PART_NUMBER_GENERATOR_TABLE[[#This Row],[Work Role]:[Work Role]]&lt;&gt;AJ$1,0,
IF(PART_NUMBER_GENERATOR_TABLE[[#This Row],[Work Type]:[Work Type]]&lt;&gt;"BH",0,
SUMIFS(AJ$9:AJ$24,$M$9:$M$24,PART_NUMBER_GENERATOR_TABLE[[#This Row],[Tech]:[Tech]])))</f>
        <v>0</v>
      </c>
      <c r="AK104" cm="1">
        <f t="array" ref="AK104">IF(PART_NUMBER_GENERATOR_TABLE[[#This Row],[Work Role]:[Work Role]]&lt;&gt;AK$1,0,
IF(PART_NUMBER_GENERATOR_TABLE[[#This Row],[Work Type]:[Work Type]]&lt;&gt;"AH",0,
SUMIFS(AK$9:AK$24,$M$9:$M$24,PART_NUMBER_GENERATOR_TABLE[[#This Row],[Tech]:[Tech]])))</f>
        <v>0</v>
      </c>
      <c r="AL104" cm="1">
        <f t="array" ref="AL104">IF(PART_NUMBER_GENERATOR_TABLE[[#This Row],[Work Role]:[Work Role]]&lt;&gt;AL$1,0,
IF(PART_NUMBER_GENERATOR_TABLE[[#This Row],[Work Type]:[Work Type]]&lt;&gt;"BH",0,
SUMIFS(AL$9:AL$24,$M$9:$M$24,PART_NUMBER_GENERATOR_TABLE[[#This Row],[Tech]:[Tech]])))</f>
        <v>0</v>
      </c>
      <c r="AM104">
        <f>0</f>
        <v>0</v>
      </c>
      <c r="AN104" cm="1">
        <f t="array" ref="AN104">IF(PART_NUMBER_GENERATOR_TABLE[[#This Row],[Work Role]:[Work Role]]&lt;&gt;AN$1,0,
IF(PART_NUMBER_GENERATOR_TABLE[[#This Row],[Work Type]:[Work Type]]&lt;&gt;"BH",0,
SUMIFS(AN$24,$AM$24,PART_NUMBER_GENERATOR_TABLE[[#This Row],[Tech]:[Tech]])))</f>
        <v>0</v>
      </c>
      <c r="AO104" cm="1">
        <f t="array" ref="AO104">IF(PART_NUMBER_GENERATOR_TABLE[[#This Row],[Work Role]:[Work Role]]&lt;&gt;AO$1,0,
IF(PART_NUMBER_GENERATOR_TABLE[[#This Row],[Work Type]:[Work Type]]&lt;&gt;"BH",0,
SUMIFS(AO$24,$AM$24,PART_NUMBER_GENERATOR_TABLE[[#This Row],[Tech]:[Tech]])))</f>
        <v>0</v>
      </c>
      <c r="AP104" cm="1">
        <f t="array" ref="AP104">IF(PART_NUMBER_GENERATOR_TABLE[[#This Row],[Work Role]:[Work Role]]&lt;&gt;AP$1,0,
IF(PART_NUMBER_GENERATOR_TABLE[[#This Row],[Work Type]:[Work Type]]&lt;&gt;"BH",0,
SUMIFS(AP$24,$AM$24,PART_NUMBER_GENERATOR_TABLE[[#This Row],[Tech]:[Tech]])))</f>
        <v>0</v>
      </c>
      <c r="AQ104" cm="1">
        <f t="array" ref="AQ104">IF(PART_NUMBER_GENERATOR_TABLE[[#This Row],[Work Role]:[Work Role]]&lt;&gt;AQ$1,0,
IF(PART_NUMBER_GENERATOR_TABLE[[#This Row],[Work Type]:[Work Type]]&lt;&gt;"BH",0,
SUMIFS(AQ$24,$AM$24,PART_NUMBER_GENERATOR_TABLE[[#This Row],[Tech]:[Tech]])))</f>
        <v>0</v>
      </c>
      <c r="AR104" cm="1">
        <f t="array" ref="AR104">IF(PART_NUMBER_GENERATOR_TABLE[[#This Row],[Work Role]:[Work Role]]&lt;&gt;AR$1,0,
IF(PART_NUMBER_GENERATOR_TABLE[[#This Row],[Work Type]:[Work Type]]&lt;&gt;"BH",0,
SUMIFS(AR$24,$AM$24,PART_NUMBER_GENERATOR_TABLE[[#This Row],[Tech]:[Tech]])))</f>
        <v>0</v>
      </c>
      <c r="AS104" cm="1">
        <f t="array" ref="AS104">IF(PART_NUMBER_GENERATOR_TABLE[[#This Row],[Work Role]:[Work Role]]&lt;&gt;AS$1,0,
IF(PART_NUMBER_GENERATOR_TABLE[[#This Row],[Work Type]:[Work Type]]&lt;&gt;"BH",0,
SUMIFS(AS$24,$AM$24,PART_NUMBER_GENERATOR_TABLE[[#This Row],[Tech]:[Tech]])))</f>
        <v>0</v>
      </c>
      <c r="AT104" cm="1">
        <f t="array" ref="AT104">IF(PART_NUMBER_GENERATOR_TABLE[[#This Row],[Work Role]:[Work Role]]&lt;&gt;AS$1,0,
IF(PART_NUMBER_GENERATOR_TABLE[[#This Row],[Work Type]:[Work Type]]&lt;&gt;"BH",0,
SUMIFS(AT$24,$AM$24,PART_NUMBER_GENERATOR_TABLE[[#This Row],[Tech]:[Tech]])))</f>
        <v>0</v>
      </c>
      <c r="AU104">
        <f>SUM(PART_NUMBER_GENERATOR_TABLE[[#This Row],[Resource 1 BH]:[Resource 5 AH]],PART_NUMBER_GENERATOR_TABLE[[#This Row],[R1 Mandatory Tasks]:[R5 Mandatory Tasks]],PART_NUMBER_GENERATOR_TABLE[[#This Row],[R1 Remainder]:[R5 Remainder]])</f>
        <v>0</v>
      </c>
      <c r="AV104">
        <f>PART_NUMBER_GENERATOR_TABLE[[#This Row],[Professional Engineering Hours]]*PART_NUMBER_GENERATOR_TABLE[[#This Row],[Sell Rate]]</f>
        <v>0</v>
      </c>
      <c r="AW104">
        <f>PART_NUMBER_GENERATOR_TABLE[[#This Row],[Professional Engineering Hours]]*PART_NUMBER_GENERATOR_TABLE[[#This Row],[Cost Rate]]</f>
        <v>0</v>
      </c>
      <c r="AX104">
        <f>SUM(PART_NUMBER_GENERATOR_TABLE[[#This Row],[PM Trips]:[R5 Trips]])</f>
        <v>0</v>
      </c>
      <c r="AY104">
        <f>PART_NUMBER_GENERATOR_TABLE[[#This Row],[Travel &amp; Accommodation Hours]]*PART_NUMBER_GENERATOR_TABLE[[#This Row],[Sell Rate]]</f>
        <v>0</v>
      </c>
      <c r="AZ104">
        <f>PART_NUMBER_GENERATOR_TABLE[[#This Row],[Travel &amp; Accommodation Hours]]*PART_NUMBER_GENERATOR_TABLE[[#This Row],[Cost Rate]]</f>
        <v>0</v>
      </c>
      <c r="BA104">
        <f>PART_NUMBER_GENERATOR_TABLE[[#This Row],[PM Hours]]+PART_NUMBER_GENERATOR_TABLE[[#This Row],[PM Remainder]]</f>
        <v>0</v>
      </c>
      <c r="BB104">
        <f>PART_NUMBER_GENERATOR_TABLE[[#This Row],[Project Management Hours]]*PART_NUMBER_GENERATOR_TABLE[[#This Row],[Sell Rate]]</f>
        <v>0</v>
      </c>
      <c r="BC104">
        <f>PART_NUMBER_GENERATOR_TABLE[[#This Row],[Project Management Hours]]*PART_NUMBER_GENERATOR_TABLE[[#This Row],[Cost Rate]]</f>
        <v>0</v>
      </c>
      <c r="BD104">
        <f>SUM(PART_NUMBER_GENERATOR_TABLE[[#This Row],[SSE RISK BH]:[PM RISK]],PART_NUMBER_GENERATOR_TABLE[[#This Row],[SSE Remainder RISK BH]:[PM Remainder RISK]])</f>
        <v>0</v>
      </c>
      <c r="BE104">
        <f>PART_NUMBER_GENERATOR_TABLE[[#This Row],[Project Risk Service Hours]]*PART_NUMBER_GENERATOR_TABLE[[#This Row],[Sell Rate]]</f>
        <v>0</v>
      </c>
      <c r="BF104">
        <f>PART_NUMBER_GENERATOR_TABLE[[#This Row],[Project Risk Service Hours]]*PART_NUMBER_GENERATOR_TABLE[[#This Row],[Cost Rate]]</f>
        <v>0</v>
      </c>
      <c r="BG104">
        <f>PART_NUMBER_GENERATOR_TABLE[[#This Row],[SSE RISK TRAVEL]]</f>
        <v>0</v>
      </c>
      <c r="BH104">
        <f>PART_NUMBER_GENERATOR_TABLE[[#This Row],[Sell Rate]]*PART_NUMBER_GENERATOR_TABLE[[#This Row],[Project Risk Travel Hours]]</f>
        <v>0</v>
      </c>
      <c r="BI104">
        <f>PART_NUMBER_GENERATOR_TABLE[[#This Row],[Project Risk Travel Hours]]*PART_NUMBER_GENERATOR_TABLE[[#This Row],[Cost Rate]]</f>
        <v>0</v>
      </c>
      <c r="BJ10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0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04">
        <f>IFERROR(-VLOOKUP(INDEX(ENGINEER_ROLES,MATCH(PART_NUMBER_GENERATOR_TABLE[[#This Row],[Work Role]],settings.Table_Engineer.Roles[ID],0),1),Settings_Hidden!$H$359:$K$366,4,FALSE),0)</f>
        <v>0</v>
      </c>
      <c r="BM104" s="680">
        <f>-Summary!$C$66</f>
        <v>0</v>
      </c>
      <c r="BN104" s="465">
        <f>PART_NUMBER_GENERATOR_TABLE[[#This Row],[Total Base Price]]*MIN(PART_NUMBER_GENERATOR_TABLE[[#This Row],[Rate Service Discount]:[Flat Service Discount]])</f>
        <v>0</v>
      </c>
      <c r="BO104" s="451" t="str">
        <f>IF(PART_NUMBER_GENERATOR_TABLE[[#This Row],[Quantity]]&lt;&gt;0,MAX($BO$30:BO103)+1,"")</f>
        <v/>
      </c>
      <c r="BP104" t="str">
        <f>PART_NUMBER_GENERATOR_TABLE[[#This Row],[Part Number]]</f>
        <v>A-PS-E-INTHLT-SCE-AH</v>
      </c>
      <c r="BQ104">
        <f>PART_NUMBER_GENERATOR_TABLE[[#This Row],[Total Hours]]</f>
        <v>0</v>
      </c>
      <c r="BR104">
        <f>PART_NUMBER_GENERATOR_TABLE[[#This Row],[Cost Rate]]</f>
        <v>251.41552370953494</v>
      </c>
      <c r="BS104" s="465">
        <f>PART_NUMBER_GENERATOR_TABLE[[#This Row],[Sell Rate]]+(PART_NUMBER_GENERATOR_TABLE[[#This Row],[Sell Rate]]*MIN(PART_NUMBER_GENERATOR_TABLE[[#This Row],[Rate Service Discount]:[Flat Service Discount]]))</f>
        <v>472.5</v>
      </c>
    </row>
    <row r="105" spans="1:71">
      <c r="A105">
        <v>75</v>
      </c>
      <c r="C105" t="s">
        <v>988</v>
      </c>
      <c r="D105" t="str" cm="1">
        <f t="array" ref="D105">INDEX(Table.Settings_Skill.List[Skill Name],MATCH(INDEX(_xlfn.TEXTSPLIT(C105,"-",,TRUE),4),Table.Settings_Skill.List[Skill Code],0),1)</f>
        <v>Networking</v>
      </c>
      <c r="E105" t="str" cm="1">
        <f t="array" ref="E105">INDEX(_xlfn.TEXTSPLIT(C105,"-",,TRUE),5)</f>
        <v>TA</v>
      </c>
      <c r="F105" t="str">
        <f>IFERROR(INDEX(settings.Table_Engineer.Roles[Department Code],MATCH(PART_NUMBER_GENERATOR_TABLE[[#This Row],[Work Role]],settings.Table_Engineer.Roles[ID],0),1),"PMO")</f>
        <v>ENG</v>
      </c>
      <c r="G105" t="str" cm="1">
        <f t="array" ref="G105">INDEX(_xlfn.TEXTSPLIT(C105,"-",,TRUE),6)</f>
        <v>AH</v>
      </c>
      <c r="H10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232.5</v>
      </c>
      <c r="I10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122.02019862032805</v>
      </c>
      <c r="J105" cm="1">
        <f t="array" ref="J105">IF(J$1&lt;&gt;PART_NUMBER_GENERATOR_TABLE[[#This Row],[Work Role]:[Work Role]],0,
IF(RIGHT(J$30,2)&lt;&gt;PART_NUMBER_GENERATOR_TABLE[[#This Row],[Work Type]:[Work Type]],0,
SUMIFS(Input_Tasks[R1 Business Hours],Input_Tasks[[Skill Required]:[Skill Required]],PART_NUMBER_GENERATOR_TABLE[[#This Row],[Tech]:[Tech]])))</f>
        <v>0</v>
      </c>
      <c r="K105" cm="1">
        <f t="array" ref="K105">IF(K$1&lt;&gt;PART_NUMBER_GENERATOR_TABLE[[#This Row],[Work Role]:[Work Role]],0,
IF(RIGHT(K$30,2)&lt;&gt;PART_NUMBER_GENERATOR_TABLE[[#This Row],[Work Type]:[Work Type]],0,
SUMIFS(Input_Tasks[R1 After Hours],Input_Tasks[[Skill Required]:[Skill Required]],PART_NUMBER_GENERATOR_TABLE[[#This Row],[Tech]:[Tech]])))</f>
        <v>0</v>
      </c>
      <c r="L105" cm="1">
        <f t="array" ref="L105">IF(L$1&lt;&gt;PART_NUMBER_GENERATOR_TABLE[[#This Row],[Work Role]:[Work Role]],0,
IF(RIGHT(L$30,2)&lt;&gt;PART_NUMBER_GENERATOR_TABLE[[#This Row],[Work Type]:[Work Type]],0,
SUMIFS(Input_Tasks[R2 Business Hours],Input_Tasks[[Skill Required]:[Skill Required]],PART_NUMBER_GENERATOR_TABLE[[#This Row],[Tech]:[Tech]])))</f>
        <v>0</v>
      </c>
      <c r="M105" cm="1">
        <f t="array" ref="M105">IF(M$1&lt;&gt;PART_NUMBER_GENERATOR_TABLE[[#This Row],[Work Role]:[Work Role]],0,
IF(RIGHT(M$30,2)&lt;&gt;PART_NUMBER_GENERATOR_TABLE[[#This Row],[Work Type]:[Work Type]],0,
SUMIFS(Input_Tasks[R2 After Hours],Input_Tasks[[Skill Required]:[Skill Required]],PART_NUMBER_GENERATOR_TABLE[[#This Row],[Tech]:[Tech]])))</f>
        <v>0</v>
      </c>
      <c r="N105" cm="1">
        <f t="array" ref="N105">IF(N$1&lt;&gt;PART_NUMBER_GENERATOR_TABLE[[#This Row],[Work Role]:[Work Role]],0,
IF(RIGHT(N$30,2)&lt;&gt;PART_NUMBER_GENERATOR_TABLE[[#This Row],[Work Type]:[Work Type]],0,
SUMIFS(Input_Tasks[R3 Business Hours],Input_Tasks[[Skill Required]:[Skill Required]],PART_NUMBER_GENERATOR_TABLE[[#This Row],[Tech]:[Tech]])))</f>
        <v>0</v>
      </c>
      <c r="O105" cm="1">
        <f t="array" ref="O105">IF(O$1&lt;&gt;PART_NUMBER_GENERATOR_TABLE[[#This Row],[Work Role]:[Work Role]],0,
IF(RIGHT(O$30,2)&lt;&gt;PART_NUMBER_GENERATOR_TABLE[[#This Row],[Work Type]:[Work Type]],0,
SUMIFS(Input_Tasks[R3 After Hours],Input_Tasks[[Skill Required]:[Skill Required]],PART_NUMBER_GENERATOR_TABLE[[#This Row],[Tech]:[Tech]])))</f>
        <v>0</v>
      </c>
      <c r="P105" cm="1">
        <f t="array" ref="P105">IF(P$1&lt;&gt;PART_NUMBER_GENERATOR_TABLE[[#This Row],[Work Role]:[Work Role]],0,
IF(RIGHT(P$30,2)&lt;&gt;PART_NUMBER_GENERATOR_TABLE[[#This Row],[Work Type]:[Work Type]],0,
SUMIFS(Input_Tasks[R4 Business Hours],Input_Tasks[[Skill Required]:[Skill Required]],PART_NUMBER_GENERATOR_TABLE[[#This Row],[Tech]:[Tech]])))</f>
        <v>0</v>
      </c>
      <c r="Q105" cm="1">
        <f t="array" ref="Q105">IF(Q$1&lt;&gt;PART_NUMBER_GENERATOR_TABLE[[#This Row],[Work Role]:[Work Role]],0,
IF(RIGHT(Q$30,2)&lt;&gt;PART_NUMBER_GENERATOR_TABLE[[#This Row],[Work Type]:[Work Type]],0,
SUMIFS(Input_Tasks[R4 After Hours],Input_Tasks[[Skill Required]:[Skill Required]],PART_NUMBER_GENERATOR_TABLE[[#This Row],[Tech]:[Tech]])))</f>
        <v>0</v>
      </c>
      <c r="R105" cm="1">
        <f t="array" ref="R105">IF(R$1&lt;&gt;PART_NUMBER_GENERATOR_TABLE[[#This Row],[Work Role]:[Work Role]],0,
IF(RIGHT(R$30,2)&lt;&gt;PART_NUMBER_GENERATOR_TABLE[[#This Row],[Work Type]:[Work Type]],0,
SUMIFS(Input_Tasks[R5 Business Hours],Input_Tasks[[Skill Required]:[Skill Required]],PART_NUMBER_GENERATOR_TABLE[[#This Row],[Tech]:[Tech]])))</f>
        <v>0</v>
      </c>
      <c r="S105" cm="1">
        <f t="array" ref="S105">IF(S$1&lt;&gt;PART_NUMBER_GENERATOR_TABLE[[#This Row],[Work Role]:[Work Role]],0,
IF(RIGHT(S$30,2)&lt;&gt;PART_NUMBER_GENERATOR_TABLE[[#This Row],[Work Type]:[Work Type]],0,
SUMIFS(Input_Tasks[R5 After Hours],Input_Tasks[[Skill Required]:[Skill Required]],PART_NUMBER_GENERATOR_TABLE[[#This Row],[Tech]:[Tech]])))</f>
        <v>0</v>
      </c>
      <c r="T105" cm="1">
        <f t="array" ref="T105">IF(PART_NUMBER_GENERATOR_TABLE[[#This Row],[Work Role]:[Work Role]]&lt;&gt;T$1,0,
IF(PART_NUMBER_GENERATOR_TABLE[[#This Row],[Work Type]:[Work Type]]&lt;&gt;"BH",0,
SUMIFS(T$9:T$24,$M$9:$M$24,PART_NUMBER_GENERATOR_TABLE[[#This Row],[Tech]:[Tech]])))</f>
        <v>0</v>
      </c>
      <c r="U105" cm="1">
        <f t="array" ref="U105">IF(PART_NUMBER_GENERATOR_TABLE[[#This Row],[Work Role]:[Work Role]]&lt;&gt;U$1,0,
IF(PART_NUMBER_GENERATOR_TABLE[[#This Row],[Work Type]:[Work Type]]&lt;&gt;"BH",0,
SUMIFS(U$9:U$24,$M$9:$M$24,PART_NUMBER_GENERATOR_TABLE[[#This Row],[Tech]:[Tech]])))</f>
        <v>0</v>
      </c>
      <c r="V105" cm="1">
        <f t="array" ref="V105">IF(PART_NUMBER_GENERATOR_TABLE[[#This Row],[Work Role]:[Work Role]]&lt;&gt;V$1,0,
IF(PART_NUMBER_GENERATOR_TABLE[[#This Row],[Work Type]:[Work Type]]&lt;&gt;"BH",0,
SUMIFS(V$9:V$24,$M$9:$M$24,PART_NUMBER_GENERATOR_TABLE[[#This Row],[Tech]:[Tech]])))</f>
        <v>0</v>
      </c>
      <c r="W105" cm="1">
        <f t="array" ref="W105">IF(PART_NUMBER_GENERATOR_TABLE[[#This Row],[Work Role]:[Work Role]]&lt;&gt;W$1,0,
IF(PART_NUMBER_GENERATOR_TABLE[[#This Row],[Work Type]:[Work Type]]&lt;&gt;"BH",0,
SUMIFS(W$9:W$24,$M$9:$M$24,PART_NUMBER_GENERATOR_TABLE[[#This Row],[Tech]:[Tech]])))</f>
        <v>0</v>
      </c>
      <c r="X105" cm="1">
        <f t="array" ref="X105">IF(PART_NUMBER_GENERATOR_TABLE[[#This Row],[Work Role]:[Work Role]]&lt;&gt;X$1,0,
IF(PART_NUMBER_GENERATOR_TABLE[[#This Row],[Work Type]:[Work Type]]&lt;&gt;"BH",0,
SUMIFS(X$9:X$24,$M$9:$M$24,PART_NUMBER_GENERATOR_TABLE[[#This Row],[Tech]:[Tech]])))</f>
        <v>0</v>
      </c>
      <c r="Y105" cm="1">
        <f t="array" ref="Y105">IF(PART_NUMBER_GENERATOR_TABLE[[#This Row],[Work Role]:[Work Role]]&lt;&gt;Y$1,0,
IF(PART_NUMBER_GENERATOR_TABLE[[#This Row],[Work Type]:[Work Type]]&lt;&gt;"BH",0,
SUMIFS(Y$9:Y$24,$M$9:$M$24,PART_NUMBER_GENERATOR_TABLE[[#This Row],[Tech]:[Tech]])))</f>
        <v>0</v>
      </c>
      <c r="Z105" cm="1">
        <f t="array" ref="Z105">IF(PART_NUMBER_GENERATOR_TABLE[[#This Row],[Work Role]:[Work Role]]&lt;&gt;Z$1,0,
IF(PART_NUMBER_GENERATOR_TABLE[[#This Row],[Work Type]:[Work Type]]&lt;&gt;"BH",0,
SUMIFS(Z$9:Z$24,$M$9:$M$24,PART_NUMBER_GENERATOR_TABLE[[#This Row],[Tech]:[Tech]])))</f>
        <v>0</v>
      </c>
      <c r="AA105" cm="1">
        <f t="array" ref="AA105">IF(PART_NUMBER_GENERATOR_TABLE[[#This Row],[Work Role]:[Work Role]]&lt;&gt;AA$1,0,
IF(PART_NUMBER_GENERATOR_TABLE[[#This Row],[Work Type]:[Work Type]]&lt;&gt;"BH",0,
SUMIFS(AA$9:AA$24,$M$9:$M$24,PART_NUMBER_GENERATOR_TABLE[[#This Row],[Tech]:[Tech]])))</f>
        <v>0</v>
      </c>
      <c r="AB105" cm="1">
        <f t="array" ref="AB105">IF(PART_NUMBER_GENERATOR_TABLE[[#This Row],[Work Role]:[Work Role]]&lt;&gt;AB$1,0,
IF(PART_NUMBER_GENERATOR_TABLE[[#This Row],[Work Type]:[Work Type]]&lt;&gt;"BH",0,
SUMIFS(AB$9:AB$24,$M$9:$M$24,PART_NUMBER_GENERATOR_TABLE[[#This Row],[Tech]:[Tech]])))</f>
        <v>0</v>
      </c>
      <c r="AC105" cm="1">
        <f t="array" ref="AC105">IF(PART_NUMBER_GENERATOR_TABLE[[#This Row],[Work Role]:[Work Role]]&lt;&gt;AC$1,0,
IF(PART_NUMBER_GENERATOR_TABLE[[#This Row],[Work Type]:[Work Type]]&lt;&gt;"BH",0,
SUMIFS(AC$9:AC$24,$M$9:$M$24,PART_NUMBER_GENERATOR_TABLE[[#This Row],[Tech]:[Tech]])))</f>
        <v>0</v>
      </c>
      <c r="AD105" cm="1">
        <f t="array" ref="AD105">IF(PART_NUMBER_GENERATOR_TABLE[[#This Row],[Work Role]:[Work Role]]&lt;&gt;AD$1,0,
IF(PART_NUMBER_GENERATOR_TABLE[[#This Row],[Work Type]:[Work Type]]&lt;&gt;"BH",0,
SUMIFS(AD$9:AD$24,$M$9:$M$24,PART_NUMBER_GENERATOR_TABLE[[#This Row],[Tech]:[Tech]])))</f>
        <v>0</v>
      </c>
      <c r="AE105" cm="1">
        <f t="array" ref="AE105">IF(PART_NUMBER_GENERATOR_TABLE[[#This Row],[Work Role]:[Work Role]]&lt;&gt;AE$1,0,
IF(PART_NUMBER_GENERATOR_TABLE[[#This Row],[Work Type]:[Work Type]]&lt;&gt;"BH",0,
SUMIFS(AE$9:AE$24,$M$9:$M$24,PART_NUMBER_GENERATOR_TABLE[[#This Row],[Tech]:[Tech]])))</f>
        <v>0</v>
      </c>
      <c r="AF105" cm="1">
        <f t="array" ref="AF105">IF(PART_NUMBER_GENERATOR_TABLE[[#This Row],[Work Role]:[Work Role]]&lt;&gt;AF$1,0,
IF(PART_NUMBER_GENERATOR_TABLE[[#This Row],[Work Type]:[Work Type]]&lt;&gt;"BH",0,
SUMIFS(AF$9:AF$24,$M$9:$M$24,PART_NUMBER_GENERATOR_TABLE[[#This Row],[Tech]:[Tech]])))</f>
        <v>0</v>
      </c>
      <c r="AG105" cm="1">
        <f t="array" ref="AG105">IF(PART_NUMBER_GENERATOR_TABLE[[#This Row],[Work Role]:[Work Role]]&lt;&gt;AG$1,0,
IF(PART_NUMBER_GENERATOR_TABLE[[#This Row],[Work Type]:[Work Type]]&lt;&gt;"AH",0,
SUMIFS(AG$9:AG$24,$M$9:$M$24,PART_NUMBER_GENERATOR_TABLE[[#This Row],[Tech]:[Tech]])))</f>
        <v>0</v>
      </c>
      <c r="AH105" cm="1">
        <f t="array" ref="AH105">IF(PART_NUMBER_GENERATOR_TABLE[[#This Row],[Work Role]:[Work Role]]&lt;&gt;AH$1,0,
IF(PART_NUMBER_GENERATOR_TABLE[[#This Row],[Work Type]:[Work Type]]&lt;&gt;"BH",0,
SUMIFS(AH$9:AH$24,$M$9:$M$24,PART_NUMBER_GENERATOR_TABLE[[#This Row],[Tech]:[Tech]])))</f>
        <v>0</v>
      </c>
      <c r="AI105" cm="1">
        <f t="array" ref="AI105">IF(PART_NUMBER_GENERATOR_TABLE[[#This Row],[Work Role]:[Work Role]]&lt;&gt;AI$1,0,
IF(PART_NUMBER_GENERATOR_TABLE[[#This Row],[Work Type]:[Work Type]]&lt;&gt;"BH",0,
SUMIFS(AI$9:AI$24,$M$9:$M$24,PART_NUMBER_GENERATOR_TABLE[[#This Row],[Tech]:[Tech]])))</f>
        <v>0</v>
      </c>
      <c r="AJ105" cm="1">
        <f t="array" ref="AJ105">IF(PART_NUMBER_GENERATOR_TABLE[[#This Row],[Work Role]:[Work Role]]&lt;&gt;AJ$1,0,
IF(PART_NUMBER_GENERATOR_TABLE[[#This Row],[Work Type]:[Work Type]]&lt;&gt;"BH",0,
SUMIFS(AJ$9:AJ$24,$M$9:$M$24,PART_NUMBER_GENERATOR_TABLE[[#This Row],[Tech]:[Tech]])))</f>
        <v>0</v>
      </c>
      <c r="AK105" cm="1">
        <f t="array" ref="AK105">IF(PART_NUMBER_GENERATOR_TABLE[[#This Row],[Work Role]:[Work Role]]&lt;&gt;AK$1,0,
IF(PART_NUMBER_GENERATOR_TABLE[[#This Row],[Work Type]:[Work Type]]&lt;&gt;"AH",0,
SUMIFS(AK$9:AK$24,$M$9:$M$24,PART_NUMBER_GENERATOR_TABLE[[#This Row],[Tech]:[Tech]])))</f>
        <v>0</v>
      </c>
      <c r="AL105" cm="1">
        <f t="array" ref="AL105">IF(PART_NUMBER_GENERATOR_TABLE[[#This Row],[Work Role]:[Work Role]]&lt;&gt;AL$1,0,
IF(PART_NUMBER_GENERATOR_TABLE[[#This Row],[Work Type]:[Work Type]]&lt;&gt;"BH",0,
SUMIFS(AL$9:AL$24,$M$9:$M$24,PART_NUMBER_GENERATOR_TABLE[[#This Row],[Tech]:[Tech]])))</f>
        <v>0</v>
      </c>
      <c r="AM105">
        <f>0</f>
        <v>0</v>
      </c>
      <c r="AN105" cm="1">
        <f t="array" ref="AN105">IF(PART_NUMBER_GENERATOR_TABLE[[#This Row],[Work Role]:[Work Role]]&lt;&gt;AN$1,0,
IF(PART_NUMBER_GENERATOR_TABLE[[#This Row],[Work Type]:[Work Type]]&lt;&gt;"BH",0,
SUMIFS(AN$24,$AM$24,PART_NUMBER_GENERATOR_TABLE[[#This Row],[Tech]:[Tech]])))</f>
        <v>0</v>
      </c>
      <c r="AO105" cm="1">
        <f t="array" ref="AO105">IF(PART_NUMBER_GENERATOR_TABLE[[#This Row],[Work Role]:[Work Role]]&lt;&gt;AO$1,0,
IF(PART_NUMBER_GENERATOR_TABLE[[#This Row],[Work Type]:[Work Type]]&lt;&gt;"BH",0,
SUMIFS(AO$24,$AM$24,PART_NUMBER_GENERATOR_TABLE[[#This Row],[Tech]:[Tech]])))</f>
        <v>0</v>
      </c>
      <c r="AP105" cm="1">
        <f t="array" ref="AP105">IF(PART_NUMBER_GENERATOR_TABLE[[#This Row],[Work Role]:[Work Role]]&lt;&gt;AP$1,0,
IF(PART_NUMBER_GENERATOR_TABLE[[#This Row],[Work Type]:[Work Type]]&lt;&gt;"BH",0,
SUMIFS(AP$24,$AM$24,PART_NUMBER_GENERATOR_TABLE[[#This Row],[Tech]:[Tech]])))</f>
        <v>0</v>
      </c>
      <c r="AQ105" cm="1">
        <f t="array" ref="AQ105">IF(PART_NUMBER_GENERATOR_TABLE[[#This Row],[Work Role]:[Work Role]]&lt;&gt;AQ$1,0,
IF(PART_NUMBER_GENERATOR_TABLE[[#This Row],[Work Type]:[Work Type]]&lt;&gt;"BH",0,
SUMIFS(AQ$24,$AM$24,PART_NUMBER_GENERATOR_TABLE[[#This Row],[Tech]:[Tech]])))</f>
        <v>0</v>
      </c>
      <c r="AR105" cm="1">
        <f t="array" ref="AR105">IF(PART_NUMBER_GENERATOR_TABLE[[#This Row],[Work Role]:[Work Role]]&lt;&gt;AR$1,0,
IF(PART_NUMBER_GENERATOR_TABLE[[#This Row],[Work Type]:[Work Type]]&lt;&gt;"BH",0,
SUMIFS(AR$24,$AM$24,PART_NUMBER_GENERATOR_TABLE[[#This Row],[Tech]:[Tech]])))</f>
        <v>0</v>
      </c>
      <c r="AS105" cm="1">
        <f t="array" ref="AS105">IF(PART_NUMBER_GENERATOR_TABLE[[#This Row],[Work Role]:[Work Role]]&lt;&gt;AS$1,0,
IF(PART_NUMBER_GENERATOR_TABLE[[#This Row],[Work Type]:[Work Type]]&lt;&gt;"BH",0,
SUMIFS(AS$24,$AM$24,PART_NUMBER_GENERATOR_TABLE[[#This Row],[Tech]:[Tech]])))</f>
        <v>0</v>
      </c>
      <c r="AT105" cm="1">
        <f t="array" ref="AT105">IF(PART_NUMBER_GENERATOR_TABLE[[#This Row],[Work Role]:[Work Role]]&lt;&gt;AS$1,0,
IF(PART_NUMBER_GENERATOR_TABLE[[#This Row],[Work Type]:[Work Type]]&lt;&gt;"BH",0,
SUMIFS(AT$24,$AM$24,PART_NUMBER_GENERATOR_TABLE[[#This Row],[Tech]:[Tech]])))</f>
        <v>0</v>
      </c>
      <c r="AU105">
        <f>SUM(PART_NUMBER_GENERATOR_TABLE[[#This Row],[Resource 1 BH]:[Resource 5 AH]],PART_NUMBER_GENERATOR_TABLE[[#This Row],[R1 Mandatory Tasks]:[R5 Mandatory Tasks]],PART_NUMBER_GENERATOR_TABLE[[#This Row],[R1 Remainder]:[R5 Remainder]])</f>
        <v>0</v>
      </c>
      <c r="AV105">
        <f>PART_NUMBER_GENERATOR_TABLE[[#This Row],[Professional Engineering Hours]]*PART_NUMBER_GENERATOR_TABLE[[#This Row],[Sell Rate]]</f>
        <v>0</v>
      </c>
      <c r="AW105">
        <f>PART_NUMBER_GENERATOR_TABLE[[#This Row],[Professional Engineering Hours]]*PART_NUMBER_GENERATOR_TABLE[[#This Row],[Cost Rate]]</f>
        <v>0</v>
      </c>
      <c r="AX105">
        <f>SUM(PART_NUMBER_GENERATOR_TABLE[[#This Row],[PM Trips]:[R5 Trips]])</f>
        <v>0</v>
      </c>
      <c r="AY105">
        <f>PART_NUMBER_GENERATOR_TABLE[[#This Row],[Travel &amp; Accommodation Hours]]*PART_NUMBER_GENERATOR_TABLE[[#This Row],[Sell Rate]]</f>
        <v>0</v>
      </c>
      <c r="AZ105">
        <f>PART_NUMBER_GENERATOR_TABLE[[#This Row],[Travel &amp; Accommodation Hours]]*PART_NUMBER_GENERATOR_TABLE[[#This Row],[Cost Rate]]</f>
        <v>0</v>
      </c>
      <c r="BA105">
        <f>PART_NUMBER_GENERATOR_TABLE[[#This Row],[PM Hours]]+PART_NUMBER_GENERATOR_TABLE[[#This Row],[PM Remainder]]</f>
        <v>0</v>
      </c>
      <c r="BB105">
        <f>PART_NUMBER_GENERATOR_TABLE[[#This Row],[Project Management Hours]]*PART_NUMBER_GENERATOR_TABLE[[#This Row],[Sell Rate]]</f>
        <v>0</v>
      </c>
      <c r="BC105">
        <f>PART_NUMBER_GENERATOR_TABLE[[#This Row],[Project Management Hours]]*PART_NUMBER_GENERATOR_TABLE[[#This Row],[Cost Rate]]</f>
        <v>0</v>
      </c>
      <c r="BD105">
        <f>SUM(PART_NUMBER_GENERATOR_TABLE[[#This Row],[SSE RISK BH]:[PM RISK]],PART_NUMBER_GENERATOR_TABLE[[#This Row],[SSE Remainder RISK BH]:[PM Remainder RISK]])</f>
        <v>0</v>
      </c>
      <c r="BE105">
        <f>PART_NUMBER_GENERATOR_TABLE[[#This Row],[Project Risk Service Hours]]*PART_NUMBER_GENERATOR_TABLE[[#This Row],[Sell Rate]]</f>
        <v>0</v>
      </c>
      <c r="BF105">
        <f>PART_NUMBER_GENERATOR_TABLE[[#This Row],[Project Risk Service Hours]]*PART_NUMBER_GENERATOR_TABLE[[#This Row],[Cost Rate]]</f>
        <v>0</v>
      </c>
      <c r="BG105">
        <f>PART_NUMBER_GENERATOR_TABLE[[#This Row],[SSE RISK TRAVEL]]</f>
        <v>0</v>
      </c>
      <c r="BH105">
        <f>PART_NUMBER_GENERATOR_TABLE[[#This Row],[Sell Rate]]*PART_NUMBER_GENERATOR_TABLE[[#This Row],[Project Risk Travel Hours]]</f>
        <v>0</v>
      </c>
      <c r="BI105">
        <f>PART_NUMBER_GENERATOR_TABLE[[#This Row],[Project Risk Travel Hours]]*PART_NUMBER_GENERATOR_TABLE[[#This Row],[Cost Rate]]</f>
        <v>0</v>
      </c>
      <c r="BJ10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0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05">
        <f>IFERROR(-VLOOKUP(INDEX(ENGINEER_ROLES,MATCH(PART_NUMBER_GENERATOR_TABLE[[#This Row],[Work Role]],settings.Table_Engineer.Roles[ID],0),1),Settings_Hidden!$H$359:$K$366,4,FALSE),0)</f>
        <v>0</v>
      </c>
      <c r="BM105" s="680">
        <f>-Summary!$C$66</f>
        <v>0</v>
      </c>
      <c r="BN105" s="465">
        <f>PART_NUMBER_GENERATOR_TABLE[[#This Row],[Total Base Price]]*MIN(PART_NUMBER_GENERATOR_TABLE[[#This Row],[Rate Service Discount]:[Flat Service Discount]])</f>
        <v>0</v>
      </c>
      <c r="BO105" s="451" t="str">
        <f>IF(PART_NUMBER_GENERATOR_TABLE[[#This Row],[Quantity]]&lt;&gt;0,MAX($BO$30:BO104)+1,"")</f>
        <v/>
      </c>
      <c r="BP105" t="str">
        <f>PART_NUMBER_GENERATOR_TABLE[[#This Row],[Part Number]]</f>
        <v>A-PS-E-NETWRK-TA-AH</v>
      </c>
      <c r="BQ105">
        <f>PART_NUMBER_GENERATOR_TABLE[[#This Row],[Total Hours]]</f>
        <v>0</v>
      </c>
      <c r="BR105">
        <f>PART_NUMBER_GENERATOR_TABLE[[#This Row],[Cost Rate]]</f>
        <v>122.02019862032805</v>
      </c>
      <c r="BS105" s="465">
        <f>PART_NUMBER_GENERATOR_TABLE[[#This Row],[Sell Rate]]+(PART_NUMBER_GENERATOR_TABLE[[#This Row],[Sell Rate]]*MIN(PART_NUMBER_GENERATOR_TABLE[[#This Row],[Rate Service Discount]:[Flat Service Discount]]))</f>
        <v>232.5</v>
      </c>
    </row>
    <row r="106" spans="1:71">
      <c r="A106">
        <v>76</v>
      </c>
      <c r="C106" t="s">
        <v>984</v>
      </c>
      <c r="D106" t="str" cm="1">
        <f t="array" ref="D106">INDEX(Table.Settings_Skill.List[Skill Name],MATCH(INDEX(_xlfn.TEXTSPLIT(C106,"-",,TRUE),4),Table.Settings_Skill.List[Skill Code],0),1)</f>
        <v>Networking</v>
      </c>
      <c r="E106" t="str" cm="1">
        <f t="array" ref="E106">INDEX(_xlfn.TEXTSPLIT(C106,"-",,TRUE),5)</f>
        <v>SE</v>
      </c>
      <c r="F106" t="str">
        <f>IFERROR(INDEX(settings.Table_Engineer.Roles[Department Code],MATCH(PART_NUMBER_GENERATOR_TABLE[[#This Row],[Work Role]],settings.Table_Engineer.Roles[ID],0),1),"PMO")</f>
        <v>ENG</v>
      </c>
      <c r="G106" t="str" cm="1">
        <f t="array" ref="G106">INDEX(_xlfn.TEXTSPLIT(C106,"-",,TRUE),6)</f>
        <v>AH</v>
      </c>
      <c r="H10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352.5</v>
      </c>
      <c r="I10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189.17783891744716</v>
      </c>
      <c r="J106" cm="1">
        <f t="array" ref="J106">IF(J$1&lt;&gt;PART_NUMBER_GENERATOR_TABLE[[#This Row],[Work Role]:[Work Role]],0,
IF(RIGHT(J$30,2)&lt;&gt;PART_NUMBER_GENERATOR_TABLE[[#This Row],[Work Type]:[Work Type]],0,
SUMIFS(Input_Tasks[R1 Business Hours],Input_Tasks[[Skill Required]:[Skill Required]],PART_NUMBER_GENERATOR_TABLE[[#This Row],[Tech]:[Tech]])))</f>
        <v>0</v>
      </c>
      <c r="K106" cm="1">
        <f t="array" ref="K106">IF(K$1&lt;&gt;PART_NUMBER_GENERATOR_TABLE[[#This Row],[Work Role]:[Work Role]],0,
IF(RIGHT(K$30,2)&lt;&gt;PART_NUMBER_GENERATOR_TABLE[[#This Row],[Work Type]:[Work Type]],0,
SUMIFS(Input_Tasks[R1 After Hours],Input_Tasks[[Skill Required]:[Skill Required]],PART_NUMBER_GENERATOR_TABLE[[#This Row],[Tech]:[Tech]])))</f>
        <v>0</v>
      </c>
      <c r="L106" cm="1">
        <f t="array" ref="L106">IF(L$1&lt;&gt;PART_NUMBER_GENERATOR_TABLE[[#This Row],[Work Role]:[Work Role]],0,
IF(RIGHT(L$30,2)&lt;&gt;PART_NUMBER_GENERATOR_TABLE[[#This Row],[Work Type]:[Work Type]],0,
SUMIFS(Input_Tasks[R2 Business Hours],Input_Tasks[[Skill Required]:[Skill Required]],PART_NUMBER_GENERATOR_TABLE[[#This Row],[Tech]:[Tech]])))</f>
        <v>0</v>
      </c>
      <c r="M106" cm="1">
        <f t="array" ref="M106">IF(M$1&lt;&gt;PART_NUMBER_GENERATOR_TABLE[[#This Row],[Work Role]:[Work Role]],0,
IF(RIGHT(M$30,2)&lt;&gt;PART_NUMBER_GENERATOR_TABLE[[#This Row],[Work Type]:[Work Type]],0,
SUMIFS(Input_Tasks[R2 After Hours],Input_Tasks[[Skill Required]:[Skill Required]],PART_NUMBER_GENERATOR_TABLE[[#This Row],[Tech]:[Tech]])))</f>
        <v>0</v>
      </c>
      <c r="N106" cm="1">
        <f t="array" ref="N106">IF(N$1&lt;&gt;PART_NUMBER_GENERATOR_TABLE[[#This Row],[Work Role]:[Work Role]],0,
IF(RIGHT(N$30,2)&lt;&gt;PART_NUMBER_GENERATOR_TABLE[[#This Row],[Work Type]:[Work Type]],0,
SUMIFS(Input_Tasks[R3 Business Hours],Input_Tasks[[Skill Required]:[Skill Required]],PART_NUMBER_GENERATOR_TABLE[[#This Row],[Tech]:[Tech]])))</f>
        <v>0</v>
      </c>
      <c r="O106" cm="1">
        <f t="array" ref="O106">IF(O$1&lt;&gt;PART_NUMBER_GENERATOR_TABLE[[#This Row],[Work Role]:[Work Role]],0,
IF(RIGHT(O$30,2)&lt;&gt;PART_NUMBER_GENERATOR_TABLE[[#This Row],[Work Type]:[Work Type]],0,
SUMIFS(Input_Tasks[R3 After Hours],Input_Tasks[[Skill Required]:[Skill Required]],PART_NUMBER_GENERATOR_TABLE[[#This Row],[Tech]:[Tech]])))</f>
        <v>0</v>
      </c>
      <c r="P106" cm="1">
        <f t="array" ref="P106">IF(P$1&lt;&gt;PART_NUMBER_GENERATOR_TABLE[[#This Row],[Work Role]:[Work Role]],0,
IF(RIGHT(P$30,2)&lt;&gt;PART_NUMBER_GENERATOR_TABLE[[#This Row],[Work Type]:[Work Type]],0,
SUMIFS(Input_Tasks[R4 Business Hours],Input_Tasks[[Skill Required]:[Skill Required]],PART_NUMBER_GENERATOR_TABLE[[#This Row],[Tech]:[Tech]])))</f>
        <v>0</v>
      </c>
      <c r="Q106" cm="1">
        <f t="array" ref="Q106">IF(Q$1&lt;&gt;PART_NUMBER_GENERATOR_TABLE[[#This Row],[Work Role]:[Work Role]],0,
IF(RIGHT(Q$30,2)&lt;&gt;PART_NUMBER_GENERATOR_TABLE[[#This Row],[Work Type]:[Work Type]],0,
SUMIFS(Input_Tasks[R4 After Hours],Input_Tasks[[Skill Required]:[Skill Required]],PART_NUMBER_GENERATOR_TABLE[[#This Row],[Tech]:[Tech]])))</f>
        <v>0</v>
      </c>
      <c r="R106" cm="1">
        <f t="array" ref="R106">IF(R$1&lt;&gt;PART_NUMBER_GENERATOR_TABLE[[#This Row],[Work Role]:[Work Role]],0,
IF(RIGHT(R$30,2)&lt;&gt;PART_NUMBER_GENERATOR_TABLE[[#This Row],[Work Type]:[Work Type]],0,
SUMIFS(Input_Tasks[R5 Business Hours],Input_Tasks[[Skill Required]:[Skill Required]],PART_NUMBER_GENERATOR_TABLE[[#This Row],[Tech]:[Tech]])))</f>
        <v>0</v>
      </c>
      <c r="S106" cm="1">
        <f t="array" ref="S106">IF(S$1&lt;&gt;PART_NUMBER_GENERATOR_TABLE[[#This Row],[Work Role]:[Work Role]],0,
IF(RIGHT(S$30,2)&lt;&gt;PART_NUMBER_GENERATOR_TABLE[[#This Row],[Work Type]:[Work Type]],0,
SUMIFS(Input_Tasks[R5 After Hours],Input_Tasks[[Skill Required]:[Skill Required]],PART_NUMBER_GENERATOR_TABLE[[#This Row],[Tech]:[Tech]])))</f>
        <v>0</v>
      </c>
      <c r="T106" cm="1">
        <f t="array" ref="T106">IF(PART_NUMBER_GENERATOR_TABLE[[#This Row],[Work Role]:[Work Role]]&lt;&gt;T$1,0,
IF(PART_NUMBER_GENERATOR_TABLE[[#This Row],[Work Type]:[Work Type]]&lt;&gt;"BH",0,
SUMIFS(T$9:T$24,$M$9:$M$24,PART_NUMBER_GENERATOR_TABLE[[#This Row],[Tech]:[Tech]])))</f>
        <v>0</v>
      </c>
      <c r="U106" cm="1">
        <f t="array" ref="U106">IF(PART_NUMBER_GENERATOR_TABLE[[#This Row],[Work Role]:[Work Role]]&lt;&gt;U$1,0,
IF(PART_NUMBER_GENERATOR_TABLE[[#This Row],[Work Type]:[Work Type]]&lt;&gt;"BH",0,
SUMIFS(U$9:U$24,$M$9:$M$24,PART_NUMBER_GENERATOR_TABLE[[#This Row],[Tech]:[Tech]])))</f>
        <v>0</v>
      </c>
      <c r="V106" cm="1">
        <f t="array" ref="V106">IF(PART_NUMBER_GENERATOR_TABLE[[#This Row],[Work Role]:[Work Role]]&lt;&gt;V$1,0,
IF(PART_NUMBER_GENERATOR_TABLE[[#This Row],[Work Type]:[Work Type]]&lt;&gt;"BH",0,
SUMIFS(V$9:V$24,$M$9:$M$24,PART_NUMBER_GENERATOR_TABLE[[#This Row],[Tech]:[Tech]])))</f>
        <v>0</v>
      </c>
      <c r="W106" cm="1">
        <f t="array" ref="W106">IF(PART_NUMBER_GENERATOR_TABLE[[#This Row],[Work Role]:[Work Role]]&lt;&gt;W$1,0,
IF(PART_NUMBER_GENERATOR_TABLE[[#This Row],[Work Type]:[Work Type]]&lt;&gt;"BH",0,
SUMIFS(W$9:W$24,$M$9:$M$24,PART_NUMBER_GENERATOR_TABLE[[#This Row],[Tech]:[Tech]])))</f>
        <v>0</v>
      </c>
      <c r="X106" cm="1">
        <f t="array" ref="X106">IF(PART_NUMBER_GENERATOR_TABLE[[#This Row],[Work Role]:[Work Role]]&lt;&gt;X$1,0,
IF(PART_NUMBER_GENERATOR_TABLE[[#This Row],[Work Type]:[Work Type]]&lt;&gt;"BH",0,
SUMIFS(X$9:X$24,$M$9:$M$24,PART_NUMBER_GENERATOR_TABLE[[#This Row],[Tech]:[Tech]])))</f>
        <v>0</v>
      </c>
      <c r="Y106" cm="1">
        <f t="array" ref="Y106">IF(PART_NUMBER_GENERATOR_TABLE[[#This Row],[Work Role]:[Work Role]]&lt;&gt;Y$1,0,
IF(PART_NUMBER_GENERATOR_TABLE[[#This Row],[Work Type]:[Work Type]]&lt;&gt;"BH",0,
SUMIFS(Y$9:Y$24,$M$9:$M$24,PART_NUMBER_GENERATOR_TABLE[[#This Row],[Tech]:[Tech]])))</f>
        <v>0</v>
      </c>
      <c r="Z106" cm="1">
        <f t="array" ref="Z106">IF(PART_NUMBER_GENERATOR_TABLE[[#This Row],[Work Role]:[Work Role]]&lt;&gt;Z$1,0,
IF(PART_NUMBER_GENERATOR_TABLE[[#This Row],[Work Type]:[Work Type]]&lt;&gt;"BH",0,
SUMIFS(Z$9:Z$24,$M$9:$M$24,PART_NUMBER_GENERATOR_TABLE[[#This Row],[Tech]:[Tech]])))</f>
        <v>0</v>
      </c>
      <c r="AA106" cm="1">
        <f t="array" ref="AA106">IF(PART_NUMBER_GENERATOR_TABLE[[#This Row],[Work Role]:[Work Role]]&lt;&gt;AA$1,0,
IF(PART_NUMBER_GENERATOR_TABLE[[#This Row],[Work Type]:[Work Type]]&lt;&gt;"BH",0,
SUMIFS(AA$9:AA$24,$M$9:$M$24,PART_NUMBER_GENERATOR_TABLE[[#This Row],[Tech]:[Tech]])))</f>
        <v>0</v>
      </c>
      <c r="AB106" cm="1">
        <f t="array" ref="AB106">IF(PART_NUMBER_GENERATOR_TABLE[[#This Row],[Work Role]:[Work Role]]&lt;&gt;AB$1,0,
IF(PART_NUMBER_GENERATOR_TABLE[[#This Row],[Work Type]:[Work Type]]&lt;&gt;"BH",0,
SUMIFS(AB$9:AB$24,$M$9:$M$24,PART_NUMBER_GENERATOR_TABLE[[#This Row],[Tech]:[Tech]])))</f>
        <v>0</v>
      </c>
      <c r="AC106" cm="1">
        <f t="array" ref="AC106">IF(PART_NUMBER_GENERATOR_TABLE[[#This Row],[Work Role]:[Work Role]]&lt;&gt;AC$1,0,
IF(PART_NUMBER_GENERATOR_TABLE[[#This Row],[Work Type]:[Work Type]]&lt;&gt;"BH",0,
SUMIFS(AC$9:AC$24,$M$9:$M$24,PART_NUMBER_GENERATOR_TABLE[[#This Row],[Tech]:[Tech]])))</f>
        <v>0</v>
      </c>
      <c r="AD106" cm="1">
        <f t="array" ref="AD106">IF(PART_NUMBER_GENERATOR_TABLE[[#This Row],[Work Role]:[Work Role]]&lt;&gt;AD$1,0,
IF(PART_NUMBER_GENERATOR_TABLE[[#This Row],[Work Type]:[Work Type]]&lt;&gt;"BH",0,
SUMIFS(AD$9:AD$24,$M$9:$M$24,PART_NUMBER_GENERATOR_TABLE[[#This Row],[Tech]:[Tech]])))</f>
        <v>0</v>
      </c>
      <c r="AE106" cm="1">
        <f t="array" ref="AE106">IF(PART_NUMBER_GENERATOR_TABLE[[#This Row],[Work Role]:[Work Role]]&lt;&gt;AE$1,0,
IF(PART_NUMBER_GENERATOR_TABLE[[#This Row],[Work Type]:[Work Type]]&lt;&gt;"BH",0,
SUMIFS(AE$9:AE$24,$M$9:$M$24,PART_NUMBER_GENERATOR_TABLE[[#This Row],[Tech]:[Tech]])))</f>
        <v>0</v>
      </c>
      <c r="AF106" cm="1">
        <f t="array" ref="AF106">IF(PART_NUMBER_GENERATOR_TABLE[[#This Row],[Work Role]:[Work Role]]&lt;&gt;AF$1,0,
IF(PART_NUMBER_GENERATOR_TABLE[[#This Row],[Work Type]:[Work Type]]&lt;&gt;"BH",0,
SUMIFS(AF$9:AF$24,$M$9:$M$24,PART_NUMBER_GENERATOR_TABLE[[#This Row],[Tech]:[Tech]])))</f>
        <v>0</v>
      </c>
      <c r="AG106" cm="1">
        <f t="array" ref="AG106">IF(PART_NUMBER_GENERATOR_TABLE[[#This Row],[Work Role]:[Work Role]]&lt;&gt;AG$1,0,
IF(PART_NUMBER_GENERATOR_TABLE[[#This Row],[Work Type]:[Work Type]]&lt;&gt;"AH",0,
SUMIFS(AG$9:AG$24,$M$9:$M$24,PART_NUMBER_GENERATOR_TABLE[[#This Row],[Tech]:[Tech]])))</f>
        <v>0</v>
      </c>
      <c r="AH106" cm="1">
        <f t="array" ref="AH106">IF(PART_NUMBER_GENERATOR_TABLE[[#This Row],[Work Role]:[Work Role]]&lt;&gt;AH$1,0,
IF(PART_NUMBER_GENERATOR_TABLE[[#This Row],[Work Type]:[Work Type]]&lt;&gt;"BH",0,
SUMIFS(AH$9:AH$24,$M$9:$M$24,PART_NUMBER_GENERATOR_TABLE[[#This Row],[Tech]:[Tech]])))</f>
        <v>0</v>
      </c>
      <c r="AI106" cm="1">
        <f t="array" ref="AI106">IF(PART_NUMBER_GENERATOR_TABLE[[#This Row],[Work Role]:[Work Role]]&lt;&gt;AI$1,0,
IF(PART_NUMBER_GENERATOR_TABLE[[#This Row],[Work Type]:[Work Type]]&lt;&gt;"BH",0,
SUMIFS(AI$9:AI$24,$M$9:$M$24,PART_NUMBER_GENERATOR_TABLE[[#This Row],[Tech]:[Tech]])))</f>
        <v>0</v>
      </c>
      <c r="AJ106" cm="1">
        <f t="array" ref="AJ106">IF(PART_NUMBER_GENERATOR_TABLE[[#This Row],[Work Role]:[Work Role]]&lt;&gt;AJ$1,0,
IF(PART_NUMBER_GENERATOR_TABLE[[#This Row],[Work Type]:[Work Type]]&lt;&gt;"BH",0,
SUMIFS(AJ$9:AJ$24,$M$9:$M$24,PART_NUMBER_GENERATOR_TABLE[[#This Row],[Tech]:[Tech]])))</f>
        <v>0</v>
      </c>
      <c r="AK106" cm="1">
        <f t="array" ref="AK106">IF(PART_NUMBER_GENERATOR_TABLE[[#This Row],[Work Role]:[Work Role]]&lt;&gt;AK$1,0,
IF(PART_NUMBER_GENERATOR_TABLE[[#This Row],[Work Type]:[Work Type]]&lt;&gt;"AH",0,
SUMIFS(AK$9:AK$24,$M$9:$M$24,PART_NUMBER_GENERATOR_TABLE[[#This Row],[Tech]:[Tech]])))</f>
        <v>0</v>
      </c>
      <c r="AL106" cm="1">
        <f t="array" ref="AL106">IF(PART_NUMBER_GENERATOR_TABLE[[#This Row],[Work Role]:[Work Role]]&lt;&gt;AL$1,0,
IF(PART_NUMBER_GENERATOR_TABLE[[#This Row],[Work Type]:[Work Type]]&lt;&gt;"BH",0,
SUMIFS(AL$9:AL$24,$M$9:$M$24,PART_NUMBER_GENERATOR_TABLE[[#This Row],[Tech]:[Tech]])))</f>
        <v>0</v>
      </c>
      <c r="AM106">
        <f>0</f>
        <v>0</v>
      </c>
      <c r="AN106" cm="1">
        <f t="array" ref="AN106">IF(PART_NUMBER_GENERATOR_TABLE[[#This Row],[Work Role]:[Work Role]]&lt;&gt;AN$1,0,
IF(PART_NUMBER_GENERATOR_TABLE[[#This Row],[Work Type]:[Work Type]]&lt;&gt;"BH",0,
SUMIFS(AN$24,$AM$24,PART_NUMBER_GENERATOR_TABLE[[#This Row],[Tech]:[Tech]])))</f>
        <v>0</v>
      </c>
      <c r="AO106" cm="1">
        <f t="array" ref="AO106">IF(PART_NUMBER_GENERATOR_TABLE[[#This Row],[Work Role]:[Work Role]]&lt;&gt;AO$1,0,
IF(PART_NUMBER_GENERATOR_TABLE[[#This Row],[Work Type]:[Work Type]]&lt;&gt;"BH",0,
SUMIFS(AO$24,$AM$24,PART_NUMBER_GENERATOR_TABLE[[#This Row],[Tech]:[Tech]])))</f>
        <v>0</v>
      </c>
      <c r="AP106" cm="1">
        <f t="array" ref="AP106">IF(PART_NUMBER_GENERATOR_TABLE[[#This Row],[Work Role]:[Work Role]]&lt;&gt;AP$1,0,
IF(PART_NUMBER_GENERATOR_TABLE[[#This Row],[Work Type]:[Work Type]]&lt;&gt;"BH",0,
SUMIFS(AP$24,$AM$24,PART_NUMBER_GENERATOR_TABLE[[#This Row],[Tech]:[Tech]])))</f>
        <v>0</v>
      </c>
      <c r="AQ106" cm="1">
        <f t="array" ref="AQ106">IF(PART_NUMBER_GENERATOR_TABLE[[#This Row],[Work Role]:[Work Role]]&lt;&gt;AQ$1,0,
IF(PART_NUMBER_GENERATOR_TABLE[[#This Row],[Work Type]:[Work Type]]&lt;&gt;"BH",0,
SUMIFS(AQ$24,$AM$24,PART_NUMBER_GENERATOR_TABLE[[#This Row],[Tech]:[Tech]])))</f>
        <v>0</v>
      </c>
      <c r="AR106" cm="1">
        <f t="array" ref="AR106">IF(PART_NUMBER_GENERATOR_TABLE[[#This Row],[Work Role]:[Work Role]]&lt;&gt;AR$1,0,
IF(PART_NUMBER_GENERATOR_TABLE[[#This Row],[Work Type]:[Work Type]]&lt;&gt;"BH",0,
SUMIFS(AR$24,$AM$24,PART_NUMBER_GENERATOR_TABLE[[#This Row],[Tech]:[Tech]])))</f>
        <v>0</v>
      </c>
      <c r="AS106" cm="1">
        <f t="array" ref="AS106">IF(PART_NUMBER_GENERATOR_TABLE[[#This Row],[Work Role]:[Work Role]]&lt;&gt;AS$1,0,
IF(PART_NUMBER_GENERATOR_TABLE[[#This Row],[Work Type]:[Work Type]]&lt;&gt;"BH",0,
SUMIFS(AS$24,$AM$24,PART_NUMBER_GENERATOR_TABLE[[#This Row],[Tech]:[Tech]])))</f>
        <v>0</v>
      </c>
      <c r="AT106" cm="1">
        <f t="array" ref="AT106">IF(PART_NUMBER_GENERATOR_TABLE[[#This Row],[Work Role]:[Work Role]]&lt;&gt;AS$1,0,
IF(PART_NUMBER_GENERATOR_TABLE[[#This Row],[Work Type]:[Work Type]]&lt;&gt;"BH",0,
SUMIFS(AT$24,$AM$24,PART_NUMBER_GENERATOR_TABLE[[#This Row],[Tech]:[Tech]])))</f>
        <v>0</v>
      </c>
      <c r="AU106">
        <f>SUM(PART_NUMBER_GENERATOR_TABLE[[#This Row],[Resource 1 BH]:[Resource 5 AH]],PART_NUMBER_GENERATOR_TABLE[[#This Row],[R1 Mandatory Tasks]:[R5 Mandatory Tasks]],PART_NUMBER_GENERATOR_TABLE[[#This Row],[R1 Remainder]:[R5 Remainder]])</f>
        <v>0</v>
      </c>
      <c r="AV106">
        <f>PART_NUMBER_GENERATOR_TABLE[[#This Row],[Professional Engineering Hours]]*PART_NUMBER_GENERATOR_TABLE[[#This Row],[Sell Rate]]</f>
        <v>0</v>
      </c>
      <c r="AW106">
        <f>PART_NUMBER_GENERATOR_TABLE[[#This Row],[Professional Engineering Hours]]*PART_NUMBER_GENERATOR_TABLE[[#This Row],[Cost Rate]]</f>
        <v>0</v>
      </c>
      <c r="AX106">
        <f>SUM(PART_NUMBER_GENERATOR_TABLE[[#This Row],[PM Trips]:[R5 Trips]])</f>
        <v>0</v>
      </c>
      <c r="AY106">
        <f>PART_NUMBER_GENERATOR_TABLE[[#This Row],[Travel &amp; Accommodation Hours]]*PART_NUMBER_GENERATOR_TABLE[[#This Row],[Sell Rate]]</f>
        <v>0</v>
      </c>
      <c r="AZ106">
        <f>PART_NUMBER_GENERATOR_TABLE[[#This Row],[Travel &amp; Accommodation Hours]]*PART_NUMBER_GENERATOR_TABLE[[#This Row],[Cost Rate]]</f>
        <v>0</v>
      </c>
      <c r="BA106">
        <f>PART_NUMBER_GENERATOR_TABLE[[#This Row],[PM Hours]]+PART_NUMBER_GENERATOR_TABLE[[#This Row],[PM Remainder]]</f>
        <v>0</v>
      </c>
      <c r="BB106">
        <f>PART_NUMBER_GENERATOR_TABLE[[#This Row],[Project Management Hours]]*PART_NUMBER_GENERATOR_TABLE[[#This Row],[Sell Rate]]</f>
        <v>0</v>
      </c>
      <c r="BC106">
        <f>PART_NUMBER_GENERATOR_TABLE[[#This Row],[Project Management Hours]]*PART_NUMBER_GENERATOR_TABLE[[#This Row],[Cost Rate]]</f>
        <v>0</v>
      </c>
      <c r="BD106">
        <f>SUM(PART_NUMBER_GENERATOR_TABLE[[#This Row],[SSE RISK BH]:[PM RISK]],PART_NUMBER_GENERATOR_TABLE[[#This Row],[SSE Remainder RISK BH]:[PM Remainder RISK]])</f>
        <v>0</v>
      </c>
      <c r="BE106">
        <f>PART_NUMBER_GENERATOR_TABLE[[#This Row],[Project Risk Service Hours]]*PART_NUMBER_GENERATOR_TABLE[[#This Row],[Sell Rate]]</f>
        <v>0</v>
      </c>
      <c r="BF106">
        <f>PART_NUMBER_GENERATOR_TABLE[[#This Row],[Project Risk Service Hours]]*PART_NUMBER_GENERATOR_TABLE[[#This Row],[Cost Rate]]</f>
        <v>0</v>
      </c>
      <c r="BG106">
        <f>PART_NUMBER_GENERATOR_TABLE[[#This Row],[SSE RISK TRAVEL]]</f>
        <v>0</v>
      </c>
      <c r="BH106">
        <f>PART_NUMBER_GENERATOR_TABLE[[#This Row],[Sell Rate]]*PART_NUMBER_GENERATOR_TABLE[[#This Row],[Project Risk Travel Hours]]</f>
        <v>0</v>
      </c>
      <c r="BI106">
        <f>PART_NUMBER_GENERATOR_TABLE[[#This Row],[Project Risk Travel Hours]]*PART_NUMBER_GENERATOR_TABLE[[#This Row],[Cost Rate]]</f>
        <v>0</v>
      </c>
      <c r="BJ10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0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06">
        <f>IFERROR(-VLOOKUP(INDEX(ENGINEER_ROLES,MATCH(PART_NUMBER_GENERATOR_TABLE[[#This Row],[Work Role]],settings.Table_Engineer.Roles[ID],0),1),Settings_Hidden!$H$359:$K$366,4,FALSE),0)</f>
        <v>0</v>
      </c>
      <c r="BM106" s="680">
        <f>-Summary!$C$66</f>
        <v>0</v>
      </c>
      <c r="BN106" s="465">
        <f>PART_NUMBER_GENERATOR_TABLE[[#This Row],[Total Base Price]]*MIN(PART_NUMBER_GENERATOR_TABLE[[#This Row],[Rate Service Discount]:[Flat Service Discount]])</f>
        <v>0</v>
      </c>
      <c r="BO106" s="451" t="str">
        <f>IF(PART_NUMBER_GENERATOR_TABLE[[#This Row],[Quantity]]&lt;&gt;0,MAX($BO$30:BO105)+1,"")</f>
        <v/>
      </c>
      <c r="BP106" t="str">
        <f>PART_NUMBER_GENERATOR_TABLE[[#This Row],[Part Number]]</f>
        <v>A-PS-E-NETWRK-SE-AH</v>
      </c>
      <c r="BQ106">
        <f>PART_NUMBER_GENERATOR_TABLE[[#This Row],[Total Hours]]</f>
        <v>0</v>
      </c>
      <c r="BR106">
        <f>PART_NUMBER_GENERATOR_TABLE[[#This Row],[Cost Rate]]</f>
        <v>189.17783891744716</v>
      </c>
      <c r="BS106" s="465">
        <f>PART_NUMBER_GENERATOR_TABLE[[#This Row],[Sell Rate]]+(PART_NUMBER_GENERATOR_TABLE[[#This Row],[Sell Rate]]*MIN(PART_NUMBER_GENERATOR_TABLE[[#This Row],[Rate Service Discount]:[Flat Service Discount]]))</f>
        <v>352.5</v>
      </c>
    </row>
    <row r="107" spans="1:71">
      <c r="A107">
        <v>77</v>
      </c>
      <c r="C107" t="s">
        <v>978</v>
      </c>
      <c r="D107" t="str" cm="1">
        <f t="array" ref="D107">INDEX(Table.Settings_Skill.List[Skill Name],MATCH(INDEX(_xlfn.TEXTSPLIT(C107,"-",,TRUE),4),Table.Settings_Skill.List[Skill Code],0),1)</f>
        <v>Networking</v>
      </c>
      <c r="E107" t="str" cm="1">
        <f t="array" ref="E107">INDEX(_xlfn.TEXTSPLIT(C107,"-",,TRUE),5)</f>
        <v>SSE</v>
      </c>
      <c r="F107" t="str">
        <f>IFERROR(INDEX(settings.Table_Engineer.Roles[Department Code],MATCH(PART_NUMBER_GENERATOR_TABLE[[#This Row],[Work Role]],settings.Table_Engineer.Roles[ID],0),1),"PMO")</f>
        <v>ENG</v>
      </c>
      <c r="G107" t="str" cm="1">
        <f t="array" ref="G107">INDEX(_xlfn.TEXTSPLIT(C107,"-",,TRUE),6)</f>
        <v>AH</v>
      </c>
      <c r="H10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420.75</v>
      </c>
      <c r="I10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224.87758587669589</v>
      </c>
      <c r="J107" cm="1">
        <f t="array" ref="J107">IF(J$1&lt;&gt;PART_NUMBER_GENERATOR_TABLE[[#This Row],[Work Role]:[Work Role]],0,
IF(RIGHT(J$30,2)&lt;&gt;PART_NUMBER_GENERATOR_TABLE[[#This Row],[Work Type]:[Work Type]],0,
SUMIFS(Input_Tasks[R1 Business Hours],Input_Tasks[[Skill Required]:[Skill Required]],PART_NUMBER_GENERATOR_TABLE[[#This Row],[Tech]:[Tech]])))</f>
        <v>0</v>
      </c>
      <c r="K107" cm="1">
        <f t="array" ref="K107">IF(K$1&lt;&gt;PART_NUMBER_GENERATOR_TABLE[[#This Row],[Work Role]:[Work Role]],0,
IF(RIGHT(K$30,2)&lt;&gt;PART_NUMBER_GENERATOR_TABLE[[#This Row],[Work Type]:[Work Type]],0,
SUMIFS(Input_Tasks[R1 After Hours],Input_Tasks[[Skill Required]:[Skill Required]],PART_NUMBER_GENERATOR_TABLE[[#This Row],[Tech]:[Tech]])))</f>
        <v>0</v>
      </c>
      <c r="L107" cm="1">
        <f t="array" ref="L107">IF(L$1&lt;&gt;PART_NUMBER_GENERATOR_TABLE[[#This Row],[Work Role]:[Work Role]],0,
IF(RIGHT(L$30,2)&lt;&gt;PART_NUMBER_GENERATOR_TABLE[[#This Row],[Work Type]:[Work Type]],0,
SUMIFS(Input_Tasks[R2 Business Hours],Input_Tasks[[Skill Required]:[Skill Required]],PART_NUMBER_GENERATOR_TABLE[[#This Row],[Tech]:[Tech]])))</f>
        <v>0</v>
      </c>
      <c r="M107" cm="1">
        <f t="array" ref="M107">IF(M$1&lt;&gt;PART_NUMBER_GENERATOR_TABLE[[#This Row],[Work Role]:[Work Role]],0,
IF(RIGHT(M$30,2)&lt;&gt;PART_NUMBER_GENERATOR_TABLE[[#This Row],[Work Type]:[Work Type]],0,
SUMIFS(Input_Tasks[R2 After Hours],Input_Tasks[[Skill Required]:[Skill Required]],PART_NUMBER_GENERATOR_TABLE[[#This Row],[Tech]:[Tech]])))</f>
        <v>0</v>
      </c>
      <c r="N107" cm="1">
        <f t="array" ref="N107">IF(N$1&lt;&gt;PART_NUMBER_GENERATOR_TABLE[[#This Row],[Work Role]:[Work Role]],0,
IF(RIGHT(N$30,2)&lt;&gt;PART_NUMBER_GENERATOR_TABLE[[#This Row],[Work Type]:[Work Type]],0,
SUMIFS(Input_Tasks[R3 Business Hours],Input_Tasks[[Skill Required]:[Skill Required]],PART_NUMBER_GENERATOR_TABLE[[#This Row],[Tech]:[Tech]])))</f>
        <v>0</v>
      </c>
      <c r="O107" cm="1">
        <f t="array" ref="O107">IF(O$1&lt;&gt;PART_NUMBER_GENERATOR_TABLE[[#This Row],[Work Role]:[Work Role]],0,
IF(RIGHT(O$30,2)&lt;&gt;PART_NUMBER_GENERATOR_TABLE[[#This Row],[Work Type]:[Work Type]],0,
SUMIFS(Input_Tasks[R3 After Hours],Input_Tasks[[Skill Required]:[Skill Required]],PART_NUMBER_GENERATOR_TABLE[[#This Row],[Tech]:[Tech]])))</f>
        <v>0</v>
      </c>
      <c r="P107" cm="1">
        <f t="array" ref="P107">IF(P$1&lt;&gt;PART_NUMBER_GENERATOR_TABLE[[#This Row],[Work Role]:[Work Role]],0,
IF(RIGHT(P$30,2)&lt;&gt;PART_NUMBER_GENERATOR_TABLE[[#This Row],[Work Type]:[Work Type]],0,
SUMIFS(Input_Tasks[R4 Business Hours],Input_Tasks[[Skill Required]:[Skill Required]],PART_NUMBER_GENERATOR_TABLE[[#This Row],[Tech]:[Tech]])))</f>
        <v>0</v>
      </c>
      <c r="Q107" cm="1">
        <f t="array" ref="Q107">IF(Q$1&lt;&gt;PART_NUMBER_GENERATOR_TABLE[[#This Row],[Work Role]:[Work Role]],0,
IF(RIGHT(Q$30,2)&lt;&gt;PART_NUMBER_GENERATOR_TABLE[[#This Row],[Work Type]:[Work Type]],0,
SUMIFS(Input_Tasks[R4 After Hours],Input_Tasks[[Skill Required]:[Skill Required]],PART_NUMBER_GENERATOR_TABLE[[#This Row],[Tech]:[Tech]])))</f>
        <v>0</v>
      </c>
      <c r="R107" cm="1">
        <f t="array" ref="R107">IF(R$1&lt;&gt;PART_NUMBER_GENERATOR_TABLE[[#This Row],[Work Role]:[Work Role]],0,
IF(RIGHT(R$30,2)&lt;&gt;PART_NUMBER_GENERATOR_TABLE[[#This Row],[Work Type]:[Work Type]],0,
SUMIFS(Input_Tasks[R5 Business Hours],Input_Tasks[[Skill Required]:[Skill Required]],PART_NUMBER_GENERATOR_TABLE[[#This Row],[Tech]:[Tech]])))</f>
        <v>0</v>
      </c>
      <c r="S107" cm="1">
        <f t="array" ref="S107">IF(S$1&lt;&gt;PART_NUMBER_GENERATOR_TABLE[[#This Row],[Work Role]:[Work Role]],0,
IF(RIGHT(S$30,2)&lt;&gt;PART_NUMBER_GENERATOR_TABLE[[#This Row],[Work Type]:[Work Type]],0,
SUMIFS(Input_Tasks[R5 After Hours],Input_Tasks[[Skill Required]:[Skill Required]],PART_NUMBER_GENERATOR_TABLE[[#This Row],[Tech]:[Tech]])))</f>
        <v>0</v>
      </c>
      <c r="T107" cm="1">
        <f t="array" ref="T107">IF(PART_NUMBER_GENERATOR_TABLE[[#This Row],[Work Role]:[Work Role]]&lt;&gt;T$1,0,
IF(PART_NUMBER_GENERATOR_TABLE[[#This Row],[Work Type]:[Work Type]]&lt;&gt;"BH",0,
SUMIFS(T$9:T$24,$M$9:$M$24,PART_NUMBER_GENERATOR_TABLE[[#This Row],[Tech]:[Tech]])))</f>
        <v>0</v>
      </c>
      <c r="U107" cm="1">
        <f t="array" ref="U107">IF(PART_NUMBER_GENERATOR_TABLE[[#This Row],[Work Role]:[Work Role]]&lt;&gt;U$1,0,
IF(PART_NUMBER_GENERATOR_TABLE[[#This Row],[Work Type]:[Work Type]]&lt;&gt;"BH",0,
SUMIFS(U$9:U$24,$M$9:$M$24,PART_NUMBER_GENERATOR_TABLE[[#This Row],[Tech]:[Tech]])))</f>
        <v>0</v>
      </c>
      <c r="V107" cm="1">
        <f t="array" ref="V107">IF(PART_NUMBER_GENERATOR_TABLE[[#This Row],[Work Role]:[Work Role]]&lt;&gt;V$1,0,
IF(PART_NUMBER_GENERATOR_TABLE[[#This Row],[Work Type]:[Work Type]]&lt;&gt;"BH",0,
SUMIFS(V$9:V$24,$M$9:$M$24,PART_NUMBER_GENERATOR_TABLE[[#This Row],[Tech]:[Tech]])))</f>
        <v>0</v>
      </c>
      <c r="W107" cm="1">
        <f t="array" ref="W107">IF(PART_NUMBER_GENERATOR_TABLE[[#This Row],[Work Role]:[Work Role]]&lt;&gt;W$1,0,
IF(PART_NUMBER_GENERATOR_TABLE[[#This Row],[Work Type]:[Work Type]]&lt;&gt;"BH",0,
SUMIFS(W$9:W$24,$M$9:$M$24,PART_NUMBER_GENERATOR_TABLE[[#This Row],[Tech]:[Tech]])))</f>
        <v>0</v>
      </c>
      <c r="X107" cm="1">
        <f t="array" ref="X107">IF(PART_NUMBER_GENERATOR_TABLE[[#This Row],[Work Role]:[Work Role]]&lt;&gt;X$1,0,
IF(PART_NUMBER_GENERATOR_TABLE[[#This Row],[Work Type]:[Work Type]]&lt;&gt;"BH",0,
SUMIFS(X$9:X$24,$M$9:$M$24,PART_NUMBER_GENERATOR_TABLE[[#This Row],[Tech]:[Tech]])))</f>
        <v>0</v>
      </c>
      <c r="Y107" cm="1">
        <f t="array" ref="Y107">IF(PART_NUMBER_GENERATOR_TABLE[[#This Row],[Work Role]:[Work Role]]&lt;&gt;Y$1,0,
IF(PART_NUMBER_GENERATOR_TABLE[[#This Row],[Work Type]:[Work Type]]&lt;&gt;"BH",0,
SUMIFS(Y$9:Y$24,$M$9:$M$24,PART_NUMBER_GENERATOR_TABLE[[#This Row],[Tech]:[Tech]])))</f>
        <v>0</v>
      </c>
      <c r="Z107" cm="1">
        <f t="array" ref="Z107">IF(PART_NUMBER_GENERATOR_TABLE[[#This Row],[Work Role]:[Work Role]]&lt;&gt;Z$1,0,
IF(PART_NUMBER_GENERATOR_TABLE[[#This Row],[Work Type]:[Work Type]]&lt;&gt;"BH",0,
SUMIFS(Z$9:Z$24,$M$9:$M$24,PART_NUMBER_GENERATOR_TABLE[[#This Row],[Tech]:[Tech]])))</f>
        <v>0</v>
      </c>
      <c r="AA107" cm="1">
        <f t="array" ref="AA107">IF(PART_NUMBER_GENERATOR_TABLE[[#This Row],[Work Role]:[Work Role]]&lt;&gt;AA$1,0,
IF(PART_NUMBER_GENERATOR_TABLE[[#This Row],[Work Type]:[Work Type]]&lt;&gt;"BH",0,
SUMIFS(AA$9:AA$24,$M$9:$M$24,PART_NUMBER_GENERATOR_TABLE[[#This Row],[Tech]:[Tech]])))</f>
        <v>0</v>
      </c>
      <c r="AB107" cm="1">
        <f t="array" ref="AB107">IF(PART_NUMBER_GENERATOR_TABLE[[#This Row],[Work Role]:[Work Role]]&lt;&gt;AB$1,0,
IF(PART_NUMBER_GENERATOR_TABLE[[#This Row],[Work Type]:[Work Type]]&lt;&gt;"BH",0,
SUMIFS(AB$9:AB$24,$M$9:$M$24,PART_NUMBER_GENERATOR_TABLE[[#This Row],[Tech]:[Tech]])))</f>
        <v>0</v>
      </c>
      <c r="AC107" cm="1">
        <f t="array" ref="AC107">IF(PART_NUMBER_GENERATOR_TABLE[[#This Row],[Work Role]:[Work Role]]&lt;&gt;AC$1,0,
IF(PART_NUMBER_GENERATOR_TABLE[[#This Row],[Work Type]:[Work Type]]&lt;&gt;"BH",0,
SUMIFS(AC$9:AC$24,$M$9:$M$24,PART_NUMBER_GENERATOR_TABLE[[#This Row],[Tech]:[Tech]])))</f>
        <v>0</v>
      </c>
      <c r="AD107" cm="1">
        <f t="array" ref="AD107">IF(PART_NUMBER_GENERATOR_TABLE[[#This Row],[Work Role]:[Work Role]]&lt;&gt;AD$1,0,
IF(PART_NUMBER_GENERATOR_TABLE[[#This Row],[Work Type]:[Work Type]]&lt;&gt;"BH",0,
SUMIFS(AD$9:AD$24,$M$9:$M$24,PART_NUMBER_GENERATOR_TABLE[[#This Row],[Tech]:[Tech]])))</f>
        <v>0</v>
      </c>
      <c r="AE107" cm="1">
        <f t="array" ref="AE107">IF(PART_NUMBER_GENERATOR_TABLE[[#This Row],[Work Role]:[Work Role]]&lt;&gt;AE$1,0,
IF(PART_NUMBER_GENERATOR_TABLE[[#This Row],[Work Type]:[Work Type]]&lt;&gt;"BH",0,
SUMIFS(AE$9:AE$24,$M$9:$M$24,PART_NUMBER_GENERATOR_TABLE[[#This Row],[Tech]:[Tech]])))</f>
        <v>0</v>
      </c>
      <c r="AF107" cm="1">
        <f t="array" ref="AF107">IF(PART_NUMBER_GENERATOR_TABLE[[#This Row],[Work Role]:[Work Role]]&lt;&gt;AF$1,0,
IF(PART_NUMBER_GENERATOR_TABLE[[#This Row],[Work Type]:[Work Type]]&lt;&gt;"BH",0,
SUMIFS(AF$9:AF$24,$M$9:$M$24,PART_NUMBER_GENERATOR_TABLE[[#This Row],[Tech]:[Tech]])))</f>
        <v>0</v>
      </c>
      <c r="AG107" cm="1">
        <f t="array" ref="AG107">IF(PART_NUMBER_GENERATOR_TABLE[[#This Row],[Work Role]:[Work Role]]&lt;&gt;AG$1,0,
IF(PART_NUMBER_GENERATOR_TABLE[[#This Row],[Work Type]:[Work Type]]&lt;&gt;"AH",0,
SUMIFS(AG$9:AG$24,$M$9:$M$24,PART_NUMBER_GENERATOR_TABLE[[#This Row],[Tech]:[Tech]])))</f>
        <v>0</v>
      </c>
      <c r="AH107" cm="1">
        <f t="array" ref="AH107">IF(PART_NUMBER_GENERATOR_TABLE[[#This Row],[Work Role]:[Work Role]]&lt;&gt;AH$1,0,
IF(PART_NUMBER_GENERATOR_TABLE[[#This Row],[Work Type]:[Work Type]]&lt;&gt;"BH",0,
SUMIFS(AH$9:AH$24,$M$9:$M$24,PART_NUMBER_GENERATOR_TABLE[[#This Row],[Tech]:[Tech]])))</f>
        <v>0</v>
      </c>
      <c r="AI107" cm="1">
        <f t="array" ref="AI107">IF(PART_NUMBER_GENERATOR_TABLE[[#This Row],[Work Role]:[Work Role]]&lt;&gt;AI$1,0,
IF(PART_NUMBER_GENERATOR_TABLE[[#This Row],[Work Type]:[Work Type]]&lt;&gt;"BH",0,
SUMIFS(AI$9:AI$24,$M$9:$M$24,PART_NUMBER_GENERATOR_TABLE[[#This Row],[Tech]:[Tech]])))</f>
        <v>0</v>
      </c>
      <c r="AJ107" cm="1">
        <f t="array" ref="AJ107">IF(PART_NUMBER_GENERATOR_TABLE[[#This Row],[Work Role]:[Work Role]]&lt;&gt;AJ$1,0,
IF(PART_NUMBER_GENERATOR_TABLE[[#This Row],[Work Type]:[Work Type]]&lt;&gt;"BH",0,
SUMIFS(AJ$9:AJ$24,$M$9:$M$24,PART_NUMBER_GENERATOR_TABLE[[#This Row],[Tech]:[Tech]])))</f>
        <v>0</v>
      </c>
      <c r="AK107" cm="1">
        <f t="array" ref="AK107">IF(PART_NUMBER_GENERATOR_TABLE[[#This Row],[Work Role]:[Work Role]]&lt;&gt;AK$1,0,
IF(PART_NUMBER_GENERATOR_TABLE[[#This Row],[Work Type]:[Work Type]]&lt;&gt;"AH",0,
SUMIFS(AK$9:AK$24,$M$9:$M$24,PART_NUMBER_GENERATOR_TABLE[[#This Row],[Tech]:[Tech]])))</f>
        <v>0</v>
      </c>
      <c r="AL107" cm="1">
        <f t="array" ref="AL107">IF(PART_NUMBER_GENERATOR_TABLE[[#This Row],[Work Role]:[Work Role]]&lt;&gt;AL$1,0,
IF(PART_NUMBER_GENERATOR_TABLE[[#This Row],[Work Type]:[Work Type]]&lt;&gt;"BH",0,
SUMIFS(AL$9:AL$24,$M$9:$M$24,PART_NUMBER_GENERATOR_TABLE[[#This Row],[Tech]:[Tech]])))</f>
        <v>0</v>
      </c>
      <c r="AM107">
        <f>0</f>
        <v>0</v>
      </c>
      <c r="AN107" cm="1">
        <f t="array" ref="AN107">IF(PART_NUMBER_GENERATOR_TABLE[[#This Row],[Work Role]:[Work Role]]&lt;&gt;AN$1,0,
IF(PART_NUMBER_GENERATOR_TABLE[[#This Row],[Work Type]:[Work Type]]&lt;&gt;"BH",0,
SUMIFS(AN$24,$AM$24,PART_NUMBER_GENERATOR_TABLE[[#This Row],[Tech]:[Tech]])))</f>
        <v>0</v>
      </c>
      <c r="AO107" cm="1">
        <f t="array" ref="AO107">IF(PART_NUMBER_GENERATOR_TABLE[[#This Row],[Work Role]:[Work Role]]&lt;&gt;AO$1,0,
IF(PART_NUMBER_GENERATOR_TABLE[[#This Row],[Work Type]:[Work Type]]&lt;&gt;"BH",0,
SUMIFS(AO$24,$AM$24,PART_NUMBER_GENERATOR_TABLE[[#This Row],[Tech]:[Tech]])))</f>
        <v>0</v>
      </c>
      <c r="AP107" cm="1">
        <f t="array" ref="AP107">IF(PART_NUMBER_GENERATOR_TABLE[[#This Row],[Work Role]:[Work Role]]&lt;&gt;AP$1,0,
IF(PART_NUMBER_GENERATOR_TABLE[[#This Row],[Work Type]:[Work Type]]&lt;&gt;"BH",0,
SUMIFS(AP$24,$AM$24,PART_NUMBER_GENERATOR_TABLE[[#This Row],[Tech]:[Tech]])))</f>
        <v>0</v>
      </c>
      <c r="AQ107" cm="1">
        <f t="array" ref="AQ107">IF(PART_NUMBER_GENERATOR_TABLE[[#This Row],[Work Role]:[Work Role]]&lt;&gt;AQ$1,0,
IF(PART_NUMBER_GENERATOR_TABLE[[#This Row],[Work Type]:[Work Type]]&lt;&gt;"BH",0,
SUMIFS(AQ$24,$AM$24,PART_NUMBER_GENERATOR_TABLE[[#This Row],[Tech]:[Tech]])))</f>
        <v>0</v>
      </c>
      <c r="AR107" cm="1">
        <f t="array" ref="AR107">IF(PART_NUMBER_GENERATOR_TABLE[[#This Row],[Work Role]:[Work Role]]&lt;&gt;AR$1,0,
IF(PART_NUMBER_GENERATOR_TABLE[[#This Row],[Work Type]:[Work Type]]&lt;&gt;"BH",0,
SUMIFS(AR$24,$AM$24,PART_NUMBER_GENERATOR_TABLE[[#This Row],[Tech]:[Tech]])))</f>
        <v>0</v>
      </c>
      <c r="AS107" cm="1">
        <f t="array" ref="AS107">IF(PART_NUMBER_GENERATOR_TABLE[[#This Row],[Work Role]:[Work Role]]&lt;&gt;AS$1,0,
IF(PART_NUMBER_GENERATOR_TABLE[[#This Row],[Work Type]:[Work Type]]&lt;&gt;"BH",0,
SUMIFS(AS$24,$AM$24,PART_NUMBER_GENERATOR_TABLE[[#This Row],[Tech]:[Tech]])))</f>
        <v>0</v>
      </c>
      <c r="AT107" cm="1">
        <f t="array" ref="AT107">IF(PART_NUMBER_GENERATOR_TABLE[[#This Row],[Work Role]:[Work Role]]&lt;&gt;AS$1,0,
IF(PART_NUMBER_GENERATOR_TABLE[[#This Row],[Work Type]:[Work Type]]&lt;&gt;"BH",0,
SUMIFS(AT$24,$AM$24,PART_NUMBER_GENERATOR_TABLE[[#This Row],[Tech]:[Tech]])))</f>
        <v>0</v>
      </c>
      <c r="AU107">
        <f>SUM(PART_NUMBER_GENERATOR_TABLE[[#This Row],[Resource 1 BH]:[Resource 5 AH]],PART_NUMBER_GENERATOR_TABLE[[#This Row],[R1 Mandatory Tasks]:[R5 Mandatory Tasks]],PART_NUMBER_GENERATOR_TABLE[[#This Row],[R1 Remainder]:[R5 Remainder]])</f>
        <v>0</v>
      </c>
      <c r="AV107">
        <f>PART_NUMBER_GENERATOR_TABLE[[#This Row],[Professional Engineering Hours]]*PART_NUMBER_GENERATOR_TABLE[[#This Row],[Sell Rate]]</f>
        <v>0</v>
      </c>
      <c r="AW107">
        <f>PART_NUMBER_GENERATOR_TABLE[[#This Row],[Professional Engineering Hours]]*PART_NUMBER_GENERATOR_TABLE[[#This Row],[Cost Rate]]</f>
        <v>0</v>
      </c>
      <c r="AX107">
        <f>SUM(PART_NUMBER_GENERATOR_TABLE[[#This Row],[PM Trips]:[R5 Trips]])</f>
        <v>0</v>
      </c>
      <c r="AY107">
        <f>PART_NUMBER_GENERATOR_TABLE[[#This Row],[Travel &amp; Accommodation Hours]]*PART_NUMBER_GENERATOR_TABLE[[#This Row],[Sell Rate]]</f>
        <v>0</v>
      </c>
      <c r="AZ107">
        <f>PART_NUMBER_GENERATOR_TABLE[[#This Row],[Travel &amp; Accommodation Hours]]*PART_NUMBER_GENERATOR_TABLE[[#This Row],[Cost Rate]]</f>
        <v>0</v>
      </c>
      <c r="BA107">
        <f>PART_NUMBER_GENERATOR_TABLE[[#This Row],[PM Hours]]+PART_NUMBER_GENERATOR_TABLE[[#This Row],[PM Remainder]]</f>
        <v>0</v>
      </c>
      <c r="BB107">
        <f>PART_NUMBER_GENERATOR_TABLE[[#This Row],[Project Management Hours]]*PART_NUMBER_GENERATOR_TABLE[[#This Row],[Sell Rate]]</f>
        <v>0</v>
      </c>
      <c r="BC107">
        <f>PART_NUMBER_GENERATOR_TABLE[[#This Row],[Project Management Hours]]*PART_NUMBER_GENERATOR_TABLE[[#This Row],[Cost Rate]]</f>
        <v>0</v>
      </c>
      <c r="BD107">
        <f>SUM(PART_NUMBER_GENERATOR_TABLE[[#This Row],[SSE RISK BH]:[PM RISK]],PART_NUMBER_GENERATOR_TABLE[[#This Row],[SSE Remainder RISK BH]:[PM Remainder RISK]])</f>
        <v>0</v>
      </c>
      <c r="BE107">
        <f>PART_NUMBER_GENERATOR_TABLE[[#This Row],[Project Risk Service Hours]]*PART_NUMBER_GENERATOR_TABLE[[#This Row],[Sell Rate]]</f>
        <v>0</v>
      </c>
      <c r="BF107">
        <f>PART_NUMBER_GENERATOR_TABLE[[#This Row],[Project Risk Service Hours]]*PART_NUMBER_GENERATOR_TABLE[[#This Row],[Cost Rate]]</f>
        <v>0</v>
      </c>
      <c r="BG107">
        <f>PART_NUMBER_GENERATOR_TABLE[[#This Row],[SSE RISK TRAVEL]]</f>
        <v>0</v>
      </c>
      <c r="BH107">
        <f>PART_NUMBER_GENERATOR_TABLE[[#This Row],[Sell Rate]]*PART_NUMBER_GENERATOR_TABLE[[#This Row],[Project Risk Travel Hours]]</f>
        <v>0</v>
      </c>
      <c r="BI107">
        <f>PART_NUMBER_GENERATOR_TABLE[[#This Row],[Project Risk Travel Hours]]*PART_NUMBER_GENERATOR_TABLE[[#This Row],[Cost Rate]]</f>
        <v>0</v>
      </c>
      <c r="BJ10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0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07">
        <f>IFERROR(-VLOOKUP(INDEX(ENGINEER_ROLES,MATCH(PART_NUMBER_GENERATOR_TABLE[[#This Row],[Work Role]],settings.Table_Engineer.Roles[ID],0),1),Settings_Hidden!$H$359:$K$366,4,FALSE),0)</f>
        <v>0</v>
      </c>
      <c r="BM107" s="680">
        <f>-Summary!$C$66</f>
        <v>0</v>
      </c>
      <c r="BN107" s="465">
        <f>PART_NUMBER_GENERATOR_TABLE[[#This Row],[Total Base Price]]*MIN(PART_NUMBER_GENERATOR_TABLE[[#This Row],[Rate Service Discount]:[Flat Service Discount]])</f>
        <v>0</v>
      </c>
      <c r="BO107" s="451" t="str">
        <f>IF(PART_NUMBER_GENERATOR_TABLE[[#This Row],[Quantity]]&lt;&gt;0,MAX($BO$30:BO106)+1,"")</f>
        <v/>
      </c>
      <c r="BP107" t="str">
        <f>PART_NUMBER_GENERATOR_TABLE[[#This Row],[Part Number]]</f>
        <v>A-PS-E-NETWRK-SSE-AH</v>
      </c>
      <c r="BQ107">
        <f>PART_NUMBER_GENERATOR_TABLE[[#This Row],[Total Hours]]</f>
        <v>0</v>
      </c>
      <c r="BR107">
        <f>PART_NUMBER_GENERATOR_TABLE[[#This Row],[Cost Rate]]</f>
        <v>224.87758587669589</v>
      </c>
      <c r="BS107" s="465">
        <f>PART_NUMBER_GENERATOR_TABLE[[#This Row],[Sell Rate]]+(PART_NUMBER_GENERATOR_TABLE[[#This Row],[Sell Rate]]*MIN(PART_NUMBER_GENERATOR_TABLE[[#This Row],[Rate Service Discount]:[Flat Service Discount]]))</f>
        <v>420.75</v>
      </c>
    </row>
    <row r="108" spans="1:71">
      <c r="A108">
        <v>78</v>
      </c>
      <c r="C108" t="s">
        <v>970</v>
      </c>
      <c r="D108" t="str" cm="1">
        <f t="array" ref="D108">INDEX(Table.Settings_Skill.List[Skill Name],MATCH(INDEX(_xlfn.TEXTSPLIT(C108,"-",,TRUE),4),Table.Settings_Skill.List[Skill Code],0),1)</f>
        <v>Networking</v>
      </c>
      <c r="E108" t="str" cm="1">
        <f t="array" ref="E108">INDEX(_xlfn.TEXTSPLIT(C108,"-",,TRUE),5)</f>
        <v>SCE</v>
      </c>
      <c r="F108" t="str">
        <f>IFERROR(INDEX(settings.Table_Engineer.Roles[Department Code],MATCH(PART_NUMBER_GENERATOR_TABLE[[#This Row],[Work Role]],settings.Table_Engineer.Roles[ID],0),1),"PMO")</f>
        <v>ENG</v>
      </c>
      <c r="G108" t="str" cm="1">
        <f t="array" ref="G108">INDEX(_xlfn.TEXTSPLIT(C108,"-",,TRUE),6)</f>
        <v>AH</v>
      </c>
      <c r="H10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0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08" cm="1">
        <f t="array" ref="J108">IF(J$1&lt;&gt;PART_NUMBER_GENERATOR_TABLE[[#This Row],[Work Role]:[Work Role]],0,
IF(RIGHT(J$30,2)&lt;&gt;PART_NUMBER_GENERATOR_TABLE[[#This Row],[Work Type]:[Work Type]],0,
SUMIFS(Input_Tasks[R1 Business Hours],Input_Tasks[[Skill Required]:[Skill Required]],PART_NUMBER_GENERATOR_TABLE[[#This Row],[Tech]:[Tech]])))</f>
        <v>0</v>
      </c>
      <c r="K108" cm="1">
        <f t="array" ref="K108">IF(K$1&lt;&gt;PART_NUMBER_GENERATOR_TABLE[[#This Row],[Work Role]:[Work Role]],0,
IF(RIGHT(K$30,2)&lt;&gt;PART_NUMBER_GENERATOR_TABLE[[#This Row],[Work Type]:[Work Type]],0,
SUMIFS(Input_Tasks[R1 After Hours],Input_Tasks[[Skill Required]:[Skill Required]],PART_NUMBER_GENERATOR_TABLE[[#This Row],[Tech]:[Tech]])))</f>
        <v>0</v>
      </c>
      <c r="L108" cm="1">
        <f t="array" ref="L108">IF(L$1&lt;&gt;PART_NUMBER_GENERATOR_TABLE[[#This Row],[Work Role]:[Work Role]],0,
IF(RIGHT(L$30,2)&lt;&gt;PART_NUMBER_GENERATOR_TABLE[[#This Row],[Work Type]:[Work Type]],0,
SUMIFS(Input_Tasks[R2 Business Hours],Input_Tasks[[Skill Required]:[Skill Required]],PART_NUMBER_GENERATOR_TABLE[[#This Row],[Tech]:[Tech]])))</f>
        <v>0</v>
      </c>
      <c r="M108" cm="1">
        <f t="array" ref="M108">IF(M$1&lt;&gt;PART_NUMBER_GENERATOR_TABLE[[#This Row],[Work Role]:[Work Role]],0,
IF(RIGHT(M$30,2)&lt;&gt;PART_NUMBER_GENERATOR_TABLE[[#This Row],[Work Type]:[Work Type]],0,
SUMIFS(Input_Tasks[R2 After Hours],Input_Tasks[[Skill Required]:[Skill Required]],PART_NUMBER_GENERATOR_TABLE[[#This Row],[Tech]:[Tech]])))</f>
        <v>0</v>
      </c>
      <c r="N108" cm="1">
        <f t="array" ref="N108">IF(N$1&lt;&gt;PART_NUMBER_GENERATOR_TABLE[[#This Row],[Work Role]:[Work Role]],0,
IF(RIGHT(N$30,2)&lt;&gt;PART_NUMBER_GENERATOR_TABLE[[#This Row],[Work Type]:[Work Type]],0,
SUMIFS(Input_Tasks[R3 Business Hours],Input_Tasks[[Skill Required]:[Skill Required]],PART_NUMBER_GENERATOR_TABLE[[#This Row],[Tech]:[Tech]])))</f>
        <v>0</v>
      </c>
      <c r="O108" cm="1">
        <f t="array" ref="O108">IF(O$1&lt;&gt;PART_NUMBER_GENERATOR_TABLE[[#This Row],[Work Role]:[Work Role]],0,
IF(RIGHT(O$30,2)&lt;&gt;PART_NUMBER_GENERATOR_TABLE[[#This Row],[Work Type]:[Work Type]],0,
SUMIFS(Input_Tasks[R3 After Hours],Input_Tasks[[Skill Required]:[Skill Required]],PART_NUMBER_GENERATOR_TABLE[[#This Row],[Tech]:[Tech]])))</f>
        <v>0</v>
      </c>
      <c r="P108" cm="1">
        <f t="array" ref="P108">IF(P$1&lt;&gt;PART_NUMBER_GENERATOR_TABLE[[#This Row],[Work Role]:[Work Role]],0,
IF(RIGHT(P$30,2)&lt;&gt;PART_NUMBER_GENERATOR_TABLE[[#This Row],[Work Type]:[Work Type]],0,
SUMIFS(Input_Tasks[R4 Business Hours],Input_Tasks[[Skill Required]:[Skill Required]],PART_NUMBER_GENERATOR_TABLE[[#This Row],[Tech]:[Tech]])))</f>
        <v>0</v>
      </c>
      <c r="Q108" cm="1">
        <f t="array" ref="Q108">IF(Q$1&lt;&gt;PART_NUMBER_GENERATOR_TABLE[[#This Row],[Work Role]:[Work Role]],0,
IF(RIGHT(Q$30,2)&lt;&gt;PART_NUMBER_GENERATOR_TABLE[[#This Row],[Work Type]:[Work Type]],0,
SUMIFS(Input_Tasks[R4 After Hours],Input_Tasks[[Skill Required]:[Skill Required]],PART_NUMBER_GENERATOR_TABLE[[#This Row],[Tech]:[Tech]])))</f>
        <v>0</v>
      </c>
      <c r="R108" cm="1">
        <f t="array" ref="R108">IF(R$1&lt;&gt;PART_NUMBER_GENERATOR_TABLE[[#This Row],[Work Role]:[Work Role]],0,
IF(RIGHT(R$30,2)&lt;&gt;PART_NUMBER_GENERATOR_TABLE[[#This Row],[Work Type]:[Work Type]],0,
SUMIFS(Input_Tasks[R5 Business Hours],Input_Tasks[[Skill Required]:[Skill Required]],PART_NUMBER_GENERATOR_TABLE[[#This Row],[Tech]:[Tech]])))</f>
        <v>0</v>
      </c>
      <c r="S108" cm="1">
        <f t="array" ref="S108">IF(S$1&lt;&gt;PART_NUMBER_GENERATOR_TABLE[[#This Row],[Work Role]:[Work Role]],0,
IF(RIGHT(S$30,2)&lt;&gt;PART_NUMBER_GENERATOR_TABLE[[#This Row],[Work Type]:[Work Type]],0,
SUMIFS(Input_Tasks[R5 After Hours],Input_Tasks[[Skill Required]:[Skill Required]],PART_NUMBER_GENERATOR_TABLE[[#This Row],[Tech]:[Tech]])))</f>
        <v>0</v>
      </c>
      <c r="T108" cm="1">
        <f t="array" ref="T108">IF(PART_NUMBER_GENERATOR_TABLE[[#This Row],[Work Role]:[Work Role]]&lt;&gt;T$1,0,
IF(PART_NUMBER_GENERATOR_TABLE[[#This Row],[Work Type]:[Work Type]]&lt;&gt;"BH",0,
SUMIFS(T$9:T$24,$M$9:$M$24,PART_NUMBER_GENERATOR_TABLE[[#This Row],[Tech]:[Tech]])))</f>
        <v>0</v>
      </c>
      <c r="U108" cm="1">
        <f t="array" ref="U108">IF(PART_NUMBER_GENERATOR_TABLE[[#This Row],[Work Role]:[Work Role]]&lt;&gt;U$1,0,
IF(PART_NUMBER_GENERATOR_TABLE[[#This Row],[Work Type]:[Work Type]]&lt;&gt;"BH",0,
SUMIFS(U$9:U$24,$M$9:$M$24,PART_NUMBER_GENERATOR_TABLE[[#This Row],[Tech]:[Tech]])))</f>
        <v>0</v>
      </c>
      <c r="V108" cm="1">
        <f t="array" ref="V108">IF(PART_NUMBER_GENERATOR_TABLE[[#This Row],[Work Role]:[Work Role]]&lt;&gt;V$1,0,
IF(PART_NUMBER_GENERATOR_TABLE[[#This Row],[Work Type]:[Work Type]]&lt;&gt;"BH",0,
SUMIFS(V$9:V$24,$M$9:$M$24,PART_NUMBER_GENERATOR_TABLE[[#This Row],[Tech]:[Tech]])))</f>
        <v>0</v>
      </c>
      <c r="W108" cm="1">
        <f t="array" ref="W108">IF(PART_NUMBER_GENERATOR_TABLE[[#This Row],[Work Role]:[Work Role]]&lt;&gt;W$1,0,
IF(PART_NUMBER_GENERATOR_TABLE[[#This Row],[Work Type]:[Work Type]]&lt;&gt;"BH",0,
SUMIFS(W$9:W$24,$M$9:$M$24,PART_NUMBER_GENERATOR_TABLE[[#This Row],[Tech]:[Tech]])))</f>
        <v>0</v>
      </c>
      <c r="X108" cm="1">
        <f t="array" ref="X108">IF(PART_NUMBER_GENERATOR_TABLE[[#This Row],[Work Role]:[Work Role]]&lt;&gt;X$1,0,
IF(PART_NUMBER_GENERATOR_TABLE[[#This Row],[Work Type]:[Work Type]]&lt;&gt;"BH",0,
SUMIFS(X$9:X$24,$M$9:$M$24,PART_NUMBER_GENERATOR_TABLE[[#This Row],[Tech]:[Tech]])))</f>
        <v>0</v>
      </c>
      <c r="Y108" cm="1">
        <f t="array" ref="Y108">IF(PART_NUMBER_GENERATOR_TABLE[[#This Row],[Work Role]:[Work Role]]&lt;&gt;Y$1,0,
IF(PART_NUMBER_GENERATOR_TABLE[[#This Row],[Work Type]:[Work Type]]&lt;&gt;"BH",0,
SUMIFS(Y$9:Y$24,$M$9:$M$24,PART_NUMBER_GENERATOR_TABLE[[#This Row],[Tech]:[Tech]])))</f>
        <v>0</v>
      </c>
      <c r="Z108" cm="1">
        <f t="array" ref="Z108">IF(PART_NUMBER_GENERATOR_TABLE[[#This Row],[Work Role]:[Work Role]]&lt;&gt;Z$1,0,
IF(PART_NUMBER_GENERATOR_TABLE[[#This Row],[Work Type]:[Work Type]]&lt;&gt;"BH",0,
SUMIFS(Z$9:Z$24,$M$9:$M$24,PART_NUMBER_GENERATOR_TABLE[[#This Row],[Tech]:[Tech]])))</f>
        <v>0</v>
      </c>
      <c r="AA108" cm="1">
        <f t="array" ref="AA108">IF(PART_NUMBER_GENERATOR_TABLE[[#This Row],[Work Role]:[Work Role]]&lt;&gt;AA$1,0,
IF(PART_NUMBER_GENERATOR_TABLE[[#This Row],[Work Type]:[Work Type]]&lt;&gt;"BH",0,
SUMIFS(AA$9:AA$24,$M$9:$M$24,PART_NUMBER_GENERATOR_TABLE[[#This Row],[Tech]:[Tech]])))</f>
        <v>0</v>
      </c>
      <c r="AB108" cm="1">
        <f t="array" ref="AB108">IF(PART_NUMBER_GENERATOR_TABLE[[#This Row],[Work Role]:[Work Role]]&lt;&gt;AB$1,0,
IF(PART_NUMBER_GENERATOR_TABLE[[#This Row],[Work Type]:[Work Type]]&lt;&gt;"BH",0,
SUMIFS(AB$9:AB$24,$M$9:$M$24,PART_NUMBER_GENERATOR_TABLE[[#This Row],[Tech]:[Tech]])))</f>
        <v>0</v>
      </c>
      <c r="AC108" cm="1">
        <f t="array" ref="AC108">IF(PART_NUMBER_GENERATOR_TABLE[[#This Row],[Work Role]:[Work Role]]&lt;&gt;AC$1,0,
IF(PART_NUMBER_GENERATOR_TABLE[[#This Row],[Work Type]:[Work Type]]&lt;&gt;"BH",0,
SUMIFS(AC$9:AC$24,$M$9:$M$24,PART_NUMBER_GENERATOR_TABLE[[#This Row],[Tech]:[Tech]])))</f>
        <v>0</v>
      </c>
      <c r="AD108" cm="1">
        <f t="array" ref="AD108">IF(PART_NUMBER_GENERATOR_TABLE[[#This Row],[Work Role]:[Work Role]]&lt;&gt;AD$1,0,
IF(PART_NUMBER_GENERATOR_TABLE[[#This Row],[Work Type]:[Work Type]]&lt;&gt;"BH",0,
SUMIFS(AD$9:AD$24,$M$9:$M$24,PART_NUMBER_GENERATOR_TABLE[[#This Row],[Tech]:[Tech]])))</f>
        <v>0</v>
      </c>
      <c r="AE108" cm="1">
        <f t="array" ref="AE108">IF(PART_NUMBER_GENERATOR_TABLE[[#This Row],[Work Role]:[Work Role]]&lt;&gt;AE$1,0,
IF(PART_NUMBER_GENERATOR_TABLE[[#This Row],[Work Type]:[Work Type]]&lt;&gt;"BH",0,
SUMIFS(AE$9:AE$24,$M$9:$M$24,PART_NUMBER_GENERATOR_TABLE[[#This Row],[Tech]:[Tech]])))</f>
        <v>0</v>
      </c>
      <c r="AF108" cm="1">
        <f t="array" ref="AF108">IF(PART_NUMBER_GENERATOR_TABLE[[#This Row],[Work Role]:[Work Role]]&lt;&gt;AF$1,0,
IF(PART_NUMBER_GENERATOR_TABLE[[#This Row],[Work Type]:[Work Type]]&lt;&gt;"BH",0,
SUMIFS(AF$9:AF$24,$M$9:$M$24,PART_NUMBER_GENERATOR_TABLE[[#This Row],[Tech]:[Tech]])))</f>
        <v>0</v>
      </c>
      <c r="AG108" cm="1">
        <f t="array" ref="AG108">IF(PART_NUMBER_GENERATOR_TABLE[[#This Row],[Work Role]:[Work Role]]&lt;&gt;AG$1,0,
IF(PART_NUMBER_GENERATOR_TABLE[[#This Row],[Work Type]:[Work Type]]&lt;&gt;"AH",0,
SUMIFS(AG$9:AG$24,$M$9:$M$24,PART_NUMBER_GENERATOR_TABLE[[#This Row],[Tech]:[Tech]])))</f>
        <v>0</v>
      </c>
      <c r="AH108" cm="1">
        <f t="array" ref="AH108">IF(PART_NUMBER_GENERATOR_TABLE[[#This Row],[Work Role]:[Work Role]]&lt;&gt;AH$1,0,
IF(PART_NUMBER_GENERATOR_TABLE[[#This Row],[Work Type]:[Work Type]]&lt;&gt;"BH",0,
SUMIFS(AH$9:AH$24,$M$9:$M$24,PART_NUMBER_GENERATOR_TABLE[[#This Row],[Tech]:[Tech]])))</f>
        <v>0</v>
      </c>
      <c r="AI108" cm="1">
        <f t="array" ref="AI108">IF(PART_NUMBER_GENERATOR_TABLE[[#This Row],[Work Role]:[Work Role]]&lt;&gt;AI$1,0,
IF(PART_NUMBER_GENERATOR_TABLE[[#This Row],[Work Type]:[Work Type]]&lt;&gt;"BH",0,
SUMIFS(AI$9:AI$24,$M$9:$M$24,PART_NUMBER_GENERATOR_TABLE[[#This Row],[Tech]:[Tech]])))</f>
        <v>0</v>
      </c>
      <c r="AJ108" cm="1">
        <f t="array" ref="AJ108">IF(PART_NUMBER_GENERATOR_TABLE[[#This Row],[Work Role]:[Work Role]]&lt;&gt;AJ$1,0,
IF(PART_NUMBER_GENERATOR_TABLE[[#This Row],[Work Type]:[Work Type]]&lt;&gt;"BH",0,
SUMIFS(AJ$9:AJ$24,$M$9:$M$24,PART_NUMBER_GENERATOR_TABLE[[#This Row],[Tech]:[Tech]])))</f>
        <v>0</v>
      </c>
      <c r="AK108" cm="1">
        <f t="array" ref="AK108">IF(PART_NUMBER_GENERATOR_TABLE[[#This Row],[Work Role]:[Work Role]]&lt;&gt;AK$1,0,
IF(PART_NUMBER_GENERATOR_TABLE[[#This Row],[Work Type]:[Work Type]]&lt;&gt;"AH",0,
SUMIFS(AK$9:AK$24,$M$9:$M$24,PART_NUMBER_GENERATOR_TABLE[[#This Row],[Tech]:[Tech]])))</f>
        <v>0</v>
      </c>
      <c r="AL108" cm="1">
        <f t="array" ref="AL108">IF(PART_NUMBER_GENERATOR_TABLE[[#This Row],[Work Role]:[Work Role]]&lt;&gt;AL$1,0,
IF(PART_NUMBER_GENERATOR_TABLE[[#This Row],[Work Type]:[Work Type]]&lt;&gt;"BH",0,
SUMIFS(AL$9:AL$24,$M$9:$M$24,PART_NUMBER_GENERATOR_TABLE[[#This Row],[Tech]:[Tech]])))</f>
        <v>0</v>
      </c>
      <c r="AM108">
        <f>0</f>
        <v>0</v>
      </c>
      <c r="AN108" cm="1">
        <f t="array" ref="AN108">IF(PART_NUMBER_GENERATOR_TABLE[[#This Row],[Work Role]:[Work Role]]&lt;&gt;AN$1,0,
IF(PART_NUMBER_GENERATOR_TABLE[[#This Row],[Work Type]:[Work Type]]&lt;&gt;"BH",0,
SUMIFS(AN$24,$AM$24,PART_NUMBER_GENERATOR_TABLE[[#This Row],[Tech]:[Tech]])))</f>
        <v>0</v>
      </c>
      <c r="AO108" cm="1">
        <f t="array" ref="AO108">IF(PART_NUMBER_GENERATOR_TABLE[[#This Row],[Work Role]:[Work Role]]&lt;&gt;AO$1,0,
IF(PART_NUMBER_GENERATOR_TABLE[[#This Row],[Work Type]:[Work Type]]&lt;&gt;"BH",0,
SUMIFS(AO$24,$AM$24,PART_NUMBER_GENERATOR_TABLE[[#This Row],[Tech]:[Tech]])))</f>
        <v>0</v>
      </c>
      <c r="AP108" cm="1">
        <f t="array" ref="AP108">IF(PART_NUMBER_GENERATOR_TABLE[[#This Row],[Work Role]:[Work Role]]&lt;&gt;AP$1,0,
IF(PART_NUMBER_GENERATOR_TABLE[[#This Row],[Work Type]:[Work Type]]&lt;&gt;"BH",0,
SUMIFS(AP$24,$AM$24,PART_NUMBER_GENERATOR_TABLE[[#This Row],[Tech]:[Tech]])))</f>
        <v>0</v>
      </c>
      <c r="AQ108" cm="1">
        <f t="array" ref="AQ108">IF(PART_NUMBER_GENERATOR_TABLE[[#This Row],[Work Role]:[Work Role]]&lt;&gt;AQ$1,0,
IF(PART_NUMBER_GENERATOR_TABLE[[#This Row],[Work Type]:[Work Type]]&lt;&gt;"BH",0,
SUMIFS(AQ$24,$AM$24,PART_NUMBER_GENERATOR_TABLE[[#This Row],[Tech]:[Tech]])))</f>
        <v>0</v>
      </c>
      <c r="AR108" cm="1">
        <f t="array" ref="AR108">IF(PART_NUMBER_GENERATOR_TABLE[[#This Row],[Work Role]:[Work Role]]&lt;&gt;AR$1,0,
IF(PART_NUMBER_GENERATOR_TABLE[[#This Row],[Work Type]:[Work Type]]&lt;&gt;"BH",0,
SUMIFS(AR$24,$AM$24,PART_NUMBER_GENERATOR_TABLE[[#This Row],[Tech]:[Tech]])))</f>
        <v>0</v>
      </c>
      <c r="AS108" cm="1">
        <f t="array" ref="AS108">IF(PART_NUMBER_GENERATOR_TABLE[[#This Row],[Work Role]:[Work Role]]&lt;&gt;AS$1,0,
IF(PART_NUMBER_GENERATOR_TABLE[[#This Row],[Work Type]:[Work Type]]&lt;&gt;"BH",0,
SUMIFS(AS$24,$AM$24,PART_NUMBER_GENERATOR_TABLE[[#This Row],[Tech]:[Tech]])))</f>
        <v>0</v>
      </c>
      <c r="AT108" cm="1">
        <f t="array" ref="AT108">IF(PART_NUMBER_GENERATOR_TABLE[[#This Row],[Work Role]:[Work Role]]&lt;&gt;AS$1,0,
IF(PART_NUMBER_GENERATOR_TABLE[[#This Row],[Work Type]:[Work Type]]&lt;&gt;"BH",0,
SUMIFS(AT$24,$AM$24,PART_NUMBER_GENERATOR_TABLE[[#This Row],[Tech]:[Tech]])))</f>
        <v>0</v>
      </c>
      <c r="AU108">
        <f>SUM(PART_NUMBER_GENERATOR_TABLE[[#This Row],[Resource 1 BH]:[Resource 5 AH]],PART_NUMBER_GENERATOR_TABLE[[#This Row],[R1 Mandatory Tasks]:[R5 Mandatory Tasks]],PART_NUMBER_GENERATOR_TABLE[[#This Row],[R1 Remainder]:[R5 Remainder]])</f>
        <v>0</v>
      </c>
      <c r="AV108">
        <f>PART_NUMBER_GENERATOR_TABLE[[#This Row],[Professional Engineering Hours]]*PART_NUMBER_GENERATOR_TABLE[[#This Row],[Sell Rate]]</f>
        <v>0</v>
      </c>
      <c r="AW108">
        <f>PART_NUMBER_GENERATOR_TABLE[[#This Row],[Professional Engineering Hours]]*PART_NUMBER_GENERATOR_TABLE[[#This Row],[Cost Rate]]</f>
        <v>0</v>
      </c>
      <c r="AX108">
        <f>SUM(PART_NUMBER_GENERATOR_TABLE[[#This Row],[PM Trips]:[R5 Trips]])</f>
        <v>0</v>
      </c>
      <c r="AY108">
        <f>PART_NUMBER_GENERATOR_TABLE[[#This Row],[Travel &amp; Accommodation Hours]]*PART_NUMBER_GENERATOR_TABLE[[#This Row],[Sell Rate]]</f>
        <v>0</v>
      </c>
      <c r="AZ108">
        <f>PART_NUMBER_GENERATOR_TABLE[[#This Row],[Travel &amp; Accommodation Hours]]*PART_NUMBER_GENERATOR_TABLE[[#This Row],[Cost Rate]]</f>
        <v>0</v>
      </c>
      <c r="BA108">
        <f>PART_NUMBER_GENERATOR_TABLE[[#This Row],[PM Hours]]+PART_NUMBER_GENERATOR_TABLE[[#This Row],[PM Remainder]]</f>
        <v>0</v>
      </c>
      <c r="BB108">
        <f>PART_NUMBER_GENERATOR_TABLE[[#This Row],[Project Management Hours]]*PART_NUMBER_GENERATOR_TABLE[[#This Row],[Sell Rate]]</f>
        <v>0</v>
      </c>
      <c r="BC108">
        <f>PART_NUMBER_GENERATOR_TABLE[[#This Row],[Project Management Hours]]*PART_NUMBER_GENERATOR_TABLE[[#This Row],[Cost Rate]]</f>
        <v>0</v>
      </c>
      <c r="BD108">
        <f>SUM(PART_NUMBER_GENERATOR_TABLE[[#This Row],[SSE RISK BH]:[PM RISK]],PART_NUMBER_GENERATOR_TABLE[[#This Row],[SSE Remainder RISK BH]:[PM Remainder RISK]])</f>
        <v>0</v>
      </c>
      <c r="BE108">
        <f>PART_NUMBER_GENERATOR_TABLE[[#This Row],[Project Risk Service Hours]]*PART_NUMBER_GENERATOR_TABLE[[#This Row],[Sell Rate]]</f>
        <v>0</v>
      </c>
      <c r="BF108">
        <f>PART_NUMBER_GENERATOR_TABLE[[#This Row],[Project Risk Service Hours]]*PART_NUMBER_GENERATOR_TABLE[[#This Row],[Cost Rate]]</f>
        <v>0</v>
      </c>
      <c r="BG108">
        <f>PART_NUMBER_GENERATOR_TABLE[[#This Row],[SSE RISK TRAVEL]]</f>
        <v>0</v>
      </c>
      <c r="BH108">
        <f>PART_NUMBER_GENERATOR_TABLE[[#This Row],[Sell Rate]]*PART_NUMBER_GENERATOR_TABLE[[#This Row],[Project Risk Travel Hours]]</f>
        <v>0</v>
      </c>
      <c r="BI108">
        <f>PART_NUMBER_GENERATOR_TABLE[[#This Row],[Project Risk Travel Hours]]*PART_NUMBER_GENERATOR_TABLE[[#This Row],[Cost Rate]]</f>
        <v>0</v>
      </c>
      <c r="BJ10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0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08">
        <f>IFERROR(-VLOOKUP(INDEX(ENGINEER_ROLES,MATCH(PART_NUMBER_GENERATOR_TABLE[[#This Row],[Work Role]],settings.Table_Engineer.Roles[ID],0),1),Settings_Hidden!$H$359:$K$366,4,FALSE),0)</f>
        <v>0</v>
      </c>
      <c r="BM108" s="680">
        <f>-Summary!$C$66</f>
        <v>0</v>
      </c>
      <c r="BN108" s="465">
        <f>PART_NUMBER_GENERATOR_TABLE[[#This Row],[Total Base Price]]*MIN(PART_NUMBER_GENERATOR_TABLE[[#This Row],[Rate Service Discount]:[Flat Service Discount]])</f>
        <v>0</v>
      </c>
      <c r="BO108" s="451" t="str">
        <f>IF(PART_NUMBER_GENERATOR_TABLE[[#This Row],[Quantity]]&lt;&gt;0,MAX($BO$30:BO107)+1,"")</f>
        <v/>
      </c>
      <c r="BP108" t="str">
        <f>PART_NUMBER_GENERATOR_TABLE[[#This Row],[Part Number]]</f>
        <v>A-PS-E-NETWRK-SCE-AH</v>
      </c>
      <c r="BQ108">
        <f>PART_NUMBER_GENERATOR_TABLE[[#This Row],[Total Hours]]</f>
        <v>0</v>
      </c>
      <c r="BR108">
        <f>PART_NUMBER_GENERATOR_TABLE[[#This Row],[Cost Rate]]</f>
        <v>251.41552370953494</v>
      </c>
      <c r="BS108" s="465">
        <f>PART_NUMBER_GENERATOR_TABLE[[#This Row],[Sell Rate]]+(PART_NUMBER_GENERATOR_TABLE[[#This Row],[Sell Rate]]*MIN(PART_NUMBER_GENERATOR_TABLE[[#This Row],[Rate Service Discount]:[Flat Service Discount]]))</f>
        <v>472.5</v>
      </c>
    </row>
    <row r="109" spans="1:71">
      <c r="A109">
        <v>79</v>
      </c>
      <c r="C109" t="s">
        <v>1014</v>
      </c>
      <c r="D109" t="str" cm="1">
        <f t="array" ref="D109">INDEX(Table.Settings_Skill.List[Skill Name],MATCH(INDEX(_xlfn.TEXTSPLIT(C109,"-",,TRUE),4),Table.Settings_Skill.List[Skill Code],0),1)</f>
        <v>Operational Technology</v>
      </c>
      <c r="E109" t="str" cm="1">
        <f t="array" ref="E109">INDEX(_xlfn.TEXTSPLIT(C109,"-",,TRUE),5)</f>
        <v>TA</v>
      </c>
      <c r="F109" t="str">
        <f>IFERROR(INDEX(settings.Table_Engineer.Roles[Department Code],MATCH(PART_NUMBER_GENERATOR_TABLE[[#This Row],[Work Role]],settings.Table_Engineer.Roles[ID],0),1),"PMO")</f>
        <v>ENG</v>
      </c>
      <c r="G109" t="str" cm="1">
        <f t="array" ref="G109">INDEX(_xlfn.TEXTSPLIT(C109,"-",,TRUE),6)</f>
        <v>AH</v>
      </c>
      <c r="H10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232.5</v>
      </c>
      <c r="I10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122.02019862032805</v>
      </c>
      <c r="J109" cm="1">
        <f t="array" ref="J109">IF(J$1&lt;&gt;PART_NUMBER_GENERATOR_TABLE[[#This Row],[Work Role]:[Work Role]],0,
IF(RIGHT(J$30,2)&lt;&gt;PART_NUMBER_GENERATOR_TABLE[[#This Row],[Work Type]:[Work Type]],0,
SUMIFS(Input_Tasks[R1 Business Hours],Input_Tasks[[Skill Required]:[Skill Required]],PART_NUMBER_GENERATOR_TABLE[[#This Row],[Tech]:[Tech]])))</f>
        <v>0</v>
      </c>
      <c r="K109" cm="1">
        <f t="array" ref="K109">IF(K$1&lt;&gt;PART_NUMBER_GENERATOR_TABLE[[#This Row],[Work Role]:[Work Role]],0,
IF(RIGHT(K$30,2)&lt;&gt;PART_NUMBER_GENERATOR_TABLE[[#This Row],[Work Type]:[Work Type]],0,
SUMIFS(Input_Tasks[R1 After Hours],Input_Tasks[[Skill Required]:[Skill Required]],PART_NUMBER_GENERATOR_TABLE[[#This Row],[Tech]:[Tech]])))</f>
        <v>0</v>
      </c>
      <c r="L109" cm="1">
        <f t="array" ref="L109">IF(L$1&lt;&gt;PART_NUMBER_GENERATOR_TABLE[[#This Row],[Work Role]:[Work Role]],0,
IF(RIGHT(L$30,2)&lt;&gt;PART_NUMBER_GENERATOR_TABLE[[#This Row],[Work Type]:[Work Type]],0,
SUMIFS(Input_Tasks[R2 Business Hours],Input_Tasks[[Skill Required]:[Skill Required]],PART_NUMBER_GENERATOR_TABLE[[#This Row],[Tech]:[Tech]])))</f>
        <v>0</v>
      </c>
      <c r="M109" cm="1">
        <f t="array" ref="M109">IF(M$1&lt;&gt;PART_NUMBER_GENERATOR_TABLE[[#This Row],[Work Role]:[Work Role]],0,
IF(RIGHT(M$30,2)&lt;&gt;PART_NUMBER_GENERATOR_TABLE[[#This Row],[Work Type]:[Work Type]],0,
SUMIFS(Input_Tasks[R2 After Hours],Input_Tasks[[Skill Required]:[Skill Required]],PART_NUMBER_GENERATOR_TABLE[[#This Row],[Tech]:[Tech]])))</f>
        <v>0</v>
      </c>
      <c r="N109" cm="1">
        <f t="array" ref="N109">IF(N$1&lt;&gt;PART_NUMBER_GENERATOR_TABLE[[#This Row],[Work Role]:[Work Role]],0,
IF(RIGHT(N$30,2)&lt;&gt;PART_NUMBER_GENERATOR_TABLE[[#This Row],[Work Type]:[Work Type]],0,
SUMIFS(Input_Tasks[R3 Business Hours],Input_Tasks[[Skill Required]:[Skill Required]],PART_NUMBER_GENERATOR_TABLE[[#This Row],[Tech]:[Tech]])))</f>
        <v>0</v>
      </c>
      <c r="O109" cm="1">
        <f t="array" ref="O109">IF(O$1&lt;&gt;PART_NUMBER_GENERATOR_TABLE[[#This Row],[Work Role]:[Work Role]],0,
IF(RIGHT(O$30,2)&lt;&gt;PART_NUMBER_GENERATOR_TABLE[[#This Row],[Work Type]:[Work Type]],0,
SUMIFS(Input_Tasks[R3 After Hours],Input_Tasks[[Skill Required]:[Skill Required]],PART_NUMBER_GENERATOR_TABLE[[#This Row],[Tech]:[Tech]])))</f>
        <v>0</v>
      </c>
      <c r="P109" cm="1">
        <f t="array" ref="P109">IF(P$1&lt;&gt;PART_NUMBER_GENERATOR_TABLE[[#This Row],[Work Role]:[Work Role]],0,
IF(RIGHT(P$30,2)&lt;&gt;PART_NUMBER_GENERATOR_TABLE[[#This Row],[Work Type]:[Work Type]],0,
SUMIFS(Input_Tasks[R4 Business Hours],Input_Tasks[[Skill Required]:[Skill Required]],PART_NUMBER_GENERATOR_TABLE[[#This Row],[Tech]:[Tech]])))</f>
        <v>0</v>
      </c>
      <c r="Q109" cm="1">
        <f t="array" ref="Q109">IF(Q$1&lt;&gt;PART_NUMBER_GENERATOR_TABLE[[#This Row],[Work Role]:[Work Role]],0,
IF(RIGHT(Q$30,2)&lt;&gt;PART_NUMBER_GENERATOR_TABLE[[#This Row],[Work Type]:[Work Type]],0,
SUMIFS(Input_Tasks[R4 After Hours],Input_Tasks[[Skill Required]:[Skill Required]],PART_NUMBER_GENERATOR_TABLE[[#This Row],[Tech]:[Tech]])))</f>
        <v>0</v>
      </c>
      <c r="R109" cm="1">
        <f t="array" ref="R109">IF(R$1&lt;&gt;PART_NUMBER_GENERATOR_TABLE[[#This Row],[Work Role]:[Work Role]],0,
IF(RIGHT(R$30,2)&lt;&gt;PART_NUMBER_GENERATOR_TABLE[[#This Row],[Work Type]:[Work Type]],0,
SUMIFS(Input_Tasks[R5 Business Hours],Input_Tasks[[Skill Required]:[Skill Required]],PART_NUMBER_GENERATOR_TABLE[[#This Row],[Tech]:[Tech]])))</f>
        <v>0</v>
      </c>
      <c r="S109" cm="1">
        <f t="array" ref="S109">IF(S$1&lt;&gt;PART_NUMBER_GENERATOR_TABLE[[#This Row],[Work Role]:[Work Role]],0,
IF(RIGHT(S$30,2)&lt;&gt;PART_NUMBER_GENERATOR_TABLE[[#This Row],[Work Type]:[Work Type]],0,
SUMIFS(Input_Tasks[R5 After Hours],Input_Tasks[[Skill Required]:[Skill Required]],PART_NUMBER_GENERATOR_TABLE[[#This Row],[Tech]:[Tech]])))</f>
        <v>0</v>
      </c>
      <c r="T109" cm="1">
        <f t="array" ref="T109">IF(PART_NUMBER_GENERATOR_TABLE[[#This Row],[Work Role]:[Work Role]]&lt;&gt;T$1,0,
IF(PART_NUMBER_GENERATOR_TABLE[[#This Row],[Work Type]:[Work Type]]&lt;&gt;"BH",0,
SUMIFS(T$9:T$24,$M$9:$M$24,PART_NUMBER_GENERATOR_TABLE[[#This Row],[Tech]:[Tech]])))</f>
        <v>0</v>
      </c>
      <c r="U109" cm="1">
        <f t="array" ref="U109">IF(PART_NUMBER_GENERATOR_TABLE[[#This Row],[Work Role]:[Work Role]]&lt;&gt;U$1,0,
IF(PART_NUMBER_GENERATOR_TABLE[[#This Row],[Work Type]:[Work Type]]&lt;&gt;"BH",0,
SUMIFS(U$9:U$24,$M$9:$M$24,PART_NUMBER_GENERATOR_TABLE[[#This Row],[Tech]:[Tech]])))</f>
        <v>0</v>
      </c>
      <c r="V109" cm="1">
        <f t="array" ref="V109">IF(PART_NUMBER_GENERATOR_TABLE[[#This Row],[Work Role]:[Work Role]]&lt;&gt;V$1,0,
IF(PART_NUMBER_GENERATOR_TABLE[[#This Row],[Work Type]:[Work Type]]&lt;&gt;"BH",0,
SUMIFS(V$9:V$24,$M$9:$M$24,PART_NUMBER_GENERATOR_TABLE[[#This Row],[Tech]:[Tech]])))</f>
        <v>0</v>
      </c>
      <c r="W109" cm="1">
        <f t="array" ref="W109">IF(PART_NUMBER_GENERATOR_TABLE[[#This Row],[Work Role]:[Work Role]]&lt;&gt;W$1,0,
IF(PART_NUMBER_GENERATOR_TABLE[[#This Row],[Work Type]:[Work Type]]&lt;&gt;"BH",0,
SUMIFS(W$9:W$24,$M$9:$M$24,PART_NUMBER_GENERATOR_TABLE[[#This Row],[Tech]:[Tech]])))</f>
        <v>0</v>
      </c>
      <c r="X109" cm="1">
        <f t="array" ref="X109">IF(PART_NUMBER_GENERATOR_TABLE[[#This Row],[Work Role]:[Work Role]]&lt;&gt;X$1,0,
IF(PART_NUMBER_GENERATOR_TABLE[[#This Row],[Work Type]:[Work Type]]&lt;&gt;"BH",0,
SUMIFS(X$9:X$24,$M$9:$M$24,PART_NUMBER_GENERATOR_TABLE[[#This Row],[Tech]:[Tech]])))</f>
        <v>0</v>
      </c>
      <c r="Y109" cm="1">
        <f t="array" ref="Y109">IF(PART_NUMBER_GENERATOR_TABLE[[#This Row],[Work Role]:[Work Role]]&lt;&gt;Y$1,0,
IF(PART_NUMBER_GENERATOR_TABLE[[#This Row],[Work Type]:[Work Type]]&lt;&gt;"BH",0,
SUMIFS(Y$9:Y$24,$M$9:$M$24,PART_NUMBER_GENERATOR_TABLE[[#This Row],[Tech]:[Tech]])))</f>
        <v>0</v>
      </c>
      <c r="Z109" cm="1">
        <f t="array" ref="Z109">IF(PART_NUMBER_GENERATOR_TABLE[[#This Row],[Work Role]:[Work Role]]&lt;&gt;Z$1,0,
IF(PART_NUMBER_GENERATOR_TABLE[[#This Row],[Work Type]:[Work Type]]&lt;&gt;"BH",0,
SUMIFS(Z$9:Z$24,$M$9:$M$24,PART_NUMBER_GENERATOR_TABLE[[#This Row],[Tech]:[Tech]])))</f>
        <v>0</v>
      </c>
      <c r="AA109" cm="1">
        <f t="array" ref="AA109">IF(PART_NUMBER_GENERATOR_TABLE[[#This Row],[Work Role]:[Work Role]]&lt;&gt;AA$1,0,
IF(PART_NUMBER_GENERATOR_TABLE[[#This Row],[Work Type]:[Work Type]]&lt;&gt;"BH",0,
SUMIFS(AA$9:AA$24,$M$9:$M$24,PART_NUMBER_GENERATOR_TABLE[[#This Row],[Tech]:[Tech]])))</f>
        <v>0</v>
      </c>
      <c r="AB109" cm="1">
        <f t="array" ref="AB109">IF(PART_NUMBER_GENERATOR_TABLE[[#This Row],[Work Role]:[Work Role]]&lt;&gt;AB$1,0,
IF(PART_NUMBER_GENERATOR_TABLE[[#This Row],[Work Type]:[Work Type]]&lt;&gt;"BH",0,
SUMIFS(AB$9:AB$24,$M$9:$M$24,PART_NUMBER_GENERATOR_TABLE[[#This Row],[Tech]:[Tech]])))</f>
        <v>0</v>
      </c>
      <c r="AC109" cm="1">
        <f t="array" ref="AC109">IF(PART_NUMBER_GENERATOR_TABLE[[#This Row],[Work Role]:[Work Role]]&lt;&gt;AC$1,0,
IF(PART_NUMBER_GENERATOR_TABLE[[#This Row],[Work Type]:[Work Type]]&lt;&gt;"BH",0,
SUMIFS(AC$9:AC$24,$M$9:$M$24,PART_NUMBER_GENERATOR_TABLE[[#This Row],[Tech]:[Tech]])))</f>
        <v>0</v>
      </c>
      <c r="AD109" cm="1">
        <f t="array" ref="AD109">IF(PART_NUMBER_GENERATOR_TABLE[[#This Row],[Work Role]:[Work Role]]&lt;&gt;AD$1,0,
IF(PART_NUMBER_GENERATOR_TABLE[[#This Row],[Work Type]:[Work Type]]&lt;&gt;"BH",0,
SUMIFS(AD$9:AD$24,$M$9:$M$24,PART_NUMBER_GENERATOR_TABLE[[#This Row],[Tech]:[Tech]])))</f>
        <v>0</v>
      </c>
      <c r="AE109" cm="1">
        <f t="array" ref="AE109">IF(PART_NUMBER_GENERATOR_TABLE[[#This Row],[Work Role]:[Work Role]]&lt;&gt;AE$1,0,
IF(PART_NUMBER_GENERATOR_TABLE[[#This Row],[Work Type]:[Work Type]]&lt;&gt;"BH",0,
SUMIFS(AE$9:AE$24,$M$9:$M$24,PART_NUMBER_GENERATOR_TABLE[[#This Row],[Tech]:[Tech]])))</f>
        <v>0</v>
      </c>
      <c r="AF109" cm="1">
        <f t="array" ref="AF109">IF(PART_NUMBER_GENERATOR_TABLE[[#This Row],[Work Role]:[Work Role]]&lt;&gt;AF$1,0,
IF(PART_NUMBER_GENERATOR_TABLE[[#This Row],[Work Type]:[Work Type]]&lt;&gt;"BH",0,
SUMIFS(AF$9:AF$24,$M$9:$M$24,PART_NUMBER_GENERATOR_TABLE[[#This Row],[Tech]:[Tech]])))</f>
        <v>0</v>
      </c>
      <c r="AG109" cm="1">
        <f t="array" ref="AG109">IF(PART_NUMBER_GENERATOR_TABLE[[#This Row],[Work Role]:[Work Role]]&lt;&gt;AG$1,0,
IF(PART_NUMBER_GENERATOR_TABLE[[#This Row],[Work Type]:[Work Type]]&lt;&gt;"AH",0,
SUMIFS(AG$9:AG$24,$M$9:$M$24,PART_NUMBER_GENERATOR_TABLE[[#This Row],[Tech]:[Tech]])))</f>
        <v>0</v>
      </c>
      <c r="AH109" cm="1">
        <f t="array" ref="AH109">IF(PART_NUMBER_GENERATOR_TABLE[[#This Row],[Work Role]:[Work Role]]&lt;&gt;AH$1,0,
IF(PART_NUMBER_GENERATOR_TABLE[[#This Row],[Work Type]:[Work Type]]&lt;&gt;"BH",0,
SUMIFS(AH$9:AH$24,$M$9:$M$24,PART_NUMBER_GENERATOR_TABLE[[#This Row],[Tech]:[Tech]])))</f>
        <v>0</v>
      </c>
      <c r="AI109" cm="1">
        <f t="array" ref="AI109">IF(PART_NUMBER_GENERATOR_TABLE[[#This Row],[Work Role]:[Work Role]]&lt;&gt;AI$1,0,
IF(PART_NUMBER_GENERATOR_TABLE[[#This Row],[Work Type]:[Work Type]]&lt;&gt;"BH",0,
SUMIFS(AI$9:AI$24,$M$9:$M$24,PART_NUMBER_GENERATOR_TABLE[[#This Row],[Tech]:[Tech]])))</f>
        <v>0</v>
      </c>
      <c r="AJ109" cm="1">
        <f t="array" ref="AJ109">IF(PART_NUMBER_GENERATOR_TABLE[[#This Row],[Work Role]:[Work Role]]&lt;&gt;AJ$1,0,
IF(PART_NUMBER_GENERATOR_TABLE[[#This Row],[Work Type]:[Work Type]]&lt;&gt;"BH",0,
SUMIFS(AJ$9:AJ$24,$M$9:$M$24,PART_NUMBER_GENERATOR_TABLE[[#This Row],[Tech]:[Tech]])))</f>
        <v>0</v>
      </c>
      <c r="AK109" cm="1">
        <f t="array" ref="AK109">IF(PART_NUMBER_GENERATOR_TABLE[[#This Row],[Work Role]:[Work Role]]&lt;&gt;AK$1,0,
IF(PART_NUMBER_GENERATOR_TABLE[[#This Row],[Work Type]:[Work Type]]&lt;&gt;"AH",0,
SUMIFS(AK$9:AK$24,$M$9:$M$24,PART_NUMBER_GENERATOR_TABLE[[#This Row],[Tech]:[Tech]])))</f>
        <v>0</v>
      </c>
      <c r="AL109" cm="1">
        <f t="array" ref="AL109">IF(PART_NUMBER_GENERATOR_TABLE[[#This Row],[Work Role]:[Work Role]]&lt;&gt;AL$1,0,
IF(PART_NUMBER_GENERATOR_TABLE[[#This Row],[Work Type]:[Work Type]]&lt;&gt;"BH",0,
SUMIFS(AL$9:AL$24,$M$9:$M$24,PART_NUMBER_GENERATOR_TABLE[[#This Row],[Tech]:[Tech]])))</f>
        <v>0</v>
      </c>
      <c r="AM109">
        <f>0</f>
        <v>0</v>
      </c>
      <c r="AN109" cm="1">
        <f t="array" ref="AN109">IF(PART_NUMBER_GENERATOR_TABLE[[#This Row],[Work Role]:[Work Role]]&lt;&gt;AN$1,0,
IF(PART_NUMBER_GENERATOR_TABLE[[#This Row],[Work Type]:[Work Type]]&lt;&gt;"BH",0,
SUMIFS(AN$24,$AM$24,PART_NUMBER_GENERATOR_TABLE[[#This Row],[Tech]:[Tech]])))</f>
        <v>0</v>
      </c>
      <c r="AO109" cm="1">
        <f t="array" ref="AO109">IF(PART_NUMBER_GENERATOR_TABLE[[#This Row],[Work Role]:[Work Role]]&lt;&gt;AO$1,0,
IF(PART_NUMBER_GENERATOR_TABLE[[#This Row],[Work Type]:[Work Type]]&lt;&gt;"BH",0,
SUMIFS(AO$24,$AM$24,PART_NUMBER_GENERATOR_TABLE[[#This Row],[Tech]:[Tech]])))</f>
        <v>0</v>
      </c>
      <c r="AP109" cm="1">
        <f t="array" ref="AP109">IF(PART_NUMBER_GENERATOR_TABLE[[#This Row],[Work Role]:[Work Role]]&lt;&gt;AP$1,0,
IF(PART_NUMBER_GENERATOR_TABLE[[#This Row],[Work Type]:[Work Type]]&lt;&gt;"BH",0,
SUMIFS(AP$24,$AM$24,PART_NUMBER_GENERATOR_TABLE[[#This Row],[Tech]:[Tech]])))</f>
        <v>0</v>
      </c>
      <c r="AQ109" cm="1">
        <f t="array" ref="AQ109">IF(PART_NUMBER_GENERATOR_TABLE[[#This Row],[Work Role]:[Work Role]]&lt;&gt;AQ$1,0,
IF(PART_NUMBER_GENERATOR_TABLE[[#This Row],[Work Type]:[Work Type]]&lt;&gt;"BH",0,
SUMIFS(AQ$24,$AM$24,PART_NUMBER_GENERATOR_TABLE[[#This Row],[Tech]:[Tech]])))</f>
        <v>0</v>
      </c>
      <c r="AR109" cm="1">
        <f t="array" ref="AR109">IF(PART_NUMBER_GENERATOR_TABLE[[#This Row],[Work Role]:[Work Role]]&lt;&gt;AR$1,0,
IF(PART_NUMBER_GENERATOR_TABLE[[#This Row],[Work Type]:[Work Type]]&lt;&gt;"BH",0,
SUMIFS(AR$24,$AM$24,PART_NUMBER_GENERATOR_TABLE[[#This Row],[Tech]:[Tech]])))</f>
        <v>0</v>
      </c>
      <c r="AS109" cm="1">
        <f t="array" ref="AS109">IF(PART_NUMBER_GENERATOR_TABLE[[#This Row],[Work Role]:[Work Role]]&lt;&gt;AS$1,0,
IF(PART_NUMBER_GENERATOR_TABLE[[#This Row],[Work Type]:[Work Type]]&lt;&gt;"BH",0,
SUMIFS(AS$24,$AM$24,PART_NUMBER_GENERATOR_TABLE[[#This Row],[Tech]:[Tech]])))</f>
        <v>0</v>
      </c>
      <c r="AT109" cm="1">
        <f t="array" ref="AT109">IF(PART_NUMBER_GENERATOR_TABLE[[#This Row],[Work Role]:[Work Role]]&lt;&gt;AS$1,0,
IF(PART_NUMBER_GENERATOR_TABLE[[#This Row],[Work Type]:[Work Type]]&lt;&gt;"BH",0,
SUMIFS(AT$24,$AM$24,PART_NUMBER_GENERATOR_TABLE[[#This Row],[Tech]:[Tech]])))</f>
        <v>0</v>
      </c>
      <c r="AU109">
        <f>SUM(PART_NUMBER_GENERATOR_TABLE[[#This Row],[Resource 1 BH]:[Resource 5 AH]],PART_NUMBER_GENERATOR_TABLE[[#This Row],[R1 Mandatory Tasks]:[R5 Mandatory Tasks]],PART_NUMBER_GENERATOR_TABLE[[#This Row],[R1 Remainder]:[R5 Remainder]])</f>
        <v>0</v>
      </c>
      <c r="AV109">
        <f>PART_NUMBER_GENERATOR_TABLE[[#This Row],[Professional Engineering Hours]]*PART_NUMBER_GENERATOR_TABLE[[#This Row],[Sell Rate]]</f>
        <v>0</v>
      </c>
      <c r="AW109">
        <f>PART_NUMBER_GENERATOR_TABLE[[#This Row],[Professional Engineering Hours]]*PART_NUMBER_GENERATOR_TABLE[[#This Row],[Cost Rate]]</f>
        <v>0</v>
      </c>
      <c r="AX109">
        <f>SUM(PART_NUMBER_GENERATOR_TABLE[[#This Row],[PM Trips]:[R5 Trips]])</f>
        <v>0</v>
      </c>
      <c r="AY109">
        <f>PART_NUMBER_GENERATOR_TABLE[[#This Row],[Travel &amp; Accommodation Hours]]*PART_NUMBER_GENERATOR_TABLE[[#This Row],[Sell Rate]]</f>
        <v>0</v>
      </c>
      <c r="AZ109">
        <f>PART_NUMBER_GENERATOR_TABLE[[#This Row],[Travel &amp; Accommodation Hours]]*PART_NUMBER_GENERATOR_TABLE[[#This Row],[Cost Rate]]</f>
        <v>0</v>
      </c>
      <c r="BA109">
        <f>PART_NUMBER_GENERATOR_TABLE[[#This Row],[PM Hours]]+PART_NUMBER_GENERATOR_TABLE[[#This Row],[PM Remainder]]</f>
        <v>0</v>
      </c>
      <c r="BB109">
        <f>PART_NUMBER_GENERATOR_TABLE[[#This Row],[Project Management Hours]]*PART_NUMBER_GENERATOR_TABLE[[#This Row],[Sell Rate]]</f>
        <v>0</v>
      </c>
      <c r="BC109">
        <f>PART_NUMBER_GENERATOR_TABLE[[#This Row],[Project Management Hours]]*PART_NUMBER_GENERATOR_TABLE[[#This Row],[Cost Rate]]</f>
        <v>0</v>
      </c>
      <c r="BD109">
        <f>SUM(PART_NUMBER_GENERATOR_TABLE[[#This Row],[SSE RISK BH]:[PM RISK]],PART_NUMBER_GENERATOR_TABLE[[#This Row],[SSE Remainder RISK BH]:[PM Remainder RISK]])</f>
        <v>0</v>
      </c>
      <c r="BE109">
        <f>PART_NUMBER_GENERATOR_TABLE[[#This Row],[Project Risk Service Hours]]*PART_NUMBER_GENERATOR_TABLE[[#This Row],[Sell Rate]]</f>
        <v>0</v>
      </c>
      <c r="BF109">
        <f>PART_NUMBER_GENERATOR_TABLE[[#This Row],[Project Risk Service Hours]]*PART_NUMBER_GENERATOR_TABLE[[#This Row],[Cost Rate]]</f>
        <v>0</v>
      </c>
      <c r="BG109">
        <f>PART_NUMBER_GENERATOR_TABLE[[#This Row],[SSE RISK TRAVEL]]</f>
        <v>0</v>
      </c>
      <c r="BH109">
        <f>PART_NUMBER_GENERATOR_TABLE[[#This Row],[Sell Rate]]*PART_NUMBER_GENERATOR_TABLE[[#This Row],[Project Risk Travel Hours]]</f>
        <v>0</v>
      </c>
      <c r="BI109">
        <f>PART_NUMBER_GENERATOR_TABLE[[#This Row],[Project Risk Travel Hours]]*PART_NUMBER_GENERATOR_TABLE[[#This Row],[Cost Rate]]</f>
        <v>0</v>
      </c>
      <c r="BJ10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0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09">
        <f>IFERROR(-VLOOKUP(INDEX(ENGINEER_ROLES,MATCH(PART_NUMBER_GENERATOR_TABLE[[#This Row],[Work Role]],settings.Table_Engineer.Roles[ID],0),1),Settings_Hidden!$H$359:$K$366,4,FALSE),0)</f>
        <v>0</v>
      </c>
      <c r="BM109" s="680">
        <f>-Summary!$C$66</f>
        <v>0</v>
      </c>
      <c r="BN109" s="465">
        <f>PART_NUMBER_GENERATOR_TABLE[[#This Row],[Total Base Price]]*MIN(PART_NUMBER_GENERATOR_TABLE[[#This Row],[Rate Service Discount]:[Flat Service Discount]])</f>
        <v>0</v>
      </c>
      <c r="BO109" s="451" t="str">
        <f>IF(PART_NUMBER_GENERATOR_TABLE[[#This Row],[Quantity]]&lt;&gt;0,MAX($BO$30:BO108)+1,"")</f>
        <v/>
      </c>
      <c r="BP109" t="str">
        <f>PART_NUMBER_GENERATOR_TABLE[[#This Row],[Part Number]]</f>
        <v>A-PS-E-OPPTEC-TA-AH</v>
      </c>
      <c r="BQ109">
        <f>PART_NUMBER_GENERATOR_TABLE[[#This Row],[Total Hours]]</f>
        <v>0</v>
      </c>
      <c r="BR109">
        <f>PART_NUMBER_GENERATOR_TABLE[[#This Row],[Cost Rate]]</f>
        <v>122.02019862032805</v>
      </c>
      <c r="BS109" s="465">
        <f>PART_NUMBER_GENERATOR_TABLE[[#This Row],[Sell Rate]]+(PART_NUMBER_GENERATOR_TABLE[[#This Row],[Sell Rate]]*MIN(PART_NUMBER_GENERATOR_TABLE[[#This Row],[Rate Service Discount]:[Flat Service Discount]]))</f>
        <v>232.5</v>
      </c>
    </row>
    <row r="110" spans="1:71">
      <c r="A110">
        <v>80</v>
      </c>
      <c r="C110" t="s">
        <v>1010</v>
      </c>
      <c r="D110" t="str" cm="1">
        <f t="array" ref="D110">INDEX(Table.Settings_Skill.List[Skill Name],MATCH(INDEX(_xlfn.TEXTSPLIT(C110,"-",,TRUE),4),Table.Settings_Skill.List[Skill Code],0),1)</f>
        <v>Operational Technology</v>
      </c>
      <c r="E110" t="str" cm="1">
        <f t="array" ref="E110">INDEX(_xlfn.TEXTSPLIT(C110,"-",,TRUE),5)</f>
        <v>SE</v>
      </c>
      <c r="F110" t="str">
        <f>IFERROR(INDEX(settings.Table_Engineer.Roles[Department Code],MATCH(PART_NUMBER_GENERATOR_TABLE[[#This Row],[Work Role]],settings.Table_Engineer.Roles[ID],0),1),"PMO")</f>
        <v>ENG</v>
      </c>
      <c r="G110" t="str" cm="1">
        <f t="array" ref="G110">INDEX(_xlfn.TEXTSPLIT(C110,"-",,TRUE),6)</f>
        <v>AH</v>
      </c>
      <c r="H11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352.5</v>
      </c>
      <c r="I11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189.17783891744716</v>
      </c>
      <c r="J110" cm="1">
        <f t="array" ref="J110">IF(J$1&lt;&gt;PART_NUMBER_GENERATOR_TABLE[[#This Row],[Work Role]:[Work Role]],0,
IF(RIGHT(J$30,2)&lt;&gt;PART_NUMBER_GENERATOR_TABLE[[#This Row],[Work Type]:[Work Type]],0,
SUMIFS(Input_Tasks[R1 Business Hours],Input_Tasks[[Skill Required]:[Skill Required]],PART_NUMBER_GENERATOR_TABLE[[#This Row],[Tech]:[Tech]])))</f>
        <v>0</v>
      </c>
      <c r="K110" cm="1">
        <f t="array" ref="K110">IF(K$1&lt;&gt;PART_NUMBER_GENERATOR_TABLE[[#This Row],[Work Role]:[Work Role]],0,
IF(RIGHT(K$30,2)&lt;&gt;PART_NUMBER_GENERATOR_TABLE[[#This Row],[Work Type]:[Work Type]],0,
SUMIFS(Input_Tasks[R1 After Hours],Input_Tasks[[Skill Required]:[Skill Required]],PART_NUMBER_GENERATOR_TABLE[[#This Row],[Tech]:[Tech]])))</f>
        <v>0</v>
      </c>
      <c r="L110" cm="1">
        <f t="array" ref="L110">IF(L$1&lt;&gt;PART_NUMBER_GENERATOR_TABLE[[#This Row],[Work Role]:[Work Role]],0,
IF(RIGHT(L$30,2)&lt;&gt;PART_NUMBER_GENERATOR_TABLE[[#This Row],[Work Type]:[Work Type]],0,
SUMIFS(Input_Tasks[R2 Business Hours],Input_Tasks[[Skill Required]:[Skill Required]],PART_NUMBER_GENERATOR_TABLE[[#This Row],[Tech]:[Tech]])))</f>
        <v>0</v>
      </c>
      <c r="M110" cm="1">
        <f t="array" ref="M110">IF(M$1&lt;&gt;PART_NUMBER_GENERATOR_TABLE[[#This Row],[Work Role]:[Work Role]],0,
IF(RIGHT(M$30,2)&lt;&gt;PART_NUMBER_GENERATOR_TABLE[[#This Row],[Work Type]:[Work Type]],0,
SUMIFS(Input_Tasks[R2 After Hours],Input_Tasks[[Skill Required]:[Skill Required]],PART_NUMBER_GENERATOR_TABLE[[#This Row],[Tech]:[Tech]])))</f>
        <v>0</v>
      </c>
      <c r="N110" cm="1">
        <f t="array" ref="N110">IF(N$1&lt;&gt;PART_NUMBER_GENERATOR_TABLE[[#This Row],[Work Role]:[Work Role]],0,
IF(RIGHT(N$30,2)&lt;&gt;PART_NUMBER_GENERATOR_TABLE[[#This Row],[Work Type]:[Work Type]],0,
SUMIFS(Input_Tasks[R3 Business Hours],Input_Tasks[[Skill Required]:[Skill Required]],PART_NUMBER_GENERATOR_TABLE[[#This Row],[Tech]:[Tech]])))</f>
        <v>0</v>
      </c>
      <c r="O110" cm="1">
        <f t="array" ref="O110">IF(O$1&lt;&gt;PART_NUMBER_GENERATOR_TABLE[[#This Row],[Work Role]:[Work Role]],0,
IF(RIGHT(O$30,2)&lt;&gt;PART_NUMBER_GENERATOR_TABLE[[#This Row],[Work Type]:[Work Type]],0,
SUMIFS(Input_Tasks[R3 After Hours],Input_Tasks[[Skill Required]:[Skill Required]],PART_NUMBER_GENERATOR_TABLE[[#This Row],[Tech]:[Tech]])))</f>
        <v>0</v>
      </c>
      <c r="P110" cm="1">
        <f t="array" ref="P110">IF(P$1&lt;&gt;PART_NUMBER_GENERATOR_TABLE[[#This Row],[Work Role]:[Work Role]],0,
IF(RIGHT(P$30,2)&lt;&gt;PART_NUMBER_GENERATOR_TABLE[[#This Row],[Work Type]:[Work Type]],0,
SUMIFS(Input_Tasks[R4 Business Hours],Input_Tasks[[Skill Required]:[Skill Required]],PART_NUMBER_GENERATOR_TABLE[[#This Row],[Tech]:[Tech]])))</f>
        <v>0</v>
      </c>
      <c r="Q110" cm="1">
        <f t="array" ref="Q110">IF(Q$1&lt;&gt;PART_NUMBER_GENERATOR_TABLE[[#This Row],[Work Role]:[Work Role]],0,
IF(RIGHT(Q$30,2)&lt;&gt;PART_NUMBER_GENERATOR_TABLE[[#This Row],[Work Type]:[Work Type]],0,
SUMIFS(Input_Tasks[R4 After Hours],Input_Tasks[[Skill Required]:[Skill Required]],PART_NUMBER_GENERATOR_TABLE[[#This Row],[Tech]:[Tech]])))</f>
        <v>0</v>
      </c>
      <c r="R110" cm="1">
        <f t="array" ref="R110">IF(R$1&lt;&gt;PART_NUMBER_GENERATOR_TABLE[[#This Row],[Work Role]:[Work Role]],0,
IF(RIGHT(R$30,2)&lt;&gt;PART_NUMBER_GENERATOR_TABLE[[#This Row],[Work Type]:[Work Type]],0,
SUMIFS(Input_Tasks[R5 Business Hours],Input_Tasks[[Skill Required]:[Skill Required]],PART_NUMBER_GENERATOR_TABLE[[#This Row],[Tech]:[Tech]])))</f>
        <v>0</v>
      </c>
      <c r="S110" cm="1">
        <f t="array" ref="S110">IF(S$1&lt;&gt;PART_NUMBER_GENERATOR_TABLE[[#This Row],[Work Role]:[Work Role]],0,
IF(RIGHT(S$30,2)&lt;&gt;PART_NUMBER_GENERATOR_TABLE[[#This Row],[Work Type]:[Work Type]],0,
SUMIFS(Input_Tasks[R5 After Hours],Input_Tasks[[Skill Required]:[Skill Required]],PART_NUMBER_GENERATOR_TABLE[[#This Row],[Tech]:[Tech]])))</f>
        <v>0</v>
      </c>
      <c r="T110" cm="1">
        <f t="array" ref="T110">IF(PART_NUMBER_GENERATOR_TABLE[[#This Row],[Work Role]:[Work Role]]&lt;&gt;T$1,0,
IF(PART_NUMBER_GENERATOR_TABLE[[#This Row],[Work Type]:[Work Type]]&lt;&gt;"BH",0,
SUMIFS(T$9:T$24,$M$9:$M$24,PART_NUMBER_GENERATOR_TABLE[[#This Row],[Tech]:[Tech]])))</f>
        <v>0</v>
      </c>
      <c r="U110" cm="1">
        <f t="array" ref="U110">IF(PART_NUMBER_GENERATOR_TABLE[[#This Row],[Work Role]:[Work Role]]&lt;&gt;U$1,0,
IF(PART_NUMBER_GENERATOR_TABLE[[#This Row],[Work Type]:[Work Type]]&lt;&gt;"BH",0,
SUMIFS(U$9:U$24,$M$9:$M$24,PART_NUMBER_GENERATOR_TABLE[[#This Row],[Tech]:[Tech]])))</f>
        <v>0</v>
      </c>
      <c r="V110" cm="1">
        <f t="array" ref="V110">IF(PART_NUMBER_GENERATOR_TABLE[[#This Row],[Work Role]:[Work Role]]&lt;&gt;V$1,0,
IF(PART_NUMBER_GENERATOR_TABLE[[#This Row],[Work Type]:[Work Type]]&lt;&gt;"BH",0,
SUMIFS(V$9:V$24,$M$9:$M$24,PART_NUMBER_GENERATOR_TABLE[[#This Row],[Tech]:[Tech]])))</f>
        <v>0</v>
      </c>
      <c r="W110" cm="1">
        <f t="array" ref="W110">IF(PART_NUMBER_GENERATOR_TABLE[[#This Row],[Work Role]:[Work Role]]&lt;&gt;W$1,0,
IF(PART_NUMBER_GENERATOR_TABLE[[#This Row],[Work Type]:[Work Type]]&lt;&gt;"BH",0,
SUMIFS(W$9:W$24,$M$9:$M$24,PART_NUMBER_GENERATOR_TABLE[[#This Row],[Tech]:[Tech]])))</f>
        <v>0</v>
      </c>
      <c r="X110" cm="1">
        <f t="array" ref="X110">IF(PART_NUMBER_GENERATOR_TABLE[[#This Row],[Work Role]:[Work Role]]&lt;&gt;X$1,0,
IF(PART_NUMBER_GENERATOR_TABLE[[#This Row],[Work Type]:[Work Type]]&lt;&gt;"BH",0,
SUMIFS(X$9:X$24,$M$9:$M$24,PART_NUMBER_GENERATOR_TABLE[[#This Row],[Tech]:[Tech]])))</f>
        <v>0</v>
      </c>
      <c r="Y110" cm="1">
        <f t="array" ref="Y110">IF(PART_NUMBER_GENERATOR_TABLE[[#This Row],[Work Role]:[Work Role]]&lt;&gt;Y$1,0,
IF(PART_NUMBER_GENERATOR_TABLE[[#This Row],[Work Type]:[Work Type]]&lt;&gt;"BH",0,
SUMIFS(Y$9:Y$24,$M$9:$M$24,PART_NUMBER_GENERATOR_TABLE[[#This Row],[Tech]:[Tech]])))</f>
        <v>0</v>
      </c>
      <c r="Z110" cm="1">
        <f t="array" ref="Z110">IF(PART_NUMBER_GENERATOR_TABLE[[#This Row],[Work Role]:[Work Role]]&lt;&gt;Z$1,0,
IF(PART_NUMBER_GENERATOR_TABLE[[#This Row],[Work Type]:[Work Type]]&lt;&gt;"BH",0,
SUMIFS(Z$9:Z$24,$M$9:$M$24,PART_NUMBER_GENERATOR_TABLE[[#This Row],[Tech]:[Tech]])))</f>
        <v>0</v>
      </c>
      <c r="AA110" cm="1">
        <f t="array" ref="AA110">IF(PART_NUMBER_GENERATOR_TABLE[[#This Row],[Work Role]:[Work Role]]&lt;&gt;AA$1,0,
IF(PART_NUMBER_GENERATOR_TABLE[[#This Row],[Work Type]:[Work Type]]&lt;&gt;"BH",0,
SUMIFS(AA$9:AA$24,$M$9:$M$24,PART_NUMBER_GENERATOR_TABLE[[#This Row],[Tech]:[Tech]])))</f>
        <v>0</v>
      </c>
      <c r="AB110" cm="1">
        <f t="array" ref="AB110">IF(PART_NUMBER_GENERATOR_TABLE[[#This Row],[Work Role]:[Work Role]]&lt;&gt;AB$1,0,
IF(PART_NUMBER_GENERATOR_TABLE[[#This Row],[Work Type]:[Work Type]]&lt;&gt;"BH",0,
SUMIFS(AB$9:AB$24,$M$9:$M$24,PART_NUMBER_GENERATOR_TABLE[[#This Row],[Tech]:[Tech]])))</f>
        <v>0</v>
      </c>
      <c r="AC110" cm="1">
        <f t="array" ref="AC110">IF(PART_NUMBER_GENERATOR_TABLE[[#This Row],[Work Role]:[Work Role]]&lt;&gt;AC$1,0,
IF(PART_NUMBER_GENERATOR_TABLE[[#This Row],[Work Type]:[Work Type]]&lt;&gt;"BH",0,
SUMIFS(AC$9:AC$24,$M$9:$M$24,PART_NUMBER_GENERATOR_TABLE[[#This Row],[Tech]:[Tech]])))</f>
        <v>0</v>
      </c>
      <c r="AD110" cm="1">
        <f t="array" ref="AD110">IF(PART_NUMBER_GENERATOR_TABLE[[#This Row],[Work Role]:[Work Role]]&lt;&gt;AD$1,0,
IF(PART_NUMBER_GENERATOR_TABLE[[#This Row],[Work Type]:[Work Type]]&lt;&gt;"BH",0,
SUMIFS(AD$9:AD$24,$M$9:$M$24,PART_NUMBER_GENERATOR_TABLE[[#This Row],[Tech]:[Tech]])))</f>
        <v>0</v>
      </c>
      <c r="AE110" cm="1">
        <f t="array" ref="AE110">IF(PART_NUMBER_GENERATOR_TABLE[[#This Row],[Work Role]:[Work Role]]&lt;&gt;AE$1,0,
IF(PART_NUMBER_GENERATOR_TABLE[[#This Row],[Work Type]:[Work Type]]&lt;&gt;"BH",0,
SUMIFS(AE$9:AE$24,$M$9:$M$24,PART_NUMBER_GENERATOR_TABLE[[#This Row],[Tech]:[Tech]])))</f>
        <v>0</v>
      </c>
      <c r="AF110" cm="1">
        <f t="array" ref="AF110">IF(PART_NUMBER_GENERATOR_TABLE[[#This Row],[Work Role]:[Work Role]]&lt;&gt;AF$1,0,
IF(PART_NUMBER_GENERATOR_TABLE[[#This Row],[Work Type]:[Work Type]]&lt;&gt;"BH",0,
SUMIFS(AF$9:AF$24,$M$9:$M$24,PART_NUMBER_GENERATOR_TABLE[[#This Row],[Tech]:[Tech]])))</f>
        <v>0</v>
      </c>
      <c r="AG110" cm="1">
        <f t="array" ref="AG110">IF(PART_NUMBER_GENERATOR_TABLE[[#This Row],[Work Role]:[Work Role]]&lt;&gt;AG$1,0,
IF(PART_NUMBER_GENERATOR_TABLE[[#This Row],[Work Type]:[Work Type]]&lt;&gt;"AH",0,
SUMIFS(AG$9:AG$24,$M$9:$M$24,PART_NUMBER_GENERATOR_TABLE[[#This Row],[Tech]:[Tech]])))</f>
        <v>0</v>
      </c>
      <c r="AH110" cm="1">
        <f t="array" ref="AH110">IF(PART_NUMBER_GENERATOR_TABLE[[#This Row],[Work Role]:[Work Role]]&lt;&gt;AH$1,0,
IF(PART_NUMBER_GENERATOR_TABLE[[#This Row],[Work Type]:[Work Type]]&lt;&gt;"BH",0,
SUMIFS(AH$9:AH$24,$M$9:$M$24,PART_NUMBER_GENERATOR_TABLE[[#This Row],[Tech]:[Tech]])))</f>
        <v>0</v>
      </c>
      <c r="AI110" cm="1">
        <f t="array" ref="AI110">IF(PART_NUMBER_GENERATOR_TABLE[[#This Row],[Work Role]:[Work Role]]&lt;&gt;AI$1,0,
IF(PART_NUMBER_GENERATOR_TABLE[[#This Row],[Work Type]:[Work Type]]&lt;&gt;"BH",0,
SUMIFS(AI$9:AI$24,$M$9:$M$24,PART_NUMBER_GENERATOR_TABLE[[#This Row],[Tech]:[Tech]])))</f>
        <v>0</v>
      </c>
      <c r="AJ110" cm="1">
        <f t="array" ref="AJ110">IF(PART_NUMBER_GENERATOR_TABLE[[#This Row],[Work Role]:[Work Role]]&lt;&gt;AJ$1,0,
IF(PART_NUMBER_GENERATOR_TABLE[[#This Row],[Work Type]:[Work Type]]&lt;&gt;"BH",0,
SUMIFS(AJ$9:AJ$24,$M$9:$M$24,PART_NUMBER_GENERATOR_TABLE[[#This Row],[Tech]:[Tech]])))</f>
        <v>0</v>
      </c>
      <c r="AK110" cm="1">
        <f t="array" ref="AK110">IF(PART_NUMBER_GENERATOR_TABLE[[#This Row],[Work Role]:[Work Role]]&lt;&gt;AK$1,0,
IF(PART_NUMBER_GENERATOR_TABLE[[#This Row],[Work Type]:[Work Type]]&lt;&gt;"AH",0,
SUMIFS(AK$9:AK$24,$M$9:$M$24,PART_NUMBER_GENERATOR_TABLE[[#This Row],[Tech]:[Tech]])))</f>
        <v>0</v>
      </c>
      <c r="AL110" cm="1">
        <f t="array" ref="AL110">IF(PART_NUMBER_GENERATOR_TABLE[[#This Row],[Work Role]:[Work Role]]&lt;&gt;AL$1,0,
IF(PART_NUMBER_GENERATOR_TABLE[[#This Row],[Work Type]:[Work Type]]&lt;&gt;"BH",0,
SUMIFS(AL$9:AL$24,$M$9:$M$24,PART_NUMBER_GENERATOR_TABLE[[#This Row],[Tech]:[Tech]])))</f>
        <v>0</v>
      </c>
      <c r="AM110">
        <f>0</f>
        <v>0</v>
      </c>
      <c r="AN110" cm="1">
        <f t="array" ref="AN110">IF(PART_NUMBER_GENERATOR_TABLE[[#This Row],[Work Role]:[Work Role]]&lt;&gt;AN$1,0,
IF(PART_NUMBER_GENERATOR_TABLE[[#This Row],[Work Type]:[Work Type]]&lt;&gt;"BH",0,
SUMIFS(AN$24,$AM$24,PART_NUMBER_GENERATOR_TABLE[[#This Row],[Tech]:[Tech]])))</f>
        <v>0</v>
      </c>
      <c r="AO110" cm="1">
        <f t="array" ref="AO110">IF(PART_NUMBER_GENERATOR_TABLE[[#This Row],[Work Role]:[Work Role]]&lt;&gt;AO$1,0,
IF(PART_NUMBER_GENERATOR_TABLE[[#This Row],[Work Type]:[Work Type]]&lt;&gt;"BH",0,
SUMIFS(AO$24,$AM$24,PART_NUMBER_GENERATOR_TABLE[[#This Row],[Tech]:[Tech]])))</f>
        <v>0</v>
      </c>
      <c r="AP110" cm="1">
        <f t="array" ref="AP110">IF(PART_NUMBER_GENERATOR_TABLE[[#This Row],[Work Role]:[Work Role]]&lt;&gt;AP$1,0,
IF(PART_NUMBER_GENERATOR_TABLE[[#This Row],[Work Type]:[Work Type]]&lt;&gt;"BH",0,
SUMIFS(AP$24,$AM$24,PART_NUMBER_GENERATOR_TABLE[[#This Row],[Tech]:[Tech]])))</f>
        <v>0</v>
      </c>
      <c r="AQ110" cm="1">
        <f t="array" ref="AQ110">IF(PART_NUMBER_GENERATOR_TABLE[[#This Row],[Work Role]:[Work Role]]&lt;&gt;AQ$1,0,
IF(PART_NUMBER_GENERATOR_TABLE[[#This Row],[Work Type]:[Work Type]]&lt;&gt;"BH",0,
SUMIFS(AQ$24,$AM$24,PART_NUMBER_GENERATOR_TABLE[[#This Row],[Tech]:[Tech]])))</f>
        <v>0</v>
      </c>
      <c r="AR110" cm="1">
        <f t="array" ref="AR110">IF(PART_NUMBER_GENERATOR_TABLE[[#This Row],[Work Role]:[Work Role]]&lt;&gt;AR$1,0,
IF(PART_NUMBER_GENERATOR_TABLE[[#This Row],[Work Type]:[Work Type]]&lt;&gt;"BH",0,
SUMIFS(AR$24,$AM$24,PART_NUMBER_GENERATOR_TABLE[[#This Row],[Tech]:[Tech]])))</f>
        <v>0</v>
      </c>
      <c r="AS110" cm="1">
        <f t="array" ref="AS110">IF(PART_NUMBER_GENERATOR_TABLE[[#This Row],[Work Role]:[Work Role]]&lt;&gt;AS$1,0,
IF(PART_NUMBER_GENERATOR_TABLE[[#This Row],[Work Type]:[Work Type]]&lt;&gt;"BH",0,
SUMIFS(AS$24,$AM$24,PART_NUMBER_GENERATOR_TABLE[[#This Row],[Tech]:[Tech]])))</f>
        <v>0</v>
      </c>
      <c r="AT110" cm="1">
        <f t="array" ref="AT110">IF(PART_NUMBER_GENERATOR_TABLE[[#This Row],[Work Role]:[Work Role]]&lt;&gt;AS$1,0,
IF(PART_NUMBER_GENERATOR_TABLE[[#This Row],[Work Type]:[Work Type]]&lt;&gt;"BH",0,
SUMIFS(AT$24,$AM$24,PART_NUMBER_GENERATOR_TABLE[[#This Row],[Tech]:[Tech]])))</f>
        <v>0</v>
      </c>
      <c r="AU110">
        <f>SUM(PART_NUMBER_GENERATOR_TABLE[[#This Row],[Resource 1 BH]:[Resource 5 AH]],PART_NUMBER_GENERATOR_TABLE[[#This Row],[R1 Mandatory Tasks]:[R5 Mandatory Tasks]],PART_NUMBER_GENERATOR_TABLE[[#This Row],[R1 Remainder]:[R5 Remainder]])</f>
        <v>0</v>
      </c>
      <c r="AV110">
        <f>PART_NUMBER_GENERATOR_TABLE[[#This Row],[Professional Engineering Hours]]*PART_NUMBER_GENERATOR_TABLE[[#This Row],[Sell Rate]]</f>
        <v>0</v>
      </c>
      <c r="AW110">
        <f>PART_NUMBER_GENERATOR_TABLE[[#This Row],[Professional Engineering Hours]]*PART_NUMBER_GENERATOR_TABLE[[#This Row],[Cost Rate]]</f>
        <v>0</v>
      </c>
      <c r="AX110">
        <f>SUM(PART_NUMBER_GENERATOR_TABLE[[#This Row],[PM Trips]:[R5 Trips]])</f>
        <v>0</v>
      </c>
      <c r="AY110">
        <f>PART_NUMBER_GENERATOR_TABLE[[#This Row],[Travel &amp; Accommodation Hours]]*PART_NUMBER_GENERATOR_TABLE[[#This Row],[Sell Rate]]</f>
        <v>0</v>
      </c>
      <c r="AZ110">
        <f>PART_NUMBER_GENERATOR_TABLE[[#This Row],[Travel &amp; Accommodation Hours]]*PART_NUMBER_GENERATOR_TABLE[[#This Row],[Cost Rate]]</f>
        <v>0</v>
      </c>
      <c r="BA110">
        <f>PART_NUMBER_GENERATOR_TABLE[[#This Row],[PM Hours]]+PART_NUMBER_GENERATOR_TABLE[[#This Row],[PM Remainder]]</f>
        <v>0</v>
      </c>
      <c r="BB110">
        <f>PART_NUMBER_GENERATOR_TABLE[[#This Row],[Project Management Hours]]*PART_NUMBER_GENERATOR_TABLE[[#This Row],[Sell Rate]]</f>
        <v>0</v>
      </c>
      <c r="BC110">
        <f>PART_NUMBER_GENERATOR_TABLE[[#This Row],[Project Management Hours]]*PART_NUMBER_GENERATOR_TABLE[[#This Row],[Cost Rate]]</f>
        <v>0</v>
      </c>
      <c r="BD110">
        <f>SUM(PART_NUMBER_GENERATOR_TABLE[[#This Row],[SSE RISK BH]:[PM RISK]],PART_NUMBER_GENERATOR_TABLE[[#This Row],[SSE Remainder RISK BH]:[PM Remainder RISK]])</f>
        <v>0</v>
      </c>
      <c r="BE110">
        <f>PART_NUMBER_GENERATOR_TABLE[[#This Row],[Project Risk Service Hours]]*PART_NUMBER_GENERATOR_TABLE[[#This Row],[Sell Rate]]</f>
        <v>0</v>
      </c>
      <c r="BF110">
        <f>PART_NUMBER_GENERATOR_TABLE[[#This Row],[Project Risk Service Hours]]*PART_NUMBER_GENERATOR_TABLE[[#This Row],[Cost Rate]]</f>
        <v>0</v>
      </c>
      <c r="BG110">
        <f>PART_NUMBER_GENERATOR_TABLE[[#This Row],[SSE RISK TRAVEL]]</f>
        <v>0</v>
      </c>
      <c r="BH110">
        <f>PART_NUMBER_GENERATOR_TABLE[[#This Row],[Sell Rate]]*PART_NUMBER_GENERATOR_TABLE[[#This Row],[Project Risk Travel Hours]]</f>
        <v>0</v>
      </c>
      <c r="BI110">
        <f>PART_NUMBER_GENERATOR_TABLE[[#This Row],[Project Risk Travel Hours]]*PART_NUMBER_GENERATOR_TABLE[[#This Row],[Cost Rate]]</f>
        <v>0</v>
      </c>
      <c r="BJ11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1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10">
        <f>IFERROR(-VLOOKUP(INDEX(ENGINEER_ROLES,MATCH(PART_NUMBER_GENERATOR_TABLE[[#This Row],[Work Role]],settings.Table_Engineer.Roles[ID],0),1),Settings_Hidden!$H$359:$K$366,4,FALSE),0)</f>
        <v>0</v>
      </c>
      <c r="BM110" s="680">
        <f>-Summary!$C$66</f>
        <v>0</v>
      </c>
      <c r="BN110" s="465">
        <f>PART_NUMBER_GENERATOR_TABLE[[#This Row],[Total Base Price]]*MIN(PART_NUMBER_GENERATOR_TABLE[[#This Row],[Rate Service Discount]:[Flat Service Discount]])</f>
        <v>0</v>
      </c>
      <c r="BO110" s="451" t="str">
        <f>IF(PART_NUMBER_GENERATOR_TABLE[[#This Row],[Quantity]]&lt;&gt;0,MAX($BO$30:BO109)+1,"")</f>
        <v/>
      </c>
      <c r="BP110" t="str">
        <f>PART_NUMBER_GENERATOR_TABLE[[#This Row],[Part Number]]</f>
        <v>A-PS-E-OPPTEC-SE-AH</v>
      </c>
      <c r="BQ110">
        <f>PART_NUMBER_GENERATOR_TABLE[[#This Row],[Total Hours]]</f>
        <v>0</v>
      </c>
      <c r="BR110">
        <f>PART_NUMBER_GENERATOR_TABLE[[#This Row],[Cost Rate]]</f>
        <v>189.17783891744716</v>
      </c>
      <c r="BS110" s="465">
        <f>PART_NUMBER_GENERATOR_TABLE[[#This Row],[Sell Rate]]+(PART_NUMBER_GENERATOR_TABLE[[#This Row],[Sell Rate]]*MIN(PART_NUMBER_GENERATOR_TABLE[[#This Row],[Rate Service Discount]:[Flat Service Discount]]))</f>
        <v>352.5</v>
      </c>
    </row>
    <row r="111" spans="1:71">
      <c r="A111">
        <v>81</v>
      </c>
      <c r="C111" t="s">
        <v>1004</v>
      </c>
      <c r="D111" t="str" cm="1">
        <f t="array" ref="D111">INDEX(Table.Settings_Skill.List[Skill Name],MATCH(INDEX(_xlfn.TEXTSPLIT(C111,"-",,TRUE),4),Table.Settings_Skill.List[Skill Code],0),1)</f>
        <v>Operational Technology</v>
      </c>
      <c r="E111" t="str" cm="1">
        <f t="array" ref="E111">INDEX(_xlfn.TEXTSPLIT(C111,"-",,TRUE),5)</f>
        <v>SSE</v>
      </c>
      <c r="F111" t="str">
        <f>IFERROR(INDEX(settings.Table_Engineer.Roles[Department Code],MATCH(PART_NUMBER_GENERATOR_TABLE[[#This Row],[Work Role]],settings.Table_Engineer.Roles[ID],0),1),"PMO")</f>
        <v>ENG</v>
      </c>
      <c r="G111" t="str" cm="1">
        <f t="array" ref="G111">INDEX(_xlfn.TEXTSPLIT(C111,"-",,TRUE),6)</f>
        <v>AH</v>
      </c>
      <c r="H11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420.75</v>
      </c>
      <c r="I11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224.87758587669589</v>
      </c>
      <c r="J111" cm="1">
        <f t="array" ref="J111">IF(J$1&lt;&gt;PART_NUMBER_GENERATOR_TABLE[[#This Row],[Work Role]:[Work Role]],0,
IF(RIGHT(J$30,2)&lt;&gt;PART_NUMBER_GENERATOR_TABLE[[#This Row],[Work Type]:[Work Type]],0,
SUMIFS(Input_Tasks[R1 Business Hours],Input_Tasks[[Skill Required]:[Skill Required]],PART_NUMBER_GENERATOR_TABLE[[#This Row],[Tech]:[Tech]])))</f>
        <v>0</v>
      </c>
      <c r="K111" cm="1">
        <f t="array" ref="K111">IF(K$1&lt;&gt;PART_NUMBER_GENERATOR_TABLE[[#This Row],[Work Role]:[Work Role]],0,
IF(RIGHT(K$30,2)&lt;&gt;PART_NUMBER_GENERATOR_TABLE[[#This Row],[Work Type]:[Work Type]],0,
SUMIFS(Input_Tasks[R1 After Hours],Input_Tasks[[Skill Required]:[Skill Required]],PART_NUMBER_GENERATOR_TABLE[[#This Row],[Tech]:[Tech]])))</f>
        <v>0</v>
      </c>
      <c r="L111" cm="1">
        <f t="array" ref="L111">IF(L$1&lt;&gt;PART_NUMBER_GENERATOR_TABLE[[#This Row],[Work Role]:[Work Role]],0,
IF(RIGHT(L$30,2)&lt;&gt;PART_NUMBER_GENERATOR_TABLE[[#This Row],[Work Type]:[Work Type]],0,
SUMIFS(Input_Tasks[R2 Business Hours],Input_Tasks[[Skill Required]:[Skill Required]],PART_NUMBER_GENERATOR_TABLE[[#This Row],[Tech]:[Tech]])))</f>
        <v>0</v>
      </c>
      <c r="M111" cm="1">
        <f t="array" ref="M111">IF(M$1&lt;&gt;PART_NUMBER_GENERATOR_TABLE[[#This Row],[Work Role]:[Work Role]],0,
IF(RIGHT(M$30,2)&lt;&gt;PART_NUMBER_GENERATOR_TABLE[[#This Row],[Work Type]:[Work Type]],0,
SUMIFS(Input_Tasks[R2 After Hours],Input_Tasks[[Skill Required]:[Skill Required]],PART_NUMBER_GENERATOR_TABLE[[#This Row],[Tech]:[Tech]])))</f>
        <v>0</v>
      </c>
      <c r="N111" cm="1">
        <f t="array" ref="N111">IF(N$1&lt;&gt;PART_NUMBER_GENERATOR_TABLE[[#This Row],[Work Role]:[Work Role]],0,
IF(RIGHT(N$30,2)&lt;&gt;PART_NUMBER_GENERATOR_TABLE[[#This Row],[Work Type]:[Work Type]],0,
SUMIFS(Input_Tasks[R3 Business Hours],Input_Tasks[[Skill Required]:[Skill Required]],PART_NUMBER_GENERATOR_TABLE[[#This Row],[Tech]:[Tech]])))</f>
        <v>0</v>
      </c>
      <c r="O111" cm="1">
        <f t="array" ref="O111">IF(O$1&lt;&gt;PART_NUMBER_GENERATOR_TABLE[[#This Row],[Work Role]:[Work Role]],0,
IF(RIGHT(O$30,2)&lt;&gt;PART_NUMBER_GENERATOR_TABLE[[#This Row],[Work Type]:[Work Type]],0,
SUMIFS(Input_Tasks[R3 After Hours],Input_Tasks[[Skill Required]:[Skill Required]],PART_NUMBER_GENERATOR_TABLE[[#This Row],[Tech]:[Tech]])))</f>
        <v>0</v>
      </c>
      <c r="P111" cm="1">
        <f t="array" ref="P111">IF(P$1&lt;&gt;PART_NUMBER_GENERATOR_TABLE[[#This Row],[Work Role]:[Work Role]],0,
IF(RIGHT(P$30,2)&lt;&gt;PART_NUMBER_GENERATOR_TABLE[[#This Row],[Work Type]:[Work Type]],0,
SUMIFS(Input_Tasks[R4 Business Hours],Input_Tasks[[Skill Required]:[Skill Required]],PART_NUMBER_GENERATOR_TABLE[[#This Row],[Tech]:[Tech]])))</f>
        <v>0</v>
      </c>
      <c r="Q111" cm="1">
        <f t="array" ref="Q111">IF(Q$1&lt;&gt;PART_NUMBER_GENERATOR_TABLE[[#This Row],[Work Role]:[Work Role]],0,
IF(RIGHT(Q$30,2)&lt;&gt;PART_NUMBER_GENERATOR_TABLE[[#This Row],[Work Type]:[Work Type]],0,
SUMIFS(Input_Tasks[R4 After Hours],Input_Tasks[[Skill Required]:[Skill Required]],PART_NUMBER_GENERATOR_TABLE[[#This Row],[Tech]:[Tech]])))</f>
        <v>0</v>
      </c>
      <c r="R111" cm="1">
        <f t="array" ref="R111">IF(R$1&lt;&gt;PART_NUMBER_GENERATOR_TABLE[[#This Row],[Work Role]:[Work Role]],0,
IF(RIGHT(R$30,2)&lt;&gt;PART_NUMBER_GENERATOR_TABLE[[#This Row],[Work Type]:[Work Type]],0,
SUMIFS(Input_Tasks[R5 Business Hours],Input_Tasks[[Skill Required]:[Skill Required]],PART_NUMBER_GENERATOR_TABLE[[#This Row],[Tech]:[Tech]])))</f>
        <v>0</v>
      </c>
      <c r="S111" cm="1">
        <f t="array" ref="S111">IF(S$1&lt;&gt;PART_NUMBER_GENERATOR_TABLE[[#This Row],[Work Role]:[Work Role]],0,
IF(RIGHT(S$30,2)&lt;&gt;PART_NUMBER_GENERATOR_TABLE[[#This Row],[Work Type]:[Work Type]],0,
SUMIFS(Input_Tasks[R5 After Hours],Input_Tasks[[Skill Required]:[Skill Required]],PART_NUMBER_GENERATOR_TABLE[[#This Row],[Tech]:[Tech]])))</f>
        <v>0</v>
      </c>
      <c r="T111" cm="1">
        <f t="array" ref="T111">IF(PART_NUMBER_GENERATOR_TABLE[[#This Row],[Work Role]:[Work Role]]&lt;&gt;T$1,0,
IF(PART_NUMBER_GENERATOR_TABLE[[#This Row],[Work Type]:[Work Type]]&lt;&gt;"BH",0,
SUMIFS(T$9:T$24,$M$9:$M$24,PART_NUMBER_GENERATOR_TABLE[[#This Row],[Tech]:[Tech]])))</f>
        <v>0</v>
      </c>
      <c r="U111" cm="1">
        <f t="array" ref="U111">IF(PART_NUMBER_GENERATOR_TABLE[[#This Row],[Work Role]:[Work Role]]&lt;&gt;U$1,0,
IF(PART_NUMBER_GENERATOR_TABLE[[#This Row],[Work Type]:[Work Type]]&lt;&gt;"BH",0,
SUMIFS(U$9:U$24,$M$9:$M$24,PART_NUMBER_GENERATOR_TABLE[[#This Row],[Tech]:[Tech]])))</f>
        <v>0</v>
      </c>
      <c r="V111" cm="1">
        <f t="array" ref="V111">IF(PART_NUMBER_GENERATOR_TABLE[[#This Row],[Work Role]:[Work Role]]&lt;&gt;V$1,0,
IF(PART_NUMBER_GENERATOR_TABLE[[#This Row],[Work Type]:[Work Type]]&lt;&gt;"BH",0,
SUMIFS(V$9:V$24,$M$9:$M$24,PART_NUMBER_GENERATOR_TABLE[[#This Row],[Tech]:[Tech]])))</f>
        <v>0</v>
      </c>
      <c r="W111" cm="1">
        <f t="array" ref="W111">IF(PART_NUMBER_GENERATOR_TABLE[[#This Row],[Work Role]:[Work Role]]&lt;&gt;W$1,0,
IF(PART_NUMBER_GENERATOR_TABLE[[#This Row],[Work Type]:[Work Type]]&lt;&gt;"BH",0,
SUMIFS(W$9:W$24,$M$9:$M$24,PART_NUMBER_GENERATOR_TABLE[[#This Row],[Tech]:[Tech]])))</f>
        <v>0</v>
      </c>
      <c r="X111" cm="1">
        <f t="array" ref="X111">IF(PART_NUMBER_GENERATOR_TABLE[[#This Row],[Work Role]:[Work Role]]&lt;&gt;X$1,0,
IF(PART_NUMBER_GENERATOR_TABLE[[#This Row],[Work Type]:[Work Type]]&lt;&gt;"BH",0,
SUMIFS(X$9:X$24,$M$9:$M$24,PART_NUMBER_GENERATOR_TABLE[[#This Row],[Tech]:[Tech]])))</f>
        <v>0</v>
      </c>
      <c r="Y111" cm="1">
        <f t="array" ref="Y111">IF(PART_NUMBER_GENERATOR_TABLE[[#This Row],[Work Role]:[Work Role]]&lt;&gt;Y$1,0,
IF(PART_NUMBER_GENERATOR_TABLE[[#This Row],[Work Type]:[Work Type]]&lt;&gt;"BH",0,
SUMIFS(Y$9:Y$24,$M$9:$M$24,PART_NUMBER_GENERATOR_TABLE[[#This Row],[Tech]:[Tech]])))</f>
        <v>0</v>
      </c>
      <c r="Z111" cm="1">
        <f t="array" ref="Z111">IF(PART_NUMBER_GENERATOR_TABLE[[#This Row],[Work Role]:[Work Role]]&lt;&gt;Z$1,0,
IF(PART_NUMBER_GENERATOR_TABLE[[#This Row],[Work Type]:[Work Type]]&lt;&gt;"BH",0,
SUMIFS(Z$9:Z$24,$M$9:$M$24,PART_NUMBER_GENERATOR_TABLE[[#This Row],[Tech]:[Tech]])))</f>
        <v>0</v>
      </c>
      <c r="AA111" cm="1">
        <f t="array" ref="AA111">IF(PART_NUMBER_GENERATOR_TABLE[[#This Row],[Work Role]:[Work Role]]&lt;&gt;AA$1,0,
IF(PART_NUMBER_GENERATOR_TABLE[[#This Row],[Work Type]:[Work Type]]&lt;&gt;"BH",0,
SUMIFS(AA$9:AA$24,$M$9:$M$24,PART_NUMBER_GENERATOR_TABLE[[#This Row],[Tech]:[Tech]])))</f>
        <v>0</v>
      </c>
      <c r="AB111" cm="1">
        <f t="array" ref="AB111">IF(PART_NUMBER_GENERATOR_TABLE[[#This Row],[Work Role]:[Work Role]]&lt;&gt;AB$1,0,
IF(PART_NUMBER_GENERATOR_TABLE[[#This Row],[Work Type]:[Work Type]]&lt;&gt;"BH",0,
SUMIFS(AB$9:AB$24,$M$9:$M$24,PART_NUMBER_GENERATOR_TABLE[[#This Row],[Tech]:[Tech]])))</f>
        <v>0</v>
      </c>
      <c r="AC111" cm="1">
        <f t="array" ref="AC111">IF(PART_NUMBER_GENERATOR_TABLE[[#This Row],[Work Role]:[Work Role]]&lt;&gt;AC$1,0,
IF(PART_NUMBER_GENERATOR_TABLE[[#This Row],[Work Type]:[Work Type]]&lt;&gt;"BH",0,
SUMIFS(AC$9:AC$24,$M$9:$M$24,PART_NUMBER_GENERATOR_TABLE[[#This Row],[Tech]:[Tech]])))</f>
        <v>0</v>
      </c>
      <c r="AD111" cm="1">
        <f t="array" ref="AD111">IF(PART_NUMBER_GENERATOR_TABLE[[#This Row],[Work Role]:[Work Role]]&lt;&gt;AD$1,0,
IF(PART_NUMBER_GENERATOR_TABLE[[#This Row],[Work Type]:[Work Type]]&lt;&gt;"BH",0,
SUMIFS(AD$9:AD$24,$M$9:$M$24,PART_NUMBER_GENERATOR_TABLE[[#This Row],[Tech]:[Tech]])))</f>
        <v>0</v>
      </c>
      <c r="AE111" cm="1">
        <f t="array" ref="AE111">IF(PART_NUMBER_GENERATOR_TABLE[[#This Row],[Work Role]:[Work Role]]&lt;&gt;AE$1,0,
IF(PART_NUMBER_GENERATOR_TABLE[[#This Row],[Work Type]:[Work Type]]&lt;&gt;"BH",0,
SUMIFS(AE$9:AE$24,$M$9:$M$24,PART_NUMBER_GENERATOR_TABLE[[#This Row],[Tech]:[Tech]])))</f>
        <v>0</v>
      </c>
      <c r="AF111" cm="1">
        <f t="array" ref="AF111">IF(PART_NUMBER_GENERATOR_TABLE[[#This Row],[Work Role]:[Work Role]]&lt;&gt;AF$1,0,
IF(PART_NUMBER_GENERATOR_TABLE[[#This Row],[Work Type]:[Work Type]]&lt;&gt;"BH",0,
SUMIFS(AF$9:AF$24,$M$9:$M$24,PART_NUMBER_GENERATOR_TABLE[[#This Row],[Tech]:[Tech]])))</f>
        <v>0</v>
      </c>
      <c r="AG111" cm="1">
        <f t="array" ref="AG111">IF(PART_NUMBER_GENERATOR_TABLE[[#This Row],[Work Role]:[Work Role]]&lt;&gt;AG$1,0,
IF(PART_NUMBER_GENERATOR_TABLE[[#This Row],[Work Type]:[Work Type]]&lt;&gt;"AH",0,
SUMIFS(AG$9:AG$24,$M$9:$M$24,PART_NUMBER_GENERATOR_TABLE[[#This Row],[Tech]:[Tech]])))</f>
        <v>0</v>
      </c>
      <c r="AH111" cm="1">
        <f t="array" ref="AH111">IF(PART_NUMBER_GENERATOR_TABLE[[#This Row],[Work Role]:[Work Role]]&lt;&gt;AH$1,0,
IF(PART_NUMBER_GENERATOR_TABLE[[#This Row],[Work Type]:[Work Type]]&lt;&gt;"BH",0,
SUMIFS(AH$9:AH$24,$M$9:$M$24,PART_NUMBER_GENERATOR_TABLE[[#This Row],[Tech]:[Tech]])))</f>
        <v>0</v>
      </c>
      <c r="AI111" cm="1">
        <f t="array" ref="AI111">IF(PART_NUMBER_GENERATOR_TABLE[[#This Row],[Work Role]:[Work Role]]&lt;&gt;AI$1,0,
IF(PART_NUMBER_GENERATOR_TABLE[[#This Row],[Work Type]:[Work Type]]&lt;&gt;"BH",0,
SUMIFS(AI$9:AI$24,$M$9:$M$24,PART_NUMBER_GENERATOR_TABLE[[#This Row],[Tech]:[Tech]])))</f>
        <v>0</v>
      </c>
      <c r="AJ111" cm="1">
        <f t="array" ref="AJ111">IF(PART_NUMBER_GENERATOR_TABLE[[#This Row],[Work Role]:[Work Role]]&lt;&gt;AJ$1,0,
IF(PART_NUMBER_GENERATOR_TABLE[[#This Row],[Work Type]:[Work Type]]&lt;&gt;"BH",0,
SUMIFS(AJ$9:AJ$24,$M$9:$M$24,PART_NUMBER_GENERATOR_TABLE[[#This Row],[Tech]:[Tech]])))</f>
        <v>0</v>
      </c>
      <c r="AK111" cm="1">
        <f t="array" ref="AK111">IF(PART_NUMBER_GENERATOR_TABLE[[#This Row],[Work Role]:[Work Role]]&lt;&gt;AK$1,0,
IF(PART_NUMBER_GENERATOR_TABLE[[#This Row],[Work Type]:[Work Type]]&lt;&gt;"AH",0,
SUMIFS(AK$9:AK$24,$M$9:$M$24,PART_NUMBER_GENERATOR_TABLE[[#This Row],[Tech]:[Tech]])))</f>
        <v>0</v>
      </c>
      <c r="AL111" cm="1">
        <f t="array" ref="AL111">IF(PART_NUMBER_GENERATOR_TABLE[[#This Row],[Work Role]:[Work Role]]&lt;&gt;AL$1,0,
IF(PART_NUMBER_GENERATOR_TABLE[[#This Row],[Work Type]:[Work Type]]&lt;&gt;"BH",0,
SUMIFS(AL$9:AL$24,$M$9:$M$24,PART_NUMBER_GENERATOR_TABLE[[#This Row],[Tech]:[Tech]])))</f>
        <v>0</v>
      </c>
      <c r="AM111">
        <f>0</f>
        <v>0</v>
      </c>
      <c r="AN111" cm="1">
        <f t="array" ref="AN111">IF(PART_NUMBER_GENERATOR_TABLE[[#This Row],[Work Role]:[Work Role]]&lt;&gt;AN$1,0,
IF(PART_NUMBER_GENERATOR_TABLE[[#This Row],[Work Type]:[Work Type]]&lt;&gt;"BH",0,
SUMIFS(AN$24,$AM$24,PART_NUMBER_GENERATOR_TABLE[[#This Row],[Tech]:[Tech]])))</f>
        <v>0</v>
      </c>
      <c r="AO111" cm="1">
        <f t="array" ref="AO111">IF(PART_NUMBER_GENERATOR_TABLE[[#This Row],[Work Role]:[Work Role]]&lt;&gt;AO$1,0,
IF(PART_NUMBER_GENERATOR_TABLE[[#This Row],[Work Type]:[Work Type]]&lt;&gt;"BH",0,
SUMIFS(AO$24,$AM$24,PART_NUMBER_GENERATOR_TABLE[[#This Row],[Tech]:[Tech]])))</f>
        <v>0</v>
      </c>
      <c r="AP111" cm="1">
        <f t="array" ref="AP111">IF(PART_NUMBER_GENERATOR_TABLE[[#This Row],[Work Role]:[Work Role]]&lt;&gt;AP$1,0,
IF(PART_NUMBER_GENERATOR_TABLE[[#This Row],[Work Type]:[Work Type]]&lt;&gt;"BH",0,
SUMIFS(AP$24,$AM$24,PART_NUMBER_GENERATOR_TABLE[[#This Row],[Tech]:[Tech]])))</f>
        <v>0</v>
      </c>
      <c r="AQ111" cm="1">
        <f t="array" ref="AQ111">IF(PART_NUMBER_GENERATOR_TABLE[[#This Row],[Work Role]:[Work Role]]&lt;&gt;AQ$1,0,
IF(PART_NUMBER_GENERATOR_TABLE[[#This Row],[Work Type]:[Work Type]]&lt;&gt;"BH",0,
SUMIFS(AQ$24,$AM$24,PART_NUMBER_GENERATOR_TABLE[[#This Row],[Tech]:[Tech]])))</f>
        <v>0</v>
      </c>
      <c r="AR111" cm="1">
        <f t="array" ref="AR111">IF(PART_NUMBER_GENERATOR_TABLE[[#This Row],[Work Role]:[Work Role]]&lt;&gt;AR$1,0,
IF(PART_NUMBER_GENERATOR_TABLE[[#This Row],[Work Type]:[Work Type]]&lt;&gt;"BH",0,
SUMIFS(AR$24,$AM$24,PART_NUMBER_GENERATOR_TABLE[[#This Row],[Tech]:[Tech]])))</f>
        <v>0</v>
      </c>
      <c r="AS111" cm="1">
        <f t="array" ref="AS111">IF(PART_NUMBER_GENERATOR_TABLE[[#This Row],[Work Role]:[Work Role]]&lt;&gt;AS$1,0,
IF(PART_NUMBER_GENERATOR_TABLE[[#This Row],[Work Type]:[Work Type]]&lt;&gt;"BH",0,
SUMIFS(AS$24,$AM$24,PART_NUMBER_GENERATOR_TABLE[[#This Row],[Tech]:[Tech]])))</f>
        <v>0</v>
      </c>
      <c r="AT111" cm="1">
        <f t="array" ref="AT111">IF(PART_NUMBER_GENERATOR_TABLE[[#This Row],[Work Role]:[Work Role]]&lt;&gt;AS$1,0,
IF(PART_NUMBER_GENERATOR_TABLE[[#This Row],[Work Type]:[Work Type]]&lt;&gt;"BH",0,
SUMIFS(AT$24,$AM$24,PART_NUMBER_GENERATOR_TABLE[[#This Row],[Tech]:[Tech]])))</f>
        <v>0</v>
      </c>
      <c r="AU111">
        <f>SUM(PART_NUMBER_GENERATOR_TABLE[[#This Row],[Resource 1 BH]:[Resource 5 AH]],PART_NUMBER_GENERATOR_TABLE[[#This Row],[R1 Mandatory Tasks]:[R5 Mandatory Tasks]],PART_NUMBER_GENERATOR_TABLE[[#This Row],[R1 Remainder]:[R5 Remainder]])</f>
        <v>0</v>
      </c>
      <c r="AV111">
        <f>PART_NUMBER_GENERATOR_TABLE[[#This Row],[Professional Engineering Hours]]*PART_NUMBER_GENERATOR_TABLE[[#This Row],[Sell Rate]]</f>
        <v>0</v>
      </c>
      <c r="AW111">
        <f>PART_NUMBER_GENERATOR_TABLE[[#This Row],[Professional Engineering Hours]]*PART_NUMBER_GENERATOR_TABLE[[#This Row],[Cost Rate]]</f>
        <v>0</v>
      </c>
      <c r="AX111">
        <f>SUM(PART_NUMBER_GENERATOR_TABLE[[#This Row],[PM Trips]:[R5 Trips]])</f>
        <v>0</v>
      </c>
      <c r="AY111">
        <f>PART_NUMBER_GENERATOR_TABLE[[#This Row],[Travel &amp; Accommodation Hours]]*PART_NUMBER_GENERATOR_TABLE[[#This Row],[Sell Rate]]</f>
        <v>0</v>
      </c>
      <c r="AZ111">
        <f>PART_NUMBER_GENERATOR_TABLE[[#This Row],[Travel &amp; Accommodation Hours]]*PART_NUMBER_GENERATOR_TABLE[[#This Row],[Cost Rate]]</f>
        <v>0</v>
      </c>
      <c r="BA111">
        <f>PART_NUMBER_GENERATOR_TABLE[[#This Row],[PM Hours]]+PART_NUMBER_GENERATOR_TABLE[[#This Row],[PM Remainder]]</f>
        <v>0</v>
      </c>
      <c r="BB111">
        <f>PART_NUMBER_GENERATOR_TABLE[[#This Row],[Project Management Hours]]*PART_NUMBER_GENERATOR_TABLE[[#This Row],[Sell Rate]]</f>
        <v>0</v>
      </c>
      <c r="BC111">
        <f>PART_NUMBER_GENERATOR_TABLE[[#This Row],[Project Management Hours]]*PART_NUMBER_GENERATOR_TABLE[[#This Row],[Cost Rate]]</f>
        <v>0</v>
      </c>
      <c r="BD111">
        <f>SUM(PART_NUMBER_GENERATOR_TABLE[[#This Row],[SSE RISK BH]:[PM RISK]],PART_NUMBER_GENERATOR_TABLE[[#This Row],[SSE Remainder RISK BH]:[PM Remainder RISK]])</f>
        <v>0</v>
      </c>
      <c r="BE111">
        <f>PART_NUMBER_GENERATOR_TABLE[[#This Row],[Project Risk Service Hours]]*PART_NUMBER_GENERATOR_TABLE[[#This Row],[Sell Rate]]</f>
        <v>0</v>
      </c>
      <c r="BF111">
        <f>PART_NUMBER_GENERATOR_TABLE[[#This Row],[Project Risk Service Hours]]*PART_NUMBER_GENERATOR_TABLE[[#This Row],[Cost Rate]]</f>
        <v>0</v>
      </c>
      <c r="BG111">
        <f>PART_NUMBER_GENERATOR_TABLE[[#This Row],[SSE RISK TRAVEL]]</f>
        <v>0</v>
      </c>
      <c r="BH111">
        <f>PART_NUMBER_GENERATOR_TABLE[[#This Row],[Sell Rate]]*PART_NUMBER_GENERATOR_TABLE[[#This Row],[Project Risk Travel Hours]]</f>
        <v>0</v>
      </c>
      <c r="BI111">
        <f>PART_NUMBER_GENERATOR_TABLE[[#This Row],[Project Risk Travel Hours]]*PART_NUMBER_GENERATOR_TABLE[[#This Row],[Cost Rate]]</f>
        <v>0</v>
      </c>
      <c r="BJ11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1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11">
        <f>IFERROR(-VLOOKUP(INDEX(ENGINEER_ROLES,MATCH(PART_NUMBER_GENERATOR_TABLE[[#This Row],[Work Role]],settings.Table_Engineer.Roles[ID],0),1),Settings_Hidden!$H$359:$K$366,4,FALSE),0)</f>
        <v>0</v>
      </c>
      <c r="BM111" s="680">
        <f>-Summary!$C$66</f>
        <v>0</v>
      </c>
      <c r="BN111" s="465">
        <f>PART_NUMBER_GENERATOR_TABLE[[#This Row],[Total Base Price]]*MIN(PART_NUMBER_GENERATOR_TABLE[[#This Row],[Rate Service Discount]:[Flat Service Discount]])</f>
        <v>0</v>
      </c>
      <c r="BO111" s="451" t="str">
        <f>IF(PART_NUMBER_GENERATOR_TABLE[[#This Row],[Quantity]]&lt;&gt;0,MAX($BO$30:BO110)+1,"")</f>
        <v/>
      </c>
      <c r="BP111" t="str">
        <f>PART_NUMBER_GENERATOR_TABLE[[#This Row],[Part Number]]</f>
        <v>A-PS-E-OPPTEC-SSE-AH</v>
      </c>
      <c r="BQ111">
        <f>PART_NUMBER_GENERATOR_TABLE[[#This Row],[Total Hours]]</f>
        <v>0</v>
      </c>
      <c r="BR111">
        <f>PART_NUMBER_GENERATOR_TABLE[[#This Row],[Cost Rate]]</f>
        <v>224.87758587669589</v>
      </c>
      <c r="BS111" s="465">
        <f>PART_NUMBER_GENERATOR_TABLE[[#This Row],[Sell Rate]]+(PART_NUMBER_GENERATOR_TABLE[[#This Row],[Sell Rate]]*MIN(PART_NUMBER_GENERATOR_TABLE[[#This Row],[Rate Service Discount]:[Flat Service Discount]]))</f>
        <v>420.75</v>
      </c>
    </row>
    <row r="112" spans="1:71">
      <c r="A112">
        <v>82</v>
      </c>
      <c r="C112" t="s">
        <v>996</v>
      </c>
      <c r="D112" t="str" cm="1">
        <f t="array" ref="D112">INDEX(Table.Settings_Skill.List[Skill Name],MATCH(INDEX(_xlfn.TEXTSPLIT(C112,"-",,TRUE),4),Table.Settings_Skill.List[Skill Code],0),1)</f>
        <v>Operational Technology</v>
      </c>
      <c r="E112" t="str" cm="1">
        <f t="array" ref="E112">INDEX(_xlfn.TEXTSPLIT(C112,"-",,TRUE),5)</f>
        <v>SCE</v>
      </c>
      <c r="F112" t="str">
        <f>IFERROR(INDEX(settings.Table_Engineer.Roles[Department Code],MATCH(PART_NUMBER_GENERATOR_TABLE[[#This Row],[Work Role]],settings.Table_Engineer.Roles[ID],0),1),"PMO")</f>
        <v>ENG</v>
      </c>
      <c r="G112" t="str" cm="1">
        <f t="array" ref="G112">INDEX(_xlfn.TEXTSPLIT(C112,"-",,TRUE),6)</f>
        <v>AH</v>
      </c>
      <c r="H11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1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12" cm="1">
        <f t="array" ref="J112">IF(J$1&lt;&gt;PART_NUMBER_GENERATOR_TABLE[[#This Row],[Work Role]:[Work Role]],0,
IF(RIGHT(J$30,2)&lt;&gt;PART_NUMBER_GENERATOR_TABLE[[#This Row],[Work Type]:[Work Type]],0,
SUMIFS(Input_Tasks[R1 Business Hours],Input_Tasks[[Skill Required]:[Skill Required]],PART_NUMBER_GENERATOR_TABLE[[#This Row],[Tech]:[Tech]])))</f>
        <v>0</v>
      </c>
      <c r="K112" cm="1">
        <f t="array" ref="K112">IF(K$1&lt;&gt;PART_NUMBER_GENERATOR_TABLE[[#This Row],[Work Role]:[Work Role]],0,
IF(RIGHT(K$30,2)&lt;&gt;PART_NUMBER_GENERATOR_TABLE[[#This Row],[Work Type]:[Work Type]],0,
SUMIFS(Input_Tasks[R1 After Hours],Input_Tasks[[Skill Required]:[Skill Required]],PART_NUMBER_GENERATOR_TABLE[[#This Row],[Tech]:[Tech]])))</f>
        <v>0</v>
      </c>
      <c r="L112" cm="1">
        <f t="array" ref="L112">IF(L$1&lt;&gt;PART_NUMBER_GENERATOR_TABLE[[#This Row],[Work Role]:[Work Role]],0,
IF(RIGHT(L$30,2)&lt;&gt;PART_NUMBER_GENERATOR_TABLE[[#This Row],[Work Type]:[Work Type]],0,
SUMIFS(Input_Tasks[R2 Business Hours],Input_Tasks[[Skill Required]:[Skill Required]],PART_NUMBER_GENERATOR_TABLE[[#This Row],[Tech]:[Tech]])))</f>
        <v>0</v>
      </c>
      <c r="M112" cm="1">
        <f t="array" ref="M112">IF(M$1&lt;&gt;PART_NUMBER_GENERATOR_TABLE[[#This Row],[Work Role]:[Work Role]],0,
IF(RIGHT(M$30,2)&lt;&gt;PART_NUMBER_GENERATOR_TABLE[[#This Row],[Work Type]:[Work Type]],0,
SUMIFS(Input_Tasks[R2 After Hours],Input_Tasks[[Skill Required]:[Skill Required]],PART_NUMBER_GENERATOR_TABLE[[#This Row],[Tech]:[Tech]])))</f>
        <v>0</v>
      </c>
      <c r="N112" cm="1">
        <f t="array" ref="N112">IF(N$1&lt;&gt;PART_NUMBER_GENERATOR_TABLE[[#This Row],[Work Role]:[Work Role]],0,
IF(RIGHT(N$30,2)&lt;&gt;PART_NUMBER_GENERATOR_TABLE[[#This Row],[Work Type]:[Work Type]],0,
SUMIFS(Input_Tasks[R3 Business Hours],Input_Tasks[[Skill Required]:[Skill Required]],PART_NUMBER_GENERATOR_TABLE[[#This Row],[Tech]:[Tech]])))</f>
        <v>0</v>
      </c>
      <c r="O112" cm="1">
        <f t="array" ref="O112">IF(O$1&lt;&gt;PART_NUMBER_GENERATOR_TABLE[[#This Row],[Work Role]:[Work Role]],0,
IF(RIGHT(O$30,2)&lt;&gt;PART_NUMBER_GENERATOR_TABLE[[#This Row],[Work Type]:[Work Type]],0,
SUMIFS(Input_Tasks[R3 After Hours],Input_Tasks[[Skill Required]:[Skill Required]],PART_NUMBER_GENERATOR_TABLE[[#This Row],[Tech]:[Tech]])))</f>
        <v>0</v>
      </c>
      <c r="P112" cm="1">
        <f t="array" ref="P112">IF(P$1&lt;&gt;PART_NUMBER_GENERATOR_TABLE[[#This Row],[Work Role]:[Work Role]],0,
IF(RIGHT(P$30,2)&lt;&gt;PART_NUMBER_GENERATOR_TABLE[[#This Row],[Work Type]:[Work Type]],0,
SUMIFS(Input_Tasks[R4 Business Hours],Input_Tasks[[Skill Required]:[Skill Required]],PART_NUMBER_GENERATOR_TABLE[[#This Row],[Tech]:[Tech]])))</f>
        <v>0</v>
      </c>
      <c r="Q112" cm="1">
        <f t="array" ref="Q112">IF(Q$1&lt;&gt;PART_NUMBER_GENERATOR_TABLE[[#This Row],[Work Role]:[Work Role]],0,
IF(RIGHT(Q$30,2)&lt;&gt;PART_NUMBER_GENERATOR_TABLE[[#This Row],[Work Type]:[Work Type]],0,
SUMIFS(Input_Tasks[R4 After Hours],Input_Tasks[[Skill Required]:[Skill Required]],PART_NUMBER_GENERATOR_TABLE[[#This Row],[Tech]:[Tech]])))</f>
        <v>0</v>
      </c>
      <c r="R112" cm="1">
        <f t="array" ref="R112">IF(R$1&lt;&gt;PART_NUMBER_GENERATOR_TABLE[[#This Row],[Work Role]:[Work Role]],0,
IF(RIGHT(R$30,2)&lt;&gt;PART_NUMBER_GENERATOR_TABLE[[#This Row],[Work Type]:[Work Type]],0,
SUMIFS(Input_Tasks[R5 Business Hours],Input_Tasks[[Skill Required]:[Skill Required]],PART_NUMBER_GENERATOR_TABLE[[#This Row],[Tech]:[Tech]])))</f>
        <v>0</v>
      </c>
      <c r="S112" cm="1">
        <f t="array" ref="S112">IF(S$1&lt;&gt;PART_NUMBER_GENERATOR_TABLE[[#This Row],[Work Role]:[Work Role]],0,
IF(RIGHT(S$30,2)&lt;&gt;PART_NUMBER_GENERATOR_TABLE[[#This Row],[Work Type]:[Work Type]],0,
SUMIFS(Input_Tasks[R5 After Hours],Input_Tasks[[Skill Required]:[Skill Required]],PART_NUMBER_GENERATOR_TABLE[[#This Row],[Tech]:[Tech]])))</f>
        <v>0</v>
      </c>
      <c r="T112" cm="1">
        <f t="array" ref="T112">IF(PART_NUMBER_GENERATOR_TABLE[[#This Row],[Work Role]:[Work Role]]&lt;&gt;T$1,0,
IF(PART_NUMBER_GENERATOR_TABLE[[#This Row],[Work Type]:[Work Type]]&lt;&gt;"BH",0,
SUMIFS(T$9:T$24,$M$9:$M$24,PART_NUMBER_GENERATOR_TABLE[[#This Row],[Tech]:[Tech]])))</f>
        <v>0</v>
      </c>
      <c r="U112" cm="1">
        <f t="array" ref="U112">IF(PART_NUMBER_GENERATOR_TABLE[[#This Row],[Work Role]:[Work Role]]&lt;&gt;U$1,0,
IF(PART_NUMBER_GENERATOR_TABLE[[#This Row],[Work Type]:[Work Type]]&lt;&gt;"BH",0,
SUMIFS(U$9:U$24,$M$9:$M$24,PART_NUMBER_GENERATOR_TABLE[[#This Row],[Tech]:[Tech]])))</f>
        <v>0</v>
      </c>
      <c r="V112" cm="1">
        <f t="array" ref="V112">IF(PART_NUMBER_GENERATOR_TABLE[[#This Row],[Work Role]:[Work Role]]&lt;&gt;V$1,0,
IF(PART_NUMBER_GENERATOR_TABLE[[#This Row],[Work Type]:[Work Type]]&lt;&gt;"BH",0,
SUMIFS(V$9:V$24,$M$9:$M$24,PART_NUMBER_GENERATOR_TABLE[[#This Row],[Tech]:[Tech]])))</f>
        <v>0</v>
      </c>
      <c r="W112" cm="1">
        <f t="array" ref="W112">IF(PART_NUMBER_GENERATOR_TABLE[[#This Row],[Work Role]:[Work Role]]&lt;&gt;W$1,0,
IF(PART_NUMBER_GENERATOR_TABLE[[#This Row],[Work Type]:[Work Type]]&lt;&gt;"BH",0,
SUMIFS(W$9:W$24,$M$9:$M$24,PART_NUMBER_GENERATOR_TABLE[[#This Row],[Tech]:[Tech]])))</f>
        <v>0</v>
      </c>
      <c r="X112" cm="1">
        <f t="array" ref="X112">IF(PART_NUMBER_GENERATOR_TABLE[[#This Row],[Work Role]:[Work Role]]&lt;&gt;X$1,0,
IF(PART_NUMBER_GENERATOR_TABLE[[#This Row],[Work Type]:[Work Type]]&lt;&gt;"BH",0,
SUMIFS(X$9:X$24,$M$9:$M$24,PART_NUMBER_GENERATOR_TABLE[[#This Row],[Tech]:[Tech]])))</f>
        <v>0</v>
      </c>
      <c r="Y112" cm="1">
        <f t="array" ref="Y112">IF(PART_NUMBER_GENERATOR_TABLE[[#This Row],[Work Role]:[Work Role]]&lt;&gt;Y$1,0,
IF(PART_NUMBER_GENERATOR_TABLE[[#This Row],[Work Type]:[Work Type]]&lt;&gt;"BH",0,
SUMIFS(Y$9:Y$24,$M$9:$M$24,PART_NUMBER_GENERATOR_TABLE[[#This Row],[Tech]:[Tech]])))</f>
        <v>0</v>
      </c>
      <c r="Z112" cm="1">
        <f t="array" ref="Z112">IF(PART_NUMBER_GENERATOR_TABLE[[#This Row],[Work Role]:[Work Role]]&lt;&gt;Z$1,0,
IF(PART_NUMBER_GENERATOR_TABLE[[#This Row],[Work Type]:[Work Type]]&lt;&gt;"BH",0,
SUMIFS(Z$9:Z$24,$M$9:$M$24,PART_NUMBER_GENERATOR_TABLE[[#This Row],[Tech]:[Tech]])))</f>
        <v>0</v>
      </c>
      <c r="AA112" cm="1">
        <f t="array" ref="AA112">IF(PART_NUMBER_GENERATOR_TABLE[[#This Row],[Work Role]:[Work Role]]&lt;&gt;AA$1,0,
IF(PART_NUMBER_GENERATOR_TABLE[[#This Row],[Work Type]:[Work Type]]&lt;&gt;"BH",0,
SUMIFS(AA$9:AA$24,$M$9:$M$24,PART_NUMBER_GENERATOR_TABLE[[#This Row],[Tech]:[Tech]])))</f>
        <v>0</v>
      </c>
      <c r="AB112" cm="1">
        <f t="array" ref="AB112">IF(PART_NUMBER_GENERATOR_TABLE[[#This Row],[Work Role]:[Work Role]]&lt;&gt;AB$1,0,
IF(PART_NUMBER_GENERATOR_TABLE[[#This Row],[Work Type]:[Work Type]]&lt;&gt;"BH",0,
SUMIFS(AB$9:AB$24,$M$9:$M$24,PART_NUMBER_GENERATOR_TABLE[[#This Row],[Tech]:[Tech]])))</f>
        <v>0</v>
      </c>
      <c r="AC112" cm="1">
        <f t="array" ref="AC112">IF(PART_NUMBER_GENERATOR_TABLE[[#This Row],[Work Role]:[Work Role]]&lt;&gt;AC$1,0,
IF(PART_NUMBER_GENERATOR_TABLE[[#This Row],[Work Type]:[Work Type]]&lt;&gt;"BH",0,
SUMIFS(AC$9:AC$24,$M$9:$M$24,PART_NUMBER_GENERATOR_TABLE[[#This Row],[Tech]:[Tech]])))</f>
        <v>0</v>
      </c>
      <c r="AD112" cm="1">
        <f t="array" ref="AD112">IF(PART_NUMBER_GENERATOR_TABLE[[#This Row],[Work Role]:[Work Role]]&lt;&gt;AD$1,0,
IF(PART_NUMBER_GENERATOR_TABLE[[#This Row],[Work Type]:[Work Type]]&lt;&gt;"BH",0,
SUMIFS(AD$9:AD$24,$M$9:$M$24,PART_NUMBER_GENERATOR_TABLE[[#This Row],[Tech]:[Tech]])))</f>
        <v>0</v>
      </c>
      <c r="AE112" cm="1">
        <f t="array" ref="AE112">IF(PART_NUMBER_GENERATOR_TABLE[[#This Row],[Work Role]:[Work Role]]&lt;&gt;AE$1,0,
IF(PART_NUMBER_GENERATOR_TABLE[[#This Row],[Work Type]:[Work Type]]&lt;&gt;"BH",0,
SUMIFS(AE$9:AE$24,$M$9:$M$24,PART_NUMBER_GENERATOR_TABLE[[#This Row],[Tech]:[Tech]])))</f>
        <v>0</v>
      </c>
      <c r="AF112" cm="1">
        <f t="array" ref="AF112">IF(PART_NUMBER_GENERATOR_TABLE[[#This Row],[Work Role]:[Work Role]]&lt;&gt;AF$1,0,
IF(PART_NUMBER_GENERATOR_TABLE[[#This Row],[Work Type]:[Work Type]]&lt;&gt;"BH",0,
SUMIFS(AF$9:AF$24,$M$9:$M$24,PART_NUMBER_GENERATOR_TABLE[[#This Row],[Tech]:[Tech]])))</f>
        <v>0</v>
      </c>
      <c r="AG112" cm="1">
        <f t="array" ref="AG112">IF(PART_NUMBER_GENERATOR_TABLE[[#This Row],[Work Role]:[Work Role]]&lt;&gt;AG$1,0,
IF(PART_NUMBER_GENERATOR_TABLE[[#This Row],[Work Type]:[Work Type]]&lt;&gt;"AH",0,
SUMIFS(AG$9:AG$24,$M$9:$M$24,PART_NUMBER_GENERATOR_TABLE[[#This Row],[Tech]:[Tech]])))</f>
        <v>0</v>
      </c>
      <c r="AH112" cm="1">
        <f t="array" ref="AH112">IF(PART_NUMBER_GENERATOR_TABLE[[#This Row],[Work Role]:[Work Role]]&lt;&gt;AH$1,0,
IF(PART_NUMBER_GENERATOR_TABLE[[#This Row],[Work Type]:[Work Type]]&lt;&gt;"BH",0,
SUMIFS(AH$9:AH$24,$M$9:$M$24,PART_NUMBER_GENERATOR_TABLE[[#This Row],[Tech]:[Tech]])))</f>
        <v>0</v>
      </c>
      <c r="AI112" cm="1">
        <f t="array" ref="AI112">IF(PART_NUMBER_GENERATOR_TABLE[[#This Row],[Work Role]:[Work Role]]&lt;&gt;AI$1,0,
IF(PART_NUMBER_GENERATOR_TABLE[[#This Row],[Work Type]:[Work Type]]&lt;&gt;"BH",0,
SUMIFS(AI$9:AI$24,$M$9:$M$24,PART_NUMBER_GENERATOR_TABLE[[#This Row],[Tech]:[Tech]])))</f>
        <v>0</v>
      </c>
      <c r="AJ112" cm="1">
        <f t="array" ref="AJ112">IF(PART_NUMBER_GENERATOR_TABLE[[#This Row],[Work Role]:[Work Role]]&lt;&gt;AJ$1,0,
IF(PART_NUMBER_GENERATOR_TABLE[[#This Row],[Work Type]:[Work Type]]&lt;&gt;"BH",0,
SUMIFS(AJ$9:AJ$24,$M$9:$M$24,PART_NUMBER_GENERATOR_TABLE[[#This Row],[Tech]:[Tech]])))</f>
        <v>0</v>
      </c>
      <c r="AK112" cm="1">
        <f t="array" ref="AK112">IF(PART_NUMBER_GENERATOR_TABLE[[#This Row],[Work Role]:[Work Role]]&lt;&gt;AK$1,0,
IF(PART_NUMBER_GENERATOR_TABLE[[#This Row],[Work Type]:[Work Type]]&lt;&gt;"AH",0,
SUMIFS(AK$9:AK$24,$M$9:$M$24,PART_NUMBER_GENERATOR_TABLE[[#This Row],[Tech]:[Tech]])))</f>
        <v>0</v>
      </c>
      <c r="AL112" cm="1">
        <f t="array" ref="AL112">IF(PART_NUMBER_GENERATOR_TABLE[[#This Row],[Work Role]:[Work Role]]&lt;&gt;AL$1,0,
IF(PART_NUMBER_GENERATOR_TABLE[[#This Row],[Work Type]:[Work Type]]&lt;&gt;"BH",0,
SUMIFS(AL$9:AL$24,$M$9:$M$24,PART_NUMBER_GENERATOR_TABLE[[#This Row],[Tech]:[Tech]])))</f>
        <v>0</v>
      </c>
      <c r="AM112">
        <f>0</f>
        <v>0</v>
      </c>
      <c r="AN112" cm="1">
        <f t="array" ref="AN112">IF(PART_NUMBER_GENERATOR_TABLE[[#This Row],[Work Role]:[Work Role]]&lt;&gt;AN$1,0,
IF(PART_NUMBER_GENERATOR_TABLE[[#This Row],[Work Type]:[Work Type]]&lt;&gt;"BH",0,
SUMIFS(AN$24,$AM$24,PART_NUMBER_GENERATOR_TABLE[[#This Row],[Tech]:[Tech]])))</f>
        <v>0</v>
      </c>
      <c r="AO112" cm="1">
        <f t="array" ref="AO112">IF(PART_NUMBER_GENERATOR_TABLE[[#This Row],[Work Role]:[Work Role]]&lt;&gt;AO$1,0,
IF(PART_NUMBER_GENERATOR_TABLE[[#This Row],[Work Type]:[Work Type]]&lt;&gt;"BH",0,
SUMIFS(AO$24,$AM$24,PART_NUMBER_GENERATOR_TABLE[[#This Row],[Tech]:[Tech]])))</f>
        <v>0</v>
      </c>
      <c r="AP112" cm="1">
        <f t="array" ref="AP112">IF(PART_NUMBER_GENERATOR_TABLE[[#This Row],[Work Role]:[Work Role]]&lt;&gt;AP$1,0,
IF(PART_NUMBER_GENERATOR_TABLE[[#This Row],[Work Type]:[Work Type]]&lt;&gt;"BH",0,
SUMIFS(AP$24,$AM$24,PART_NUMBER_GENERATOR_TABLE[[#This Row],[Tech]:[Tech]])))</f>
        <v>0</v>
      </c>
      <c r="AQ112" cm="1">
        <f t="array" ref="AQ112">IF(PART_NUMBER_GENERATOR_TABLE[[#This Row],[Work Role]:[Work Role]]&lt;&gt;AQ$1,0,
IF(PART_NUMBER_GENERATOR_TABLE[[#This Row],[Work Type]:[Work Type]]&lt;&gt;"BH",0,
SUMIFS(AQ$24,$AM$24,PART_NUMBER_GENERATOR_TABLE[[#This Row],[Tech]:[Tech]])))</f>
        <v>0</v>
      </c>
      <c r="AR112" cm="1">
        <f t="array" ref="AR112">IF(PART_NUMBER_GENERATOR_TABLE[[#This Row],[Work Role]:[Work Role]]&lt;&gt;AR$1,0,
IF(PART_NUMBER_GENERATOR_TABLE[[#This Row],[Work Type]:[Work Type]]&lt;&gt;"BH",0,
SUMIFS(AR$24,$AM$24,PART_NUMBER_GENERATOR_TABLE[[#This Row],[Tech]:[Tech]])))</f>
        <v>0</v>
      </c>
      <c r="AS112" cm="1">
        <f t="array" ref="AS112">IF(PART_NUMBER_GENERATOR_TABLE[[#This Row],[Work Role]:[Work Role]]&lt;&gt;AS$1,0,
IF(PART_NUMBER_GENERATOR_TABLE[[#This Row],[Work Type]:[Work Type]]&lt;&gt;"BH",0,
SUMIFS(AS$24,$AM$24,PART_NUMBER_GENERATOR_TABLE[[#This Row],[Tech]:[Tech]])))</f>
        <v>0</v>
      </c>
      <c r="AT112" cm="1">
        <f t="array" ref="AT112">IF(PART_NUMBER_GENERATOR_TABLE[[#This Row],[Work Role]:[Work Role]]&lt;&gt;AS$1,0,
IF(PART_NUMBER_GENERATOR_TABLE[[#This Row],[Work Type]:[Work Type]]&lt;&gt;"BH",0,
SUMIFS(AT$24,$AM$24,PART_NUMBER_GENERATOR_TABLE[[#This Row],[Tech]:[Tech]])))</f>
        <v>0</v>
      </c>
      <c r="AU112">
        <f>SUM(PART_NUMBER_GENERATOR_TABLE[[#This Row],[Resource 1 BH]:[Resource 5 AH]],PART_NUMBER_GENERATOR_TABLE[[#This Row],[R1 Mandatory Tasks]:[R5 Mandatory Tasks]],PART_NUMBER_GENERATOR_TABLE[[#This Row],[R1 Remainder]:[R5 Remainder]])</f>
        <v>0</v>
      </c>
      <c r="AV112">
        <f>PART_NUMBER_GENERATOR_TABLE[[#This Row],[Professional Engineering Hours]]*PART_NUMBER_GENERATOR_TABLE[[#This Row],[Sell Rate]]</f>
        <v>0</v>
      </c>
      <c r="AW112">
        <f>PART_NUMBER_GENERATOR_TABLE[[#This Row],[Professional Engineering Hours]]*PART_NUMBER_GENERATOR_TABLE[[#This Row],[Cost Rate]]</f>
        <v>0</v>
      </c>
      <c r="AX112">
        <f>SUM(PART_NUMBER_GENERATOR_TABLE[[#This Row],[PM Trips]:[R5 Trips]])</f>
        <v>0</v>
      </c>
      <c r="AY112">
        <f>PART_NUMBER_GENERATOR_TABLE[[#This Row],[Travel &amp; Accommodation Hours]]*PART_NUMBER_GENERATOR_TABLE[[#This Row],[Sell Rate]]</f>
        <v>0</v>
      </c>
      <c r="AZ112">
        <f>PART_NUMBER_GENERATOR_TABLE[[#This Row],[Travel &amp; Accommodation Hours]]*PART_NUMBER_GENERATOR_TABLE[[#This Row],[Cost Rate]]</f>
        <v>0</v>
      </c>
      <c r="BA112">
        <f>PART_NUMBER_GENERATOR_TABLE[[#This Row],[PM Hours]]+PART_NUMBER_GENERATOR_TABLE[[#This Row],[PM Remainder]]</f>
        <v>0</v>
      </c>
      <c r="BB112">
        <f>PART_NUMBER_GENERATOR_TABLE[[#This Row],[Project Management Hours]]*PART_NUMBER_GENERATOR_TABLE[[#This Row],[Sell Rate]]</f>
        <v>0</v>
      </c>
      <c r="BC112">
        <f>PART_NUMBER_GENERATOR_TABLE[[#This Row],[Project Management Hours]]*PART_NUMBER_GENERATOR_TABLE[[#This Row],[Cost Rate]]</f>
        <v>0</v>
      </c>
      <c r="BD112">
        <f>SUM(PART_NUMBER_GENERATOR_TABLE[[#This Row],[SSE RISK BH]:[PM RISK]],PART_NUMBER_GENERATOR_TABLE[[#This Row],[SSE Remainder RISK BH]:[PM Remainder RISK]])</f>
        <v>0</v>
      </c>
      <c r="BE112">
        <f>PART_NUMBER_GENERATOR_TABLE[[#This Row],[Project Risk Service Hours]]*PART_NUMBER_GENERATOR_TABLE[[#This Row],[Sell Rate]]</f>
        <v>0</v>
      </c>
      <c r="BF112">
        <f>PART_NUMBER_GENERATOR_TABLE[[#This Row],[Project Risk Service Hours]]*PART_NUMBER_GENERATOR_TABLE[[#This Row],[Cost Rate]]</f>
        <v>0</v>
      </c>
      <c r="BG112">
        <f>PART_NUMBER_GENERATOR_TABLE[[#This Row],[SSE RISK TRAVEL]]</f>
        <v>0</v>
      </c>
      <c r="BH112">
        <f>PART_NUMBER_GENERATOR_TABLE[[#This Row],[Sell Rate]]*PART_NUMBER_GENERATOR_TABLE[[#This Row],[Project Risk Travel Hours]]</f>
        <v>0</v>
      </c>
      <c r="BI112">
        <f>PART_NUMBER_GENERATOR_TABLE[[#This Row],[Project Risk Travel Hours]]*PART_NUMBER_GENERATOR_TABLE[[#This Row],[Cost Rate]]</f>
        <v>0</v>
      </c>
      <c r="BJ11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1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12">
        <f>IFERROR(-VLOOKUP(INDEX(ENGINEER_ROLES,MATCH(PART_NUMBER_GENERATOR_TABLE[[#This Row],[Work Role]],settings.Table_Engineer.Roles[ID],0),1),Settings_Hidden!$H$359:$K$366,4,FALSE),0)</f>
        <v>0</v>
      </c>
      <c r="BM112" s="680">
        <f>-Summary!$C$66</f>
        <v>0</v>
      </c>
      <c r="BN112" s="465">
        <f>PART_NUMBER_GENERATOR_TABLE[[#This Row],[Total Base Price]]*MIN(PART_NUMBER_GENERATOR_TABLE[[#This Row],[Rate Service Discount]:[Flat Service Discount]])</f>
        <v>0</v>
      </c>
      <c r="BO112" s="451" t="str">
        <f>IF(PART_NUMBER_GENERATOR_TABLE[[#This Row],[Quantity]]&lt;&gt;0,MAX($BO$30:BO111)+1,"")</f>
        <v/>
      </c>
      <c r="BP112" t="str">
        <f>PART_NUMBER_GENERATOR_TABLE[[#This Row],[Part Number]]</f>
        <v>A-PS-E-OPPTEC-SCE-AH</v>
      </c>
      <c r="BQ112">
        <f>PART_NUMBER_GENERATOR_TABLE[[#This Row],[Total Hours]]</f>
        <v>0</v>
      </c>
      <c r="BR112">
        <f>PART_NUMBER_GENERATOR_TABLE[[#This Row],[Cost Rate]]</f>
        <v>251.41552370953494</v>
      </c>
      <c r="BS112" s="465">
        <f>PART_NUMBER_GENERATOR_TABLE[[#This Row],[Sell Rate]]+(PART_NUMBER_GENERATOR_TABLE[[#This Row],[Sell Rate]]*MIN(PART_NUMBER_GENERATOR_TABLE[[#This Row],[Rate Service Discount]:[Flat Service Discount]]))</f>
        <v>472.5</v>
      </c>
    </row>
    <row r="113" spans="1:71">
      <c r="A113">
        <v>83</v>
      </c>
      <c r="C113" t="s">
        <v>1126</v>
      </c>
      <c r="D113" t="str" cm="1">
        <f t="array" ref="D113">INDEX(Table.Settings_Skill.List[Skill Name],MATCH(INDEX(_xlfn.TEXTSPLIT(C113,"-",,TRUE),4),Table.Settings_Skill.List[Skill Code],0),1)</f>
        <v>Secure Networking</v>
      </c>
      <c r="E113" t="str" cm="1">
        <f t="array" ref="E113">INDEX(_xlfn.TEXTSPLIT(C113,"-",,TRUE),5)</f>
        <v>TA</v>
      </c>
      <c r="F113" t="str">
        <f>IFERROR(INDEX(settings.Table_Engineer.Roles[Department Code],MATCH(PART_NUMBER_GENERATOR_TABLE[[#This Row],[Work Role]],settings.Table_Engineer.Roles[ID],0),1),"PMO")</f>
        <v>ENG</v>
      </c>
      <c r="G113" t="str" cm="1">
        <f t="array" ref="G113">INDEX(_xlfn.TEXTSPLIT(C113,"-",,TRUE),6)</f>
        <v>AH</v>
      </c>
      <c r="H11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232.5</v>
      </c>
      <c r="I11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122.02019862032805</v>
      </c>
      <c r="J113" cm="1">
        <f t="array" ref="J113">IF(J$1&lt;&gt;PART_NUMBER_GENERATOR_TABLE[[#This Row],[Work Role]:[Work Role]],0,
IF(RIGHT(J$30,2)&lt;&gt;PART_NUMBER_GENERATOR_TABLE[[#This Row],[Work Type]:[Work Type]],0,
SUMIFS(Input_Tasks[R1 Business Hours],Input_Tasks[[Skill Required]:[Skill Required]],PART_NUMBER_GENERATOR_TABLE[[#This Row],[Tech]:[Tech]])))</f>
        <v>0</v>
      </c>
      <c r="K113" cm="1">
        <f t="array" ref="K113">IF(K$1&lt;&gt;PART_NUMBER_GENERATOR_TABLE[[#This Row],[Work Role]:[Work Role]],0,
IF(RIGHT(K$30,2)&lt;&gt;PART_NUMBER_GENERATOR_TABLE[[#This Row],[Work Type]:[Work Type]],0,
SUMIFS(Input_Tasks[R1 After Hours],Input_Tasks[[Skill Required]:[Skill Required]],PART_NUMBER_GENERATOR_TABLE[[#This Row],[Tech]:[Tech]])))</f>
        <v>0</v>
      </c>
      <c r="L113" cm="1">
        <f t="array" ref="L113">IF(L$1&lt;&gt;PART_NUMBER_GENERATOR_TABLE[[#This Row],[Work Role]:[Work Role]],0,
IF(RIGHT(L$30,2)&lt;&gt;PART_NUMBER_GENERATOR_TABLE[[#This Row],[Work Type]:[Work Type]],0,
SUMIFS(Input_Tasks[R2 Business Hours],Input_Tasks[[Skill Required]:[Skill Required]],PART_NUMBER_GENERATOR_TABLE[[#This Row],[Tech]:[Tech]])))</f>
        <v>0</v>
      </c>
      <c r="M113" cm="1">
        <f t="array" ref="M113">IF(M$1&lt;&gt;PART_NUMBER_GENERATOR_TABLE[[#This Row],[Work Role]:[Work Role]],0,
IF(RIGHT(M$30,2)&lt;&gt;PART_NUMBER_GENERATOR_TABLE[[#This Row],[Work Type]:[Work Type]],0,
SUMIFS(Input_Tasks[R2 After Hours],Input_Tasks[[Skill Required]:[Skill Required]],PART_NUMBER_GENERATOR_TABLE[[#This Row],[Tech]:[Tech]])))</f>
        <v>0</v>
      </c>
      <c r="N113" cm="1">
        <f t="array" ref="N113">IF(N$1&lt;&gt;PART_NUMBER_GENERATOR_TABLE[[#This Row],[Work Role]:[Work Role]],0,
IF(RIGHT(N$30,2)&lt;&gt;PART_NUMBER_GENERATOR_TABLE[[#This Row],[Work Type]:[Work Type]],0,
SUMIFS(Input_Tasks[R3 Business Hours],Input_Tasks[[Skill Required]:[Skill Required]],PART_NUMBER_GENERATOR_TABLE[[#This Row],[Tech]:[Tech]])))</f>
        <v>0</v>
      </c>
      <c r="O113" cm="1">
        <f t="array" ref="O113">IF(O$1&lt;&gt;PART_NUMBER_GENERATOR_TABLE[[#This Row],[Work Role]:[Work Role]],0,
IF(RIGHT(O$30,2)&lt;&gt;PART_NUMBER_GENERATOR_TABLE[[#This Row],[Work Type]:[Work Type]],0,
SUMIFS(Input_Tasks[R3 After Hours],Input_Tasks[[Skill Required]:[Skill Required]],PART_NUMBER_GENERATOR_TABLE[[#This Row],[Tech]:[Tech]])))</f>
        <v>0</v>
      </c>
      <c r="P113" cm="1">
        <f t="array" ref="P113">IF(P$1&lt;&gt;PART_NUMBER_GENERATOR_TABLE[[#This Row],[Work Role]:[Work Role]],0,
IF(RIGHT(P$30,2)&lt;&gt;PART_NUMBER_GENERATOR_TABLE[[#This Row],[Work Type]:[Work Type]],0,
SUMIFS(Input_Tasks[R4 Business Hours],Input_Tasks[[Skill Required]:[Skill Required]],PART_NUMBER_GENERATOR_TABLE[[#This Row],[Tech]:[Tech]])))</f>
        <v>0</v>
      </c>
      <c r="Q113" cm="1">
        <f t="array" ref="Q113">IF(Q$1&lt;&gt;PART_NUMBER_GENERATOR_TABLE[[#This Row],[Work Role]:[Work Role]],0,
IF(RIGHT(Q$30,2)&lt;&gt;PART_NUMBER_GENERATOR_TABLE[[#This Row],[Work Type]:[Work Type]],0,
SUMIFS(Input_Tasks[R4 After Hours],Input_Tasks[[Skill Required]:[Skill Required]],PART_NUMBER_GENERATOR_TABLE[[#This Row],[Tech]:[Tech]])))</f>
        <v>0</v>
      </c>
      <c r="R113" cm="1">
        <f t="array" ref="R113">IF(R$1&lt;&gt;PART_NUMBER_GENERATOR_TABLE[[#This Row],[Work Role]:[Work Role]],0,
IF(RIGHT(R$30,2)&lt;&gt;PART_NUMBER_GENERATOR_TABLE[[#This Row],[Work Type]:[Work Type]],0,
SUMIFS(Input_Tasks[R5 Business Hours],Input_Tasks[[Skill Required]:[Skill Required]],PART_NUMBER_GENERATOR_TABLE[[#This Row],[Tech]:[Tech]])))</f>
        <v>0</v>
      </c>
      <c r="S113" cm="1">
        <f t="array" ref="S113">IF(S$1&lt;&gt;PART_NUMBER_GENERATOR_TABLE[[#This Row],[Work Role]:[Work Role]],0,
IF(RIGHT(S$30,2)&lt;&gt;PART_NUMBER_GENERATOR_TABLE[[#This Row],[Work Type]:[Work Type]],0,
SUMIFS(Input_Tasks[R5 After Hours],Input_Tasks[[Skill Required]:[Skill Required]],PART_NUMBER_GENERATOR_TABLE[[#This Row],[Tech]:[Tech]])))</f>
        <v>0</v>
      </c>
      <c r="T113" cm="1">
        <f t="array" ref="T113">IF(PART_NUMBER_GENERATOR_TABLE[[#This Row],[Work Role]:[Work Role]]&lt;&gt;T$1,0,
IF(PART_NUMBER_GENERATOR_TABLE[[#This Row],[Work Type]:[Work Type]]&lt;&gt;"BH",0,
SUMIFS(T$9:T$24,$M$9:$M$24,PART_NUMBER_GENERATOR_TABLE[[#This Row],[Tech]:[Tech]])))</f>
        <v>0</v>
      </c>
      <c r="U113" cm="1">
        <f t="array" ref="U113">IF(PART_NUMBER_GENERATOR_TABLE[[#This Row],[Work Role]:[Work Role]]&lt;&gt;U$1,0,
IF(PART_NUMBER_GENERATOR_TABLE[[#This Row],[Work Type]:[Work Type]]&lt;&gt;"BH",0,
SUMIFS(U$9:U$24,$M$9:$M$24,PART_NUMBER_GENERATOR_TABLE[[#This Row],[Tech]:[Tech]])))</f>
        <v>0</v>
      </c>
      <c r="V113" cm="1">
        <f t="array" ref="V113">IF(PART_NUMBER_GENERATOR_TABLE[[#This Row],[Work Role]:[Work Role]]&lt;&gt;V$1,0,
IF(PART_NUMBER_GENERATOR_TABLE[[#This Row],[Work Type]:[Work Type]]&lt;&gt;"BH",0,
SUMIFS(V$9:V$24,$M$9:$M$24,PART_NUMBER_GENERATOR_TABLE[[#This Row],[Tech]:[Tech]])))</f>
        <v>0</v>
      </c>
      <c r="W113" cm="1">
        <f t="array" ref="W113">IF(PART_NUMBER_GENERATOR_TABLE[[#This Row],[Work Role]:[Work Role]]&lt;&gt;W$1,0,
IF(PART_NUMBER_GENERATOR_TABLE[[#This Row],[Work Type]:[Work Type]]&lt;&gt;"BH",0,
SUMIFS(W$9:W$24,$M$9:$M$24,PART_NUMBER_GENERATOR_TABLE[[#This Row],[Tech]:[Tech]])))</f>
        <v>0</v>
      </c>
      <c r="X113" cm="1">
        <f t="array" ref="X113">IF(PART_NUMBER_GENERATOR_TABLE[[#This Row],[Work Role]:[Work Role]]&lt;&gt;X$1,0,
IF(PART_NUMBER_GENERATOR_TABLE[[#This Row],[Work Type]:[Work Type]]&lt;&gt;"BH",0,
SUMIFS(X$9:X$24,$M$9:$M$24,PART_NUMBER_GENERATOR_TABLE[[#This Row],[Tech]:[Tech]])))</f>
        <v>0</v>
      </c>
      <c r="Y113" cm="1">
        <f t="array" ref="Y113">IF(PART_NUMBER_GENERATOR_TABLE[[#This Row],[Work Role]:[Work Role]]&lt;&gt;Y$1,0,
IF(PART_NUMBER_GENERATOR_TABLE[[#This Row],[Work Type]:[Work Type]]&lt;&gt;"BH",0,
SUMIFS(Y$9:Y$24,$M$9:$M$24,PART_NUMBER_GENERATOR_TABLE[[#This Row],[Tech]:[Tech]])))</f>
        <v>0</v>
      </c>
      <c r="Z113" cm="1">
        <f t="array" ref="Z113">IF(PART_NUMBER_GENERATOR_TABLE[[#This Row],[Work Role]:[Work Role]]&lt;&gt;Z$1,0,
IF(PART_NUMBER_GENERATOR_TABLE[[#This Row],[Work Type]:[Work Type]]&lt;&gt;"BH",0,
SUMIFS(Z$9:Z$24,$M$9:$M$24,PART_NUMBER_GENERATOR_TABLE[[#This Row],[Tech]:[Tech]])))</f>
        <v>0</v>
      </c>
      <c r="AA113" cm="1">
        <f t="array" ref="AA113">IF(PART_NUMBER_GENERATOR_TABLE[[#This Row],[Work Role]:[Work Role]]&lt;&gt;AA$1,0,
IF(PART_NUMBER_GENERATOR_TABLE[[#This Row],[Work Type]:[Work Type]]&lt;&gt;"BH",0,
SUMIFS(AA$9:AA$24,$M$9:$M$24,PART_NUMBER_GENERATOR_TABLE[[#This Row],[Tech]:[Tech]])))</f>
        <v>0</v>
      </c>
      <c r="AB113" cm="1">
        <f t="array" ref="AB113">IF(PART_NUMBER_GENERATOR_TABLE[[#This Row],[Work Role]:[Work Role]]&lt;&gt;AB$1,0,
IF(PART_NUMBER_GENERATOR_TABLE[[#This Row],[Work Type]:[Work Type]]&lt;&gt;"BH",0,
SUMIFS(AB$9:AB$24,$M$9:$M$24,PART_NUMBER_GENERATOR_TABLE[[#This Row],[Tech]:[Tech]])))</f>
        <v>0</v>
      </c>
      <c r="AC113" cm="1">
        <f t="array" ref="AC113">IF(PART_NUMBER_GENERATOR_TABLE[[#This Row],[Work Role]:[Work Role]]&lt;&gt;AC$1,0,
IF(PART_NUMBER_GENERATOR_TABLE[[#This Row],[Work Type]:[Work Type]]&lt;&gt;"BH",0,
SUMIFS(AC$9:AC$24,$M$9:$M$24,PART_NUMBER_GENERATOR_TABLE[[#This Row],[Tech]:[Tech]])))</f>
        <v>0</v>
      </c>
      <c r="AD113" cm="1">
        <f t="array" ref="AD113">IF(PART_NUMBER_GENERATOR_TABLE[[#This Row],[Work Role]:[Work Role]]&lt;&gt;AD$1,0,
IF(PART_NUMBER_GENERATOR_TABLE[[#This Row],[Work Type]:[Work Type]]&lt;&gt;"BH",0,
SUMIFS(AD$9:AD$24,$M$9:$M$24,PART_NUMBER_GENERATOR_TABLE[[#This Row],[Tech]:[Tech]])))</f>
        <v>0</v>
      </c>
      <c r="AE113" cm="1">
        <f t="array" ref="AE113">IF(PART_NUMBER_GENERATOR_TABLE[[#This Row],[Work Role]:[Work Role]]&lt;&gt;AE$1,0,
IF(PART_NUMBER_GENERATOR_TABLE[[#This Row],[Work Type]:[Work Type]]&lt;&gt;"BH",0,
SUMIFS(AE$9:AE$24,$M$9:$M$24,PART_NUMBER_GENERATOR_TABLE[[#This Row],[Tech]:[Tech]])))</f>
        <v>0</v>
      </c>
      <c r="AF113" cm="1">
        <f t="array" ref="AF113">IF(PART_NUMBER_GENERATOR_TABLE[[#This Row],[Work Role]:[Work Role]]&lt;&gt;AF$1,0,
IF(PART_NUMBER_GENERATOR_TABLE[[#This Row],[Work Type]:[Work Type]]&lt;&gt;"BH",0,
SUMIFS(AF$9:AF$24,$M$9:$M$24,PART_NUMBER_GENERATOR_TABLE[[#This Row],[Tech]:[Tech]])))</f>
        <v>0</v>
      </c>
      <c r="AG113" cm="1">
        <f t="array" ref="AG113">IF(PART_NUMBER_GENERATOR_TABLE[[#This Row],[Work Role]:[Work Role]]&lt;&gt;AG$1,0,
IF(PART_NUMBER_GENERATOR_TABLE[[#This Row],[Work Type]:[Work Type]]&lt;&gt;"AH",0,
SUMIFS(AG$9:AG$24,$M$9:$M$24,PART_NUMBER_GENERATOR_TABLE[[#This Row],[Tech]:[Tech]])))</f>
        <v>0</v>
      </c>
      <c r="AH113" cm="1">
        <f t="array" ref="AH113">IF(PART_NUMBER_GENERATOR_TABLE[[#This Row],[Work Role]:[Work Role]]&lt;&gt;AH$1,0,
IF(PART_NUMBER_GENERATOR_TABLE[[#This Row],[Work Type]:[Work Type]]&lt;&gt;"BH",0,
SUMIFS(AH$9:AH$24,$M$9:$M$24,PART_NUMBER_GENERATOR_TABLE[[#This Row],[Tech]:[Tech]])))</f>
        <v>0</v>
      </c>
      <c r="AI113" cm="1">
        <f t="array" ref="AI113">IF(PART_NUMBER_GENERATOR_TABLE[[#This Row],[Work Role]:[Work Role]]&lt;&gt;AI$1,0,
IF(PART_NUMBER_GENERATOR_TABLE[[#This Row],[Work Type]:[Work Type]]&lt;&gt;"BH",0,
SUMIFS(AI$9:AI$24,$M$9:$M$24,PART_NUMBER_GENERATOR_TABLE[[#This Row],[Tech]:[Tech]])))</f>
        <v>0</v>
      </c>
      <c r="AJ113" cm="1">
        <f t="array" ref="AJ113">IF(PART_NUMBER_GENERATOR_TABLE[[#This Row],[Work Role]:[Work Role]]&lt;&gt;AJ$1,0,
IF(PART_NUMBER_GENERATOR_TABLE[[#This Row],[Work Type]:[Work Type]]&lt;&gt;"BH",0,
SUMIFS(AJ$9:AJ$24,$M$9:$M$24,PART_NUMBER_GENERATOR_TABLE[[#This Row],[Tech]:[Tech]])))</f>
        <v>0</v>
      </c>
      <c r="AK113" cm="1">
        <f t="array" ref="AK113">IF(PART_NUMBER_GENERATOR_TABLE[[#This Row],[Work Role]:[Work Role]]&lt;&gt;AK$1,0,
IF(PART_NUMBER_GENERATOR_TABLE[[#This Row],[Work Type]:[Work Type]]&lt;&gt;"AH",0,
SUMIFS(AK$9:AK$24,$M$9:$M$24,PART_NUMBER_GENERATOR_TABLE[[#This Row],[Tech]:[Tech]])))</f>
        <v>0</v>
      </c>
      <c r="AL113" cm="1">
        <f t="array" ref="AL113">IF(PART_NUMBER_GENERATOR_TABLE[[#This Row],[Work Role]:[Work Role]]&lt;&gt;AL$1,0,
IF(PART_NUMBER_GENERATOR_TABLE[[#This Row],[Work Type]:[Work Type]]&lt;&gt;"BH",0,
SUMIFS(AL$9:AL$24,$M$9:$M$24,PART_NUMBER_GENERATOR_TABLE[[#This Row],[Tech]:[Tech]])))</f>
        <v>0</v>
      </c>
      <c r="AM113">
        <f>0</f>
        <v>0</v>
      </c>
      <c r="AN113" cm="1">
        <f t="array" ref="AN113">IF(PART_NUMBER_GENERATOR_TABLE[[#This Row],[Work Role]:[Work Role]]&lt;&gt;AN$1,0,
IF(PART_NUMBER_GENERATOR_TABLE[[#This Row],[Work Type]:[Work Type]]&lt;&gt;"BH",0,
SUMIFS(AN$24,$AM$24,PART_NUMBER_GENERATOR_TABLE[[#This Row],[Tech]:[Tech]])))</f>
        <v>0</v>
      </c>
      <c r="AO113" cm="1">
        <f t="array" ref="AO113">IF(PART_NUMBER_GENERATOR_TABLE[[#This Row],[Work Role]:[Work Role]]&lt;&gt;AO$1,0,
IF(PART_NUMBER_GENERATOR_TABLE[[#This Row],[Work Type]:[Work Type]]&lt;&gt;"BH",0,
SUMIFS(AO$24,$AM$24,PART_NUMBER_GENERATOR_TABLE[[#This Row],[Tech]:[Tech]])))</f>
        <v>0</v>
      </c>
      <c r="AP113" cm="1">
        <f t="array" ref="AP113">IF(PART_NUMBER_GENERATOR_TABLE[[#This Row],[Work Role]:[Work Role]]&lt;&gt;AP$1,0,
IF(PART_NUMBER_GENERATOR_TABLE[[#This Row],[Work Type]:[Work Type]]&lt;&gt;"BH",0,
SUMIFS(AP$24,$AM$24,PART_NUMBER_GENERATOR_TABLE[[#This Row],[Tech]:[Tech]])))</f>
        <v>0</v>
      </c>
      <c r="AQ113" cm="1">
        <f t="array" ref="AQ113">IF(PART_NUMBER_GENERATOR_TABLE[[#This Row],[Work Role]:[Work Role]]&lt;&gt;AQ$1,0,
IF(PART_NUMBER_GENERATOR_TABLE[[#This Row],[Work Type]:[Work Type]]&lt;&gt;"BH",0,
SUMIFS(AQ$24,$AM$24,PART_NUMBER_GENERATOR_TABLE[[#This Row],[Tech]:[Tech]])))</f>
        <v>0</v>
      </c>
      <c r="AR113" cm="1">
        <f t="array" ref="AR113">IF(PART_NUMBER_GENERATOR_TABLE[[#This Row],[Work Role]:[Work Role]]&lt;&gt;AR$1,0,
IF(PART_NUMBER_GENERATOR_TABLE[[#This Row],[Work Type]:[Work Type]]&lt;&gt;"BH",0,
SUMIFS(AR$24,$AM$24,PART_NUMBER_GENERATOR_TABLE[[#This Row],[Tech]:[Tech]])))</f>
        <v>0</v>
      </c>
      <c r="AS113" cm="1">
        <f t="array" ref="AS113">IF(PART_NUMBER_GENERATOR_TABLE[[#This Row],[Work Role]:[Work Role]]&lt;&gt;AS$1,0,
IF(PART_NUMBER_GENERATOR_TABLE[[#This Row],[Work Type]:[Work Type]]&lt;&gt;"BH",0,
SUMIFS(AS$24,$AM$24,PART_NUMBER_GENERATOR_TABLE[[#This Row],[Tech]:[Tech]])))</f>
        <v>0</v>
      </c>
      <c r="AT113" cm="1">
        <f t="array" ref="AT113">IF(PART_NUMBER_GENERATOR_TABLE[[#This Row],[Work Role]:[Work Role]]&lt;&gt;AS$1,0,
IF(PART_NUMBER_GENERATOR_TABLE[[#This Row],[Work Type]:[Work Type]]&lt;&gt;"BH",0,
SUMIFS(AT$24,$AM$24,PART_NUMBER_GENERATOR_TABLE[[#This Row],[Tech]:[Tech]])))</f>
        <v>0</v>
      </c>
      <c r="AU113">
        <f>SUM(PART_NUMBER_GENERATOR_TABLE[[#This Row],[Resource 1 BH]:[Resource 5 AH]],PART_NUMBER_GENERATOR_TABLE[[#This Row],[R1 Mandatory Tasks]:[R5 Mandatory Tasks]],PART_NUMBER_GENERATOR_TABLE[[#This Row],[R1 Remainder]:[R5 Remainder]])</f>
        <v>0</v>
      </c>
      <c r="AV113">
        <f>PART_NUMBER_GENERATOR_TABLE[[#This Row],[Professional Engineering Hours]]*PART_NUMBER_GENERATOR_TABLE[[#This Row],[Sell Rate]]</f>
        <v>0</v>
      </c>
      <c r="AW113">
        <f>PART_NUMBER_GENERATOR_TABLE[[#This Row],[Professional Engineering Hours]]*PART_NUMBER_GENERATOR_TABLE[[#This Row],[Cost Rate]]</f>
        <v>0</v>
      </c>
      <c r="AX113">
        <f>SUM(PART_NUMBER_GENERATOR_TABLE[[#This Row],[PM Trips]:[R5 Trips]])</f>
        <v>0</v>
      </c>
      <c r="AY113">
        <f>PART_NUMBER_GENERATOR_TABLE[[#This Row],[Travel &amp; Accommodation Hours]]*PART_NUMBER_GENERATOR_TABLE[[#This Row],[Sell Rate]]</f>
        <v>0</v>
      </c>
      <c r="AZ113">
        <f>PART_NUMBER_GENERATOR_TABLE[[#This Row],[Travel &amp; Accommodation Hours]]*PART_NUMBER_GENERATOR_TABLE[[#This Row],[Cost Rate]]</f>
        <v>0</v>
      </c>
      <c r="BA113">
        <f>PART_NUMBER_GENERATOR_TABLE[[#This Row],[PM Hours]]+PART_NUMBER_GENERATOR_TABLE[[#This Row],[PM Remainder]]</f>
        <v>0</v>
      </c>
      <c r="BB113">
        <f>PART_NUMBER_GENERATOR_TABLE[[#This Row],[Project Management Hours]]*PART_NUMBER_GENERATOR_TABLE[[#This Row],[Sell Rate]]</f>
        <v>0</v>
      </c>
      <c r="BC113">
        <f>PART_NUMBER_GENERATOR_TABLE[[#This Row],[Project Management Hours]]*PART_NUMBER_GENERATOR_TABLE[[#This Row],[Cost Rate]]</f>
        <v>0</v>
      </c>
      <c r="BD113">
        <f>SUM(PART_NUMBER_GENERATOR_TABLE[[#This Row],[SSE RISK BH]:[PM RISK]],PART_NUMBER_GENERATOR_TABLE[[#This Row],[SSE Remainder RISK BH]:[PM Remainder RISK]])</f>
        <v>0</v>
      </c>
      <c r="BE113">
        <f>PART_NUMBER_GENERATOR_TABLE[[#This Row],[Project Risk Service Hours]]*PART_NUMBER_GENERATOR_TABLE[[#This Row],[Sell Rate]]</f>
        <v>0</v>
      </c>
      <c r="BF113">
        <f>PART_NUMBER_GENERATOR_TABLE[[#This Row],[Project Risk Service Hours]]*PART_NUMBER_GENERATOR_TABLE[[#This Row],[Cost Rate]]</f>
        <v>0</v>
      </c>
      <c r="BG113">
        <f>PART_NUMBER_GENERATOR_TABLE[[#This Row],[SSE RISK TRAVEL]]</f>
        <v>0</v>
      </c>
      <c r="BH113">
        <f>PART_NUMBER_GENERATOR_TABLE[[#This Row],[Sell Rate]]*PART_NUMBER_GENERATOR_TABLE[[#This Row],[Project Risk Travel Hours]]</f>
        <v>0</v>
      </c>
      <c r="BI113">
        <f>PART_NUMBER_GENERATOR_TABLE[[#This Row],[Project Risk Travel Hours]]*PART_NUMBER_GENERATOR_TABLE[[#This Row],[Cost Rate]]</f>
        <v>0</v>
      </c>
      <c r="BJ11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1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13">
        <f>IFERROR(-VLOOKUP(INDEX(ENGINEER_ROLES,MATCH(PART_NUMBER_GENERATOR_TABLE[[#This Row],[Work Role]],settings.Table_Engineer.Roles[ID],0),1),Settings_Hidden!$H$359:$K$366,4,FALSE),0)</f>
        <v>0</v>
      </c>
      <c r="BM113" s="680">
        <f>-Summary!$C$66</f>
        <v>0</v>
      </c>
      <c r="BN113" s="465">
        <f>PART_NUMBER_GENERATOR_TABLE[[#This Row],[Total Base Price]]*MIN(PART_NUMBER_GENERATOR_TABLE[[#This Row],[Rate Service Discount]:[Flat Service Discount]])</f>
        <v>0</v>
      </c>
      <c r="BO113" s="451" t="str">
        <f>IF(PART_NUMBER_GENERATOR_TABLE[[#This Row],[Quantity]]&lt;&gt;0,MAX($BO$30:BO112)+1,"")</f>
        <v/>
      </c>
      <c r="BP113" t="str">
        <f>PART_NUMBER_GENERATOR_TABLE[[#This Row],[Part Number]]</f>
        <v>A-PS-E-SECURE-TA-AH</v>
      </c>
      <c r="BQ113">
        <f>PART_NUMBER_GENERATOR_TABLE[[#This Row],[Total Hours]]</f>
        <v>0</v>
      </c>
      <c r="BR113">
        <f>PART_NUMBER_GENERATOR_TABLE[[#This Row],[Cost Rate]]</f>
        <v>122.02019862032805</v>
      </c>
      <c r="BS113" s="465">
        <f>PART_NUMBER_GENERATOR_TABLE[[#This Row],[Sell Rate]]+(PART_NUMBER_GENERATOR_TABLE[[#This Row],[Sell Rate]]*MIN(PART_NUMBER_GENERATOR_TABLE[[#This Row],[Rate Service Discount]:[Flat Service Discount]]))</f>
        <v>232.5</v>
      </c>
    </row>
    <row r="114" spans="1:71">
      <c r="A114">
        <v>84</v>
      </c>
      <c r="C114" t="s">
        <v>1122</v>
      </c>
      <c r="D114" t="str" cm="1">
        <f t="array" ref="D114">INDEX(Table.Settings_Skill.List[Skill Name],MATCH(INDEX(_xlfn.TEXTSPLIT(C114,"-",,TRUE),4),Table.Settings_Skill.List[Skill Code],0),1)</f>
        <v>Secure Networking</v>
      </c>
      <c r="E114" t="str" cm="1">
        <f t="array" ref="E114">INDEX(_xlfn.TEXTSPLIT(C114,"-",,TRUE),5)</f>
        <v>SE</v>
      </c>
      <c r="F114" t="str">
        <f>IFERROR(INDEX(settings.Table_Engineer.Roles[Department Code],MATCH(PART_NUMBER_GENERATOR_TABLE[[#This Row],[Work Role]],settings.Table_Engineer.Roles[ID],0),1),"PMO")</f>
        <v>ENG</v>
      </c>
      <c r="G114" t="str" cm="1">
        <f t="array" ref="G114">INDEX(_xlfn.TEXTSPLIT(C114,"-",,TRUE),6)</f>
        <v>AH</v>
      </c>
      <c r="H11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352.5</v>
      </c>
      <c r="I11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189.17783891744716</v>
      </c>
      <c r="J114" cm="1">
        <f t="array" ref="J114">IF(J$1&lt;&gt;PART_NUMBER_GENERATOR_TABLE[[#This Row],[Work Role]:[Work Role]],0,
IF(RIGHT(J$30,2)&lt;&gt;PART_NUMBER_GENERATOR_TABLE[[#This Row],[Work Type]:[Work Type]],0,
SUMIFS(Input_Tasks[R1 Business Hours],Input_Tasks[[Skill Required]:[Skill Required]],PART_NUMBER_GENERATOR_TABLE[[#This Row],[Tech]:[Tech]])))</f>
        <v>0</v>
      </c>
      <c r="K114" cm="1">
        <f t="array" ref="K114">IF(K$1&lt;&gt;PART_NUMBER_GENERATOR_TABLE[[#This Row],[Work Role]:[Work Role]],0,
IF(RIGHT(K$30,2)&lt;&gt;PART_NUMBER_GENERATOR_TABLE[[#This Row],[Work Type]:[Work Type]],0,
SUMIFS(Input_Tasks[R1 After Hours],Input_Tasks[[Skill Required]:[Skill Required]],PART_NUMBER_GENERATOR_TABLE[[#This Row],[Tech]:[Tech]])))</f>
        <v>0</v>
      </c>
      <c r="L114" cm="1">
        <f t="array" ref="L114">IF(L$1&lt;&gt;PART_NUMBER_GENERATOR_TABLE[[#This Row],[Work Role]:[Work Role]],0,
IF(RIGHT(L$30,2)&lt;&gt;PART_NUMBER_GENERATOR_TABLE[[#This Row],[Work Type]:[Work Type]],0,
SUMIFS(Input_Tasks[R2 Business Hours],Input_Tasks[[Skill Required]:[Skill Required]],PART_NUMBER_GENERATOR_TABLE[[#This Row],[Tech]:[Tech]])))</f>
        <v>0</v>
      </c>
      <c r="M114" cm="1">
        <f t="array" ref="M114">IF(M$1&lt;&gt;PART_NUMBER_GENERATOR_TABLE[[#This Row],[Work Role]:[Work Role]],0,
IF(RIGHT(M$30,2)&lt;&gt;PART_NUMBER_GENERATOR_TABLE[[#This Row],[Work Type]:[Work Type]],0,
SUMIFS(Input_Tasks[R2 After Hours],Input_Tasks[[Skill Required]:[Skill Required]],PART_NUMBER_GENERATOR_TABLE[[#This Row],[Tech]:[Tech]])))</f>
        <v>0</v>
      </c>
      <c r="N114" cm="1">
        <f t="array" ref="N114">IF(N$1&lt;&gt;PART_NUMBER_GENERATOR_TABLE[[#This Row],[Work Role]:[Work Role]],0,
IF(RIGHT(N$30,2)&lt;&gt;PART_NUMBER_GENERATOR_TABLE[[#This Row],[Work Type]:[Work Type]],0,
SUMIFS(Input_Tasks[R3 Business Hours],Input_Tasks[[Skill Required]:[Skill Required]],PART_NUMBER_GENERATOR_TABLE[[#This Row],[Tech]:[Tech]])))</f>
        <v>0</v>
      </c>
      <c r="O114" cm="1">
        <f t="array" ref="O114">IF(O$1&lt;&gt;PART_NUMBER_GENERATOR_TABLE[[#This Row],[Work Role]:[Work Role]],0,
IF(RIGHT(O$30,2)&lt;&gt;PART_NUMBER_GENERATOR_TABLE[[#This Row],[Work Type]:[Work Type]],0,
SUMIFS(Input_Tasks[R3 After Hours],Input_Tasks[[Skill Required]:[Skill Required]],PART_NUMBER_GENERATOR_TABLE[[#This Row],[Tech]:[Tech]])))</f>
        <v>0</v>
      </c>
      <c r="P114" cm="1">
        <f t="array" ref="P114">IF(P$1&lt;&gt;PART_NUMBER_GENERATOR_TABLE[[#This Row],[Work Role]:[Work Role]],0,
IF(RIGHT(P$30,2)&lt;&gt;PART_NUMBER_GENERATOR_TABLE[[#This Row],[Work Type]:[Work Type]],0,
SUMIFS(Input_Tasks[R4 Business Hours],Input_Tasks[[Skill Required]:[Skill Required]],PART_NUMBER_GENERATOR_TABLE[[#This Row],[Tech]:[Tech]])))</f>
        <v>0</v>
      </c>
      <c r="Q114" cm="1">
        <f t="array" ref="Q114">IF(Q$1&lt;&gt;PART_NUMBER_GENERATOR_TABLE[[#This Row],[Work Role]:[Work Role]],0,
IF(RIGHT(Q$30,2)&lt;&gt;PART_NUMBER_GENERATOR_TABLE[[#This Row],[Work Type]:[Work Type]],0,
SUMIFS(Input_Tasks[R4 After Hours],Input_Tasks[[Skill Required]:[Skill Required]],PART_NUMBER_GENERATOR_TABLE[[#This Row],[Tech]:[Tech]])))</f>
        <v>0</v>
      </c>
      <c r="R114" cm="1">
        <f t="array" ref="R114">IF(R$1&lt;&gt;PART_NUMBER_GENERATOR_TABLE[[#This Row],[Work Role]:[Work Role]],0,
IF(RIGHT(R$30,2)&lt;&gt;PART_NUMBER_GENERATOR_TABLE[[#This Row],[Work Type]:[Work Type]],0,
SUMIFS(Input_Tasks[R5 Business Hours],Input_Tasks[[Skill Required]:[Skill Required]],PART_NUMBER_GENERATOR_TABLE[[#This Row],[Tech]:[Tech]])))</f>
        <v>0</v>
      </c>
      <c r="S114" cm="1">
        <f t="array" ref="S114">IF(S$1&lt;&gt;PART_NUMBER_GENERATOR_TABLE[[#This Row],[Work Role]:[Work Role]],0,
IF(RIGHT(S$30,2)&lt;&gt;PART_NUMBER_GENERATOR_TABLE[[#This Row],[Work Type]:[Work Type]],0,
SUMIFS(Input_Tasks[R5 After Hours],Input_Tasks[[Skill Required]:[Skill Required]],PART_NUMBER_GENERATOR_TABLE[[#This Row],[Tech]:[Tech]])))</f>
        <v>0</v>
      </c>
      <c r="T114" cm="1">
        <f t="array" ref="T114">IF(PART_NUMBER_GENERATOR_TABLE[[#This Row],[Work Role]:[Work Role]]&lt;&gt;T$1,0,
IF(PART_NUMBER_GENERATOR_TABLE[[#This Row],[Work Type]:[Work Type]]&lt;&gt;"BH",0,
SUMIFS(T$9:T$24,$M$9:$M$24,PART_NUMBER_GENERATOR_TABLE[[#This Row],[Tech]:[Tech]])))</f>
        <v>0</v>
      </c>
      <c r="U114" cm="1">
        <f t="array" ref="U114">IF(PART_NUMBER_GENERATOR_TABLE[[#This Row],[Work Role]:[Work Role]]&lt;&gt;U$1,0,
IF(PART_NUMBER_GENERATOR_TABLE[[#This Row],[Work Type]:[Work Type]]&lt;&gt;"BH",0,
SUMIFS(U$9:U$24,$M$9:$M$24,PART_NUMBER_GENERATOR_TABLE[[#This Row],[Tech]:[Tech]])))</f>
        <v>0</v>
      </c>
      <c r="V114" cm="1">
        <f t="array" ref="V114">IF(PART_NUMBER_GENERATOR_TABLE[[#This Row],[Work Role]:[Work Role]]&lt;&gt;V$1,0,
IF(PART_NUMBER_GENERATOR_TABLE[[#This Row],[Work Type]:[Work Type]]&lt;&gt;"BH",0,
SUMIFS(V$9:V$24,$M$9:$M$24,PART_NUMBER_GENERATOR_TABLE[[#This Row],[Tech]:[Tech]])))</f>
        <v>0</v>
      </c>
      <c r="W114" cm="1">
        <f t="array" ref="W114">IF(PART_NUMBER_GENERATOR_TABLE[[#This Row],[Work Role]:[Work Role]]&lt;&gt;W$1,0,
IF(PART_NUMBER_GENERATOR_TABLE[[#This Row],[Work Type]:[Work Type]]&lt;&gt;"BH",0,
SUMIFS(W$9:W$24,$M$9:$M$24,PART_NUMBER_GENERATOR_TABLE[[#This Row],[Tech]:[Tech]])))</f>
        <v>0</v>
      </c>
      <c r="X114" cm="1">
        <f t="array" ref="X114">IF(PART_NUMBER_GENERATOR_TABLE[[#This Row],[Work Role]:[Work Role]]&lt;&gt;X$1,0,
IF(PART_NUMBER_GENERATOR_TABLE[[#This Row],[Work Type]:[Work Type]]&lt;&gt;"BH",0,
SUMIFS(X$9:X$24,$M$9:$M$24,PART_NUMBER_GENERATOR_TABLE[[#This Row],[Tech]:[Tech]])))</f>
        <v>0</v>
      </c>
      <c r="Y114" cm="1">
        <f t="array" ref="Y114">IF(PART_NUMBER_GENERATOR_TABLE[[#This Row],[Work Role]:[Work Role]]&lt;&gt;Y$1,0,
IF(PART_NUMBER_GENERATOR_TABLE[[#This Row],[Work Type]:[Work Type]]&lt;&gt;"BH",0,
SUMIFS(Y$9:Y$24,$M$9:$M$24,PART_NUMBER_GENERATOR_TABLE[[#This Row],[Tech]:[Tech]])))</f>
        <v>0</v>
      </c>
      <c r="Z114" cm="1">
        <f t="array" ref="Z114">IF(PART_NUMBER_GENERATOR_TABLE[[#This Row],[Work Role]:[Work Role]]&lt;&gt;Z$1,0,
IF(PART_NUMBER_GENERATOR_TABLE[[#This Row],[Work Type]:[Work Type]]&lt;&gt;"BH",0,
SUMIFS(Z$9:Z$24,$M$9:$M$24,PART_NUMBER_GENERATOR_TABLE[[#This Row],[Tech]:[Tech]])))</f>
        <v>0</v>
      </c>
      <c r="AA114" cm="1">
        <f t="array" ref="AA114">IF(PART_NUMBER_GENERATOR_TABLE[[#This Row],[Work Role]:[Work Role]]&lt;&gt;AA$1,0,
IF(PART_NUMBER_GENERATOR_TABLE[[#This Row],[Work Type]:[Work Type]]&lt;&gt;"BH",0,
SUMIFS(AA$9:AA$24,$M$9:$M$24,PART_NUMBER_GENERATOR_TABLE[[#This Row],[Tech]:[Tech]])))</f>
        <v>0</v>
      </c>
      <c r="AB114" cm="1">
        <f t="array" ref="AB114">IF(PART_NUMBER_GENERATOR_TABLE[[#This Row],[Work Role]:[Work Role]]&lt;&gt;AB$1,0,
IF(PART_NUMBER_GENERATOR_TABLE[[#This Row],[Work Type]:[Work Type]]&lt;&gt;"BH",0,
SUMIFS(AB$9:AB$24,$M$9:$M$24,PART_NUMBER_GENERATOR_TABLE[[#This Row],[Tech]:[Tech]])))</f>
        <v>0</v>
      </c>
      <c r="AC114" cm="1">
        <f t="array" ref="AC114">IF(PART_NUMBER_GENERATOR_TABLE[[#This Row],[Work Role]:[Work Role]]&lt;&gt;AC$1,0,
IF(PART_NUMBER_GENERATOR_TABLE[[#This Row],[Work Type]:[Work Type]]&lt;&gt;"BH",0,
SUMIFS(AC$9:AC$24,$M$9:$M$24,PART_NUMBER_GENERATOR_TABLE[[#This Row],[Tech]:[Tech]])))</f>
        <v>0</v>
      </c>
      <c r="AD114" cm="1">
        <f t="array" ref="AD114">IF(PART_NUMBER_GENERATOR_TABLE[[#This Row],[Work Role]:[Work Role]]&lt;&gt;AD$1,0,
IF(PART_NUMBER_GENERATOR_TABLE[[#This Row],[Work Type]:[Work Type]]&lt;&gt;"BH",0,
SUMIFS(AD$9:AD$24,$M$9:$M$24,PART_NUMBER_GENERATOR_TABLE[[#This Row],[Tech]:[Tech]])))</f>
        <v>0</v>
      </c>
      <c r="AE114" cm="1">
        <f t="array" ref="AE114">IF(PART_NUMBER_GENERATOR_TABLE[[#This Row],[Work Role]:[Work Role]]&lt;&gt;AE$1,0,
IF(PART_NUMBER_GENERATOR_TABLE[[#This Row],[Work Type]:[Work Type]]&lt;&gt;"BH",0,
SUMIFS(AE$9:AE$24,$M$9:$M$24,PART_NUMBER_GENERATOR_TABLE[[#This Row],[Tech]:[Tech]])))</f>
        <v>0</v>
      </c>
      <c r="AF114" cm="1">
        <f t="array" ref="AF114">IF(PART_NUMBER_GENERATOR_TABLE[[#This Row],[Work Role]:[Work Role]]&lt;&gt;AF$1,0,
IF(PART_NUMBER_GENERATOR_TABLE[[#This Row],[Work Type]:[Work Type]]&lt;&gt;"BH",0,
SUMIFS(AF$9:AF$24,$M$9:$M$24,PART_NUMBER_GENERATOR_TABLE[[#This Row],[Tech]:[Tech]])))</f>
        <v>0</v>
      </c>
      <c r="AG114" cm="1">
        <f t="array" ref="AG114">IF(PART_NUMBER_GENERATOR_TABLE[[#This Row],[Work Role]:[Work Role]]&lt;&gt;AG$1,0,
IF(PART_NUMBER_GENERATOR_TABLE[[#This Row],[Work Type]:[Work Type]]&lt;&gt;"AH",0,
SUMIFS(AG$9:AG$24,$M$9:$M$24,PART_NUMBER_GENERATOR_TABLE[[#This Row],[Tech]:[Tech]])))</f>
        <v>0</v>
      </c>
      <c r="AH114" cm="1">
        <f t="array" ref="AH114">IF(PART_NUMBER_GENERATOR_TABLE[[#This Row],[Work Role]:[Work Role]]&lt;&gt;AH$1,0,
IF(PART_NUMBER_GENERATOR_TABLE[[#This Row],[Work Type]:[Work Type]]&lt;&gt;"BH",0,
SUMIFS(AH$9:AH$24,$M$9:$M$24,PART_NUMBER_GENERATOR_TABLE[[#This Row],[Tech]:[Tech]])))</f>
        <v>0</v>
      </c>
      <c r="AI114" cm="1">
        <f t="array" ref="AI114">IF(PART_NUMBER_GENERATOR_TABLE[[#This Row],[Work Role]:[Work Role]]&lt;&gt;AI$1,0,
IF(PART_NUMBER_GENERATOR_TABLE[[#This Row],[Work Type]:[Work Type]]&lt;&gt;"BH",0,
SUMIFS(AI$9:AI$24,$M$9:$M$24,PART_NUMBER_GENERATOR_TABLE[[#This Row],[Tech]:[Tech]])))</f>
        <v>0</v>
      </c>
      <c r="AJ114" cm="1">
        <f t="array" ref="AJ114">IF(PART_NUMBER_GENERATOR_TABLE[[#This Row],[Work Role]:[Work Role]]&lt;&gt;AJ$1,0,
IF(PART_NUMBER_GENERATOR_TABLE[[#This Row],[Work Type]:[Work Type]]&lt;&gt;"BH",0,
SUMIFS(AJ$9:AJ$24,$M$9:$M$24,PART_NUMBER_GENERATOR_TABLE[[#This Row],[Tech]:[Tech]])))</f>
        <v>0</v>
      </c>
      <c r="AK114" cm="1">
        <f t="array" ref="AK114">IF(PART_NUMBER_GENERATOR_TABLE[[#This Row],[Work Role]:[Work Role]]&lt;&gt;AK$1,0,
IF(PART_NUMBER_GENERATOR_TABLE[[#This Row],[Work Type]:[Work Type]]&lt;&gt;"AH",0,
SUMIFS(AK$9:AK$24,$M$9:$M$24,PART_NUMBER_GENERATOR_TABLE[[#This Row],[Tech]:[Tech]])))</f>
        <v>0</v>
      </c>
      <c r="AL114" cm="1">
        <f t="array" ref="AL114">IF(PART_NUMBER_GENERATOR_TABLE[[#This Row],[Work Role]:[Work Role]]&lt;&gt;AL$1,0,
IF(PART_NUMBER_GENERATOR_TABLE[[#This Row],[Work Type]:[Work Type]]&lt;&gt;"BH",0,
SUMIFS(AL$9:AL$24,$M$9:$M$24,PART_NUMBER_GENERATOR_TABLE[[#This Row],[Tech]:[Tech]])))</f>
        <v>0</v>
      </c>
      <c r="AM114">
        <f>0</f>
        <v>0</v>
      </c>
      <c r="AN114" cm="1">
        <f t="array" ref="AN114">IF(PART_NUMBER_GENERATOR_TABLE[[#This Row],[Work Role]:[Work Role]]&lt;&gt;AN$1,0,
IF(PART_NUMBER_GENERATOR_TABLE[[#This Row],[Work Type]:[Work Type]]&lt;&gt;"BH",0,
SUMIFS(AN$24,$AM$24,PART_NUMBER_GENERATOR_TABLE[[#This Row],[Tech]:[Tech]])))</f>
        <v>0</v>
      </c>
      <c r="AO114" cm="1">
        <f t="array" ref="AO114">IF(PART_NUMBER_GENERATOR_TABLE[[#This Row],[Work Role]:[Work Role]]&lt;&gt;AO$1,0,
IF(PART_NUMBER_GENERATOR_TABLE[[#This Row],[Work Type]:[Work Type]]&lt;&gt;"BH",0,
SUMIFS(AO$24,$AM$24,PART_NUMBER_GENERATOR_TABLE[[#This Row],[Tech]:[Tech]])))</f>
        <v>0</v>
      </c>
      <c r="AP114" cm="1">
        <f t="array" ref="AP114">IF(PART_NUMBER_GENERATOR_TABLE[[#This Row],[Work Role]:[Work Role]]&lt;&gt;AP$1,0,
IF(PART_NUMBER_GENERATOR_TABLE[[#This Row],[Work Type]:[Work Type]]&lt;&gt;"BH",0,
SUMIFS(AP$24,$AM$24,PART_NUMBER_GENERATOR_TABLE[[#This Row],[Tech]:[Tech]])))</f>
        <v>0</v>
      </c>
      <c r="AQ114" cm="1">
        <f t="array" ref="AQ114">IF(PART_NUMBER_GENERATOR_TABLE[[#This Row],[Work Role]:[Work Role]]&lt;&gt;AQ$1,0,
IF(PART_NUMBER_GENERATOR_TABLE[[#This Row],[Work Type]:[Work Type]]&lt;&gt;"BH",0,
SUMIFS(AQ$24,$AM$24,PART_NUMBER_GENERATOR_TABLE[[#This Row],[Tech]:[Tech]])))</f>
        <v>0</v>
      </c>
      <c r="AR114" cm="1">
        <f t="array" ref="AR114">IF(PART_NUMBER_GENERATOR_TABLE[[#This Row],[Work Role]:[Work Role]]&lt;&gt;AR$1,0,
IF(PART_NUMBER_GENERATOR_TABLE[[#This Row],[Work Type]:[Work Type]]&lt;&gt;"BH",0,
SUMIFS(AR$24,$AM$24,PART_NUMBER_GENERATOR_TABLE[[#This Row],[Tech]:[Tech]])))</f>
        <v>0</v>
      </c>
      <c r="AS114" cm="1">
        <f t="array" ref="AS114">IF(PART_NUMBER_GENERATOR_TABLE[[#This Row],[Work Role]:[Work Role]]&lt;&gt;AS$1,0,
IF(PART_NUMBER_GENERATOR_TABLE[[#This Row],[Work Type]:[Work Type]]&lt;&gt;"BH",0,
SUMIFS(AS$24,$AM$24,PART_NUMBER_GENERATOR_TABLE[[#This Row],[Tech]:[Tech]])))</f>
        <v>0</v>
      </c>
      <c r="AT114" cm="1">
        <f t="array" ref="AT114">IF(PART_NUMBER_GENERATOR_TABLE[[#This Row],[Work Role]:[Work Role]]&lt;&gt;AS$1,0,
IF(PART_NUMBER_GENERATOR_TABLE[[#This Row],[Work Type]:[Work Type]]&lt;&gt;"BH",0,
SUMIFS(AT$24,$AM$24,PART_NUMBER_GENERATOR_TABLE[[#This Row],[Tech]:[Tech]])))</f>
        <v>0</v>
      </c>
      <c r="AU114">
        <f>SUM(PART_NUMBER_GENERATOR_TABLE[[#This Row],[Resource 1 BH]:[Resource 5 AH]],PART_NUMBER_GENERATOR_TABLE[[#This Row],[R1 Mandatory Tasks]:[R5 Mandatory Tasks]],PART_NUMBER_GENERATOR_TABLE[[#This Row],[R1 Remainder]:[R5 Remainder]])</f>
        <v>0</v>
      </c>
      <c r="AV114">
        <f>PART_NUMBER_GENERATOR_TABLE[[#This Row],[Professional Engineering Hours]]*PART_NUMBER_GENERATOR_TABLE[[#This Row],[Sell Rate]]</f>
        <v>0</v>
      </c>
      <c r="AW114">
        <f>PART_NUMBER_GENERATOR_TABLE[[#This Row],[Professional Engineering Hours]]*PART_NUMBER_GENERATOR_TABLE[[#This Row],[Cost Rate]]</f>
        <v>0</v>
      </c>
      <c r="AX114">
        <f>SUM(PART_NUMBER_GENERATOR_TABLE[[#This Row],[PM Trips]:[R5 Trips]])</f>
        <v>0</v>
      </c>
      <c r="AY114">
        <f>PART_NUMBER_GENERATOR_TABLE[[#This Row],[Travel &amp; Accommodation Hours]]*PART_NUMBER_GENERATOR_TABLE[[#This Row],[Sell Rate]]</f>
        <v>0</v>
      </c>
      <c r="AZ114">
        <f>PART_NUMBER_GENERATOR_TABLE[[#This Row],[Travel &amp; Accommodation Hours]]*PART_NUMBER_GENERATOR_TABLE[[#This Row],[Cost Rate]]</f>
        <v>0</v>
      </c>
      <c r="BA114">
        <f>PART_NUMBER_GENERATOR_TABLE[[#This Row],[PM Hours]]+PART_NUMBER_GENERATOR_TABLE[[#This Row],[PM Remainder]]</f>
        <v>0</v>
      </c>
      <c r="BB114">
        <f>PART_NUMBER_GENERATOR_TABLE[[#This Row],[Project Management Hours]]*PART_NUMBER_GENERATOR_TABLE[[#This Row],[Sell Rate]]</f>
        <v>0</v>
      </c>
      <c r="BC114">
        <f>PART_NUMBER_GENERATOR_TABLE[[#This Row],[Project Management Hours]]*PART_NUMBER_GENERATOR_TABLE[[#This Row],[Cost Rate]]</f>
        <v>0</v>
      </c>
      <c r="BD114">
        <f>SUM(PART_NUMBER_GENERATOR_TABLE[[#This Row],[SSE RISK BH]:[PM RISK]],PART_NUMBER_GENERATOR_TABLE[[#This Row],[SSE Remainder RISK BH]:[PM Remainder RISK]])</f>
        <v>0</v>
      </c>
      <c r="BE114">
        <f>PART_NUMBER_GENERATOR_TABLE[[#This Row],[Project Risk Service Hours]]*PART_NUMBER_GENERATOR_TABLE[[#This Row],[Sell Rate]]</f>
        <v>0</v>
      </c>
      <c r="BF114">
        <f>PART_NUMBER_GENERATOR_TABLE[[#This Row],[Project Risk Service Hours]]*PART_NUMBER_GENERATOR_TABLE[[#This Row],[Cost Rate]]</f>
        <v>0</v>
      </c>
      <c r="BG114">
        <f>PART_NUMBER_GENERATOR_TABLE[[#This Row],[SSE RISK TRAVEL]]</f>
        <v>0</v>
      </c>
      <c r="BH114">
        <f>PART_NUMBER_GENERATOR_TABLE[[#This Row],[Sell Rate]]*PART_NUMBER_GENERATOR_TABLE[[#This Row],[Project Risk Travel Hours]]</f>
        <v>0</v>
      </c>
      <c r="BI114">
        <f>PART_NUMBER_GENERATOR_TABLE[[#This Row],[Project Risk Travel Hours]]*PART_NUMBER_GENERATOR_TABLE[[#This Row],[Cost Rate]]</f>
        <v>0</v>
      </c>
      <c r="BJ11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1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14">
        <f>IFERROR(-VLOOKUP(INDEX(ENGINEER_ROLES,MATCH(PART_NUMBER_GENERATOR_TABLE[[#This Row],[Work Role]],settings.Table_Engineer.Roles[ID],0),1),Settings_Hidden!$H$359:$K$366,4,FALSE),0)</f>
        <v>0</v>
      </c>
      <c r="BM114" s="680">
        <f>-Summary!$C$66</f>
        <v>0</v>
      </c>
      <c r="BN114" s="465">
        <f>PART_NUMBER_GENERATOR_TABLE[[#This Row],[Total Base Price]]*MIN(PART_NUMBER_GENERATOR_TABLE[[#This Row],[Rate Service Discount]:[Flat Service Discount]])</f>
        <v>0</v>
      </c>
      <c r="BO114" s="451" t="str">
        <f>IF(PART_NUMBER_GENERATOR_TABLE[[#This Row],[Quantity]]&lt;&gt;0,MAX($BO$30:BO113)+1,"")</f>
        <v/>
      </c>
      <c r="BP114" t="str">
        <f>PART_NUMBER_GENERATOR_TABLE[[#This Row],[Part Number]]</f>
        <v>A-PS-E-SECURE-SE-AH</v>
      </c>
      <c r="BQ114">
        <f>PART_NUMBER_GENERATOR_TABLE[[#This Row],[Total Hours]]</f>
        <v>0</v>
      </c>
      <c r="BR114">
        <f>PART_NUMBER_GENERATOR_TABLE[[#This Row],[Cost Rate]]</f>
        <v>189.17783891744716</v>
      </c>
      <c r="BS114" s="465">
        <f>PART_NUMBER_GENERATOR_TABLE[[#This Row],[Sell Rate]]+(PART_NUMBER_GENERATOR_TABLE[[#This Row],[Sell Rate]]*MIN(PART_NUMBER_GENERATOR_TABLE[[#This Row],[Rate Service Discount]:[Flat Service Discount]]))</f>
        <v>352.5</v>
      </c>
    </row>
    <row r="115" spans="1:71">
      <c r="A115">
        <v>85</v>
      </c>
      <c r="C115" t="s">
        <v>1116</v>
      </c>
      <c r="D115" t="str" cm="1">
        <f t="array" ref="D115">INDEX(Table.Settings_Skill.List[Skill Name],MATCH(INDEX(_xlfn.TEXTSPLIT(C115,"-",,TRUE),4),Table.Settings_Skill.List[Skill Code],0),1)</f>
        <v>Secure Networking</v>
      </c>
      <c r="E115" t="str" cm="1">
        <f t="array" ref="E115">INDEX(_xlfn.TEXTSPLIT(C115,"-",,TRUE),5)</f>
        <v>SSE</v>
      </c>
      <c r="F115" t="str">
        <f>IFERROR(INDEX(settings.Table_Engineer.Roles[Department Code],MATCH(PART_NUMBER_GENERATOR_TABLE[[#This Row],[Work Role]],settings.Table_Engineer.Roles[ID],0),1),"PMO")</f>
        <v>ENG</v>
      </c>
      <c r="G115" t="str" cm="1">
        <f t="array" ref="G115">INDEX(_xlfn.TEXTSPLIT(C115,"-",,TRUE),6)</f>
        <v>AH</v>
      </c>
      <c r="H11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420.75</v>
      </c>
      <c r="I11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224.87758587669589</v>
      </c>
      <c r="J115" cm="1">
        <f t="array" ref="J115">IF(J$1&lt;&gt;PART_NUMBER_GENERATOR_TABLE[[#This Row],[Work Role]:[Work Role]],0,
IF(RIGHT(J$30,2)&lt;&gt;PART_NUMBER_GENERATOR_TABLE[[#This Row],[Work Type]:[Work Type]],0,
SUMIFS(Input_Tasks[R1 Business Hours],Input_Tasks[[Skill Required]:[Skill Required]],PART_NUMBER_GENERATOR_TABLE[[#This Row],[Tech]:[Tech]])))</f>
        <v>0</v>
      </c>
      <c r="K115" cm="1">
        <f t="array" ref="K115">IF(K$1&lt;&gt;PART_NUMBER_GENERATOR_TABLE[[#This Row],[Work Role]:[Work Role]],0,
IF(RIGHT(K$30,2)&lt;&gt;PART_NUMBER_GENERATOR_TABLE[[#This Row],[Work Type]:[Work Type]],0,
SUMIFS(Input_Tasks[R1 After Hours],Input_Tasks[[Skill Required]:[Skill Required]],PART_NUMBER_GENERATOR_TABLE[[#This Row],[Tech]:[Tech]])))</f>
        <v>0</v>
      </c>
      <c r="L115" cm="1">
        <f t="array" ref="L115">IF(L$1&lt;&gt;PART_NUMBER_GENERATOR_TABLE[[#This Row],[Work Role]:[Work Role]],0,
IF(RIGHT(L$30,2)&lt;&gt;PART_NUMBER_GENERATOR_TABLE[[#This Row],[Work Type]:[Work Type]],0,
SUMIFS(Input_Tasks[R2 Business Hours],Input_Tasks[[Skill Required]:[Skill Required]],PART_NUMBER_GENERATOR_TABLE[[#This Row],[Tech]:[Tech]])))</f>
        <v>0</v>
      </c>
      <c r="M115" cm="1">
        <f t="array" ref="M115">IF(M$1&lt;&gt;PART_NUMBER_GENERATOR_TABLE[[#This Row],[Work Role]:[Work Role]],0,
IF(RIGHT(M$30,2)&lt;&gt;PART_NUMBER_GENERATOR_TABLE[[#This Row],[Work Type]:[Work Type]],0,
SUMIFS(Input_Tasks[R2 After Hours],Input_Tasks[[Skill Required]:[Skill Required]],PART_NUMBER_GENERATOR_TABLE[[#This Row],[Tech]:[Tech]])))</f>
        <v>0</v>
      </c>
      <c r="N115" cm="1">
        <f t="array" ref="N115">IF(N$1&lt;&gt;PART_NUMBER_GENERATOR_TABLE[[#This Row],[Work Role]:[Work Role]],0,
IF(RIGHT(N$30,2)&lt;&gt;PART_NUMBER_GENERATOR_TABLE[[#This Row],[Work Type]:[Work Type]],0,
SUMIFS(Input_Tasks[R3 Business Hours],Input_Tasks[[Skill Required]:[Skill Required]],PART_NUMBER_GENERATOR_TABLE[[#This Row],[Tech]:[Tech]])))</f>
        <v>0</v>
      </c>
      <c r="O115" cm="1">
        <f t="array" ref="O115">IF(O$1&lt;&gt;PART_NUMBER_GENERATOR_TABLE[[#This Row],[Work Role]:[Work Role]],0,
IF(RIGHT(O$30,2)&lt;&gt;PART_NUMBER_GENERATOR_TABLE[[#This Row],[Work Type]:[Work Type]],0,
SUMIFS(Input_Tasks[R3 After Hours],Input_Tasks[[Skill Required]:[Skill Required]],PART_NUMBER_GENERATOR_TABLE[[#This Row],[Tech]:[Tech]])))</f>
        <v>0</v>
      </c>
      <c r="P115" cm="1">
        <f t="array" ref="P115">IF(P$1&lt;&gt;PART_NUMBER_GENERATOR_TABLE[[#This Row],[Work Role]:[Work Role]],0,
IF(RIGHT(P$30,2)&lt;&gt;PART_NUMBER_GENERATOR_TABLE[[#This Row],[Work Type]:[Work Type]],0,
SUMIFS(Input_Tasks[R4 Business Hours],Input_Tasks[[Skill Required]:[Skill Required]],PART_NUMBER_GENERATOR_TABLE[[#This Row],[Tech]:[Tech]])))</f>
        <v>0</v>
      </c>
      <c r="Q115" cm="1">
        <f t="array" ref="Q115">IF(Q$1&lt;&gt;PART_NUMBER_GENERATOR_TABLE[[#This Row],[Work Role]:[Work Role]],0,
IF(RIGHT(Q$30,2)&lt;&gt;PART_NUMBER_GENERATOR_TABLE[[#This Row],[Work Type]:[Work Type]],0,
SUMIFS(Input_Tasks[R4 After Hours],Input_Tasks[[Skill Required]:[Skill Required]],PART_NUMBER_GENERATOR_TABLE[[#This Row],[Tech]:[Tech]])))</f>
        <v>0</v>
      </c>
      <c r="R115" cm="1">
        <f t="array" ref="R115">IF(R$1&lt;&gt;PART_NUMBER_GENERATOR_TABLE[[#This Row],[Work Role]:[Work Role]],0,
IF(RIGHT(R$30,2)&lt;&gt;PART_NUMBER_GENERATOR_TABLE[[#This Row],[Work Type]:[Work Type]],0,
SUMIFS(Input_Tasks[R5 Business Hours],Input_Tasks[[Skill Required]:[Skill Required]],PART_NUMBER_GENERATOR_TABLE[[#This Row],[Tech]:[Tech]])))</f>
        <v>0</v>
      </c>
      <c r="S115" cm="1">
        <f t="array" ref="S115">IF(S$1&lt;&gt;PART_NUMBER_GENERATOR_TABLE[[#This Row],[Work Role]:[Work Role]],0,
IF(RIGHT(S$30,2)&lt;&gt;PART_NUMBER_GENERATOR_TABLE[[#This Row],[Work Type]:[Work Type]],0,
SUMIFS(Input_Tasks[R5 After Hours],Input_Tasks[[Skill Required]:[Skill Required]],PART_NUMBER_GENERATOR_TABLE[[#This Row],[Tech]:[Tech]])))</f>
        <v>0</v>
      </c>
      <c r="T115" cm="1">
        <f t="array" ref="T115">IF(PART_NUMBER_GENERATOR_TABLE[[#This Row],[Work Role]:[Work Role]]&lt;&gt;T$1,0,
IF(PART_NUMBER_GENERATOR_TABLE[[#This Row],[Work Type]:[Work Type]]&lt;&gt;"BH",0,
SUMIFS(T$9:T$24,$M$9:$M$24,PART_NUMBER_GENERATOR_TABLE[[#This Row],[Tech]:[Tech]])))</f>
        <v>0</v>
      </c>
      <c r="U115" cm="1">
        <f t="array" ref="U115">IF(PART_NUMBER_GENERATOR_TABLE[[#This Row],[Work Role]:[Work Role]]&lt;&gt;U$1,0,
IF(PART_NUMBER_GENERATOR_TABLE[[#This Row],[Work Type]:[Work Type]]&lt;&gt;"BH",0,
SUMIFS(U$9:U$24,$M$9:$M$24,PART_NUMBER_GENERATOR_TABLE[[#This Row],[Tech]:[Tech]])))</f>
        <v>0</v>
      </c>
      <c r="V115" cm="1">
        <f t="array" ref="V115">IF(PART_NUMBER_GENERATOR_TABLE[[#This Row],[Work Role]:[Work Role]]&lt;&gt;V$1,0,
IF(PART_NUMBER_GENERATOR_TABLE[[#This Row],[Work Type]:[Work Type]]&lt;&gt;"BH",0,
SUMIFS(V$9:V$24,$M$9:$M$24,PART_NUMBER_GENERATOR_TABLE[[#This Row],[Tech]:[Tech]])))</f>
        <v>0</v>
      </c>
      <c r="W115" cm="1">
        <f t="array" ref="W115">IF(PART_NUMBER_GENERATOR_TABLE[[#This Row],[Work Role]:[Work Role]]&lt;&gt;W$1,0,
IF(PART_NUMBER_GENERATOR_TABLE[[#This Row],[Work Type]:[Work Type]]&lt;&gt;"BH",0,
SUMIFS(W$9:W$24,$M$9:$M$24,PART_NUMBER_GENERATOR_TABLE[[#This Row],[Tech]:[Tech]])))</f>
        <v>0</v>
      </c>
      <c r="X115" cm="1">
        <f t="array" ref="X115">IF(PART_NUMBER_GENERATOR_TABLE[[#This Row],[Work Role]:[Work Role]]&lt;&gt;X$1,0,
IF(PART_NUMBER_GENERATOR_TABLE[[#This Row],[Work Type]:[Work Type]]&lt;&gt;"BH",0,
SUMIFS(X$9:X$24,$M$9:$M$24,PART_NUMBER_GENERATOR_TABLE[[#This Row],[Tech]:[Tech]])))</f>
        <v>0</v>
      </c>
      <c r="Y115" cm="1">
        <f t="array" ref="Y115">IF(PART_NUMBER_GENERATOR_TABLE[[#This Row],[Work Role]:[Work Role]]&lt;&gt;Y$1,0,
IF(PART_NUMBER_GENERATOR_TABLE[[#This Row],[Work Type]:[Work Type]]&lt;&gt;"BH",0,
SUMIFS(Y$9:Y$24,$M$9:$M$24,PART_NUMBER_GENERATOR_TABLE[[#This Row],[Tech]:[Tech]])))</f>
        <v>0</v>
      </c>
      <c r="Z115" cm="1">
        <f t="array" ref="Z115">IF(PART_NUMBER_GENERATOR_TABLE[[#This Row],[Work Role]:[Work Role]]&lt;&gt;Z$1,0,
IF(PART_NUMBER_GENERATOR_TABLE[[#This Row],[Work Type]:[Work Type]]&lt;&gt;"BH",0,
SUMIFS(Z$9:Z$24,$M$9:$M$24,PART_NUMBER_GENERATOR_TABLE[[#This Row],[Tech]:[Tech]])))</f>
        <v>0</v>
      </c>
      <c r="AA115" cm="1">
        <f t="array" ref="AA115">IF(PART_NUMBER_GENERATOR_TABLE[[#This Row],[Work Role]:[Work Role]]&lt;&gt;AA$1,0,
IF(PART_NUMBER_GENERATOR_TABLE[[#This Row],[Work Type]:[Work Type]]&lt;&gt;"BH",0,
SUMIFS(AA$9:AA$24,$M$9:$M$24,PART_NUMBER_GENERATOR_TABLE[[#This Row],[Tech]:[Tech]])))</f>
        <v>0</v>
      </c>
      <c r="AB115" cm="1">
        <f t="array" ref="AB115">IF(PART_NUMBER_GENERATOR_TABLE[[#This Row],[Work Role]:[Work Role]]&lt;&gt;AB$1,0,
IF(PART_NUMBER_GENERATOR_TABLE[[#This Row],[Work Type]:[Work Type]]&lt;&gt;"BH",0,
SUMIFS(AB$9:AB$24,$M$9:$M$24,PART_NUMBER_GENERATOR_TABLE[[#This Row],[Tech]:[Tech]])))</f>
        <v>0</v>
      </c>
      <c r="AC115" cm="1">
        <f t="array" ref="AC115">IF(PART_NUMBER_GENERATOR_TABLE[[#This Row],[Work Role]:[Work Role]]&lt;&gt;AC$1,0,
IF(PART_NUMBER_GENERATOR_TABLE[[#This Row],[Work Type]:[Work Type]]&lt;&gt;"BH",0,
SUMIFS(AC$9:AC$24,$M$9:$M$24,PART_NUMBER_GENERATOR_TABLE[[#This Row],[Tech]:[Tech]])))</f>
        <v>0</v>
      </c>
      <c r="AD115" cm="1">
        <f t="array" ref="AD115">IF(PART_NUMBER_GENERATOR_TABLE[[#This Row],[Work Role]:[Work Role]]&lt;&gt;AD$1,0,
IF(PART_NUMBER_GENERATOR_TABLE[[#This Row],[Work Type]:[Work Type]]&lt;&gt;"BH",0,
SUMIFS(AD$9:AD$24,$M$9:$M$24,PART_NUMBER_GENERATOR_TABLE[[#This Row],[Tech]:[Tech]])))</f>
        <v>0</v>
      </c>
      <c r="AE115" cm="1">
        <f t="array" ref="AE115">IF(PART_NUMBER_GENERATOR_TABLE[[#This Row],[Work Role]:[Work Role]]&lt;&gt;AE$1,0,
IF(PART_NUMBER_GENERATOR_TABLE[[#This Row],[Work Type]:[Work Type]]&lt;&gt;"BH",0,
SUMIFS(AE$9:AE$24,$M$9:$M$24,PART_NUMBER_GENERATOR_TABLE[[#This Row],[Tech]:[Tech]])))</f>
        <v>0</v>
      </c>
      <c r="AF115" cm="1">
        <f t="array" ref="AF115">IF(PART_NUMBER_GENERATOR_TABLE[[#This Row],[Work Role]:[Work Role]]&lt;&gt;AF$1,0,
IF(PART_NUMBER_GENERATOR_TABLE[[#This Row],[Work Type]:[Work Type]]&lt;&gt;"BH",0,
SUMIFS(AF$9:AF$24,$M$9:$M$24,PART_NUMBER_GENERATOR_TABLE[[#This Row],[Tech]:[Tech]])))</f>
        <v>0</v>
      </c>
      <c r="AG115" cm="1">
        <f t="array" ref="AG115">IF(PART_NUMBER_GENERATOR_TABLE[[#This Row],[Work Role]:[Work Role]]&lt;&gt;AG$1,0,
IF(PART_NUMBER_GENERATOR_TABLE[[#This Row],[Work Type]:[Work Type]]&lt;&gt;"AH",0,
SUMIFS(AG$9:AG$24,$M$9:$M$24,PART_NUMBER_GENERATOR_TABLE[[#This Row],[Tech]:[Tech]])))</f>
        <v>0</v>
      </c>
      <c r="AH115" cm="1">
        <f t="array" ref="AH115">IF(PART_NUMBER_GENERATOR_TABLE[[#This Row],[Work Role]:[Work Role]]&lt;&gt;AH$1,0,
IF(PART_NUMBER_GENERATOR_TABLE[[#This Row],[Work Type]:[Work Type]]&lt;&gt;"BH",0,
SUMIFS(AH$9:AH$24,$M$9:$M$24,PART_NUMBER_GENERATOR_TABLE[[#This Row],[Tech]:[Tech]])))</f>
        <v>0</v>
      </c>
      <c r="AI115" cm="1">
        <f t="array" ref="AI115">IF(PART_NUMBER_GENERATOR_TABLE[[#This Row],[Work Role]:[Work Role]]&lt;&gt;AI$1,0,
IF(PART_NUMBER_GENERATOR_TABLE[[#This Row],[Work Type]:[Work Type]]&lt;&gt;"BH",0,
SUMIFS(AI$9:AI$24,$M$9:$M$24,PART_NUMBER_GENERATOR_TABLE[[#This Row],[Tech]:[Tech]])))</f>
        <v>0</v>
      </c>
      <c r="AJ115" cm="1">
        <f t="array" ref="AJ115">IF(PART_NUMBER_GENERATOR_TABLE[[#This Row],[Work Role]:[Work Role]]&lt;&gt;AJ$1,0,
IF(PART_NUMBER_GENERATOR_TABLE[[#This Row],[Work Type]:[Work Type]]&lt;&gt;"BH",0,
SUMIFS(AJ$9:AJ$24,$M$9:$M$24,PART_NUMBER_GENERATOR_TABLE[[#This Row],[Tech]:[Tech]])))</f>
        <v>0</v>
      </c>
      <c r="AK115" cm="1">
        <f t="array" ref="AK115">IF(PART_NUMBER_GENERATOR_TABLE[[#This Row],[Work Role]:[Work Role]]&lt;&gt;AK$1,0,
IF(PART_NUMBER_GENERATOR_TABLE[[#This Row],[Work Type]:[Work Type]]&lt;&gt;"AH",0,
SUMIFS(AK$9:AK$24,$M$9:$M$24,PART_NUMBER_GENERATOR_TABLE[[#This Row],[Tech]:[Tech]])))</f>
        <v>0</v>
      </c>
      <c r="AL115" cm="1">
        <f t="array" ref="AL115">IF(PART_NUMBER_GENERATOR_TABLE[[#This Row],[Work Role]:[Work Role]]&lt;&gt;AL$1,0,
IF(PART_NUMBER_GENERATOR_TABLE[[#This Row],[Work Type]:[Work Type]]&lt;&gt;"BH",0,
SUMIFS(AL$9:AL$24,$M$9:$M$24,PART_NUMBER_GENERATOR_TABLE[[#This Row],[Tech]:[Tech]])))</f>
        <v>0</v>
      </c>
      <c r="AM115">
        <f>0</f>
        <v>0</v>
      </c>
      <c r="AN115" cm="1">
        <f t="array" ref="AN115">IF(PART_NUMBER_GENERATOR_TABLE[[#This Row],[Work Role]:[Work Role]]&lt;&gt;AN$1,0,
IF(PART_NUMBER_GENERATOR_TABLE[[#This Row],[Work Type]:[Work Type]]&lt;&gt;"BH",0,
SUMIFS(AN$24,$AM$24,PART_NUMBER_GENERATOR_TABLE[[#This Row],[Tech]:[Tech]])))</f>
        <v>0</v>
      </c>
      <c r="AO115" cm="1">
        <f t="array" ref="AO115">IF(PART_NUMBER_GENERATOR_TABLE[[#This Row],[Work Role]:[Work Role]]&lt;&gt;AO$1,0,
IF(PART_NUMBER_GENERATOR_TABLE[[#This Row],[Work Type]:[Work Type]]&lt;&gt;"BH",0,
SUMIFS(AO$24,$AM$24,PART_NUMBER_GENERATOR_TABLE[[#This Row],[Tech]:[Tech]])))</f>
        <v>0</v>
      </c>
      <c r="AP115" cm="1">
        <f t="array" ref="AP115">IF(PART_NUMBER_GENERATOR_TABLE[[#This Row],[Work Role]:[Work Role]]&lt;&gt;AP$1,0,
IF(PART_NUMBER_GENERATOR_TABLE[[#This Row],[Work Type]:[Work Type]]&lt;&gt;"BH",0,
SUMIFS(AP$24,$AM$24,PART_NUMBER_GENERATOR_TABLE[[#This Row],[Tech]:[Tech]])))</f>
        <v>0</v>
      </c>
      <c r="AQ115" cm="1">
        <f t="array" ref="AQ115">IF(PART_NUMBER_GENERATOR_TABLE[[#This Row],[Work Role]:[Work Role]]&lt;&gt;AQ$1,0,
IF(PART_NUMBER_GENERATOR_TABLE[[#This Row],[Work Type]:[Work Type]]&lt;&gt;"BH",0,
SUMIFS(AQ$24,$AM$24,PART_NUMBER_GENERATOR_TABLE[[#This Row],[Tech]:[Tech]])))</f>
        <v>0</v>
      </c>
      <c r="AR115" cm="1">
        <f t="array" ref="AR115">IF(PART_NUMBER_GENERATOR_TABLE[[#This Row],[Work Role]:[Work Role]]&lt;&gt;AR$1,0,
IF(PART_NUMBER_GENERATOR_TABLE[[#This Row],[Work Type]:[Work Type]]&lt;&gt;"BH",0,
SUMIFS(AR$24,$AM$24,PART_NUMBER_GENERATOR_TABLE[[#This Row],[Tech]:[Tech]])))</f>
        <v>0</v>
      </c>
      <c r="AS115" cm="1">
        <f t="array" ref="AS115">IF(PART_NUMBER_GENERATOR_TABLE[[#This Row],[Work Role]:[Work Role]]&lt;&gt;AS$1,0,
IF(PART_NUMBER_GENERATOR_TABLE[[#This Row],[Work Type]:[Work Type]]&lt;&gt;"BH",0,
SUMIFS(AS$24,$AM$24,PART_NUMBER_GENERATOR_TABLE[[#This Row],[Tech]:[Tech]])))</f>
        <v>0</v>
      </c>
      <c r="AT115" cm="1">
        <f t="array" ref="AT115">IF(PART_NUMBER_GENERATOR_TABLE[[#This Row],[Work Role]:[Work Role]]&lt;&gt;AS$1,0,
IF(PART_NUMBER_GENERATOR_TABLE[[#This Row],[Work Type]:[Work Type]]&lt;&gt;"BH",0,
SUMIFS(AT$24,$AM$24,PART_NUMBER_GENERATOR_TABLE[[#This Row],[Tech]:[Tech]])))</f>
        <v>0</v>
      </c>
      <c r="AU115">
        <f>SUM(PART_NUMBER_GENERATOR_TABLE[[#This Row],[Resource 1 BH]:[Resource 5 AH]],PART_NUMBER_GENERATOR_TABLE[[#This Row],[R1 Mandatory Tasks]:[R5 Mandatory Tasks]],PART_NUMBER_GENERATOR_TABLE[[#This Row],[R1 Remainder]:[R5 Remainder]])</f>
        <v>0</v>
      </c>
      <c r="AV115">
        <f>PART_NUMBER_GENERATOR_TABLE[[#This Row],[Professional Engineering Hours]]*PART_NUMBER_GENERATOR_TABLE[[#This Row],[Sell Rate]]</f>
        <v>0</v>
      </c>
      <c r="AW115">
        <f>PART_NUMBER_GENERATOR_TABLE[[#This Row],[Professional Engineering Hours]]*PART_NUMBER_GENERATOR_TABLE[[#This Row],[Cost Rate]]</f>
        <v>0</v>
      </c>
      <c r="AX115">
        <f>SUM(PART_NUMBER_GENERATOR_TABLE[[#This Row],[PM Trips]:[R5 Trips]])</f>
        <v>0</v>
      </c>
      <c r="AY115">
        <f>PART_NUMBER_GENERATOR_TABLE[[#This Row],[Travel &amp; Accommodation Hours]]*PART_NUMBER_GENERATOR_TABLE[[#This Row],[Sell Rate]]</f>
        <v>0</v>
      </c>
      <c r="AZ115">
        <f>PART_NUMBER_GENERATOR_TABLE[[#This Row],[Travel &amp; Accommodation Hours]]*PART_NUMBER_GENERATOR_TABLE[[#This Row],[Cost Rate]]</f>
        <v>0</v>
      </c>
      <c r="BA115">
        <f>PART_NUMBER_GENERATOR_TABLE[[#This Row],[PM Hours]]+PART_NUMBER_GENERATOR_TABLE[[#This Row],[PM Remainder]]</f>
        <v>0</v>
      </c>
      <c r="BB115">
        <f>PART_NUMBER_GENERATOR_TABLE[[#This Row],[Project Management Hours]]*PART_NUMBER_GENERATOR_TABLE[[#This Row],[Sell Rate]]</f>
        <v>0</v>
      </c>
      <c r="BC115">
        <f>PART_NUMBER_GENERATOR_TABLE[[#This Row],[Project Management Hours]]*PART_NUMBER_GENERATOR_TABLE[[#This Row],[Cost Rate]]</f>
        <v>0</v>
      </c>
      <c r="BD115">
        <f>SUM(PART_NUMBER_GENERATOR_TABLE[[#This Row],[SSE RISK BH]:[PM RISK]],PART_NUMBER_GENERATOR_TABLE[[#This Row],[SSE Remainder RISK BH]:[PM Remainder RISK]])</f>
        <v>0</v>
      </c>
      <c r="BE115">
        <f>PART_NUMBER_GENERATOR_TABLE[[#This Row],[Project Risk Service Hours]]*PART_NUMBER_GENERATOR_TABLE[[#This Row],[Sell Rate]]</f>
        <v>0</v>
      </c>
      <c r="BF115">
        <f>PART_NUMBER_GENERATOR_TABLE[[#This Row],[Project Risk Service Hours]]*PART_NUMBER_GENERATOR_TABLE[[#This Row],[Cost Rate]]</f>
        <v>0</v>
      </c>
      <c r="BG115">
        <f>PART_NUMBER_GENERATOR_TABLE[[#This Row],[SSE RISK TRAVEL]]</f>
        <v>0</v>
      </c>
      <c r="BH115">
        <f>PART_NUMBER_GENERATOR_TABLE[[#This Row],[Sell Rate]]*PART_NUMBER_GENERATOR_TABLE[[#This Row],[Project Risk Travel Hours]]</f>
        <v>0</v>
      </c>
      <c r="BI115">
        <f>PART_NUMBER_GENERATOR_TABLE[[#This Row],[Project Risk Travel Hours]]*PART_NUMBER_GENERATOR_TABLE[[#This Row],[Cost Rate]]</f>
        <v>0</v>
      </c>
      <c r="BJ11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1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15">
        <f>IFERROR(-VLOOKUP(INDEX(ENGINEER_ROLES,MATCH(PART_NUMBER_GENERATOR_TABLE[[#This Row],[Work Role]],settings.Table_Engineer.Roles[ID],0),1),Settings_Hidden!$H$359:$K$366,4,FALSE),0)</f>
        <v>0</v>
      </c>
      <c r="BM115" s="680">
        <f>-Summary!$C$66</f>
        <v>0</v>
      </c>
      <c r="BN115" s="465">
        <f>PART_NUMBER_GENERATOR_TABLE[[#This Row],[Total Base Price]]*MIN(PART_NUMBER_GENERATOR_TABLE[[#This Row],[Rate Service Discount]:[Flat Service Discount]])</f>
        <v>0</v>
      </c>
      <c r="BO115" s="451" t="str">
        <f>IF(PART_NUMBER_GENERATOR_TABLE[[#This Row],[Quantity]]&lt;&gt;0,MAX($BO$30:BO114)+1,"")</f>
        <v/>
      </c>
      <c r="BP115" t="str">
        <f>PART_NUMBER_GENERATOR_TABLE[[#This Row],[Part Number]]</f>
        <v>A-PS-E-SECURE-SSE-AH</v>
      </c>
      <c r="BQ115">
        <f>PART_NUMBER_GENERATOR_TABLE[[#This Row],[Total Hours]]</f>
        <v>0</v>
      </c>
      <c r="BR115">
        <f>PART_NUMBER_GENERATOR_TABLE[[#This Row],[Cost Rate]]</f>
        <v>224.87758587669589</v>
      </c>
      <c r="BS115" s="465">
        <f>PART_NUMBER_GENERATOR_TABLE[[#This Row],[Sell Rate]]+(PART_NUMBER_GENERATOR_TABLE[[#This Row],[Sell Rate]]*MIN(PART_NUMBER_GENERATOR_TABLE[[#This Row],[Rate Service Discount]:[Flat Service Discount]]))</f>
        <v>420.75</v>
      </c>
    </row>
    <row r="116" spans="1:71">
      <c r="A116">
        <v>86</v>
      </c>
      <c r="C116" t="s">
        <v>1108</v>
      </c>
      <c r="D116" t="str" cm="1">
        <f t="array" ref="D116">INDEX(Table.Settings_Skill.List[Skill Name],MATCH(INDEX(_xlfn.TEXTSPLIT(C116,"-",,TRUE),4),Table.Settings_Skill.List[Skill Code],0),1)</f>
        <v>Secure Networking</v>
      </c>
      <c r="E116" t="str" cm="1">
        <f t="array" ref="E116">INDEX(_xlfn.TEXTSPLIT(C116,"-",,TRUE),5)</f>
        <v>SCE</v>
      </c>
      <c r="F116" t="str">
        <f>IFERROR(INDEX(settings.Table_Engineer.Roles[Department Code],MATCH(PART_NUMBER_GENERATOR_TABLE[[#This Row],[Work Role]],settings.Table_Engineer.Roles[ID],0),1),"PMO")</f>
        <v>ENG</v>
      </c>
      <c r="G116" t="str" cm="1">
        <f t="array" ref="G116">INDEX(_xlfn.TEXTSPLIT(C116,"-",,TRUE),6)</f>
        <v>AH</v>
      </c>
      <c r="H11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1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16" cm="1">
        <f t="array" ref="J116">IF(J$1&lt;&gt;PART_NUMBER_GENERATOR_TABLE[[#This Row],[Work Role]:[Work Role]],0,
IF(RIGHT(J$30,2)&lt;&gt;PART_NUMBER_GENERATOR_TABLE[[#This Row],[Work Type]:[Work Type]],0,
SUMIFS(Input_Tasks[R1 Business Hours],Input_Tasks[[Skill Required]:[Skill Required]],PART_NUMBER_GENERATOR_TABLE[[#This Row],[Tech]:[Tech]])))</f>
        <v>0</v>
      </c>
      <c r="K116" cm="1">
        <f t="array" ref="K116">IF(K$1&lt;&gt;PART_NUMBER_GENERATOR_TABLE[[#This Row],[Work Role]:[Work Role]],0,
IF(RIGHT(K$30,2)&lt;&gt;PART_NUMBER_GENERATOR_TABLE[[#This Row],[Work Type]:[Work Type]],0,
SUMIFS(Input_Tasks[R1 After Hours],Input_Tasks[[Skill Required]:[Skill Required]],PART_NUMBER_GENERATOR_TABLE[[#This Row],[Tech]:[Tech]])))</f>
        <v>0</v>
      </c>
      <c r="L116" cm="1">
        <f t="array" ref="L116">IF(L$1&lt;&gt;PART_NUMBER_GENERATOR_TABLE[[#This Row],[Work Role]:[Work Role]],0,
IF(RIGHT(L$30,2)&lt;&gt;PART_NUMBER_GENERATOR_TABLE[[#This Row],[Work Type]:[Work Type]],0,
SUMIFS(Input_Tasks[R2 Business Hours],Input_Tasks[[Skill Required]:[Skill Required]],PART_NUMBER_GENERATOR_TABLE[[#This Row],[Tech]:[Tech]])))</f>
        <v>0</v>
      </c>
      <c r="M116" cm="1">
        <f t="array" ref="M116">IF(M$1&lt;&gt;PART_NUMBER_GENERATOR_TABLE[[#This Row],[Work Role]:[Work Role]],0,
IF(RIGHT(M$30,2)&lt;&gt;PART_NUMBER_GENERATOR_TABLE[[#This Row],[Work Type]:[Work Type]],0,
SUMIFS(Input_Tasks[R2 After Hours],Input_Tasks[[Skill Required]:[Skill Required]],PART_NUMBER_GENERATOR_TABLE[[#This Row],[Tech]:[Tech]])))</f>
        <v>0</v>
      </c>
      <c r="N116" cm="1">
        <f t="array" ref="N116">IF(N$1&lt;&gt;PART_NUMBER_GENERATOR_TABLE[[#This Row],[Work Role]:[Work Role]],0,
IF(RIGHT(N$30,2)&lt;&gt;PART_NUMBER_GENERATOR_TABLE[[#This Row],[Work Type]:[Work Type]],0,
SUMIFS(Input_Tasks[R3 Business Hours],Input_Tasks[[Skill Required]:[Skill Required]],PART_NUMBER_GENERATOR_TABLE[[#This Row],[Tech]:[Tech]])))</f>
        <v>0</v>
      </c>
      <c r="O116" cm="1">
        <f t="array" ref="O116">IF(O$1&lt;&gt;PART_NUMBER_GENERATOR_TABLE[[#This Row],[Work Role]:[Work Role]],0,
IF(RIGHT(O$30,2)&lt;&gt;PART_NUMBER_GENERATOR_TABLE[[#This Row],[Work Type]:[Work Type]],0,
SUMIFS(Input_Tasks[R3 After Hours],Input_Tasks[[Skill Required]:[Skill Required]],PART_NUMBER_GENERATOR_TABLE[[#This Row],[Tech]:[Tech]])))</f>
        <v>0</v>
      </c>
      <c r="P116" cm="1">
        <f t="array" ref="P116">IF(P$1&lt;&gt;PART_NUMBER_GENERATOR_TABLE[[#This Row],[Work Role]:[Work Role]],0,
IF(RIGHT(P$30,2)&lt;&gt;PART_NUMBER_GENERATOR_TABLE[[#This Row],[Work Type]:[Work Type]],0,
SUMIFS(Input_Tasks[R4 Business Hours],Input_Tasks[[Skill Required]:[Skill Required]],PART_NUMBER_GENERATOR_TABLE[[#This Row],[Tech]:[Tech]])))</f>
        <v>0</v>
      </c>
      <c r="Q116" cm="1">
        <f t="array" ref="Q116">IF(Q$1&lt;&gt;PART_NUMBER_GENERATOR_TABLE[[#This Row],[Work Role]:[Work Role]],0,
IF(RIGHT(Q$30,2)&lt;&gt;PART_NUMBER_GENERATOR_TABLE[[#This Row],[Work Type]:[Work Type]],0,
SUMIFS(Input_Tasks[R4 After Hours],Input_Tasks[[Skill Required]:[Skill Required]],PART_NUMBER_GENERATOR_TABLE[[#This Row],[Tech]:[Tech]])))</f>
        <v>0</v>
      </c>
      <c r="R116" cm="1">
        <f t="array" ref="R116">IF(R$1&lt;&gt;PART_NUMBER_GENERATOR_TABLE[[#This Row],[Work Role]:[Work Role]],0,
IF(RIGHT(R$30,2)&lt;&gt;PART_NUMBER_GENERATOR_TABLE[[#This Row],[Work Type]:[Work Type]],0,
SUMIFS(Input_Tasks[R5 Business Hours],Input_Tasks[[Skill Required]:[Skill Required]],PART_NUMBER_GENERATOR_TABLE[[#This Row],[Tech]:[Tech]])))</f>
        <v>0</v>
      </c>
      <c r="S116" cm="1">
        <f t="array" ref="S116">IF(S$1&lt;&gt;PART_NUMBER_GENERATOR_TABLE[[#This Row],[Work Role]:[Work Role]],0,
IF(RIGHT(S$30,2)&lt;&gt;PART_NUMBER_GENERATOR_TABLE[[#This Row],[Work Type]:[Work Type]],0,
SUMIFS(Input_Tasks[R5 After Hours],Input_Tasks[[Skill Required]:[Skill Required]],PART_NUMBER_GENERATOR_TABLE[[#This Row],[Tech]:[Tech]])))</f>
        <v>0</v>
      </c>
      <c r="T116" cm="1">
        <f t="array" ref="T116">IF(PART_NUMBER_GENERATOR_TABLE[[#This Row],[Work Role]:[Work Role]]&lt;&gt;T$1,0,
IF(PART_NUMBER_GENERATOR_TABLE[[#This Row],[Work Type]:[Work Type]]&lt;&gt;"BH",0,
SUMIFS(T$9:T$24,$M$9:$M$24,PART_NUMBER_GENERATOR_TABLE[[#This Row],[Tech]:[Tech]])))</f>
        <v>0</v>
      </c>
      <c r="U116" cm="1">
        <f t="array" ref="U116">IF(PART_NUMBER_GENERATOR_TABLE[[#This Row],[Work Role]:[Work Role]]&lt;&gt;U$1,0,
IF(PART_NUMBER_GENERATOR_TABLE[[#This Row],[Work Type]:[Work Type]]&lt;&gt;"BH",0,
SUMIFS(U$9:U$24,$M$9:$M$24,PART_NUMBER_GENERATOR_TABLE[[#This Row],[Tech]:[Tech]])))</f>
        <v>0</v>
      </c>
      <c r="V116" cm="1">
        <f t="array" ref="V116">IF(PART_NUMBER_GENERATOR_TABLE[[#This Row],[Work Role]:[Work Role]]&lt;&gt;V$1,0,
IF(PART_NUMBER_GENERATOR_TABLE[[#This Row],[Work Type]:[Work Type]]&lt;&gt;"BH",0,
SUMIFS(V$9:V$24,$M$9:$M$24,PART_NUMBER_GENERATOR_TABLE[[#This Row],[Tech]:[Tech]])))</f>
        <v>0</v>
      </c>
      <c r="W116" cm="1">
        <f t="array" ref="W116">IF(PART_NUMBER_GENERATOR_TABLE[[#This Row],[Work Role]:[Work Role]]&lt;&gt;W$1,0,
IF(PART_NUMBER_GENERATOR_TABLE[[#This Row],[Work Type]:[Work Type]]&lt;&gt;"BH",0,
SUMIFS(W$9:W$24,$M$9:$M$24,PART_NUMBER_GENERATOR_TABLE[[#This Row],[Tech]:[Tech]])))</f>
        <v>0</v>
      </c>
      <c r="X116" cm="1">
        <f t="array" ref="X116">IF(PART_NUMBER_GENERATOR_TABLE[[#This Row],[Work Role]:[Work Role]]&lt;&gt;X$1,0,
IF(PART_NUMBER_GENERATOR_TABLE[[#This Row],[Work Type]:[Work Type]]&lt;&gt;"BH",0,
SUMIFS(X$9:X$24,$M$9:$M$24,PART_NUMBER_GENERATOR_TABLE[[#This Row],[Tech]:[Tech]])))</f>
        <v>0</v>
      </c>
      <c r="Y116" cm="1">
        <f t="array" ref="Y116">IF(PART_NUMBER_GENERATOR_TABLE[[#This Row],[Work Role]:[Work Role]]&lt;&gt;Y$1,0,
IF(PART_NUMBER_GENERATOR_TABLE[[#This Row],[Work Type]:[Work Type]]&lt;&gt;"BH",0,
SUMIFS(Y$9:Y$24,$M$9:$M$24,PART_NUMBER_GENERATOR_TABLE[[#This Row],[Tech]:[Tech]])))</f>
        <v>0</v>
      </c>
      <c r="Z116" cm="1">
        <f t="array" ref="Z116">IF(PART_NUMBER_GENERATOR_TABLE[[#This Row],[Work Role]:[Work Role]]&lt;&gt;Z$1,0,
IF(PART_NUMBER_GENERATOR_TABLE[[#This Row],[Work Type]:[Work Type]]&lt;&gt;"BH",0,
SUMIFS(Z$9:Z$24,$M$9:$M$24,PART_NUMBER_GENERATOR_TABLE[[#This Row],[Tech]:[Tech]])))</f>
        <v>0</v>
      </c>
      <c r="AA116" cm="1">
        <f t="array" ref="AA116">IF(PART_NUMBER_GENERATOR_TABLE[[#This Row],[Work Role]:[Work Role]]&lt;&gt;AA$1,0,
IF(PART_NUMBER_GENERATOR_TABLE[[#This Row],[Work Type]:[Work Type]]&lt;&gt;"BH",0,
SUMIFS(AA$9:AA$24,$M$9:$M$24,PART_NUMBER_GENERATOR_TABLE[[#This Row],[Tech]:[Tech]])))</f>
        <v>0</v>
      </c>
      <c r="AB116" cm="1">
        <f t="array" ref="AB116">IF(PART_NUMBER_GENERATOR_TABLE[[#This Row],[Work Role]:[Work Role]]&lt;&gt;AB$1,0,
IF(PART_NUMBER_GENERATOR_TABLE[[#This Row],[Work Type]:[Work Type]]&lt;&gt;"BH",0,
SUMIFS(AB$9:AB$24,$M$9:$M$24,PART_NUMBER_GENERATOR_TABLE[[#This Row],[Tech]:[Tech]])))</f>
        <v>0</v>
      </c>
      <c r="AC116" cm="1">
        <f t="array" ref="AC116">IF(PART_NUMBER_GENERATOR_TABLE[[#This Row],[Work Role]:[Work Role]]&lt;&gt;AC$1,0,
IF(PART_NUMBER_GENERATOR_TABLE[[#This Row],[Work Type]:[Work Type]]&lt;&gt;"BH",0,
SUMIFS(AC$9:AC$24,$M$9:$M$24,PART_NUMBER_GENERATOR_TABLE[[#This Row],[Tech]:[Tech]])))</f>
        <v>0</v>
      </c>
      <c r="AD116" cm="1">
        <f t="array" ref="AD116">IF(PART_NUMBER_GENERATOR_TABLE[[#This Row],[Work Role]:[Work Role]]&lt;&gt;AD$1,0,
IF(PART_NUMBER_GENERATOR_TABLE[[#This Row],[Work Type]:[Work Type]]&lt;&gt;"BH",0,
SUMIFS(AD$9:AD$24,$M$9:$M$24,PART_NUMBER_GENERATOR_TABLE[[#This Row],[Tech]:[Tech]])))</f>
        <v>0</v>
      </c>
      <c r="AE116" cm="1">
        <f t="array" ref="AE116">IF(PART_NUMBER_GENERATOR_TABLE[[#This Row],[Work Role]:[Work Role]]&lt;&gt;AE$1,0,
IF(PART_NUMBER_GENERATOR_TABLE[[#This Row],[Work Type]:[Work Type]]&lt;&gt;"BH",0,
SUMIFS(AE$9:AE$24,$M$9:$M$24,PART_NUMBER_GENERATOR_TABLE[[#This Row],[Tech]:[Tech]])))</f>
        <v>0</v>
      </c>
      <c r="AF116" cm="1">
        <f t="array" ref="AF116">IF(PART_NUMBER_GENERATOR_TABLE[[#This Row],[Work Role]:[Work Role]]&lt;&gt;AF$1,0,
IF(PART_NUMBER_GENERATOR_TABLE[[#This Row],[Work Type]:[Work Type]]&lt;&gt;"BH",0,
SUMIFS(AF$9:AF$24,$M$9:$M$24,PART_NUMBER_GENERATOR_TABLE[[#This Row],[Tech]:[Tech]])))</f>
        <v>0</v>
      </c>
      <c r="AG116" cm="1">
        <f t="array" ref="AG116">IF(PART_NUMBER_GENERATOR_TABLE[[#This Row],[Work Role]:[Work Role]]&lt;&gt;AG$1,0,
IF(PART_NUMBER_GENERATOR_TABLE[[#This Row],[Work Type]:[Work Type]]&lt;&gt;"AH",0,
SUMIFS(AG$9:AG$24,$M$9:$M$24,PART_NUMBER_GENERATOR_TABLE[[#This Row],[Tech]:[Tech]])))</f>
        <v>0</v>
      </c>
      <c r="AH116" cm="1">
        <f t="array" ref="AH116">IF(PART_NUMBER_GENERATOR_TABLE[[#This Row],[Work Role]:[Work Role]]&lt;&gt;AH$1,0,
IF(PART_NUMBER_GENERATOR_TABLE[[#This Row],[Work Type]:[Work Type]]&lt;&gt;"BH",0,
SUMIFS(AH$9:AH$24,$M$9:$M$24,PART_NUMBER_GENERATOR_TABLE[[#This Row],[Tech]:[Tech]])))</f>
        <v>0</v>
      </c>
      <c r="AI116" cm="1">
        <f t="array" ref="AI116">IF(PART_NUMBER_GENERATOR_TABLE[[#This Row],[Work Role]:[Work Role]]&lt;&gt;AI$1,0,
IF(PART_NUMBER_GENERATOR_TABLE[[#This Row],[Work Type]:[Work Type]]&lt;&gt;"BH",0,
SUMIFS(AI$9:AI$24,$M$9:$M$24,PART_NUMBER_GENERATOR_TABLE[[#This Row],[Tech]:[Tech]])))</f>
        <v>0</v>
      </c>
      <c r="AJ116" cm="1">
        <f t="array" ref="AJ116">IF(PART_NUMBER_GENERATOR_TABLE[[#This Row],[Work Role]:[Work Role]]&lt;&gt;AJ$1,0,
IF(PART_NUMBER_GENERATOR_TABLE[[#This Row],[Work Type]:[Work Type]]&lt;&gt;"BH",0,
SUMIFS(AJ$9:AJ$24,$M$9:$M$24,PART_NUMBER_GENERATOR_TABLE[[#This Row],[Tech]:[Tech]])))</f>
        <v>0</v>
      </c>
      <c r="AK116" cm="1">
        <f t="array" ref="AK116">IF(PART_NUMBER_GENERATOR_TABLE[[#This Row],[Work Role]:[Work Role]]&lt;&gt;AK$1,0,
IF(PART_NUMBER_GENERATOR_TABLE[[#This Row],[Work Type]:[Work Type]]&lt;&gt;"AH",0,
SUMIFS(AK$9:AK$24,$M$9:$M$24,PART_NUMBER_GENERATOR_TABLE[[#This Row],[Tech]:[Tech]])))</f>
        <v>0</v>
      </c>
      <c r="AL116" cm="1">
        <f t="array" ref="AL116">IF(PART_NUMBER_GENERATOR_TABLE[[#This Row],[Work Role]:[Work Role]]&lt;&gt;AL$1,0,
IF(PART_NUMBER_GENERATOR_TABLE[[#This Row],[Work Type]:[Work Type]]&lt;&gt;"BH",0,
SUMIFS(AL$9:AL$24,$M$9:$M$24,PART_NUMBER_GENERATOR_TABLE[[#This Row],[Tech]:[Tech]])))</f>
        <v>0</v>
      </c>
      <c r="AM116">
        <f>0</f>
        <v>0</v>
      </c>
      <c r="AN116" cm="1">
        <f t="array" ref="AN116">IF(PART_NUMBER_GENERATOR_TABLE[[#This Row],[Work Role]:[Work Role]]&lt;&gt;AN$1,0,
IF(PART_NUMBER_GENERATOR_TABLE[[#This Row],[Work Type]:[Work Type]]&lt;&gt;"BH",0,
SUMIFS(AN$24,$AM$24,PART_NUMBER_GENERATOR_TABLE[[#This Row],[Tech]:[Tech]])))</f>
        <v>0</v>
      </c>
      <c r="AO116" cm="1">
        <f t="array" ref="AO116">IF(PART_NUMBER_GENERATOR_TABLE[[#This Row],[Work Role]:[Work Role]]&lt;&gt;AO$1,0,
IF(PART_NUMBER_GENERATOR_TABLE[[#This Row],[Work Type]:[Work Type]]&lt;&gt;"BH",0,
SUMIFS(AO$24,$AM$24,PART_NUMBER_GENERATOR_TABLE[[#This Row],[Tech]:[Tech]])))</f>
        <v>0</v>
      </c>
      <c r="AP116" cm="1">
        <f t="array" ref="AP116">IF(PART_NUMBER_GENERATOR_TABLE[[#This Row],[Work Role]:[Work Role]]&lt;&gt;AP$1,0,
IF(PART_NUMBER_GENERATOR_TABLE[[#This Row],[Work Type]:[Work Type]]&lt;&gt;"BH",0,
SUMIFS(AP$24,$AM$24,PART_NUMBER_GENERATOR_TABLE[[#This Row],[Tech]:[Tech]])))</f>
        <v>0</v>
      </c>
      <c r="AQ116" cm="1">
        <f t="array" ref="AQ116">IF(PART_NUMBER_GENERATOR_TABLE[[#This Row],[Work Role]:[Work Role]]&lt;&gt;AQ$1,0,
IF(PART_NUMBER_GENERATOR_TABLE[[#This Row],[Work Type]:[Work Type]]&lt;&gt;"BH",0,
SUMIFS(AQ$24,$AM$24,PART_NUMBER_GENERATOR_TABLE[[#This Row],[Tech]:[Tech]])))</f>
        <v>0</v>
      </c>
      <c r="AR116" cm="1">
        <f t="array" ref="AR116">IF(PART_NUMBER_GENERATOR_TABLE[[#This Row],[Work Role]:[Work Role]]&lt;&gt;AR$1,0,
IF(PART_NUMBER_GENERATOR_TABLE[[#This Row],[Work Type]:[Work Type]]&lt;&gt;"BH",0,
SUMIFS(AR$24,$AM$24,PART_NUMBER_GENERATOR_TABLE[[#This Row],[Tech]:[Tech]])))</f>
        <v>0</v>
      </c>
      <c r="AS116" cm="1">
        <f t="array" ref="AS116">IF(PART_NUMBER_GENERATOR_TABLE[[#This Row],[Work Role]:[Work Role]]&lt;&gt;AS$1,0,
IF(PART_NUMBER_GENERATOR_TABLE[[#This Row],[Work Type]:[Work Type]]&lt;&gt;"BH",0,
SUMIFS(AS$24,$AM$24,PART_NUMBER_GENERATOR_TABLE[[#This Row],[Tech]:[Tech]])))</f>
        <v>0</v>
      </c>
      <c r="AT116" cm="1">
        <f t="array" ref="AT116">IF(PART_NUMBER_GENERATOR_TABLE[[#This Row],[Work Role]:[Work Role]]&lt;&gt;AS$1,0,
IF(PART_NUMBER_GENERATOR_TABLE[[#This Row],[Work Type]:[Work Type]]&lt;&gt;"BH",0,
SUMIFS(AT$24,$AM$24,PART_NUMBER_GENERATOR_TABLE[[#This Row],[Tech]:[Tech]])))</f>
        <v>0</v>
      </c>
      <c r="AU116">
        <f>SUM(PART_NUMBER_GENERATOR_TABLE[[#This Row],[Resource 1 BH]:[Resource 5 AH]],PART_NUMBER_GENERATOR_TABLE[[#This Row],[R1 Mandatory Tasks]:[R5 Mandatory Tasks]],PART_NUMBER_GENERATOR_TABLE[[#This Row],[R1 Remainder]:[R5 Remainder]])</f>
        <v>0</v>
      </c>
      <c r="AV116">
        <f>PART_NUMBER_GENERATOR_TABLE[[#This Row],[Professional Engineering Hours]]*PART_NUMBER_GENERATOR_TABLE[[#This Row],[Sell Rate]]</f>
        <v>0</v>
      </c>
      <c r="AW116">
        <f>PART_NUMBER_GENERATOR_TABLE[[#This Row],[Professional Engineering Hours]]*PART_NUMBER_GENERATOR_TABLE[[#This Row],[Cost Rate]]</f>
        <v>0</v>
      </c>
      <c r="AX116">
        <f>SUM(PART_NUMBER_GENERATOR_TABLE[[#This Row],[PM Trips]:[R5 Trips]])</f>
        <v>0</v>
      </c>
      <c r="AY116">
        <f>PART_NUMBER_GENERATOR_TABLE[[#This Row],[Travel &amp; Accommodation Hours]]*PART_NUMBER_GENERATOR_TABLE[[#This Row],[Sell Rate]]</f>
        <v>0</v>
      </c>
      <c r="AZ116">
        <f>PART_NUMBER_GENERATOR_TABLE[[#This Row],[Travel &amp; Accommodation Hours]]*PART_NUMBER_GENERATOR_TABLE[[#This Row],[Cost Rate]]</f>
        <v>0</v>
      </c>
      <c r="BA116">
        <f>PART_NUMBER_GENERATOR_TABLE[[#This Row],[PM Hours]]+PART_NUMBER_GENERATOR_TABLE[[#This Row],[PM Remainder]]</f>
        <v>0</v>
      </c>
      <c r="BB116">
        <f>PART_NUMBER_GENERATOR_TABLE[[#This Row],[Project Management Hours]]*PART_NUMBER_GENERATOR_TABLE[[#This Row],[Sell Rate]]</f>
        <v>0</v>
      </c>
      <c r="BC116">
        <f>PART_NUMBER_GENERATOR_TABLE[[#This Row],[Project Management Hours]]*PART_NUMBER_GENERATOR_TABLE[[#This Row],[Cost Rate]]</f>
        <v>0</v>
      </c>
      <c r="BD116">
        <f>SUM(PART_NUMBER_GENERATOR_TABLE[[#This Row],[SSE RISK BH]:[PM RISK]],PART_NUMBER_GENERATOR_TABLE[[#This Row],[SSE Remainder RISK BH]:[PM Remainder RISK]])</f>
        <v>0</v>
      </c>
      <c r="BE116">
        <f>PART_NUMBER_GENERATOR_TABLE[[#This Row],[Project Risk Service Hours]]*PART_NUMBER_GENERATOR_TABLE[[#This Row],[Sell Rate]]</f>
        <v>0</v>
      </c>
      <c r="BF116">
        <f>PART_NUMBER_GENERATOR_TABLE[[#This Row],[Project Risk Service Hours]]*PART_NUMBER_GENERATOR_TABLE[[#This Row],[Cost Rate]]</f>
        <v>0</v>
      </c>
      <c r="BG116">
        <f>PART_NUMBER_GENERATOR_TABLE[[#This Row],[SSE RISK TRAVEL]]</f>
        <v>0</v>
      </c>
      <c r="BH116">
        <f>PART_NUMBER_GENERATOR_TABLE[[#This Row],[Sell Rate]]*PART_NUMBER_GENERATOR_TABLE[[#This Row],[Project Risk Travel Hours]]</f>
        <v>0</v>
      </c>
      <c r="BI116">
        <f>PART_NUMBER_GENERATOR_TABLE[[#This Row],[Project Risk Travel Hours]]*PART_NUMBER_GENERATOR_TABLE[[#This Row],[Cost Rate]]</f>
        <v>0</v>
      </c>
      <c r="BJ11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1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16">
        <f>IFERROR(-VLOOKUP(INDEX(ENGINEER_ROLES,MATCH(PART_NUMBER_GENERATOR_TABLE[[#This Row],[Work Role]],settings.Table_Engineer.Roles[ID],0),1),Settings_Hidden!$H$359:$K$366,4,FALSE),0)</f>
        <v>0</v>
      </c>
      <c r="BM116" s="680">
        <f>-Summary!$C$66</f>
        <v>0</v>
      </c>
      <c r="BN116" s="465">
        <f>PART_NUMBER_GENERATOR_TABLE[[#This Row],[Total Base Price]]*MIN(PART_NUMBER_GENERATOR_TABLE[[#This Row],[Rate Service Discount]:[Flat Service Discount]])</f>
        <v>0</v>
      </c>
      <c r="BO116" s="451" t="str">
        <f>IF(PART_NUMBER_GENERATOR_TABLE[[#This Row],[Quantity]]&lt;&gt;0,MAX($BO$30:BO115)+1,"")</f>
        <v/>
      </c>
      <c r="BP116" t="str">
        <f>PART_NUMBER_GENERATOR_TABLE[[#This Row],[Part Number]]</f>
        <v>A-PS-E-SECURE-SCE-AH</v>
      </c>
      <c r="BQ116">
        <f>PART_NUMBER_GENERATOR_TABLE[[#This Row],[Total Hours]]</f>
        <v>0</v>
      </c>
      <c r="BR116">
        <f>PART_NUMBER_GENERATOR_TABLE[[#This Row],[Cost Rate]]</f>
        <v>251.41552370953494</v>
      </c>
      <c r="BS116" s="465">
        <f>PART_NUMBER_GENERATOR_TABLE[[#This Row],[Sell Rate]]+(PART_NUMBER_GENERATOR_TABLE[[#This Row],[Sell Rate]]*MIN(PART_NUMBER_GENERATOR_TABLE[[#This Row],[Rate Service Discount]:[Flat Service Discount]]))</f>
        <v>472.5</v>
      </c>
    </row>
    <row r="117" spans="1:71">
      <c r="A117">
        <v>87</v>
      </c>
      <c r="C117" t="s">
        <v>1100</v>
      </c>
      <c r="D117" t="str" cm="1">
        <f t="array" ref="D117">INDEX(Table.Settings_Skill.List[Skill Name],MATCH(INDEX(_xlfn.TEXTSPLIT(C117,"-",,TRUE),4),Table.Settings_Skill.List[Skill Code],0),1)</f>
        <v>Security</v>
      </c>
      <c r="E117" t="str" cm="1">
        <f t="array" ref="E117">INDEX(_xlfn.TEXTSPLIT(C117,"-",,TRUE),5)</f>
        <v>TA</v>
      </c>
      <c r="F117" t="str">
        <f>IFERROR(INDEX(settings.Table_Engineer.Roles[Department Code],MATCH(PART_NUMBER_GENERATOR_TABLE[[#This Row],[Work Role]],settings.Table_Engineer.Roles[ID],0),1),"PMO")</f>
        <v>ENG</v>
      </c>
      <c r="G117" t="str" cm="1">
        <f t="array" ref="G117">INDEX(_xlfn.TEXTSPLIT(C117,"-",,TRUE),6)</f>
        <v>AH</v>
      </c>
      <c r="H11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232.5</v>
      </c>
      <c r="I11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122.02019862032805</v>
      </c>
      <c r="J117" cm="1">
        <f t="array" ref="J117">IF(J$1&lt;&gt;PART_NUMBER_GENERATOR_TABLE[[#This Row],[Work Role]:[Work Role]],0,
IF(RIGHT(J$30,2)&lt;&gt;PART_NUMBER_GENERATOR_TABLE[[#This Row],[Work Type]:[Work Type]],0,
SUMIFS(Input_Tasks[R1 Business Hours],Input_Tasks[[Skill Required]:[Skill Required]],PART_NUMBER_GENERATOR_TABLE[[#This Row],[Tech]:[Tech]])))</f>
        <v>0</v>
      </c>
      <c r="K117" cm="1">
        <f t="array" ref="K117">IF(K$1&lt;&gt;PART_NUMBER_GENERATOR_TABLE[[#This Row],[Work Role]:[Work Role]],0,
IF(RIGHT(K$30,2)&lt;&gt;PART_NUMBER_GENERATOR_TABLE[[#This Row],[Work Type]:[Work Type]],0,
SUMIFS(Input_Tasks[R1 After Hours],Input_Tasks[[Skill Required]:[Skill Required]],PART_NUMBER_GENERATOR_TABLE[[#This Row],[Tech]:[Tech]])))</f>
        <v>0</v>
      </c>
      <c r="L117" cm="1">
        <f t="array" ref="L117">IF(L$1&lt;&gt;PART_NUMBER_GENERATOR_TABLE[[#This Row],[Work Role]:[Work Role]],0,
IF(RIGHT(L$30,2)&lt;&gt;PART_NUMBER_GENERATOR_TABLE[[#This Row],[Work Type]:[Work Type]],0,
SUMIFS(Input_Tasks[R2 Business Hours],Input_Tasks[[Skill Required]:[Skill Required]],PART_NUMBER_GENERATOR_TABLE[[#This Row],[Tech]:[Tech]])))</f>
        <v>0</v>
      </c>
      <c r="M117" cm="1">
        <f t="array" ref="M117">IF(M$1&lt;&gt;PART_NUMBER_GENERATOR_TABLE[[#This Row],[Work Role]:[Work Role]],0,
IF(RIGHT(M$30,2)&lt;&gt;PART_NUMBER_GENERATOR_TABLE[[#This Row],[Work Type]:[Work Type]],0,
SUMIFS(Input_Tasks[R2 After Hours],Input_Tasks[[Skill Required]:[Skill Required]],PART_NUMBER_GENERATOR_TABLE[[#This Row],[Tech]:[Tech]])))</f>
        <v>0</v>
      </c>
      <c r="N117" cm="1">
        <f t="array" ref="N117">IF(N$1&lt;&gt;PART_NUMBER_GENERATOR_TABLE[[#This Row],[Work Role]:[Work Role]],0,
IF(RIGHT(N$30,2)&lt;&gt;PART_NUMBER_GENERATOR_TABLE[[#This Row],[Work Type]:[Work Type]],0,
SUMIFS(Input_Tasks[R3 Business Hours],Input_Tasks[[Skill Required]:[Skill Required]],PART_NUMBER_GENERATOR_TABLE[[#This Row],[Tech]:[Tech]])))</f>
        <v>0</v>
      </c>
      <c r="O117" cm="1">
        <f t="array" ref="O117">IF(O$1&lt;&gt;PART_NUMBER_GENERATOR_TABLE[[#This Row],[Work Role]:[Work Role]],0,
IF(RIGHT(O$30,2)&lt;&gt;PART_NUMBER_GENERATOR_TABLE[[#This Row],[Work Type]:[Work Type]],0,
SUMIFS(Input_Tasks[R3 After Hours],Input_Tasks[[Skill Required]:[Skill Required]],PART_NUMBER_GENERATOR_TABLE[[#This Row],[Tech]:[Tech]])))</f>
        <v>0</v>
      </c>
      <c r="P117" cm="1">
        <f t="array" ref="P117">IF(P$1&lt;&gt;PART_NUMBER_GENERATOR_TABLE[[#This Row],[Work Role]:[Work Role]],0,
IF(RIGHT(P$30,2)&lt;&gt;PART_NUMBER_GENERATOR_TABLE[[#This Row],[Work Type]:[Work Type]],0,
SUMIFS(Input_Tasks[R4 Business Hours],Input_Tasks[[Skill Required]:[Skill Required]],PART_NUMBER_GENERATOR_TABLE[[#This Row],[Tech]:[Tech]])))</f>
        <v>0</v>
      </c>
      <c r="Q117" cm="1">
        <f t="array" ref="Q117">IF(Q$1&lt;&gt;PART_NUMBER_GENERATOR_TABLE[[#This Row],[Work Role]:[Work Role]],0,
IF(RIGHT(Q$30,2)&lt;&gt;PART_NUMBER_GENERATOR_TABLE[[#This Row],[Work Type]:[Work Type]],0,
SUMIFS(Input_Tasks[R4 After Hours],Input_Tasks[[Skill Required]:[Skill Required]],PART_NUMBER_GENERATOR_TABLE[[#This Row],[Tech]:[Tech]])))</f>
        <v>0</v>
      </c>
      <c r="R117" cm="1">
        <f t="array" ref="R117">IF(R$1&lt;&gt;PART_NUMBER_GENERATOR_TABLE[[#This Row],[Work Role]:[Work Role]],0,
IF(RIGHT(R$30,2)&lt;&gt;PART_NUMBER_GENERATOR_TABLE[[#This Row],[Work Type]:[Work Type]],0,
SUMIFS(Input_Tasks[R5 Business Hours],Input_Tasks[[Skill Required]:[Skill Required]],PART_NUMBER_GENERATOR_TABLE[[#This Row],[Tech]:[Tech]])))</f>
        <v>0</v>
      </c>
      <c r="S117" cm="1">
        <f t="array" ref="S117">IF(S$1&lt;&gt;PART_NUMBER_GENERATOR_TABLE[[#This Row],[Work Role]:[Work Role]],0,
IF(RIGHT(S$30,2)&lt;&gt;PART_NUMBER_GENERATOR_TABLE[[#This Row],[Work Type]:[Work Type]],0,
SUMIFS(Input_Tasks[R5 After Hours],Input_Tasks[[Skill Required]:[Skill Required]],PART_NUMBER_GENERATOR_TABLE[[#This Row],[Tech]:[Tech]])))</f>
        <v>0</v>
      </c>
      <c r="T117" cm="1">
        <f t="array" ref="T117">IF(PART_NUMBER_GENERATOR_TABLE[[#This Row],[Work Role]:[Work Role]]&lt;&gt;T$1,0,
IF(PART_NUMBER_GENERATOR_TABLE[[#This Row],[Work Type]:[Work Type]]&lt;&gt;"BH",0,
SUMIFS(T$9:T$24,$M$9:$M$24,PART_NUMBER_GENERATOR_TABLE[[#This Row],[Tech]:[Tech]])))</f>
        <v>0</v>
      </c>
      <c r="U117" cm="1">
        <f t="array" ref="U117">IF(PART_NUMBER_GENERATOR_TABLE[[#This Row],[Work Role]:[Work Role]]&lt;&gt;U$1,0,
IF(PART_NUMBER_GENERATOR_TABLE[[#This Row],[Work Type]:[Work Type]]&lt;&gt;"BH",0,
SUMIFS(U$9:U$24,$M$9:$M$24,PART_NUMBER_GENERATOR_TABLE[[#This Row],[Tech]:[Tech]])))</f>
        <v>0</v>
      </c>
      <c r="V117" cm="1">
        <f t="array" ref="V117">IF(PART_NUMBER_GENERATOR_TABLE[[#This Row],[Work Role]:[Work Role]]&lt;&gt;V$1,0,
IF(PART_NUMBER_GENERATOR_TABLE[[#This Row],[Work Type]:[Work Type]]&lt;&gt;"BH",0,
SUMIFS(V$9:V$24,$M$9:$M$24,PART_NUMBER_GENERATOR_TABLE[[#This Row],[Tech]:[Tech]])))</f>
        <v>0</v>
      </c>
      <c r="W117" cm="1">
        <f t="array" ref="W117">IF(PART_NUMBER_GENERATOR_TABLE[[#This Row],[Work Role]:[Work Role]]&lt;&gt;W$1,0,
IF(PART_NUMBER_GENERATOR_TABLE[[#This Row],[Work Type]:[Work Type]]&lt;&gt;"BH",0,
SUMIFS(W$9:W$24,$M$9:$M$24,PART_NUMBER_GENERATOR_TABLE[[#This Row],[Tech]:[Tech]])))</f>
        <v>0</v>
      </c>
      <c r="X117" cm="1">
        <f t="array" ref="X117">IF(PART_NUMBER_GENERATOR_TABLE[[#This Row],[Work Role]:[Work Role]]&lt;&gt;X$1,0,
IF(PART_NUMBER_GENERATOR_TABLE[[#This Row],[Work Type]:[Work Type]]&lt;&gt;"BH",0,
SUMIFS(X$9:X$24,$M$9:$M$24,PART_NUMBER_GENERATOR_TABLE[[#This Row],[Tech]:[Tech]])))</f>
        <v>0</v>
      </c>
      <c r="Y117" cm="1">
        <f t="array" ref="Y117">IF(PART_NUMBER_GENERATOR_TABLE[[#This Row],[Work Role]:[Work Role]]&lt;&gt;Y$1,0,
IF(PART_NUMBER_GENERATOR_TABLE[[#This Row],[Work Type]:[Work Type]]&lt;&gt;"BH",0,
SUMIFS(Y$9:Y$24,$M$9:$M$24,PART_NUMBER_GENERATOR_TABLE[[#This Row],[Tech]:[Tech]])))</f>
        <v>0</v>
      </c>
      <c r="Z117" cm="1">
        <f t="array" ref="Z117">IF(PART_NUMBER_GENERATOR_TABLE[[#This Row],[Work Role]:[Work Role]]&lt;&gt;Z$1,0,
IF(PART_NUMBER_GENERATOR_TABLE[[#This Row],[Work Type]:[Work Type]]&lt;&gt;"BH",0,
SUMIFS(Z$9:Z$24,$M$9:$M$24,PART_NUMBER_GENERATOR_TABLE[[#This Row],[Tech]:[Tech]])))</f>
        <v>0</v>
      </c>
      <c r="AA117" cm="1">
        <f t="array" ref="AA117">IF(PART_NUMBER_GENERATOR_TABLE[[#This Row],[Work Role]:[Work Role]]&lt;&gt;AA$1,0,
IF(PART_NUMBER_GENERATOR_TABLE[[#This Row],[Work Type]:[Work Type]]&lt;&gt;"BH",0,
SUMIFS(AA$9:AA$24,$M$9:$M$24,PART_NUMBER_GENERATOR_TABLE[[#This Row],[Tech]:[Tech]])))</f>
        <v>0</v>
      </c>
      <c r="AB117" cm="1">
        <f t="array" ref="AB117">IF(PART_NUMBER_GENERATOR_TABLE[[#This Row],[Work Role]:[Work Role]]&lt;&gt;AB$1,0,
IF(PART_NUMBER_GENERATOR_TABLE[[#This Row],[Work Type]:[Work Type]]&lt;&gt;"BH",0,
SUMIFS(AB$9:AB$24,$M$9:$M$24,PART_NUMBER_GENERATOR_TABLE[[#This Row],[Tech]:[Tech]])))</f>
        <v>0</v>
      </c>
      <c r="AC117" cm="1">
        <f t="array" ref="AC117">IF(PART_NUMBER_GENERATOR_TABLE[[#This Row],[Work Role]:[Work Role]]&lt;&gt;AC$1,0,
IF(PART_NUMBER_GENERATOR_TABLE[[#This Row],[Work Type]:[Work Type]]&lt;&gt;"BH",0,
SUMIFS(AC$9:AC$24,$M$9:$M$24,PART_NUMBER_GENERATOR_TABLE[[#This Row],[Tech]:[Tech]])))</f>
        <v>0</v>
      </c>
      <c r="AD117" cm="1">
        <f t="array" ref="AD117">IF(PART_NUMBER_GENERATOR_TABLE[[#This Row],[Work Role]:[Work Role]]&lt;&gt;AD$1,0,
IF(PART_NUMBER_GENERATOR_TABLE[[#This Row],[Work Type]:[Work Type]]&lt;&gt;"BH",0,
SUMIFS(AD$9:AD$24,$M$9:$M$24,PART_NUMBER_GENERATOR_TABLE[[#This Row],[Tech]:[Tech]])))</f>
        <v>0</v>
      </c>
      <c r="AE117" cm="1">
        <f t="array" ref="AE117">IF(PART_NUMBER_GENERATOR_TABLE[[#This Row],[Work Role]:[Work Role]]&lt;&gt;AE$1,0,
IF(PART_NUMBER_GENERATOR_TABLE[[#This Row],[Work Type]:[Work Type]]&lt;&gt;"BH",0,
SUMIFS(AE$9:AE$24,$M$9:$M$24,PART_NUMBER_GENERATOR_TABLE[[#This Row],[Tech]:[Tech]])))</f>
        <v>0</v>
      </c>
      <c r="AF117" cm="1">
        <f t="array" ref="AF117">IF(PART_NUMBER_GENERATOR_TABLE[[#This Row],[Work Role]:[Work Role]]&lt;&gt;AF$1,0,
IF(PART_NUMBER_GENERATOR_TABLE[[#This Row],[Work Type]:[Work Type]]&lt;&gt;"BH",0,
SUMIFS(AF$9:AF$24,$M$9:$M$24,PART_NUMBER_GENERATOR_TABLE[[#This Row],[Tech]:[Tech]])))</f>
        <v>0</v>
      </c>
      <c r="AG117" cm="1">
        <f t="array" ref="AG117">IF(PART_NUMBER_GENERATOR_TABLE[[#This Row],[Work Role]:[Work Role]]&lt;&gt;AG$1,0,
IF(PART_NUMBER_GENERATOR_TABLE[[#This Row],[Work Type]:[Work Type]]&lt;&gt;"AH",0,
SUMIFS(AG$9:AG$24,$M$9:$M$24,PART_NUMBER_GENERATOR_TABLE[[#This Row],[Tech]:[Tech]])))</f>
        <v>0</v>
      </c>
      <c r="AH117" cm="1">
        <f t="array" ref="AH117">IF(PART_NUMBER_GENERATOR_TABLE[[#This Row],[Work Role]:[Work Role]]&lt;&gt;AH$1,0,
IF(PART_NUMBER_GENERATOR_TABLE[[#This Row],[Work Type]:[Work Type]]&lt;&gt;"BH",0,
SUMIFS(AH$9:AH$24,$M$9:$M$24,PART_NUMBER_GENERATOR_TABLE[[#This Row],[Tech]:[Tech]])))</f>
        <v>0</v>
      </c>
      <c r="AI117" cm="1">
        <f t="array" ref="AI117">IF(PART_NUMBER_GENERATOR_TABLE[[#This Row],[Work Role]:[Work Role]]&lt;&gt;AI$1,0,
IF(PART_NUMBER_GENERATOR_TABLE[[#This Row],[Work Type]:[Work Type]]&lt;&gt;"BH",0,
SUMIFS(AI$9:AI$24,$M$9:$M$24,PART_NUMBER_GENERATOR_TABLE[[#This Row],[Tech]:[Tech]])))</f>
        <v>0</v>
      </c>
      <c r="AJ117" cm="1">
        <f t="array" ref="AJ117">IF(PART_NUMBER_GENERATOR_TABLE[[#This Row],[Work Role]:[Work Role]]&lt;&gt;AJ$1,0,
IF(PART_NUMBER_GENERATOR_TABLE[[#This Row],[Work Type]:[Work Type]]&lt;&gt;"BH",0,
SUMIFS(AJ$9:AJ$24,$M$9:$M$24,PART_NUMBER_GENERATOR_TABLE[[#This Row],[Tech]:[Tech]])))</f>
        <v>0</v>
      </c>
      <c r="AK117" cm="1">
        <f t="array" ref="AK117">IF(PART_NUMBER_GENERATOR_TABLE[[#This Row],[Work Role]:[Work Role]]&lt;&gt;AK$1,0,
IF(PART_NUMBER_GENERATOR_TABLE[[#This Row],[Work Type]:[Work Type]]&lt;&gt;"AH",0,
SUMIFS(AK$9:AK$24,$M$9:$M$24,PART_NUMBER_GENERATOR_TABLE[[#This Row],[Tech]:[Tech]])))</f>
        <v>0</v>
      </c>
      <c r="AL117" cm="1">
        <f t="array" ref="AL117">IF(PART_NUMBER_GENERATOR_TABLE[[#This Row],[Work Role]:[Work Role]]&lt;&gt;AL$1,0,
IF(PART_NUMBER_GENERATOR_TABLE[[#This Row],[Work Type]:[Work Type]]&lt;&gt;"BH",0,
SUMIFS(AL$9:AL$24,$M$9:$M$24,PART_NUMBER_GENERATOR_TABLE[[#This Row],[Tech]:[Tech]])))</f>
        <v>0</v>
      </c>
      <c r="AM117">
        <f>0</f>
        <v>0</v>
      </c>
      <c r="AN117" cm="1">
        <f t="array" ref="AN117">IF(PART_NUMBER_GENERATOR_TABLE[[#This Row],[Work Role]:[Work Role]]&lt;&gt;AN$1,0,
IF(PART_NUMBER_GENERATOR_TABLE[[#This Row],[Work Type]:[Work Type]]&lt;&gt;"BH",0,
SUMIFS(AN$24,$AM$24,PART_NUMBER_GENERATOR_TABLE[[#This Row],[Tech]:[Tech]])))</f>
        <v>0</v>
      </c>
      <c r="AO117" cm="1">
        <f t="array" ref="AO117">IF(PART_NUMBER_GENERATOR_TABLE[[#This Row],[Work Role]:[Work Role]]&lt;&gt;AO$1,0,
IF(PART_NUMBER_GENERATOR_TABLE[[#This Row],[Work Type]:[Work Type]]&lt;&gt;"BH",0,
SUMIFS(AO$24,$AM$24,PART_NUMBER_GENERATOR_TABLE[[#This Row],[Tech]:[Tech]])))</f>
        <v>0</v>
      </c>
      <c r="AP117" cm="1">
        <f t="array" ref="AP117">IF(PART_NUMBER_GENERATOR_TABLE[[#This Row],[Work Role]:[Work Role]]&lt;&gt;AP$1,0,
IF(PART_NUMBER_GENERATOR_TABLE[[#This Row],[Work Type]:[Work Type]]&lt;&gt;"BH",0,
SUMIFS(AP$24,$AM$24,PART_NUMBER_GENERATOR_TABLE[[#This Row],[Tech]:[Tech]])))</f>
        <v>0</v>
      </c>
      <c r="AQ117" cm="1">
        <f t="array" ref="AQ117">IF(PART_NUMBER_GENERATOR_TABLE[[#This Row],[Work Role]:[Work Role]]&lt;&gt;AQ$1,0,
IF(PART_NUMBER_GENERATOR_TABLE[[#This Row],[Work Type]:[Work Type]]&lt;&gt;"BH",0,
SUMIFS(AQ$24,$AM$24,PART_NUMBER_GENERATOR_TABLE[[#This Row],[Tech]:[Tech]])))</f>
        <v>0</v>
      </c>
      <c r="AR117" cm="1">
        <f t="array" ref="AR117">IF(PART_NUMBER_GENERATOR_TABLE[[#This Row],[Work Role]:[Work Role]]&lt;&gt;AR$1,0,
IF(PART_NUMBER_GENERATOR_TABLE[[#This Row],[Work Type]:[Work Type]]&lt;&gt;"BH",0,
SUMIFS(AR$24,$AM$24,PART_NUMBER_GENERATOR_TABLE[[#This Row],[Tech]:[Tech]])))</f>
        <v>0</v>
      </c>
      <c r="AS117" cm="1">
        <f t="array" ref="AS117">IF(PART_NUMBER_GENERATOR_TABLE[[#This Row],[Work Role]:[Work Role]]&lt;&gt;AS$1,0,
IF(PART_NUMBER_GENERATOR_TABLE[[#This Row],[Work Type]:[Work Type]]&lt;&gt;"BH",0,
SUMIFS(AS$24,$AM$24,PART_NUMBER_GENERATOR_TABLE[[#This Row],[Tech]:[Tech]])))</f>
        <v>0</v>
      </c>
      <c r="AT117" cm="1">
        <f t="array" ref="AT117">IF(PART_NUMBER_GENERATOR_TABLE[[#This Row],[Work Role]:[Work Role]]&lt;&gt;AS$1,0,
IF(PART_NUMBER_GENERATOR_TABLE[[#This Row],[Work Type]:[Work Type]]&lt;&gt;"BH",0,
SUMIFS(AT$24,$AM$24,PART_NUMBER_GENERATOR_TABLE[[#This Row],[Tech]:[Tech]])))</f>
        <v>0</v>
      </c>
      <c r="AU117">
        <f>SUM(PART_NUMBER_GENERATOR_TABLE[[#This Row],[Resource 1 BH]:[Resource 5 AH]],PART_NUMBER_GENERATOR_TABLE[[#This Row],[R1 Mandatory Tasks]:[R5 Mandatory Tasks]],PART_NUMBER_GENERATOR_TABLE[[#This Row],[R1 Remainder]:[R5 Remainder]])</f>
        <v>0</v>
      </c>
      <c r="AV117">
        <f>PART_NUMBER_GENERATOR_TABLE[[#This Row],[Professional Engineering Hours]]*PART_NUMBER_GENERATOR_TABLE[[#This Row],[Sell Rate]]</f>
        <v>0</v>
      </c>
      <c r="AW117">
        <f>PART_NUMBER_GENERATOR_TABLE[[#This Row],[Professional Engineering Hours]]*PART_NUMBER_GENERATOR_TABLE[[#This Row],[Cost Rate]]</f>
        <v>0</v>
      </c>
      <c r="AX117">
        <f>SUM(PART_NUMBER_GENERATOR_TABLE[[#This Row],[PM Trips]:[R5 Trips]])</f>
        <v>0</v>
      </c>
      <c r="AY117">
        <f>PART_NUMBER_GENERATOR_TABLE[[#This Row],[Travel &amp; Accommodation Hours]]*PART_NUMBER_GENERATOR_TABLE[[#This Row],[Sell Rate]]</f>
        <v>0</v>
      </c>
      <c r="AZ117">
        <f>PART_NUMBER_GENERATOR_TABLE[[#This Row],[Travel &amp; Accommodation Hours]]*PART_NUMBER_GENERATOR_TABLE[[#This Row],[Cost Rate]]</f>
        <v>0</v>
      </c>
      <c r="BA117">
        <f>PART_NUMBER_GENERATOR_TABLE[[#This Row],[PM Hours]]+PART_NUMBER_GENERATOR_TABLE[[#This Row],[PM Remainder]]</f>
        <v>0</v>
      </c>
      <c r="BB117">
        <f>PART_NUMBER_GENERATOR_TABLE[[#This Row],[Project Management Hours]]*PART_NUMBER_GENERATOR_TABLE[[#This Row],[Sell Rate]]</f>
        <v>0</v>
      </c>
      <c r="BC117">
        <f>PART_NUMBER_GENERATOR_TABLE[[#This Row],[Project Management Hours]]*PART_NUMBER_GENERATOR_TABLE[[#This Row],[Cost Rate]]</f>
        <v>0</v>
      </c>
      <c r="BD117">
        <f>SUM(PART_NUMBER_GENERATOR_TABLE[[#This Row],[SSE RISK BH]:[PM RISK]],PART_NUMBER_GENERATOR_TABLE[[#This Row],[SSE Remainder RISK BH]:[PM Remainder RISK]])</f>
        <v>0</v>
      </c>
      <c r="BE117">
        <f>PART_NUMBER_GENERATOR_TABLE[[#This Row],[Project Risk Service Hours]]*PART_NUMBER_GENERATOR_TABLE[[#This Row],[Sell Rate]]</f>
        <v>0</v>
      </c>
      <c r="BF117">
        <f>PART_NUMBER_GENERATOR_TABLE[[#This Row],[Project Risk Service Hours]]*PART_NUMBER_GENERATOR_TABLE[[#This Row],[Cost Rate]]</f>
        <v>0</v>
      </c>
      <c r="BG117">
        <f>PART_NUMBER_GENERATOR_TABLE[[#This Row],[SSE RISK TRAVEL]]</f>
        <v>0</v>
      </c>
      <c r="BH117">
        <f>PART_NUMBER_GENERATOR_TABLE[[#This Row],[Sell Rate]]*PART_NUMBER_GENERATOR_TABLE[[#This Row],[Project Risk Travel Hours]]</f>
        <v>0</v>
      </c>
      <c r="BI117">
        <f>PART_NUMBER_GENERATOR_TABLE[[#This Row],[Project Risk Travel Hours]]*PART_NUMBER_GENERATOR_TABLE[[#This Row],[Cost Rate]]</f>
        <v>0</v>
      </c>
      <c r="BJ11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1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17">
        <f>IFERROR(-VLOOKUP(INDEX(ENGINEER_ROLES,MATCH(PART_NUMBER_GENERATOR_TABLE[[#This Row],[Work Role]],settings.Table_Engineer.Roles[ID],0),1),Settings_Hidden!$H$359:$K$366,4,FALSE),0)</f>
        <v>0</v>
      </c>
      <c r="BM117" s="680">
        <f>-Summary!$C$66</f>
        <v>0</v>
      </c>
      <c r="BN117" s="465">
        <f>PART_NUMBER_GENERATOR_TABLE[[#This Row],[Total Base Price]]*MIN(PART_NUMBER_GENERATOR_TABLE[[#This Row],[Rate Service Discount]:[Flat Service Discount]])</f>
        <v>0</v>
      </c>
      <c r="BO117" s="451" t="str">
        <f>IF(PART_NUMBER_GENERATOR_TABLE[[#This Row],[Quantity]]&lt;&gt;0,MAX($BO$30:BO116)+1,"")</f>
        <v/>
      </c>
      <c r="BP117" t="str">
        <f>PART_NUMBER_GENERATOR_TABLE[[#This Row],[Part Number]]</f>
        <v>A-PS-E-SECNET-TA-AH</v>
      </c>
      <c r="BQ117">
        <f>PART_NUMBER_GENERATOR_TABLE[[#This Row],[Total Hours]]</f>
        <v>0</v>
      </c>
      <c r="BR117">
        <f>PART_NUMBER_GENERATOR_TABLE[[#This Row],[Cost Rate]]</f>
        <v>122.02019862032805</v>
      </c>
      <c r="BS117" s="465">
        <f>PART_NUMBER_GENERATOR_TABLE[[#This Row],[Sell Rate]]+(PART_NUMBER_GENERATOR_TABLE[[#This Row],[Sell Rate]]*MIN(PART_NUMBER_GENERATOR_TABLE[[#This Row],[Rate Service Discount]:[Flat Service Discount]]))</f>
        <v>232.5</v>
      </c>
    </row>
    <row r="118" spans="1:71">
      <c r="A118">
        <v>88</v>
      </c>
      <c r="C118" t="s">
        <v>1096</v>
      </c>
      <c r="D118" t="str" cm="1">
        <f t="array" ref="D118">INDEX(Table.Settings_Skill.List[Skill Name],MATCH(INDEX(_xlfn.TEXTSPLIT(C118,"-",,TRUE),4),Table.Settings_Skill.List[Skill Code],0),1)</f>
        <v>Security</v>
      </c>
      <c r="E118" t="str" cm="1">
        <f t="array" ref="E118">INDEX(_xlfn.TEXTSPLIT(C118,"-",,TRUE),5)</f>
        <v>SE</v>
      </c>
      <c r="F118" t="str">
        <f>IFERROR(INDEX(settings.Table_Engineer.Roles[Department Code],MATCH(PART_NUMBER_GENERATOR_TABLE[[#This Row],[Work Role]],settings.Table_Engineer.Roles[ID],0),1),"PMO")</f>
        <v>ENG</v>
      </c>
      <c r="G118" t="str" cm="1">
        <f t="array" ref="G118">INDEX(_xlfn.TEXTSPLIT(C118,"-",,TRUE),6)</f>
        <v>AH</v>
      </c>
      <c r="H11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352.5</v>
      </c>
      <c r="I11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189.17783891744716</v>
      </c>
      <c r="J118" cm="1">
        <f t="array" ref="J118">IF(J$1&lt;&gt;PART_NUMBER_GENERATOR_TABLE[[#This Row],[Work Role]:[Work Role]],0,
IF(RIGHT(J$30,2)&lt;&gt;PART_NUMBER_GENERATOR_TABLE[[#This Row],[Work Type]:[Work Type]],0,
SUMIFS(Input_Tasks[R1 Business Hours],Input_Tasks[[Skill Required]:[Skill Required]],PART_NUMBER_GENERATOR_TABLE[[#This Row],[Tech]:[Tech]])))</f>
        <v>0</v>
      </c>
      <c r="K118" cm="1">
        <f t="array" ref="K118">IF(K$1&lt;&gt;PART_NUMBER_GENERATOR_TABLE[[#This Row],[Work Role]:[Work Role]],0,
IF(RIGHT(K$30,2)&lt;&gt;PART_NUMBER_GENERATOR_TABLE[[#This Row],[Work Type]:[Work Type]],0,
SUMIFS(Input_Tasks[R1 After Hours],Input_Tasks[[Skill Required]:[Skill Required]],PART_NUMBER_GENERATOR_TABLE[[#This Row],[Tech]:[Tech]])))</f>
        <v>0</v>
      </c>
      <c r="L118" cm="1">
        <f t="array" ref="L118">IF(L$1&lt;&gt;PART_NUMBER_GENERATOR_TABLE[[#This Row],[Work Role]:[Work Role]],0,
IF(RIGHT(L$30,2)&lt;&gt;PART_NUMBER_GENERATOR_TABLE[[#This Row],[Work Type]:[Work Type]],0,
SUMIFS(Input_Tasks[R2 Business Hours],Input_Tasks[[Skill Required]:[Skill Required]],PART_NUMBER_GENERATOR_TABLE[[#This Row],[Tech]:[Tech]])))</f>
        <v>0</v>
      </c>
      <c r="M118" cm="1">
        <f t="array" ref="M118">IF(M$1&lt;&gt;PART_NUMBER_GENERATOR_TABLE[[#This Row],[Work Role]:[Work Role]],0,
IF(RIGHT(M$30,2)&lt;&gt;PART_NUMBER_GENERATOR_TABLE[[#This Row],[Work Type]:[Work Type]],0,
SUMIFS(Input_Tasks[R2 After Hours],Input_Tasks[[Skill Required]:[Skill Required]],PART_NUMBER_GENERATOR_TABLE[[#This Row],[Tech]:[Tech]])))</f>
        <v>0</v>
      </c>
      <c r="N118" cm="1">
        <f t="array" ref="N118">IF(N$1&lt;&gt;PART_NUMBER_GENERATOR_TABLE[[#This Row],[Work Role]:[Work Role]],0,
IF(RIGHT(N$30,2)&lt;&gt;PART_NUMBER_GENERATOR_TABLE[[#This Row],[Work Type]:[Work Type]],0,
SUMIFS(Input_Tasks[R3 Business Hours],Input_Tasks[[Skill Required]:[Skill Required]],PART_NUMBER_GENERATOR_TABLE[[#This Row],[Tech]:[Tech]])))</f>
        <v>0</v>
      </c>
      <c r="O118" cm="1">
        <f t="array" ref="O118">IF(O$1&lt;&gt;PART_NUMBER_GENERATOR_TABLE[[#This Row],[Work Role]:[Work Role]],0,
IF(RIGHT(O$30,2)&lt;&gt;PART_NUMBER_GENERATOR_TABLE[[#This Row],[Work Type]:[Work Type]],0,
SUMIFS(Input_Tasks[R3 After Hours],Input_Tasks[[Skill Required]:[Skill Required]],PART_NUMBER_GENERATOR_TABLE[[#This Row],[Tech]:[Tech]])))</f>
        <v>0</v>
      </c>
      <c r="P118" cm="1">
        <f t="array" ref="P118">IF(P$1&lt;&gt;PART_NUMBER_GENERATOR_TABLE[[#This Row],[Work Role]:[Work Role]],0,
IF(RIGHT(P$30,2)&lt;&gt;PART_NUMBER_GENERATOR_TABLE[[#This Row],[Work Type]:[Work Type]],0,
SUMIFS(Input_Tasks[R4 Business Hours],Input_Tasks[[Skill Required]:[Skill Required]],PART_NUMBER_GENERATOR_TABLE[[#This Row],[Tech]:[Tech]])))</f>
        <v>0</v>
      </c>
      <c r="Q118" cm="1">
        <f t="array" ref="Q118">IF(Q$1&lt;&gt;PART_NUMBER_GENERATOR_TABLE[[#This Row],[Work Role]:[Work Role]],0,
IF(RIGHT(Q$30,2)&lt;&gt;PART_NUMBER_GENERATOR_TABLE[[#This Row],[Work Type]:[Work Type]],0,
SUMIFS(Input_Tasks[R4 After Hours],Input_Tasks[[Skill Required]:[Skill Required]],PART_NUMBER_GENERATOR_TABLE[[#This Row],[Tech]:[Tech]])))</f>
        <v>0</v>
      </c>
      <c r="R118" cm="1">
        <f t="array" ref="R118">IF(R$1&lt;&gt;PART_NUMBER_GENERATOR_TABLE[[#This Row],[Work Role]:[Work Role]],0,
IF(RIGHT(R$30,2)&lt;&gt;PART_NUMBER_GENERATOR_TABLE[[#This Row],[Work Type]:[Work Type]],0,
SUMIFS(Input_Tasks[R5 Business Hours],Input_Tasks[[Skill Required]:[Skill Required]],PART_NUMBER_GENERATOR_TABLE[[#This Row],[Tech]:[Tech]])))</f>
        <v>0</v>
      </c>
      <c r="S118" cm="1">
        <f t="array" ref="S118">IF(S$1&lt;&gt;PART_NUMBER_GENERATOR_TABLE[[#This Row],[Work Role]:[Work Role]],0,
IF(RIGHT(S$30,2)&lt;&gt;PART_NUMBER_GENERATOR_TABLE[[#This Row],[Work Type]:[Work Type]],0,
SUMIFS(Input_Tasks[R5 After Hours],Input_Tasks[[Skill Required]:[Skill Required]],PART_NUMBER_GENERATOR_TABLE[[#This Row],[Tech]:[Tech]])))</f>
        <v>0</v>
      </c>
      <c r="T118" cm="1">
        <f t="array" ref="T118">IF(PART_NUMBER_GENERATOR_TABLE[[#This Row],[Work Role]:[Work Role]]&lt;&gt;T$1,0,
IF(PART_NUMBER_GENERATOR_TABLE[[#This Row],[Work Type]:[Work Type]]&lt;&gt;"BH",0,
SUMIFS(T$9:T$24,$M$9:$M$24,PART_NUMBER_GENERATOR_TABLE[[#This Row],[Tech]:[Tech]])))</f>
        <v>0</v>
      </c>
      <c r="U118" cm="1">
        <f t="array" ref="U118">IF(PART_NUMBER_GENERATOR_TABLE[[#This Row],[Work Role]:[Work Role]]&lt;&gt;U$1,0,
IF(PART_NUMBER_GENERATOR_TABLE[[#This Row],[Work Type]:[Work Type]]&lt;&gt;"BH",0,
SUMIFS(U$9:U$24,$M$9:$M$24,PART_NUMBER_GENERATOR_TABLE[[#This Row],[Tech]:[Tech]])))</f>
        <v>0</v>
      </c>
      <c r="V118" cm="1">
        <f t="array" ref="V118">IF(PART_NUMBER_GENERATOR_TABLE[[#This Row],[Work Role]:[Work Role]]&lt;&gt;V$1,0,
IF(PART_NUMBER_GENERATOR_TABLE[[#This Row],[Work Type]:[Work Type]]&lt;&gt;"BH",0,
SUMIFS(V$9:V$24,$M$9:$M$24,PART_NUMBER_GENERATOR_TABLE[[#This Row],[Tech]:[Tech]])))</f>
        <v>0</v>
      </c>
      <c r="W118" cm="1">
        <f t="array" ref="W118">IF(PART_NUMBER_GENERATOR_TABLE[[#This Row],[Work Role]:[Work Role]]&lt;&gt;W$1,0,
IF(PART_NUMBER_GENERATOR_TABLE[[#This Row],[Work Type]:[Work Type]]&lt;&gt;"BH",0,
SUMIFS(W$9:W$24,$M$9:$M$24,PART_NUMBER_GENERATOR_TABLE[[#This Row],[Tech]:[Tech]])))</f>
        <v>0</v>
      </c>
      <c r="X118" cm="1">
        <f t="array" ref="X118">IF(PART_NUMBER_GENERATOR_TABLE[[#This Row],[Work Role]:[Work Role]]&lt;&gt;X$1,0,
IF(PART_NUMBER_GENERATOR_TABLE[[#This Row],[Work Type]:[Work Type]]&lt;&gt;"BH",0,
SUMIFS(X$9:X$24,$M$9:$M$24,PART_NUMBER_GENERATOR_TABLE[[#This Row],[Tech]:[Tech]])))</f>
        <v>0</v>
      </c>
      <c r="Y118" cm="1">
        <f t="array" ref="Y118">IF(PART_NUMBER_GENERATOR_TABLE[[#This Row],[Work Role]:[Work Role]]&lt;&gt;Y$1,0,
IF(PART_NUMBER_GENERATOR_TABLE[[#This Row],[Work Type]:[Work Type]]&lt;&gt;"BH",0,
SUMIFS(Y$9:Y$24,$M$9:$M$24,PART_NUMBER_GENERATOR_TABLE[[#This Row],[Tech]:[Tech]])))</f>
        <v>0</v>
      </c>
      <c r="Z118" cm="1">
        <f t="array" ref="Z118">IF(PART_NUMBER_GENERATOR_TABLE[[#This Row],[Work Role]:[Work Role]]&lt;&gt;Z$1,0,
IF(PART_NUMBER_GENERATOR_TABLE[[#This Row],[Work Type]:[Work Type]]&lt;&gt;"BH",0,
SUMIFS(Z$9:Z$24,$M$9:$M$24,PART_NUMBER_GENERATOR_TABLE[[#This Row],[Tech]:[Tech]])))</f>
        <v>0</v>
      </c>
      <c r="AA118" cm="1">
        <f t="array" ref="AA118">IF(PART_NUMBER_GENERATOR_TABLE[[#This Row],[Work Role]:[Work Role]]&lt;&gt;AA$1,0,
IF(PART_NUMBER_GENERATOR_TABLE[[#This Row],[Work Type]:[Work Type]]&lt;&gt;"BH",0,
SUMIFS(AA$9:AA$24,$M$9:$M$24,PART_NUMBER_GENERATOR_TABLE[[#This Row],[Tech]:[Tech]])))</f>
        <v>0</v>
      </c>
      <c r="AB118" cm="1">
        <f t="array" ref="AB118">IF(PART_NUMBER_GENERATOR_TABLE[[#This Row],[Work Role]:[Work Role]]&lt;&gt;AB$1,0,
IF(PART_NUMBER_GENERATOR_TABLE[[#This Row],[Work Type]:[Work Type]]&lt;&gt;"BH",0,
SUMIFS(AB$9:AB$24,$M$9:$M$24,PART_NUMBER_GENERATOR_TABLE[[#This Row],[Tech]:[Tech]])))</f>
        <v>0</v>
      </c>
      <c r="AC118" cm="1">
        <f t="array" ref="AC118">IF(PART_NUMBER_GENERATOR_TABLE[[#This Row],[Work Role]:[Work Role]]&lt;&gt;AC$1,0,
IF(PART_NUMBER_GENERATOR_TABLE[[#This Row],[Work Type]:[Work Type]]&lt;&gt;"BH",0,
SUMIFS(AC$9:AC$24,$M$9:$M$24,PART_NUMBER_GENERATOR_TABLE[[#This Row],[Tech]:[Tech]])))</f>
        <v>0</v>
      </c>
      <c r="AD118" cm="1">
        <f t="array" ref="AD118">IF(PART_NUMBER_GENERATOR_TABLE[[#This Row],[Work Role]:[Work Role]]&lt;&gt;AD$1,0,
IF(PART_NUMBER_GENERATOR_TABLE[[#This Row],[Work Type]:[Work Type]]&lt;&gt;"BH",0,
SUMIFS(AD$9:AD$24,$M$9:$M$24,PART_NUMBER_GENERATOR_TABLE[[#This Row],[Tech]:[Tech]])))</f>
        <v>0</v>
      </c>
      <c r="AE118" cm="1">
        <f t="array" ref="AE118">IF(PART_NUMBER_GENERATOR_TABLE[[#This Row],[Work Role]:[Work Role]]&lt;&gt;AE$1,0,
IF(PART_NUMBER_GENERATOR_TABLE[[#This Row],[Work Type]:[Work Type]]&lt;&gt;"BH",0,
SUMIFS(AE$9:AE$24,$M$9:$M$24,PART_NUMBER_GENERATOR_TABLE[[#This Row],[Tech]:[Tech]])))</f>
        <v>0</v>
      </c>
      <c r="AF118" cm="1">
        <f t="array" ref="AF118">IF(PART_NUMBER_GENERATOR_TABLE[[#This Row],[Work Role]:[Work Role]]&lt;&gt;AF$1,0,
IF(PART_NUMBER_GENERATOR_TABLE[[#This Row],[Work Type]:[Work Type]]&lt;&gt;"BH",0,
SUMIFS(AF$9:AF$24,$M$9:$M$24,PART_NUMBER_GENERATOR_TABLE[[#This Row],[Tech]:[Tech]])))</f>
        <v>0</v>
      </c>
      <c r="AG118" cm="1">
        <f t="array" ref="AG118">IF(PART_NUMBER_GENERATOR_TABLE[[#This Row],[Work Role]:[Work Role]]&lt;&gt;AG$1,0,
IF(PART_NUMBER_GENERATOR_TABLE[[#This Row],[Work Type]:[Work Type]]&lt;&gt;"AH",0,
SUMIFS(AG$9:AG$24,$M$9:$M$24,PART_NUMBER_GENERATOR_TABLE[[#This Row],[Tech]:[Tech]])))</f>
        <v>0</v>
      </c>
      <c r="AH118" cm="1">
        <f t="array" ref="AH118">IF(PART_NUMBER_GENERATOR_TABLE[[#This Row],[Work Role]:[Work Role]]&lt;&gt;AH$1,0,
IF(PART_NUMBER_GENERATOR_TABLE[[#This Row],[Work Type]:[Work Type]]&lt;&gt;"BH",0,
SUMIFS(AH$9:AH$24,$M$9:$M$24,PART_NUMBER_GENERATOR_TABLE[[#This Row],[Tech]:[Tech]])))</f>
        <v>0</v>
      </c>
      <c r="AI118" cm="1">
        <f t="array" ref="AI118">IF(PART_NUMBER_GENERATOR_TABLE[[#This Row],[Work Role]:[Work Role]]&lt;&gt;AI$1,0,
IF(PART_NUMBER_GENERATOR_TABLE[[#This Row],[Work Type]:[Work Type]]&lt;&gt;"BH",0,
SUMIFS(AI$9:AI$24,$M$9:$M$24,PART_NUMBER_GENERATOR_TABLE[[#This Row],[Tech]:[Tech]])))</f>
        <v>0</v>
      </c>
      <c r="AJ118" cm="1">
        <f t="array" ref="AJ118">IF(PART_NUMBER_GENERATOR_TABLE[[#This Row],[Work Role]:[Work Role]]&lt;&gt;AJ$1,0,
IF(PART_NUMBER_GENERATOR_TABLE[[#This Row],[Work Type]:[Work Type]]&lt;&gt;"BH",0,
SUMIFS(AJ$9:AJ$24,$M$9:$M$24,PART_NUMBER_GENERATOR_TABLE[[#This Row],[Tech]:[Tech]])))</f>
        <v>0</v>
      </c>
      <c r="AK118" cm="1">
        <f t="array" ref="AK118">IF(PART_NUMBER_GENERATOR_TABLE[[#This Row],[Work Role]:[Work Role]]&lt;&gt;AK$1,0,
IF(PART_NUMBER_GENERATOR_TABLE[[#This Row],[Work Type]:[Work Type]]&lt;&gt;"AH",0,
SUMIFS(AK$9:AK$24,$M$9:$M$24,PART_NUMBER_GENERATOR_TABLE[[#This Row],[Tech]:[Tech]])))</f>
        <v>0</v>
      </c>
      <c r="AL118" cm="1">
        <f t="array" ref="AL118">IF(PART_NUMBER_GENERATOR_TABLE[[#This Row],[Work Role]:[Work Role]]&lt;&gt;AL$1,0,
IF(PART_NUMBER_GENERATOR_TABLE[[#This Row],[Work Type]:[Work Type]]&lt;&gt;"BH",0,
SUMIFS(AL$9:AL$24,$M$9:$M$24,PART_NUMBER_GENERATOR_TABLE[[#This Row],[Tech]:[Tech]])))</f>
        <v>0</v>
      </c>
      <c r="AM118">
        <f>0</f>
        <v>0</v>
      </c>
      <c r="AN118" cm="1">
        <f t="array" ref="AN118">IF(PART_NUMBER_GENERATOR_TABLE[[#This Row],[Work Role]:[Work Role]]&lt;&gt;AN$1,0,
IF(PART_NUMBER_GENERATOR_TABLE[[#This Row],[Work Type]:[Work Type]]&lt;&gt;"BH",0,
SUMIFS(AN$24,$AM$24,PART_NUMBER_GENERATOR_TABLE[[#This Row],[Tech]:[Tech]])))</f>
        <v>0</v>
      </c>
      <c r="AO118" cm="1">
        <f t="array" ref="AO118">IF(PART_NUMBER_GENERATOR_TABLE[[#This Row],[Work Role]:[Work Role]]&lt;&gt;AO$1,0,
IF(PART_NUMBER_GENERATOR_TABLE[[#This Row],[Work Type]:[Work Type]]&lt;&gt;"BH",0,
SUMIFS(AO$24,$AM$24,PART_NUMBER_GENERATOR_TABLE[[#This Row],[Tech]:[Tech]])))</f>
        <v>0</v>
      </c>
      <c r="AP118" cm="1">
        <f t="array" ref="AP118">IF(PART_NUMBER_GENERATOR_TABLE[[#This Row],[Work Role]:[Work Role]]&lt;&gt;AP$1,0,
IF(PART_NUMBER_GENERATOR_TABLE[[#This Row],[Work Type]:[Work Type]]&lt;&gt;"BH",0,
SUMIFS(AP$24,$AM$24,PART_NUMBER_GENERATOR_TABLE[[#This Row],[Tech]:[Tech]])))</f>
        <v>0</v>
      </c>
      <c r="AQ118" cm="1">
        <f t="array" ref="AQ118">IF(PART_NUMBER_GENERATOR_TABLE[[#This Row],[Work Role]:[Work Role]]&lt;&gt;AQ$1,0,
IF(PART_NUMBER_GENERATOR_TABLE[[#This Row],[Work Type]:[Work Type]]&lt;&gt;"BH",0,
SUMIFS(AQ$24,$AM$24,PART_NUMBER_GENERATOR_TABLE[[#This Row],[Tech]:[Tech]])))</f>
        <v>0</v>
      </c>
      <c r="AR118" cm="1">
        <f t="array" ref="AR118">IF(PART_NUMBER_GENERATOR_TABLE[[#This Row],[Work Role]:[Work Role]]&lt;&gt;AR$1,0,
IF(PART_NUMBER_GENERATOR_TABLE[[#This Row],[Work Type]:[Work Type]]&lt;&gt;"BH",0,
SUMIFS(AR$24,$AM$24,PART_NUMBER_GENERATOR_TABLE[[#This Row],[Tech]:[Tech]])))</f>
        <v>0</v>
      </c>
      <c r="AS118" cm="1">
        <f t="array" ref="AS118">IF(PART_NUMBER_GENERATOR_TABLE[[#This Row],[Work Role]:[Work Role]]&lt;&gt;AS$1,0,
IF(PART_NUMBER_GENERATOR_TABLE[[#This Row],[Work Type]:[Work Type]]&lt;&gt;"BH",0,
SUMIFS(AS$24,$AM$24,PART_NUMBER_GENERATOR_TABLE[[#This Row],[Tech]:[Tech]])))</f>
        <v>0</v>
      </c>
      <c r="AT118" cm="1">
        <f t="array" ref="AT118">IF(PART_NUMBER_GENERATOR_TABLE[[#This Row],[Work Role]:[Work Role]]&lt;&gt;AS$1,0,
IF(PART_NUMBER_GENERATOR_TABLE[[#This Row],[Work Type]:[Work Type]]&lt;&gt;"BH",0,
SUMIFS(AT$24,$AM$24,PART_NUMBER_GENERATOR_TABLE[[#This Row],[Tech]:[Tech]])))</f>
        <v>0</v>
      </c>
      <c r="AU118">
        <f>SUM(PART_NUMBER_GENERATOR_TABLE[[#This Row],[Resource 1 BH]:[Resource 5 AH]],PART_NUMBER_GENERATOR_TABLE[[#This Row],[R1 Mandatory Tasks]:[R5 Mandatory Tasks]],PART_NUMBER_GENERATOR_TABLE[[#This Row],[R1 Remainder]:[R5 Remainder]])</f>
        <v>0</v>
      </c>
      <c r="AV118">
        <f>PART_NUMBER_GENERATOR_TABLE[[#This Row],[Professional Engineering Hours]]*PART_NUMBER_GENERATOR_TABLE[[#This Row],[Sell Rate]]</f>
        <v>0</v>
      </c>
      <c r="AW118">
        <f>PART_NUMBER_GENERATOR_TABLE[[#This Row],[Professional Engineering Hours]]*PART_NUMBER_GENERATOR_TABLE[[#This Row],[Cost Rate]]</f>
        <v>0</v>
      </c>
      <c r="AX118">
        <f>SUM(PART_NUMBER_GENERATOR_TABLE[[#This Row],[PM Trips]:[R5 Trips]])</f>
        <v>0</v>
      </c>
      <c r="AY118">
        <f>PART_NUMBER_GENERATOR_TABLE[[#This Row],[Travel &amp; Accommodation Hours]]*PART_NUMBER_GENERATOR_TABLE[[#This Row],[Sell Rate]]</f>
        <v>0</v>
      </c>
      <c r="AZ118">
        <f>PART_NUMBER_GENERATOR_TABLE[[#This Row],[Travel &amp; Accommodation Hours]]*PART_NUMBER_GENERATOR_TABLE[[#This Row],[Cost Rate]]</f>
        <v>0</v>
      </c>
      <c r="BA118">
        <f>PART_NUMBER_GENERATOR_TABLE[[#This Row],[PM Hours]]+PART_NUMBER_GENERATOR_TABLE[[#This Row],[PM Remainder]]</f>
        <v>0</v>
      </c>
      <c r="BB118">
        <f>PART_NUMBER_GENERATOR_TABLE[[#This Row],[Project Management Hours]]*PART_NUMBER_GENERATOR_TABLE[[#This Row],[Sell Rate]]</f>
        <v>0</v>
      </c>
      <c r="BC118">
        <f>PART_NUMBER_GENERATOR_TABLE[[#This Row],[Project Management Hours]]*PART_NUMBER_GENERATOR_TABLE[[#This Row],[Cost Rate]]</f>
        <v>0</v>
      </c>
      <c r="BD118">
        <f>SUM(PART_NUMBER_GENERATOR_TABLE[[#This Row],[SSE RISK BH]:[PM RISK]],PART_NUMBER_GENERATOR_TABLE[[#This Row],[SSE Remainder RISK BH]:[PM Remainder RISK]])</f>
        <v>0</v>
      </c>
      <c r="BE118">
        <f>PART_NUMBER_GENERATOR_TABLE[[#This Row],[Project Risk Service Hours]]*PART_NUMBER_GENERATOR_TABLE[[#This Row],[Sell Rate]]</f>
        <v>0</v>
      </c>
      <c r="BF118">
        <f>PART_NUMBER_GENERATOR_TABLE[[#This Row],[Project Risk Service Hours]]*PART_NUMBER_GENERATOR_TABLE[[#This Row],[Cost Rate]]</f>
        <v>0</v>
      </c>
      <c r="BG118">
        <f>PART_NUMBER_GENERATOR_TABLE[[#This Row],[SSE RISK TRAVEL]]</f>
        <v>0</v>
      </c>
      <c r="BH118">
        <f>PART_NUMBER_GENERATOR_TABLE[[#This Row],[Sell Rate]]*PART_NUMBER_GENERATOR_TABLE[[#This Row],[Project Risk Travel Hours]]</f>
        <v>0</v>
      </c>
      <c r="BI118">
        <f>PART_NUMBER_GENERATOR_TABLE[[#This Row],[Project Risk Travel Hours]]*PART_NUMBER_GENERATOR_TABLE[[#This Row],[Cost Rate]]</f>
        <v>0</v>
      </c>
      <c r="BJ11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1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18">
        <f>IFERROR(-VLOOKUP(INDEX(ENGINEER_ROLES,MATCH(PART_NUMBER_GENERATOR_TABLE[[#This Row],[Work Role]],settings.Table_Engineer.Roles[ID],0),1),Settings_Hidden!$H$359:$K$366,4,FALSE),0)</f>
        <v>0</v>
      </c>
      <c r="BM118" s="680">
        <f>-Summary!$C$66</f>
        <v>0</v>
      </c>
      <c r="BN118" s="465">
        <f>PART_NUMBER_GENERATOR_TABLE[[#This Row],[Total Base Price]]*MIN(PART_NUMBER_GENERATOR_TABLE[[#This Row],[Rate Service Discount]:[Flat Service Discount]])</f>
        <v>0</v>
      </c>
      <c r="BO118" s="451" t="str">
        <f>IF(PART_NUMBER_GENERATOR_TABLE[[#This Row],[Quantity]]&lt;&gt;0,MAX($BO$30:BO117)+1,"")</f>
        <v/>
      </c>
      <c r="BP118" t="str">
        <f>PART_NUMBER_GENERATOR_TABLE[[#This Row],[Part Number]]</f>
        <v>A-PS-E-SECNET-SE-AH</v>
      </c>
      <c r="BQ118">
        <f>PART_NUMBER_GENERATOR_TABLE[[#This Row],[Total Hours]]</f>
        <v>0</v>
      </c>
      <c r="BR118">
        <f>PART_NUMBER_GENERATOR_TABLE[[#This Row],[Cost Rate]]</f>
        <v>189.17783891744716</v>
      </c>
      <c r="BS118" s="465">
        <f>PART_NUMBER_GENERATOR_TABLE[[#This Row],[Sell Rate]]+(PART_NUMBER_GENERATOR_TABLE[[#This Row],[Sell Rate]]*MIN(PART_NUMBER_GENERATOR_TABLE[[#This Row],[Rate Service Discount]:[Flat Service Discount]]))</f>
        <v>352.5</v>
      </c>
    </row>
    <row r="119" spans="1:71">
      <c r="A119">
        <v>89</v>
      </c>
      <c r="C119" t="s">
        <v>1090</v>
      </c>
      <c r="D119" t="str" cm="1">
        <f t="array" ref="D119">INDEX(Table.Settings_Skill.List[Skill Name],MATCH(INDEX(_xlfn.TEXTSPLIT(C119,"-",,TRUE),4),Table.Settings_Skill.List[Skill Code],0),1)</f>
        <v>Security</v>
      </c>
      <c r="E119" t="str" cm="1">
        <f t="array" ref="E119">INDEX(_xlfn.TEXTSPLIT(C119,"-",,TRUE),5)</f>
        <v>SSE</v>
      </c>
      <c r="F119" t="str">
        <f>IFERROR(INDEX(settings.Table_Engineer.Roles[Department Code],MATCH(PART_NUMBER_GENERATOR_TABLE[[#This Row],[Work Role]],settings.Table_Engineer.Roles[ID],0),1),"PMO")</f>
        <v>ENG</v>
      </c>
      <c r="G119" t="str" cm="1">
        <f t="array" ref="G119">INDEX(_xlfn.TEXTSPLIT(C119,"-",,TRUE),6)</f>
        <v>AH</v>
      </c>
      <c r="H11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420.75</v>
      </c>
      <c r="I11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224.87758587669589</v>
      </c>
      <c r="J119" cm="1">
        <f t="array" ref="J119">IF(J$1&lt;&gt;PART_NUMBER_GENERATOR_TABLE[[#This Row],[Work Role]:[Work Role]],0,
IF(RIGHT(J$30,2)&lt;&gt;PART_NUMBER_GENERATOR_TABLE[[#This Row],[Work Type]:[Work Type]],0,
SUMIFS(Input_Tasks[R1 Business Hours],Input_Tasks[[Skill Required]:[Skill Required]],PART_NUMBER_GENERATOR_TABLE[[#This Row],[Tech]:[Tech]])))</f>
        <v>0</v>
      </c>
      <c r="K119" cm="1">
        <f t="array" ref="K119">IF(K$1&lt;&gt;PART_NUMBER_GENERATOR_TABLE[[#This Row],[Work Role]:[Work Role]],0,
IF(RIGHT(K$30,2)&lt;&gt;PART_NUMBER_GENERATOR_TABLE[[#This Row],[Work Type]:[Work Type]],0,
SUMIFS(Input_Tasks[R1 After Hours],Input_Tasks[[Skill Required]:[Skill Required]],PART_NUMBER_GENERATOR_TABLE[[#This Row],[Tech]:[Tech]])))</f>
        <v>0</v>
      </c>
      <c r="L119" cm="1">
        <f t="array" ref="L119">IF(L$1&lt;&gt;PART_NUMBER_GENERATOR_TABLE[[#This Row],[Work Role]:[Work Role]],0,
IF(RIGHT(L$30,2)&lt;&gt;PART_NUMBER_GENERATOR_TABLE[[#This Row],[Work Type]:[Work Type]],0,
SUMIFS(Input_Tasks[R2 Business Hours],Input_Tasks[[Skill Required]:[Skill Required]],PART_NUMBER_GENERATOR_TABLE[[#This Row],[Tech]:[Tech]])))</f>
        <v>0</v>
      </c>
      <c r="M119" cm="1">
        <f t="array" ref="M119">IF(M$1&lt;&gt;PART_NUMBER_GENERATOR_TABLE[[#This Row],[Work Role]:[Work Role]],0,
IF(RIGHT(M$30,2)&lt;&gt;PART_NUMBER_GENERATOR_TABLE[[#This Row],[Work Type]:[Work Type]],0,
SUMIFS(Input_Tasks[R2 After Hours],Input_Tasks[[Skill Required]:[Skill Required]],PART_NUMBER_GENERATOR_TABLE[[#This Row],[Tech]:[Tech]])))</f>
        <v>0</v>
      </c>
      <c r="N119" cm="1">
        <f t="array" ref="N119">IF(N$1&lt;&gt;PART_NUMBER_GENERATOR_TABLE[[#This Row],[Work Role]:[Work Role]],0,
IF(RIGHT(N$30,2)&lt;&gt;PART_NUMBER_GENERATOR_TABLE[[#This Row],[Work Type]:[Work Type]],0,
SUMIFS(Input_Tasks[R3 Business Hours],Input_Tasks[[Skill Required]:[Skill Required]],PART_NUMBER_GENERATOR_TABLE[[#This Row],[Tech]:[Tech]])))</f>
        <v>0</v>
      </c>
      <c r="O119" cm="1">
        <f t="array" ref="O119">IF(O$1&lt;&gt;PART_NUMBER_GENERATOR_TABLE[[#This Row],[Work Role]:[Work Role]],0,
IF(RIGHT(O$30,2)&lt;&gt;PART_NUMBER_GENERATOR_TABLE[[#This Row],[Work Type]:[Work Type]],0,
SUMIFS(Input_Tasks[R3 After Hours],Input_Tasks[[Skill Required]:[Skill Required]],PART_NUMBER_GENERATOR_TABLE[[#This Row],[Tech]:[Tech]])))</f>
        <v>0</v>
      </c>
      <c r="P119" cm="1">
        <f t="array" ref="P119">IF(P$1&lt;&gt;PART_NUMBER_GENERATOR_TABLE[[#This Row],[Work Role]:[Work Role]],0,
IF(RIGHT(P$30,2)&lt;&gt;PART_NUMBER_GENERATOR_TABLE[[#This Row],[Work Type]:[Work Type]],0,
SUMIFS(Input_Tasks[R4 Business Hours],Input_Tasks[[Skill Required]:[Skill Required]],PART_NUMBER_GENERATOR_TABLE[[#This Row],[Tech]:[Tech]])))</f>
        <v>0</v>
      </c>
      <c r="Q119" cm="1">
        <f t="array" ref="Q119">IF(Q$1&lt;&gt;PART_NUMBER_GENERATOR_TABLE[[#This Row],[Work Role]:[Work Role]],0,
IF(RIGHT(Q$30,2)&lt;&gt;PART_NUMBER_GENERATOR_TABLE[[#This Row],[Work Type]:[Work Type]],0,
SUMIFS(Input_Tasks[R4 After Hours],Input_Tasks[[Skill Required]:[Skill Required]],PART_NUMBER_GENERATOR_TABLE[[#This Row],[Tech]:[Tech]])))</f>
        <v>0</v>
      </c>
      <c r="R119" cm="1">
        <f t="array" ref="R119">IF(R$1&lt;&gt;PART_NUMBER_GENERATOR_TABLE[[#This Row],[Work Role]:[Work Role]],0,
IF(RIGHT(R$30,2)&lt;&gt;PART_NUMBER_GENERATOR_TABLE[[#This Row],[Work Type]:[Work Type]],0,
SUMIFS(Input_Tasks[R5 Business Hours],Input_Tasks[[Skill Required]:[Skill Required]],PART_NUMBER_GENERATOR_TABLE[[#This Row],[Tech]:[Tech]])))</f>
        <v>0</v>
      </c>
      <c r="S119" cm="1">
        <f t="array" ref="S119">IF(S$1&lt;&gt;PART_NUMBER_GENERATOR_TABLE[[#This Row],[Work Role]:[Work Role]],0,
IF(RIGHT(S$30,2)&lt;&gt;PART_NUMBER_GENERATOR_TABLE[[#This Row],[Work Type]:[Work Type]],0,
SUMIFS(Input_Tasks[R5 After Hours],Input_Tasks[[Skill Required]:[Skill Required]],PART_NUMBER_GENERATOR_TABLE[[#This Row],[Tech]:[Tech]])))</f>
        <v>0</v>
      </c>
      <c r="T119" cm="1">
        <f t="array" ref="T119">IF(PART_NUMBER_GENERATOR_TABLE[[#This Row],[Work Role]:[Work Role]]&lt;&gt;T$1,0,
IF(PART_NUMBER_GENERATOR_TABLE[[#This Row],[Work Type]:[Work Type]]&lt;&gt;"BH",0,
SUMIFS(T$9:T$24,$M$9:$M$24,PART_NUMBER_GENERATOR_TABLE[[#This Row],[Tech]:[Tech]])))</f>
        <v>0</v>
      </c>
      <c r="U119" cm="1">
        <f t="array" ref="U119">IF(PART_NUMBER_GENERATOR_TABLE[[#This Row],[Work Role]:[Work Role]]&lt;&gt;U$1,0,
IF(PART_NUMBER_GENERATOR_TABLE[[#This Row],[Work Type]:[Work Type]]&lt;&gt;"BH",0,
SUMIFS(U$9:U$24,$M$9:$M$24,PART_NUMBER_GENERATOR_TABLE[[#This Row],[Tech]:[Tech]])))</f>
        <v>0</v>
      </c>
      <c r="V119" cm="1">
        <f t="array" ref="V119">IF(PART_NUMBER_GENERATOR_TABLE[[#This Row],[Work Role]:[Work Role]]&lt;&gt;V$1,0,
IF(PART_NUMBER_GENERATOR_TABLE[[#This Row],[Work Type]:[Work Type]]&lt;&gt;"BH",0,
SUMIFS(V$9:V$24,$M$9:$M$24,PART_NUMBER_GENERATOR_TABLE[[#This Row],[Tech]:[Tech]])))</f>
        <v>0</v>
      </c>
      <c r="W119" cm="1">
        <f t="array" ref="W119">IF(PART_NUMBER_GENERATOR_TABLE[[#This Row],[Work Role]:[Work Role]]&lt;&gt;W$1,0,
IF(PART_NUMBER_GENERATOR_TABLE[[#This Row],[Work Type]:[Work Type]]&lt;&gt;"BH",0,
SUMIFS(W$9:W$24,$M$9:$M$24,PART_NUMBER_GENERATOR_TABLE[[#This Row],[Tech]:[Tech]])))</f>
        <v>0</v>
      </c>
      <c r="X119" cm="1">
        <f t="array" ref="X119">IF(PART_NUMBER_GENERATOR_TABLE[[#This Row],[Work Role]:[Work Role]]&lt;&gt;X$1,0,
IF(PART_NUMBER_GENERATOR_TABLE[[#This Row],[Work Type]:[Work Type]]&lt;&gt;"BH",0,
SUMIFS(X$9:X$24,$M$9:$M$24,PART_NUMBER_GENERATOR_TABLE[[#This Row],[Tech]:[Tech]])))</f>
        <v>0</v>
      </c>
      <c r="Y119" cm="1">
        <f t="array" ref="Y119">IF(PART_NUMBER_GENERATOR_TABLE[[#This Row],[Work Role]:[Work Role]]&lt;&gt;Y$1,0,
IF(PART_NUMBER_GENERATOR_TABLE[[#This Row],[Work Type]:[Work Type]]&lt;&gt;"BH",0,
SUMIFS(Y$9:Y$24,$M$9:$M$24,PART_NUMBER_GENERATOR_TABLE[[#This Row],[Tech]:[Tech]])))</f>
        <v>0</v>
      </c>
      <c r="Z119" cm="1">
        <f t="array" ref="Z119">IF(PART_NUMBER_GENERATOR_TABLE[[#This Row],[Work Role]:[Work Role]]&lt;&gt;Z$1,0,
IF(PART_NUMBER_GENERATOR_TABLE[[#This Row],[Work Type]:[Work Type]]&lt;&gt;"BH",0,
SUMIFS(Z$9:Z$24,$M$9:$M$24,PART_NUMBER_GENERATOR_TABLE[[#This Row],[Tech]:[Tech]])))</f>
        <v>0</v>
      </c>
      <c r="AA119" cm="1">
        <f t="array" ref="AA119">IF(PART_NUMBER_GENERATOR_TABLE[[#This Row],[Work Role]:[Work Role]]&lt;&gt;AA$1,0,
IF(PART_NUMBER_GENERATOR_TABLE[[#This Row],[Work Type]:[Work Type]]&lt;&gt;"BH",0,
SUMIFS(AA$9:AA$24,$M$9:$M$24,PART_NUMBER_GENERATOR_TABLE[[#This Row],[Tech]:[Tech]])))</f>
        <v>0</v>
      </c>
      <c r="AB119" cm="1">
        <f t="array" ref="AB119">IF(PART_NUMBER_GENERATOR_TABLE[[#This Row],[Work Role]:[Work Role]]&lt;&gt;AB$1,0,
IF(PART_NUMBER_GENERATOR_TABLE[[#This Row],[Work Type]:[Work Type]]&lt;&gt;"BH",0,
SUMIFS(AB$9:AB$24,$M$9:$M$24,PART_NUMBER_GENERATOR_TABLE[[#This Row],[Tech]:[Tech]])))</f>
        <v>0</v>
      </c>
      <c r="AC119" cm="1">
        <f t="array" ref="AC119">IF(PART_NUMBER_GENERATOR_TABLE[[#This Row],[Work Role]:[Work Role]]&lt;&gt;AC$1,0,
IF(PART_NUMBER_GENERATOR_TABLE[[#This Row],[Work Type]:[Work Type]]&lt;&gt;"BH",0,
SUMIFS(AC$9:AC$24,$M$9:$M$24,PART_NUMBER_GENERATOR_TABLE[[#This Row],[Tech]:[Tech]])))</f>
        <v>0</v>
      </c>
      <c r="AD119" cm="1">
        <f t="array" ref="AD119">IF(PART_NUMBER_GENERATOR_TABLE[[#This Row],[Work Role]:[Work Role]]&lt;&gt;AD$1,0,
IF(PART_NUMBER_GENERATOR_TABLE[[#This Row],[Work Type]:[Work Type]]&lt;&gt;"BH",0,
SUMIFS(AD$9:AD$24,$M$9:$M$24,PART_NUMBER_GENERATOR_TABLE[[#This Row],[Tech]:[Tech]])))</f>
        <v>0</v>
      </c>
      <c r="AE119" cm="1">
        <f t="array" ref="AE119">IF(PART_NUMBER_GENERATOR_TABLE[[#This Row],[Work Role]:[Work Role]]&lt;&gt;AE$1,0,
IF(PART_NUMBER_GENERATOR_TABLE[[#This Row],[Work Type]:[Work Type]]&lt;&gt;"BH",0,
SUMIFS(AE$9:AE$24,$M$9:$M$24,PART_NUMBER_GENERATOR_TABLE[[#This Row],[Tech]:[Tech]])))</f>
        <v>0</v>
      </c>
      <c r="AF119" cm="1">
        <f t="array" ref="AF119">IF(PART_NUMBER_GENERATOR_TABLE[[#This Row],[Work Role]:[Work Role]]&lt;&gt;AF$1,0,
IF(PART_NUMBER_GENERATOR_TABLE[[#This Row],[Work Type]:[Work Type]]&lt;&gt;"BH",0,
SUMIFS(AF$9:AF$24,$M$9:$M$24,PART_NUMBER_GENERATOR_TABLE[[#This Row],[Tech]:[Tech]])))</f>
        <v>0</v>
      </c>
      <c r="AG119" cm="1">
        <f t="array" ref="AG119">IF(PART_NUMBER_GENERATOR_TABLE[[#This Row],[Work Role]:[Work Role]]&lt;&gt;AG$1,0,
IF(PART_NUMBER_GENERATOR_TABLE[[#This Row],[Work Type]:[Work Type]]&lt;&gt;"AH",0,
SUMIFS(AG$9:AG$24,$M$9:$M$24,PART_NUMBER_GENERATOR_TABLE[[#This Row],[Tech]:[Tech]])))</f>
        <v>0</v>
      </c>
      <c r="AH119" cm="1">
        <f t="array" ref="AH119">IF(PART_NUMBER_GENERATOR_TABLE[[#This Row],[Work Role]:[Work Role]]&lt;&gt;AH$1,0,
IF(PART_NUMBER_GENERATOR_TABLE[[#This Row],[Work Type]:[Work Type]]&lt;&gt;"BH",0,
SUMIFS(AH$9:AH$24,$M$9:$M$24,PART_NUMBER_GENERATOR_TABLE[[#This Row],[Tech]:[Tech]])))</f>
        <v>0</v>
      </c>
      <c r="AI119" cm="1">
        <f t="array" ref="AI119">IF(PART_NUMBER_GENERATOR_TABLE[[#This Row],[Work Role]:[Work Role]]&lt;&gt;AI$1,0,
IF(PART_NUMBER_GENERATOR_TABLE[[#This Row],[Work Type]:[Work Type]]&lt;&gt;"BH",0,
SUMIFS(AI$9:AI$24,$M$9:$M$24,PART_NUMBER_GENERATOR_TABLE[[#This Row],[Tech]:[Tech]])))</f>
        <v>0</v>
      </c>
      <c r="AJ119" cm="1">
        <f t="array" ref="AJ119">IF(PART_NUMBER_GENERATOR_TABLE[[#This Row],[Work Role]:[Work Role]]&lt;&gt;AJ$1,0,
IF(PART_NUMBER_GENERATOR_TABLE[[#This Row],[Work Type]:[Work Type]]&lt;&gt;"BH",0,
SUMIFS(AJ$9:AJ$24,$M$9:$M$24,PART_NUMBER_GENERATOR_TABLE[[#This Row],[Tech]:[Tech]])))</f>
        <v>0</v>
      </c>
      <c r="AK119" cm="1">
        <f t="array" ref="AK119">IF(PART_NUMBER_GENERATOR_TABLE[[#This Row],[Work Role]:[Work Role]]&lt;&gt;AK$1,0,
IF(PART_NUMBER_GENERATOR_TABLE[[#This Row],[Work Type]:[Work Type]]&lt;&gt;"AH",0,
SUMIFS(AK$9:AK$24,$M$9:$M$24,PART_NUMBER_GENERATOR_TABLE[[#This Row],[Tech]:[Tech]])))</f>
        <v>0</v>
      </c>
      <c r="AL119" cm="1">
        <f t="array" ref="AL119">IF(PART_NUMBER_GENERATOR_TABLE[[#This Row],[Work Role]:[Work Role]]&lt;&gt;AL$1,0,
IF(PART_NUMBER_GENERATOR_TABLE[[#This Row],[Work Type]:[Work Type]]&lt;&gt;"BH",0,
SUMIFS(AL$9:AL$24,$M$9:$M$24,PART_NUMBER_GENERATOR_TABLE[[#This Row],[Tech]:[Tech]])))</f>
        <v>0</v>
      </c>
      <c r="AM119">
        <f>0</f>
        <v>0</v>
      </c>
      <c r="AN119" cm="1">
        <f t="array" ref="AN119">IF(PART_NUMBER_GENERATOR_TABLE[[#This Row],[Work Role]:[Work Role]]&lt;&gt;AN$1,0,
IF(PART_NUMBER_GENERATOR_TABLE[[#This Row],[Work Type]:[Work Type]]&lt;&gt;"BH",0,
SUMIFS(AN$24,$AM$24,PART_NUMBER_GENERATOR_TABLE[[#This Row],[Tech]:[Tech]])))</f>
        <v>0</v>
      </c>
      <c r="AO119" cm="1">
        <f t="array" ref="AO119">IF(PART_NUMBER_GENERATOR_TABLE[[#This Row],[Work Role]:[Work Role]]&lt;&gt;AO$1,0,
IF(PART_NUMBER_GENERATOR_TABLE[[#This Row],[Work Type]:[Work Type]]&lt;&gt;"BH",0,
SUMIFS(AO$24,$AM$24,PART_NUMBER_GENERATOR_TABLE[[#This Row],[Tech]:[Tech]])))</f>
        <v>0</v>
      </c>
      <c r="AP119" cm="1">
        <f t="array" ref="AP119">IF(PART_NUMBER_GENERATOR_TABLE[[#This Row],[Work Role]:[Work Role]]&lt;&gt;AP$1,0,
IF(PART_NUMBER_GENERATOR_TABLE[[#This Row],[Work Type]:[Work Type]]&lt;&gt;"BH",0,
SUMIFS(AP$24,$AM$24,PART_NUMBER_GENERATOR_TABLE[[#This Row],[Tech]:[Tech]])))</f>
        <v>0</v>
      </c>
      <c r="AQ119" cm="1">
        <f t="array" ref="AQ119">IF(PART_NUMBER_GENERATOR_TABLE[[#This Row],[Work Role]:[Work Role]]&lt;&gt;AQ$1,0,
IF(PART_NUMBER_GENERATOR_TABLE[[#This Row],[Work Type]:[Work Type]]&lt;&gt;"BH",0,
SUMIFS(AQ$24,$AM$24,PART_NUMBER_GENERATOR_TABLE[[#This Row],[Tech]:[Tech]])))</f>
        <v>0</v>
      </c>
      <c r="AR119" cm="1">
        <f t="array" ref="AR119">IF(PART_NUMBER_GENERATOR_TABLE[[#This Row],[Work Role]:[Work Role]]&lt;&gt;AR$1,0,
IF(PART_NUMBER_GENERATOR_TABLE[[#This Row],[Work Type]:[Work Type]]&lt;&gt;"BH",0,
SUMIFS(AR$24,$AM$24,PART_NUMBER_GENERATOR_TABLE[[#This Row],[Tech]:[Tech]])))</f>
        <v>0</v>
      </c>
      <c r="AS119" cm="1">
        <f t="array" ref="AS119">IF(PART_NUMBER_GENERATOR_TABLE[[#This Row],[Work Role]:[Work Role]]&lt;&gt;AS$1,0,
IF(PART_NUMBER_GENERATOR_TABLE[[#This Row],[Work Type]:[Work Type]]&lt;&gt;"BH",0,
SUMIFS(AS$24,$AM$24,PART_NUMBER_GENERATOR_TABLE[[#This Row],[Tech]:[Tech]])))</f>
        <v>0</v>
      </c>
      <c r="AT119" cm="1">
        <f t="array" ref="AT119">IF(PART_NUMBER_GENERATOR_TABLE[[#This Row],[Work Role]:[Work Role]]&lt;&gt;AS$1,0,
IF(PART_NUMBER_GENERATOR_TABLE[[#This Row],[Work Type]:[Work Type]]&lt;&gt;"BH",0,
SUMIFS(AT$24,$AM$24,PART_NUMBER_GENERATOR_TABLE[[#This Row],[Tech]:[Tech]])))</f>
        <v>0</v>
      </c>
      <c r="AU119">
        <f>SUM(PART_NUMBER_GENERATOR_TABLE[[#This Row],[Resource 1 BH]:[Resource 5 AH]],PART_NUMBER_GENERATOR_TABLE[[#This Row],[R1 Mandatory Tasks]:[R5 Mandatory Tasks]],PART_NUMBER_GENERATOR_TABLE[[#This Row],[R1 Remainder]:[R5 Remainder]])</f>
        <v>0</v>
      </c>
      <c r="AV119">
        <f>PART_NUMBER_GENERATOR_TABLE[[#This Row],[Professional Engineering Hours]]*PART_NUMBER_GENERATOR_TABLE[[#This Row],[Sell Rate]]</f>
        <v>0</v>
      </c>
      <c r="AW119">
        <f>PART_NUMBER_GENERATOR_TABLE[[#This Row],[Professional Engineering Hours]]*PART_NUMBER_GENERATOR_TABLE[[#This Row],[Cost Rate]]</f>
        <v>0</v>
      </c>
      <c r="AX119">
        <f>SUM(PART_NUMBER_GENERATOR_TABLE[[#This Row],[PM Trips]:[R5 Trips]])</f>
        <v>0</v>
      </c>
      <c r="AY119">
        <f>PART_NUMBER_GENERATOR_TABLE[[#This Row],[Travel &amp; Accommodation Hours]]*PART_NUMBER_GENERATOR_TABLE[[#This Row],[Sell Rate]]</f>
        <v>0</v>
      </c>
      <c r="AZ119">
        <f>PART_NUMBER_GENERATOR_TABLE[[#This Row],[Travel &amp; Accommodation Hours]]*PART_NUMBER_GENERATOR_TABLE[[#This Row],[Cost Rate]]</f>
        <v>0</v>
      </c>
      <c r="BA119">
        <f>PART_NUMBER_GENERATOR_TABLE[[#This Row],[PM Hours]]+PART_NUMBER_GENERATOR_TABLE[[#This Row],[PM Remainder]]</f>
        <v>0</v>
      </c>
      <c r="BB119">
        <f>PART_NUMBER_GENERATOR_TABLE[[#This Row],[Project Management Hours]]*PART_NUMBER_GENERATOR_TABLE[[#This Row],[Sell Rate]]</f>
        <v>0</v>
      </c>
      <c r="BC119">
        <f>PART_NUMBER_GENERATOR_TABLE[[#This Row],[Project Management Hours]]*PART_NUMBER_GENERATOR_TABLE[[#This Row],[Cost Rate]]</f>
        <v>0</v>
      </c>
      <c r="BD119">
        <f>SUM(PART_NUMBER_GENERATOR_TABLE[[#This Row],[SSE RISK BH]:[PM RISK]],PART_NUMBER_GENERATOR_TABLE[[#This Row],[SSE Remainder RISK BH]:[PM Remainder RISK]])</f>
        <v>0</v>
      </c>
      <c r="BE119">
        <f>PART_NUMBER_GENERATOR_TABLE[[#This Row],[Project Risk Service Hours]]*PART_NUMBER_GENERATOR_TABLE[[#This Row],[Sell Rate]]</f>
        <v>0</v>
      </c>
      <c r="BF119">
        <f>PART_NUMBER_GENERATOR_TABLE[[#This Row],[Project Risk Service Hours]]*PART_NUMBER_GENERATOR_TABLE[[#This Row],[Cost Rate]]</f>
        <v>0</v>
      </c>
      <c r="BG119">
        <f>PART_NUMBER_GENERATOR_TABLE[[#This Row],[SSE RISK TRAVEL]]</f>
        <v>0</v>
      </c>
      <c r="BH119">
        <f>PART_NUMBER_GENERATOR_TABLE[[#This Row],[Sell Rate]]*PART_NUMBER_GENERATOR_TABLE[[#This Row],[Project Risk Travel Hours]]</f>
        <v>0</v>
      </c>
      <c r="BI119">
        <f>PART_NUMBER_GENERATOR_TABLE[[#This Row],[Project Risk Travel Hours]]*PART_NUMBER_GENERATOR_TABLE[[#This Row],[Cost Rate]]</f>
        <v>0</v>
      </c>
      <c r="BJ11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1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19">
        <f>IFERROR(-VLOOKUP(INDEX(ENGINEER_ROLES,MATCH(PART_NUMBER_GENERATOR_TABLE[[#This Row],[Work Role]],settings.Table_Engineer.Roles[ID],0),1),Settings_Hidden!$H$359:$K$366,4,FALSE),0)</f>
        <v>0</v>
      </c>
      <c r="BM119" s="680">
        <f>-Summary!$C$66</f>
        <v>0</v>
      </c>
      <c r="BN119" s="465">
        <f>PART_NUMBER_GENERATOR_TABLE[[#This Row],[Total Base Price]]*MIN(PART_NUMBER_GENERATOR_TABLE[[#This Row],[Rate Service Discount]:[Flat Service Discount]])</f>
        <v>0</v>
      </c>
      <c r="BO119" s="451" t="str">
        <f>IF(PART_NUMBER_GENERATOR_TABLE[[#This Row],[Quantity]]&lt;&gt;0,MAX($BO$30:BO118)+1,"")</f>
        <v/>
      </c>
      <c r="BP119" t="str">
        <f>PART_NUMBER_GENERATOR_TABLE[[#This Row],[Part Number]]</f>
        <v>A-PS-E-SECNET-SSE-AH</v>
      </c>
      <c r="BQ119">
        <f>PART_NUMBER_GENERATOR_TABLE[[#This Row],[Total Hours]]</f>
        <v>0</v>
      </c>
      <c r="BR119">
        <f>PART_NUMBER_GENERATOR_TABLE[[#This Row],[Cost Rate]]</f>
        <v>224.87758587669589</v>
      </c>
      <c r="BS119" s="465">
        <f>PART_NUMBER_GENERATOR_TABLE[[#This Row],[Sell Rate]]+(PART_NUMBER_GENERATOR_TABLE[[#This Row],[Sell Rate]]*MIN(PART_NUMBER_GENERATOR_TABLE[[#This Row],[Rate Service Discount]:[Flat Service Discount]]))</f>
        <v>420.75</v>
      </c>
    </row>
    <row r="120" spans="1:71">
      <c r="A120">
        <v>90</v>
      </c>
      <c r="C120" t="s">
        <v>1082</v>
      </c>
      <c r="D120" t="str" cm="1">
        <f t="array" ref="D120">INDEX(Table.Settings_Skill.List[Skill Name],MATCH(INDEX(_xlfn.TEXTSPLIT(C120,"-",,TRUE),4),Table.Settings_Skill.List[Skill Code],0),1)</f>
        <v>Security</v>
      </c>
      <c r="E120" t="str" cm="1">
        <f t="array" ref="E120">INDEX(_xlfn.TEXTSPLIT(C120,"-",,TRUE),5)</f>
        <v>SCE</v>
      </c>
      <c r="F120" t="str">
        <f>IFERROR(INDEX(settings.Table_Engineer.Roles[Department Code],MATCH(PART_NUMBER_GENERATOR_TABLE[[#This Row],[Work Role]],settings.Table_Engineer.Roles[ID],0),1),"PMO")</f>
        <v>ENG</v>
      </c>
      <c r="G120" t="str" cm="1">
        <f t="array" ref="G120">INDEX(_xlfn.TEXTSPLIT(C120,"-",,TRUE),6)</f>
        <v>AH</v>
      </c>
      <c r="H12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2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20" cm="1">
        <f t="array" ref="J120">IF(J$1&lt;&gt;PART_NUMBER_GENERATOR_TABLE[[#This Row],[Work Role]:[Work Role]],0,
IF(RIGHT(J$30,2)&lt;&gt;PART_NUMBER_GENERATOR_TABLE[[#This Row],[Work Type]:[Work Type]],0,
SUMIFS(Input_Tasks[R1 Business Hours],Input_Tasks[[Skill Required]:[Skill Required]],PART_NUMBER_GENERATOR_TABLE[[#This Row],[Tech]:[Tech]])))</f>
        <v>0</v>
      </c>
      <c r="K120" cm="1">
        <f t="array" ref="K120">IF(K$1&lt;&gt;PART_NUMBER_GENERATOR_TABLE[[#This Row],[Work Role]:[Work Role]],0,
IF(RIGHT(K$30,2)&lt;&gt;PART_NUMBER_GENERATOR_TABLE[[#This Row],[Work Type]:[Work Type]],0,
SUMIFS(Input_Tasks[R1 After Hours],Input_Tasks[[Skill Required]:[Skill Required]],PART_NUMBER_GENERATOR_TABLE[[#This Row],[Tech]:[Tech]])))</f>
        <v>0</v>
      </c>
      <c r="L120" cm="1">
        <f t="array" ref="L120">IF(L$1&lt;&gt;PART_NUMBER_GENERATOR_TABLE[[#This Row],[Work Role]:[Work Role]],0,
IF(RIGHT(L$30,2)&lt;&gt;PART_NUMBER_GENERATOR_TABLE[[#This Row],[Work Type]:[Work Type]],0,
SUMIFS(Input_Tasks[R2 Business Hours],Input_Tasks[[Skill Required]:[Skill Required]],PART_NUMBER_GENERATOR_TABLE[[#This Row],[Tech]:[Tech]])))</f>
        <v>0</v>
      </c>
      <c r="M120" cm="1">
        <f t="array" ref="M120">IF(M$1&lt;&gt;PART_NUMBER_GENERATOR_TABLE[[#This Row],[Work Role]:[Work Role]],0,
IF(RIGHT(M$30,2)&lt;&gt;PART_NUMBER_GENERATOR_TABLE[[#This Row],[Work Type]:[Work Type]],0,
SUMIFS(Input_Tasks[R2 After Hours],Input_Tasks[[Skill Required]:[Skill Required]],PART_NUMBER_GENERATOR_TABLE[[#This Row],[Tech]:[Tech]])))</f>
        <v>0</v>
      </c>
      <c r="N120" cm="1">
        <f t="array" ref="N120">IF(N$1&lt;&gt;PART_NUMBER_GENERATOR_TABLE[[#This Row],[Work Role]:[Work Role]],0,
IF(RIGHT(N$30,2)&lt;&gt;PART_NUMBER_GENERATOR_TABLE[[#This Row],[Work Type]:[Work Type]],0,
SUMIFS(Input_Tasks[R3 Business Hours],Input_Tasks[[Skill Required]:[Skill Required]],PART_NUMBER_GENERATOR_TABLE[[#This Row],[Tech]:[Tech]])))</f>
        <v>0</v>
      </c>
      <c r="O120" cm="1">
        <f t="array" ref="O120">IF(O$1&lt;&gt;PART_NUMBER_GENERATOR_TABLE[[#This Row],[Work Role]:[Work Role]],0,
IF(RIGHT(O$30,2)&lt;&gt;PART_NUMBER_GENERATOR_TABLE[[#This Row],[Work Type]:[Work Type]],0,
SUMIFS(Input_Tasks[R3 After Hours],Input_Tasks[[Skill Required]:[Skill Required]],PART_NUMBER_GENERATOR_TABLE[[#This Row],[Tech]:[Tech]])))</f>
        <v>0</v>
      </c>
      <c r="P120" cm="1">
        <f t="array" ref="P120">IF(P$1&lt;&gt;PART_NUMBER_GENERATOR_TABLE[[#This Row],[Work Role]:[Work Role]],0,
IF(RIGHT(P$30,2)&lt;&gt;PART_NUMBER_GENERATOR_TABLE[[#This Row],[Work Type]:[Work Type]],0,
SUMIFS(Input_Tasks[R4 Business Hours],Input_Tasks[[Skill Required]:[Skill Required]],PART_NUMBER_GENERATOR_TABLE[[#This Row],[Tech]:[Tech]])))</f>
        <v>0</v>
      </c>
      <c r="Q120" cm="1">
        <f t="array" ref="Q120">IF(Q$1&lt;&gt;PART_NUMBER_GENERATOR_TABLE[[#This Row],[Work Role]:[Work Role]],0,
IF(RIGHT(Q$30,2)&lt;&gt;PART_NUMBER_GENERATOR_TABLE[[#This Row],[Work Type]:[Work Type]],0,
SUMIFS(Input_Tasks[R4 After Hours],Input_Tasks[[Skill Required]:[Skill Required]],PART_NUMBER_GENERATOR_TABLE[[#This Row],[Tech]:[Tech]])))</f>
        <v>0</v>
      </c>
      <c r="R120" cm="1">
        <f t="array" ref="R120">IF(R$1&lt;&gt;PART_NUMBER_GENERATOR_TABLE[[#This Row],[Work Role]:[Work Role]],0,
IF(RIGHT(R$30,2)&lt;&gt;PART_NUMBER_GENERATOR_TABLE[[#This Row],[Work Type]:[Work Type]],0,
SUMIFS(Input_Tasks[R5 Business Hours],Input_Tasks[[Skill Required]:[Skill Required]],PART_NUMBER_GENERATOR_TABLE[[#This Row],[Tech]:[Tech]])))</f>
        <v>0</v>
      </c>
      <c r="S120" cm="1">
        <f t="array" ref="S120">IF(S$1&lt;&gt;PART_NUMBER_GENERATOR_TABLE[[#This Row],[Work Role]:[Work Role]],0,
IF(RIGHT(S$30,2)&lt;&gt;PART_NUMBER_GENERATOR_TABLE[[#This Row],[Work Type]:[Work Type]],0,
SUMIFS(Input_Tasks[R5 After Hours],Input_Tasks[[Skill Required]:[Skill Required]],PART_NUMBER_GENERATOR_TABLE[[#This Row],[Tech]:[Tech]])))</f>
        <v>0</v>
      </c>
      <c r="T120" cm="1">
        <f t="array" ref="T120">IF(PART_NUMBER_GENERATOR_TABLE[[#This Row],[Work Role]:[Work Role]]&lt;&gt;T$1,0,
IF(PART_NUMBER_GENERATOR_TABLE[[#This Row],[Work Type]:[Work Type]]&lt;&gt;"BH",0,
SUMIFS(T$9:T$24,$M$9:$M$24,PART_NUMBER_GENERATOR_TABLE[[#This Row],[Tech]:[Tech]])))</f>
        <v>0</v>
      </c>
      <c r="U120" cm="1">
        <f t="array" ref="U120">IF(PART_NUMBER_GENERATOR_TABLE[[#This Row],[Work Role]:[Work Role]]&lt;&gt;U$1,0,
IF(PART_NUMBER_GENERATOR_TABLE[[#This Row],[Work Type]:[Work Type]]&lt;&gt;"BH",0,
SUMIFS(U$9:U$24,$M$9:$M$24,PART_NUMBER_GENERATOR_TABLE[[#This Row],[Tech]:[Tech]])))</f>
        <v>0</v>
      </c>
      <c r="V120" cm="1">
        <f t="array" ref="V120">IF(PART_NUMBER_GENERATOR_TABLE[[#This Row],[Work Role]:[Work Role]]&lt;&gt;V$1,0,
IF(PART_NUMBER_GENERATOR_TABLE[[#This Row],[Work Type]:[Work Type]]&lt;&gt;"BH",0,
SUMIFS(V$9:V$24,$M$9:$M$24,PART_NUMBER_GENERATOR_TABLE[[#This Row],[Tech]:[Tech]])))</f>
        <v>0</v>
      </c>
      <c r="W120" cm="1">
        <f t="array" ref="W120">IF(PART_NUMBER_GENERATOR_TABLE[[#This Row],[Work Role]:[Work Role]]&lt;&gt;W$1,0,
IF(PART_NUMBER_GENERATOR_TABLE[[#This Row],[Work Type]:[Work Type]]&lt;&gt;"BH",0,
SUMIFS(W$9:W$24,$M$9:$M$24,PART_NUMBER_GENERATOR_TABLE[[#This Row],[Tech]:[Tech]])))</f>
        <v>0</v>
      </c>
      <c r="X120" cm="1">
        <f t="array" ref="X120">IF(PART_NUMBER_GENERATOR_TABLE[[#This Row],[Work Role]:[Work Role]]&lt;&gt;X$1,0,
IF(PART_NUMBER_GENERATOR_TABLE[[#This Row],[Work Type]:[Work Type]]&lt;&gt;"BH",0,
SUMIFS(X$9:X$24,$M$9:$M$24,PART_NUMBER_GENERATOR_TABLE[[#This Row],[Tech]:[Tech]])))</f>
        <v>0</v>
      </c>
      <c r="Y120" cm="1">
        <f t="array" ref="Y120">IF(PART_NUMBER_GENERATOR_TABLE[[#This Row],[Work Role]:[Work Role]]&lt;&gt;Y$1,0,
IF(PART_NUMBER_GENERATOR_TABLE[[#This Row],[Work Type]:[Work Type]]&lt;&gt;"BH",0,
SUMIFS(Y$9:Y$24,$M$9:$M$24,PART_NUMBER_GENERATOR_TABLE[[#This Row],[Tech]:[Tech]])))</f>
        <v>0</v>
      </c>
      <c r="Z120" cm="1">
        <f t="array" ref="Z120">IF(PART_NUMBER_GENERATOR_TABLE[[#This Row],[Work Role]:[Work Role]]&lt;&gt;Z$1,0,
IF(PART_NUMBER_GENERATOR_TABLE[[#This Row],[Work Type]:[Work Type]]&lt;&gt;"BH",0,
SUMIFS(Z$9:Z$24,$M$9:$M$24,PART_NUMBER_GENERATOR_TABLE[[#This Row],[Tech]:[Tech]])))</f>
        <v>0</v>
      </c>
      <c r="AA120" cm="1">
        <f t="array" ref="AA120">IF(PART_NUMBER_GENERATOR_TABLE[[#This Row],[Work Role]:[Work Role]]&lt;&gt;AA$1,0,
IF(PART_NUMBER_GENERATOR_TABLE[[#This Row],[Work Type]:[Work Type]]&lt;&gt;"BH",0,
SUMIFS(AA$9:AA$24,$M$9:$M$24,PART_NUMBER_GENERATOR_TABLE[[#This Row],[Tech]:[Tech]])))</f>
        <v>0</v>
      </c>
      <c r="AB120" cm="1">
        <f t="array" ref="AB120">IF(PART_NUMBER_GENERATOR_TABLE[[#This Row],[Work Role]:[Work Role]]&lt;&gt;AB$1,0,
IF(PART_NUMBER_GENERATOR_TABLE[[#This Row],[Work Type]:[Work Type]]&lt;&gt;"BH",0,
SUMIFS(AB$9:AB$24,$M$9:$M$24,PART_NUMBER_GENERATOR_TABLE[[#This Row],[Tech]:[Tech]])))</f>
        <v>0</v>
      </c>
      <c r="AC120" cm="1">
        <f t="array" ref="AC120">IF(PART_NUMBER_GENERATOR_TABLE[[#This Row],[Work Role]:[Work Role]]&lt;&gt;AC$1,0,
IF(PART_NUMBER_GENERATOR_TABLE[[#This Row],[Work Type]:[Work Type]]&lt;&gt;"BH",0,
SUMIFS(AC$9:AC$24,$M$9:$M$24,PART_NUMBER_GENERATOR_TABLE[[#This Row],[Tech]:[Tech]])))</f>
        <v>0</v>
      </c>
      <c r="AD120" cm="1">
        <f t="array" ref="AD120">IF(PART_NUMBER_GENERATOR_TABLE[[#This Row],[Work Role]:[Work Role]]&lt;&gt;AD$1,0,
IF(PART_NUMBER_GENERATOR_TABLE[[#This Row],[Work Type]:[Work Type]]&lt;&gt;"BH",0,
SUMIFS(AD$9:AD$24,$M$9:$M$24,PART_NUMBER_GENERATOR_TABLE[[#This Row],[Tech]:[Tech]])))</f>
        <v>0</v>
      </c>
      <c r="AE120" cm="1">
        <f t="array" ref="AE120">IF(PART_NUMBER_GENERATOR_TABLE[[#This Row],[Work Role]:[Work Role]]&lt;&gt;AE$1,0,
IF(PART_NUMBER_GENERATOR_TABLE[[#This Row],[Work Type]:[Work Type]]&lt;&gt;"BH",0,
SUMIFS(AE$9:AE$24,$M$9:$M$24,PART_NUMBER_GENERATOR_TABLE[[#This Row],[Tech]:[Tech]])))</f>
        <v>0</v>
      </c>
      <c r="AF120" cm="1">
        <f t="array" ref="AF120">IF(PART_NUMBER_GENERATOR_TABLE[[#This Row],[Work Role]:[Work Role]]&lt;&gt;AF$1,0,
IF(PART_NUMBER_GENERATOR_TABLE[[#This Row],[Work Type]:[Work Type]]&lt;&gt;"BH",0,
SUMIFS(AF$9:AF$24,$M$9:$M$24,PART_NUMBER_GENERATOR_TABLE[[#This Row],[Tech]:[Tech]])))</f>
        <v>0</v>
      </c>
      <c r="AG120" cm="1">
        <f t="array" ref="AG120">IF(PART_NUMBER_GENERATOR_TABLE[[#This Row],[Work Role]:[Work Role]]&lt;&gt;AG$1,0,
IF(PART_NUMBER_GENERATOR_TABLE[[#This Row],[Work Type]:[Work Type]]&lt;&gt;"AH",0,
SUMIFS(AG$9:AG$24,$M$9:$M$24,PART_NUMBER_GENERATOR_TABLE[[#This Row],[Tech]:[Tech]])))</f>
        <v>0</v>
      </c>
      <c r="AH120" cm="1">
        <f t="array" ref="AH120">IF(PART_NUMBER_GENERATOR_TABLE[[#This Row],[Work Role]:[Work Role]]&lt;&gt;AH$1,0,
IF(PART_NUMBER_GENERATOR_TABLE[[#This Row],[Work Type]:[Work Type]]&lt;&gt;"BH",0,
SUMIFS(AH$9:AH$24,$M$9:$M$24,PART_NUMBER_GENERATOR_TABLE[[#This Row],[Tech]:[Tech]])))</f>
        <v>0</v>
      </c>
      <c r="AI120" cm="1">
        <f t="array" ref="AI120">IF(PART_NUMBER_GENERATOR_TABLE[[#This Row],[Work Role]:[Work Role]]&lt;&gt;AI$1,0,
IF(PART_NUMBER_GENERATOR_TABLE[[#This Row],[Work Type]:[Work Type]]&lt;&gt;"BH",0,
SUMIFS(AI$9:AI$24,$M$9:$M$24,PART_NUMBER_GENERATOR_TABLE[[#This Row],[Tech]:[Tech]])))</f>
        <v>0</v>
      </c>
      <c r="AJ120" cm="1">
        <f t="array" ref="AJ120">IF(PART_NUMBER_GENERATOR_TABLE[[#This Row],[Work Role]:[Work Role]]&lt;&gt;AJ$1,0,
IF(PART_NUMBER_GENERATOR_TABLE[[#This Row],[Work Type]:[Work Type]]&lt;&gt;"BH",0,
SUMIFS(AJ$9:AJ$24,$M$9:$M$24,PART_NUMBER_GENERATOR_TABLE[[#This Row],[Tech]:[Tech]])))</f>
        <v>0</v>
      </c>
      <c r="AK120" cm="1">
        <f t="array" ref="AK120">IF(PART_NUMBER_GENERATOR_TABLE[[#This Row],[Work Role]:[Work Role]]&lt;&gt;AK$1,0,
IF(PART_NUMBER_GENERATOR_TABLE[[#This Row],[Work Type]:[Work Type]]&lt;&gt;"AH",0,
SUMIFS(AK$9:AK$24,$M$9:$M$24,PART_NUMBER_GENERATOR_TABLE[[#This Row],[Tech]:[Tech]])))</f>
        <v>0</v>
      </c>
      <c r="AL120" cm="1">
        <f t="array" ref="AL120">IF(PART_NUMBER_GENERATOR_TABLE[[#This Row],[Work Role]:[Work Role]]&lt;&gt;AL$1,0,
IF(PART_NUMBER_GENERATOR_TABLE[[#This Row],[Work Type]:[Work Type]]&lt;&gt;"BH",0,
SUMIFS(AL$9:AL$24,$M$9:$M$24,PART_NUMBER_GENERATOR_TABLE[[#This Row],[Tech]:[Tech]])))</f>
        <v>0</v>
      </c>
      <c r="AM120">
        <f>0</f>
        <v>0</v>
      </c>
      <c r="AN120" cm="1">
        <f t="array" ref="AN120">IF(PART_NUMBER_GENERATOR_TABLE[[#This Row],[Work Role]:[Work Role]]&lt;&gt;AN$1,0,
IF(PART_NUMBER_GENERATOR_TABLE[[#This Row],[Work Type]:[Work Type]]&lt;&gt;"BH",0,
SUMIFS(AN$24,$AM$24,PART_NUMBER_GENERATOR_TABLE[[#This Row],[Tech]:[Tech]])))</f>
        <v>0</v>
      </c>
      <c r="AO120" cm="1">
        <f t="array" ref="AO120">IF(PART_NUMBER_GENERATOR_TABLE[[#This Row],[Work Role]:[Work Role]]&lt;&gt;AO$1,0,
IF(PART_NUMBER_GENERATOR_TABLE[[#This Row],[Work Type]:[Work Type]]&lt;&gt;"BH",0,
SUMIFS(AO$24,$AM$24,PART_NUMBER_GENERATOR_TABLE[[#This Row],[Tech]:[Tech]])))</f>
        <v>0</v>
      </c>
      <c r="AP120" cm="1">
        <f t="array" ref="AP120">IF(PART_NUMBER_GENERATOR_TABLE[[#This Row],[Work Role]:[Work Role]]&lt;&gt;AP$1,0,
IF(PART_NUMBER_GENERATOR_TABLE[[#This Row],[Work Type]:[Work Type]]&lt;&gt;"BH",0,
SUMIFS(AP$24,$AM$24,PART_NUMBER_GENERATOR_TABLE[[#This Row],[Tech]:[Tech]])))</f>
        <v>0</v>
      </c>
      <c r="AQ120" cm="1">
        <f t="array" ref="AQ120">IF(PART_NUMBER_GENERATOR_TABLE[[#This Row],[Work Role]:[Work Role]]&lt;&gt;AQ$1,0,
IF(PART_NUMBER_GENERATOR_TABLE[[#This Row],[Work Type]:[Work Type]]&lt;&gt;"BH",0,
SUMIFS(AQ$24,$AM$24,PART_NUMBER_GENERATOR_TABLE[[#This Row],[Tech]:[Tech]])))</f>
        <v>0</v>
      </c>
      <c r="AR120" cm="1">
        <f t="array" ref="AR120">IF(PART_NUMBER_GENERATOR_TABLE[[#This Row],[Work Role]:[Work Role]]&lt;&gt;AR$1,0,
IF(PART_NUMBER_GENERATOR_TABLE[[#This Row],[Work Type]:[Work Type]]&lt;&gt;"BH",0,
SUMIFS(AR$24,$AM$24,PART_NUMBER_GENERATOR_TABLE[[#This Row],[Tech]:[Tech]])))</f>
        <v>0</v>
      </c>
      <c r="AS120" cm="1">
        <f t="array" ref="AS120">IF(PART_NUMBER_GENERATOR_TABLE[[#This Row],[Work Role]:[Work Role]]&lt;&gt;AS$1,0,
IF(PART_NUMBER_GENERATOR_TABLE[[#This Row],[Work Type]:[Work Type]]&lt;&gt;"BH",0,
SUMIFS(AS$24,$AM$24,PART_NUMBER_GENERATOR_TABLE[[#This Row],[Tech]:[Tech]])))</f>
        <v>0</v>
      </c>
      <c r="AT120" cm="1">
        <f t="array" ref="AT120">IF(PART_NUMBER_GENERATOR_TABLE[[#This Row],[Work Role]:[Work Role]]&lt;&gt;AS$1,0,
IF(PART_NUMBER_GENERATOR_TABLE[[#This Row],[Work Type]:[Work Type]]&lt;&gt;"BH",0,
SUMIFS(AT$24,$AM$24,PART_NUMBER_GENERATOR_TABLE[[#This Row],[Tech]:[Tech]])))</f>
        <v>0</v>
      </c>
      <c r="AU120">
        <f>SUM(PART_NUMBER_GENERATOR_TABLE[[#This Row],[Resource 1 BH]:[Resource 5 AH]],PART_NUMBER_GENERATOR_TABLE[[#This Row],[R1 Mandatory Tasks]:[R5 Mandatory Tasks]],PART_NUMBER_GENERATOR_TABLE[[#This Row],[R1 Remainder]:[R5 Remainder]])</f>
        <v>0</v>
      </c>
      <c r="AV120">
        <f>PART_NUMBER_GENERATOR_TABLE[[#This Row],[Professional Engineering Hours]]*PART_NUMBER_GENERATOR_TABLE[[#This Row],[Sell Rate]]</f>
        <v>0</v>
      </c>
      <c r="AW120">
        <f>PART_NUMBER_GENERATOR_TABLE[[#This Row],[Professional Engineering Hours]]*PART_NUMBER_GENERATOR_TABLE[[#This Row],[Cost Rate]]</f>
        <v>0</v>
      </c>
      <c r="AX120">
        <f>SUM(PART_NUMBER_GENERATOR_TABLE[[#This Row],[PM Trips]:[R5 Trips]])</f>
        <v>0</v>
      </c>
      <c r="AY120">
        <f>PART_NUMBER_GENERATOR_TABLE[[#This Row],[Travel &amp; Accommodation Hours]]*PART_NUMBER_GENERATOR_TABLE[[#This Row],[Sell Rate]]</f>
        <v>0</v>
      </c>
      <c r="AZ120">
        <f>PART_NUMBER_GENERATOR_TABLE[[#This Row],[Travel &amp; Accommodation Hours]]*PART_NUMBER_GENERATOR_TABLE[[#This Row],[Cost Rate]]</f>
        <v>0</v>
      </c>
      <c r="BA120">
        <f>PART_NUMBER_GENERATOR_TABLE[[#This Row],[PM Hours]]+PART_NUMBER_GENERATOR_TABLE[[#This Row],[PM Remainder]]</f>
        <v>0</v>
      </c>
      <c r="BB120">
        <f>PART_NUMBER_GENERATOR_TABLE[[#This Row],[Project Management Hours]]*PART_NUMBER_GENERATOR_TABLE[[#This Row],[Sell Rate]]</f>
        <v>0</v>
      </c>
      <c r="BC120">
        <f>PART_NUMBER_GENERATOR_TABLE[[#This Row],[Project Management Hours]]*PART_NUMBER_GENERATOR_TABLE[[#This Row],[Cost Rate]]</f>
        <v>0</v>
      </c>
      <c r="BD120">
        <f>SUM(PART_NUMBER_GENERATOR_TABLE[[#This Row],[SSE RISK BH]:[PM RISK]],PART_NUMBER_GENERATOR_TABLE[[#This Row],[SSE Remainder RISK BH]:[PM Remainder RISK]])</f>
        <v>0</v>
      </c>
      <c r="BE120">
        <f>PART_NUMBER_GENERATOR_TABLE[[#This Row],[Project Risk Service Hours]]*PART_NUMBER_GENERATOR_TABLE[[#This Row],[Sell Rate]]</f>
        <v>0</v>
      </c>
      <c r="BF120">
        <f>PART_NUMBER_GENERATOR_TABLE[[#This Row],[Project Risk Service Hours]]*PART_NUMBER_GENERATOR_TABLE[[#This Row],[Cost Rate]]</f>
        <v>0</v>
      </c>
      <c r="BG120">
        <f>PART_NUMBER_GENERATOR_TABLE[[#This Row],[SSE RISK TRAVEL]]</f>
        <v>0</v>
      </c>
      <c r="BH120">
        <f>PART_NUMBER_GENERATOR_TABLE[[#This Row],[Sell Rate]]*PART_NUMBER_GENERATOR_TABLE[[#This Row],[Project Risk Travel Hours]]</f>
        <v>0</v>
      </c>
      <c r="BI120">
        <f>PART_NUMBER_GENERATOR_TABLE[[#This Row],[Project Risk Travel Hours]]*PART_NUMBER_GENERATOR_TABLE[[#This Row],[Cost Rate]]</f>
        <v>0</v>
      </c>
      <c r="BJ12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2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20">
        <f>IFERROR(-VLOOKUP(INDEX(ENGINEER_ROLES,MATCH(PART_NUMBER_GENERATOR_TABLE[[#This Row],[Work Role]],settings.Table_Engineer.Roles[ID],0),1),Settings_Hidden!$H$359:$K$366,4,FALSE),0)</f>
        <v>0</v>
      </c>
      <c r="BM120" s="680">
        <f>-Summary!$C$66</f>
        <v>0</v>
      </c>
      <c r="BN120" s="465">
        <f>PART_NUMBER_GENERATOR_TABLE[[#This Row],[Total Base Price]]*MIN(PART_NUMBER_GENERATOR_TABLE[[#This Row],[Rate Service Discount]:[Flat Service Discount]])</f>
        <v>0</v>
      </c>
      <c r="BO120" s="451" t="str">
        <f>IF(PART_NUMBER_GENERATOR_TABLE[[#This Row],[Quantity]]&lt;&gt;0,MAX($BO$30:BO119)+1,"")</f>
        <v/>
      </c>
      <c r="BP120" t="str">
        <f>PART_NUMBER_GENERATOR_TABLE[[#This Row],[Part Number]]</f>
        <v>A-PS-E-SECNET-SCE-AH</v>
      </c>
      <c r="BQ120">
        <f>PART_NUMBER_GENERATOR_TABLE[[#This Row],[Total Hours]]</f>
        <v>0</v>
      </c>
      <c r="BR120">
        <f>PART_NUMBER_GENERATOR_TABLE[[#This Row],[Cost Rate]]</f>
        <v>251.41552370953494</v>
      </c>
      <c r="BS120" s="465">
        <f>PART_NUMBER_GENERATOR_TABLE[[#This Row],[Sell Rate]]+(PART_NUMBER_GENERATOR_TABLE[[#This Row],[Sell Rate]]*MIN(PART_NUMBER_GENERATOR_TABLE[[#This Row],[Rate Service Discount]:[Flat Service Discount]]))</f>
        <v>472.5</v>
      </c>
    </row>
    <row r="121" spans="1:71">
      <c r="A121">
        <v>91</v>
      </c>
      <c r="C121" t="s">
        <v>905</v>
      </c>
      <c r="D121" t="str" cm="1">
        <f t="array" ref="D121">INDEX(Table.Settings_Skill.List[Skill Name],MATCH(INDEX(_xlfn.TEXTSPLIT(C121,"-",,TRUE),4),Table.Settings_Skill.List[Skill Code],0),1)</f>
        <v>Collaboration</v>
      </c>
      <c r="E121" t="str" cm="1">
        <f t="array" ref="E121">INDEX(_xlfn.TEXTSPLIT(C121,"-",,TRUE),5)</f>
        <v>SA</v>
      </c>
      <c r="F121" t="str">
        <f>IFERROR(INDEX(settings.Table_Engineer.Roles[Department Code],MATCH(PART_NUMBER_GENERATOR_TABLE[[#This Row],[Work Role]],settings.Table_Engineer.Roles[ID],0),1),"PMO")</f>
        <v>CON</v>
      </c>
      <c r="G121" t="str" cm="1">
        <f t="array" ref="G121">INDEX(_xlfn.TEXTSPLIT(C121,"-",,TRUE),6)</f>
        <v>BH</v>
      </c>
      <c r="H12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2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21" cm="1">
        <f t="array" ref="J121">IF(J$1&lt;&gt;PART_NUMBER_GENERATOR_TABLE[[#This Row],[Work Role]:[Work Role]],0,
IF(RIGHT(J$30,2)&lt;&gt;PART_NUMBER_GENERATOR_TABLE[[#This Row],[Work Type]:[Work Type]],0,
SUMIFS(Input_Tasks[R1 Business Hours],Input_Tasks[[Skill Required]:[Skill Required]],PART_NUMBER_GENERATOR_TABLE[[#This Row],[Tech]:[Tech]])))</f>
        <v>0</v>
      </c>
      <c r="K121" cm="1">
        <f t="array" ref="K121">IF(K$1&lt;&gt;PART_NUMBER_GENERATOR_TABLE[[#This Row],[Work Role]:[Work Role]],0,
IF(RIGHT(K$30,2)&lt;&gt;PART_NUMBER_GENERATOR_TABLE[[#This Row],[Work Type]:[Work Type]],0,
SUMIFS(Input_Tasks[R1 After Hours],Input_Tasks[[Skill Required]:[Skill Required]],PART_NUMBER_GENERATOR_TABLE[[#This Row],[Tech]:[Tech]])))</f>
        <v>0</v>
      </c>
      <c r="L121" cm="1">
        <f t="array" ref="L121">IF(L$1&lt;&gt;PART_NUMBER_GENERATOR_TABLE[[#This Row],[Work Role]:[Work Role]],0,
IF(RIGHT(L$30,2)&lt;&gt;PART_NUMBER_GENERATOR_TABLE[[#This Row],[Work Type]:[Work Type]],0,
SUMIFS(Input_Tasks[R2 Business Hours],Input_Tasks[[Skill Required]:[Skill Required]],PART_NUMBER_GENERATOR_TABLE[[#This Row],[Tech]:[Tech]])))</f>
        <v>0</v>
      </c>
      <c r="M121" cm="1">
        <f t="array" ref="M121">IF(M$1&lt;&gt;PART_NUMBER_GENERATOR_TABLE[[#This Row],[Work Role]:[Work Role]],0,
IF(RIGHT(M$30,2)&lt;&gt;PART_NUMBER_GENERATOR_TABLE[[#This Row],[Work Type]:[Work Type]],0,
SUMIFS(Input_Tasks[R2 After Hours],Input_Tasks[[Skill Required]:[Skill Required]],PART_NUMBER_GENERATOR_TABLE[[#This Row],[Tech]:[Tech]])))</f>
        <v>0</v>
      </c>
      <c r="N121" cm="1">
        <f t="array" ref="N121">IF(N$1&lt;&gt;PART_NUMBER_GENERATOR_TABLE[[#This Row],[Work Role]:[Work Role]],0,
IF(RIGHT(N$30,2)&lt;&gt;PART_NUMBER_GENERATOR_TABLE[[#This Row],[Work Type]:[Work Type]],0,
SUMIFS(Input_Tasks[R3 Business Hours],Input_Tasks[[Skill Required]:[Skill Required]],PART_NUMBER_GENERATOR_TABLE[[#This Row],[Tech]:[Tech]])))</f>
        <v>0</v>
      </c>
      <c r="O121" cm="1">
        <f t="array" ref="O121">IF(O$1&lt;&gt;PART_NUMBER_GENERATOR_TABLE[[#This Row],[Work Role]:[Work Role]],0,
IF(RIGHT(O$30,2)&lt;&gt;PART_NUMBER_GENERATOR_TABLE[[#This Row],[Work Type]:[Work Type]],0,
SUMIFS(Input_Tasks[R3 After Hours],Input_Tasks[[Skill Required]:[Skill Required]],PART_NUMBER_GENERATOR_TABLE[[#This Row],[Tech]:[Tech]])))</f>
        <v>0</v>
      </c>
      <c r="P121" cm="1">
        <f t="array" ref="P121">IF(P$1&lt;&gt;PART_NUMBER_GENERATOR_TABLE[[#This Row],[Work Role]:[Work Role]],0,
IF(RIGHT(P$30,2)&lt;&gt;PART_NUMBER_GENERATOR_TABLE[[#This Row],[Work Type]:[Work Type]],0,
SUMIFS(Input_Tasks[R4 Business Hours],Input_Tasks[[Skill Required]:[Skill Required]],PART_NUMBER_GENERATOR_TABLE[[#This Row],[Tech]:[Tech]])))</f>
        <v>0</v>
      </c>
      <c r="Q121" cm="1">
        <f t="array" ref="Q121">IF(Q$1&lt;&gt;PART_NUMBER_GENERATOR_TABLE[[#This Row],[Work Role]:[Work Role]],0,
IF(RIGHT(Q$30,2)&lt;&gt;PART_NUMBER_GENERATOR_TABLE[[#This Row],[Work Type]:[Work Type]],0,
SUMIFS(Input_Tasks[R4 After Hours],Input_Tasks[[Skill Required]:[Skill Required]],PART_NUMBER_GENERATOR_TABLE[[#This Row],[Tech]:[Tech]])))</f>
        <v>0</v>
      </c>
      <c r="R121" cm="1">
        <f t="array" ref="R121">IF(R$1&lt;&gt;PART_NUMBER_GENERATOR_TABLE[[#This Row],[Work Role]:[Work Role]],0,
IF(RIGHT(R$30,2)&lt;&gt;PART_NUMBER_GENERATOR_TABLE[[#This Row],[Work Type]:[Work Type]],0,
SUMIFS(Input_Tasks[R5 Business Hours],Input_Tasks[[Skill Required]:[Skill Required]],PART_NUMBER_GENERATOR_TABLE[[#This Row],[Tech]:[Tech]])))</f>
        <v>0</v>
      </c>
      <c r="S121" cm="1">
        <f t="array" ref="S121">IF(S$1&lt;&gt;PART_NUMBER_GENERATOR_TABLE[[#This Row],[Work Role]:[Work Role]],0,
IF(RIGHT(S$30,2)&lt;&gt;PART_NUMBER_GENERATOR_TABLE[[#This Row],[Work Type]:[Work Type]],0,
SUMIFS(Input_Tasks[R5 After Hours],Input_Tasks[[Skill Required]:[Skill Required]],PART_NUMBER_GENERATOR_TABLE[[#This Row],[Tech]:[Tech]])))</f>
        <v>0</v>
      </c>
      <c r="T121" cm="1">
        <f t="array" ref="T121">IF(PART_NUMBER_GENERATOR_TABLE[[#This Row],[Work Role]:[Work Role]]&lt;&gt;T$1,0,
IF(PART_NUMBER_GENERATOR_TABLE[[#This Row],[Work Type]:[Work Type]]&lt;&gt;"BH",0,
SUMIFS(T$9:T$24,$M$9:$M$24,PART_NUMBER_GENERATOR_TABLE[[#This Row],[Tech]:[Tech]])))</f>
        <v>0</v>
      </c>
      <c r="U121" cm="1">
        <f t="array" ref="U121">IF(PART_NUMBER_GENERATOR_TABLE[[#This Row],[Work Role]:[Work Role]]&lt;&gt;U$1,0,
IF(PART_NUMBER_GENERATOR_TABLE[[#This Row],[Work Type]:[Work Type]]&lt;&gt;"BH",0,
SUMIFS(U$9:U$24,$M$9:$M$24,PART_NUMBER_GENERATOR_TABLE[[#This Row],[Tech]:[Tech]])))</f>
        <v>0</v>
      </c>
      <c r="V121" cm="1">
        <f t="array" ref="V121">IF(PART_NUMBER_GENERATOR_TABLE[[#This Row],[Work Role]:[Work Role]]&lt;&gt;V$1,0,
IF(PART_NUMBER_GENERATOR_TABLE[[#This Row],[Work Type]:[Work Type]]&lt;&gt;"BH",0,
SUMIFS(V$9:V$24,$M$9:$M$24,PART_NUMBER_GENERATOR_TABLE[[#This Row],[Tech]:[Tech]])))</f>
        <v>0</v>
      </c>
      <c r="W121" cm="1">
        <f t="array" ref="W121">IF(PART_NUMBER_GENERATOR_TABLE[[#This Row],[Work Role]:[Work Role]]&lt;&gt;W$1,0,
IF(PART_NUMBER_GENERATOR_TABLE[[#This Row],[Work Type]:[Work Type]]&lt;&gt;"BH",0,
SUMIFS(W$9:W$24,$M$9:$M$24,PART_NUMBER_GENERATOR_TABLE[[#This Row],[Tech]:[Tech]])))</f>
        <v>0</v>
      </c>
      <c r="X121" cm="1">
        <f t="array" ref="X121">IF(PART_NUMBER_GENERATOR_TABLE[[#This Row],[Work Role]:[Work Role]]&lt;&gt;X$1,0,
IF(PART_NUMBER_GENERATOR_TABLE[[#This Row],[Work Type]:[Work Type]]&lt;&gt;"BH",0,
SUMIFS(X$9:X$24,$M$9:$M$24,PART_NUMBER_GENERATOR_TABLE[[#This Row],[Tech]:[Tech]])))</f>
        <v>0</v>
      </c>
      <c r="Y121" cm="1">
        <f t="array" ref="Y121">IF(PART_NUMBER_GENERATOR_TABLE[[#This Row],[Work Role]:[Work Role]]&lt;&gt;Y$1,0,
IF(PART_NUMBER_GENERATOR_TABLE[[#This Row],[Work Type]:[Work Type]]&lt;&gt;"BH",0,
SUMIFS(Y$9:Y$24,$M$9:$M$24,PART_NUMBER_GENERATOR_TABLE[[#This Row],[Tech]:[Tech]])))</f>
        <v>0</v>
      </c>
      <c r="Z121" cm="1">
        <f t="array" ref="Z121">IF(PART_NUMBER_GENERATOR_TABLE[[#This Row],[Work Role]:[Work Role]]&lt;&gt;Z$1,0,
IF(PART_NUMBER_GENERATOR_TABLE[[#This Row],[Work Type]:[Work Type]]&lt;&gt;"BH",0,
SUMIFS(Z$9:Z$24,$M$9:$M$24,PART_NUMBER_GENERATOR_TABLE[[#This Row],[Tech]:[Tech]])))</f>
        <v>0</v>
      </c>
      <c r="AA121" cm="1">
        <f t="array" ref="AA121">IF(PART_NUMBER_GENERATOR_TABLE[[#This Row],[Work Role]:[Work Role]]&lt;&gt;AA$1,0,
IF(PART_NUMBER_GENERATOR_TABLE[[#This Row],[Work Type]:[Work Type]]&lt;&gt;"BH",0,
SUMIFS(AA$9:AA$24,$M$9:$M$24,PART_NUMBER_GENERATOR_TABLE[[#This Row],[Tech]:[Tech]])))</f>
        <v>0</v>
      </c>
      <c r="AB121" cm="1">
        <f t="array" ref="AB121">IF(PART_NUMBER_GENERATOR_TABLE[[#This Row],[Work Role]:[Work Role]]&lt;&gt;AB$1,0,
IF(PART_NUMBER_GENERATOR_TABLE[[#This Row],[Work Type]:[Work Type]]&lt;&gt;"BH",0,
SUMIFS(AB$9:AB$24,$M$9:$M$24,PART_NUMBER_GENERATOR_TABLE[[#This Row],[Tech]:[Tech]])))</f>
        <v>0</v>
      </c>
      <c r="AC121" cm="1">
        <f t="array" ref="AC121">IF(PART_NUMBER_GENERATOR_TABLE[[#This Row],[Work Role]:[Work Role]]&lt;&gt;AC$1,0,
IF(PART_NUMBER_GENERATOR_TABLE[[#This Row],[Work Type]:[Work Type]]&lt;&gt;"BH",0,
SUMIFS(AC$9:AC$24,$M$9:$M$24,PART_NUMBER_GENERATOR_TABLE[[#This Row],[Tech]:[Tech]])))</f>
        <v>0</v>
      </c>
      <c r="AD121" cm="1">
        <f t="array" ref="AD121">IF(PART_NUMBER_GENERATOR_TABLE[[#This Row],[Work Role]:[Work Role]]&lt;&gt;AD$1,0,
IF(PART_NUMBER_GENERATOR_TABLE[[#This Row],[Work Type]:[Work Type]]&lt;&gt;"BH",0,
SUMIFS(AD$9:AD$24,$M$9:$M$24,PART_NUMBER_GENERATOR_TABLE[[#This Row],[Tech]:[Tech]])))</f>
        <v>0</v>
      </c>
      <c r="AE121" cm="1">
        <f t="array" ref="AE121">IF(PART_NUMBER_GENERATOR_TABLE[[#This Row],[Work Role]:[Work Role]]&lt;&gt;AE$1,0,
IF(PART_NUMBER_GENERATOR_TABLE[[#This Row],[Work Type]:[Work Type]]&lt;&gt;"BH",0,
SUMIFS(AE$9:AE$24,$M$9:$M$24,PART_NUMBER_GENERATOR_TABLE[[#This Row],[Tech]:[Tech]])))</f>
        <v>0</v>
      </c>
      <c r="AF121" cm="1">
        <f t="array" ref="AF121">IF(PART_NUMBER_GENERATOR_TABLE[[#This Row],[Work Role]:[Work Role]]&lt;&gt;AF$1,0,
IF(PART_NUMBER_GENERATOR_TABLE[[#This Row],[Work Type]:[Work Type]]&lt;&gt;"BH",0,
SUMIFS(AF$9:AF$24,$M$9:$M$24,PART_NUMBER_GENERATOR_TABLE[[#This Row],[Tech]:[Tech]])))</f>
        <v>0</v>
      </c>
      <c r="AG121" cm="1">
        <f t="array" ref="AG121">IF(PART_NUMBER_GENERATOR_TABLE[[#This Row],[Work Role]:[Work Role]]&lt;&gt;AG$1,0,
IF(PART_NUMBER_GENERATOR_TABLE[[#This Row],[Work Type]:[Work Type]]&lt;&gt;"AH",0,
SUMIFS(AG$9:AG$24,$M$9:$M$24,PART_NUMBER_GENERATOR_TABLE[[#This Row],[Tech]:[Tech]])))</f>
        <v>0</v>
      </c>
      <c r="AH121" cm="1">
        <f t="array" ref="AH121">IF(PART_NUMBER_GENERATOR_TABLE[[#This Row],[Work Role]:[Work Role]]&lt;&gt;AH$1,0,
IF(PART_NUMBER_GENERATOR_TABLE[[#This Row],[Work Type]:[Work Type]]&lt;&gt;"BH",0,
SUMIFS(AH$9:AH$24,$M$9:$M$24,PART_NUMBER_GENERATOR_TABLE[[#This Row],[Tech]:[Tech]])))</f>
        <v>0</v>
      </c>
      <c r="AI121" cm="1">
        <f t="array" ref="AI121">IF(PART_NUMBER_GENERATOR_TABLE[[#This Row],[Work Role]:[Work Role]]&lt;&gt;AI$1,0,
IF(PART_NUMBER_GENERATOR_TABLE[[#This Row],[Work Type]:[Work Type]]&lt;&gt;"BH",0,
SUMIFS(AI$9:AI$24,$M$9:$M$24,PART_NUMBER_GENERATOR_TABLE[[#This Row],[Tech]:[Tech]])))</f>
        <v>0</v>
      </c>
      <c r="AJ121" cm="1">
        <f t="array" ref="AJ121">IF(PART_NUMBER_GENERATOR_TABLE[[#This Row],[Work Role]:[Work Role]]&lt;&gt;AJ$1,0,
IF(PART_NUMBER_GENERATOR_TABLE[[#This Row],[Work Type]:[Work Type]]&lt;&gt;"BH",0,
SUMIFS(AJ$9:AJ$24,$M$9:$M$24,PART_NUMBER_GENERATOR_TABLE[[#This Row],[Tech]:[Tech]])))</f>
        <v>0</v>
      </c>
      <c r="AK121" cm="1">
        <f t="array" ref="AK121">IF(PART_NUMBER_GENERATOR_TABLE[[#This Row],[Work Role]:[Work Role]]&lt;&gt;AK$1,0,
IF(PART_NUMBER_GENERATOR_TABLE[[#This Row],[Work Type]:[Work Type]]&lt;&gt;"AH",0,
SUMIFS(AK$9:AK$24,$M$9:$M$24,PART_NUMBER_GENERATOR_TABLE[[#This Row],[Tech]:[Tech]])))</f>
        <v>0</v>
      </c>
      <c r="AL121" cm="1">
        <f t="array" ref="AL121">IF(PART_NUMBER_GENERATOR_TABLE[[#This Row],[Work Role]:[Work Role]]&lt;&gt;AL$1,0,
IF(PART_NUMBER_GENERATOR_TABLE[[#This Row],[Work Type]:[Work Type]]&lt;&gt;"BH",0,
SUMIFS(AL$9:AL$24,$M$9:$M$24,PART_NUMBER_GENERATOR_TABLE[[#This Row],[Tech]:[Tech]])))</f>
        <v>0</v>
      </c>
      <c r="AM121">
        <f>0</f>
        <v>0</v>
      </c>
      <c r="AN121" cm="1">
        <f t="array" ref="AN121">IF(PART_NUMBER_GENERATOR_TABLE[[#This Row],[Work Role]:[Work Role]]&lt;&gt;AN$1,0,
IF(PART_NUMBER_GENERATOR_TABLE[[#This Row],[Work Type]:[Work Type]]&lt;&gt;"BH",0,
SUMIFS(AN$24,$AM$24,PART_NUMBER_GENERATOR_TABLE[[#This Row],[Tech]:[Tech]])))</f>
        <v>0</v>
      </c>
      <c r="AO121" cm="1">
        <f t="array" ref="AO121">IF(PART_NUMBER_GENERATOR_TABLE[[#This Row],[Work Role]:[Work Role]]&lt;&gt;AO$1,0,
IF(PART_NUMBER_GENERATOR_TABLE[[#This Row],[Work Type]:[Work Type]]&lt;&gt;"BH",0,
SUMIFS(AO$24,$AM$24,PART_NUMBER_GENERATOR_TABLE[[#This Row],[Tech]:[Tech]])))</f>
        <v>0</v>
      </c>
      <c r="AP121" cm="1">
        <f t="array" ref="AP121">IF(PART_NUMBER_GENERATOR_TABLE[[#This Row],[Work Role]:[Work Role]]&lt;&gt;AP$1,0,
IF(PART_NUMBER_GENERATOR_TABLE[[#This Row],[Work Type]:[Work Type]]&lt;&gt;"BH",0,
SUMIFS(AP$24,$AM$24,PART_NUMBER_GENERATOR_TABLE[[#This Row],[Tech]:[Tech]])))</f>
        <v>0</v>
      </c>
      <c r="AQ121" cm="1">
        <f t="array" ref="AQ121">IF(PART_NUMBER_GENERATOR_TABLE[[#This Row],[Work Role]:[Work Role]]&lt;&gt;AQ$1,0,
IF(PART_NUMBER_GENERATOR_TABLE[[#This Row],[Work Type]:[Work Type]]&lt;&gt;"BH",0,
SUMIFS(AQ$24,$AM$24,PART_NUMBER_GENERATOR_TABLE[[#This Row],[Tech]:[Tech]])))</f>
        <v>0</v>
      </c>
      <c r="AR121" cm="1">
        <f t="array" ref="AR121">IF(PART_NUMBER_GENERATOR_TABLE[[#This Row],[Work Role]:[Work Role]]&lt;&gt;AR$1,0,
IF(PART_NUMBER_GENERATOR_TABLE[[#This Row],[Work Type]:[Work Type]]&lt;&gt;"BH",0,
SUMIFS(AR$24,$AM$24,PART_NUMBER_GENERATOR_TABLE[[#This Row],[Tech]:[Tech]])))</f>
        <v>0</v>
      </c>
      <c r="AS121" cm="1">
        <f t="array" ref="AS121">IF(PART_NUMBER_GENERATOR_TABLE[[#This Row],[Work Role]:[Work Role]]&lt;&gt;AS$1,0,
IF(PART_NUMBER_GENERATOR_TABLE[[#This Row],[Work Type]:[Work Type]]&lt;&gt;"BH",0,
SUMIFS(AS$24,$AM$24,PART_NUMBER_GENERATOR_TABLE[[#This Row],[Tech]:[Tech]])))</f>
        <v>0</v>
      </c>
      <c r="AT121" cm="1">
        <f t="array" ref="AT121">IF(PART_NUMBER_GENERATOR_TABLE[[#This Row],[Work Role]:[Work Role]]&lt;&gt;AS$1,0,
IF(PART_NUMBER_GENERATOR_TABLE[[#This Row],[Work Type]:[Work Type]]&lt;&gt;"BH",0,
SUMIFS(AT$24,$AM$24,PART_NUMBER_GENERATOR_TABLE[[#This Row],[Tech]:[Tech]])))</f>
        <v>0</v>
      </c>
      <c r="AU121">
        <f>SUM(PART_NUMBER_GENERATOR_TABLE[[#This Row],[Resource 1 BH]:[Resource 5 AH]],PART_NUMBER_GENERATOR_TABLE[[#This Row],[R1 Mandatory Tasks]:[R5 Mandatory Tasks]],PART_NUMBER_GENERATOR_TABLE[[#This Row],[R1 Remainder]:[R5 Remainder]])</f>
        <v>0</v>
      </c>
      <c r="AV121">
        <f>PART_NUMBER_GENERATOR_TABLE[[#This Row],[Professional Engineering Hours]]*PART_NUMBER_GENERATOR_TABLE[[#This Row],[Sell Rate]]</f>
        <v>0</v>
      </c>
      <c r="AW121">
        <f>PART_NUMBER_GENERATOR_TABLE[[#This Row],[Professional Engineering Hours]]*PART_NUMBER_GENERATOR_TABLE[[#This Row],[Cost Rate]]</f>
        <v>0</v>
      </c>
      <c r="AX121">
        <f>SUM(PART_NUMBER_GENERATOR_TABLE[[#This Row],[PM Trips]:[R5 Trips]])</f>
        <v>0</v>
      </c>
      <c r="AY121">
        <f>PART_NUMBER_GENERATOR_TABLE[[#This Row],[Travel &amp; Accommodation Hours]]*PART_NUMBER_GENERATOR_TABLE[[#This Row],[Sell Rate]]</f>
        <v>0</v>
      </c>
      <c r="AZ121">
        <f>PART_NUMBER_GENERATOR_TABLE[[#This Row],[Travel &amp; Accommodation Hours]]*PART_NUMBER_GENERATOR_TABLE[[#This Row],[Cost Rate]]</f>
        <v>0</v>
      </c>
      <c r="BA121">
        <f>PART_NUMBER_GENERATOR_TABLE[[#This Row],[PM Hours]]+PART_NUMBER_GENERATOR_TABLE[[#This Row],[PM Remainder]]</f>
        <v>0</v>
      </c>
      <c r="BB121">
        <f>PART_NUMBER_GENERATOR_TABLE[[#This Row],[Project Management Hours]]*PART_NUMBER_GENERATOR_TABLE[[#This Row],[Sell Rate]]</f>
        <v>0</v>
      </c>
      <c r="BC121">
        <f>PART_NUMBER_GENERATOR_TABLE[[#This Row],[Project Management Hours]]*PART_NUMBER_GENERATOR_TABLE[[#This Row],[Cost Rate]]</f>
        <v>0</v>
      </c>
      <c r="BD121">
        <f>SUM(PART_NUMBER_GENERATOR_TABLE[[#This Row],[SSE RISK BH]:[PM RISK]],PART_NUMBER_GENERATOR_TABLE[[#This Row],[SSE Remainder RISK BH]:[PM Remainder RISK]])</f>
        <v>0</v>
      </c>
      <c r="BE121">
        <f>PART_NUMBER_GENERATOR_TABLE[[#This Row],[Project Risk Service Hours]]*PART_NUMBER_GENERATOR_TABLE[[#This Row],[Sell Rate]]</f>
        <v>0</v>
      </c>
      <c r="BF121">
        <f>PART_NUMBER_GENERATOR_TABLE[[#This Row],[Project Risk Service Hours]]*PART_NUMBER_GENERATOR_TABLE[[#This Row],[Cost Rate]]</f>
        <v>0</v>
      </c>
      <c r="BG121">
        <f>PART_NUMBER_GENERATOR_TABLE[[#This Row],[SSE RISK TRAVEL]]</f>
        <v>0</v>
      </c>
      <c r="BH121">
        <f>PART_NUMBER_GENERATOR_TABLE[[#This Row],[Sell Rate]]*PART_NUMBER_GENERATOR_TABLE[[#This Row],[Project Risk Travel Hours]]</f>
        <v>0</v>
      </c>
      <c r="BI121">
        <f>PART_NUMBER_GENERATOR_TABLE[[#This Row],[Project Risk Travel Hours]]*PART_NUMBER_GENERATOR_TABLE[[#This Row],[Cost Rate]]</f>
        <v>0</v>
      </c>
      <c r="BJ12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2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21">
        <f>IFERROR(-VLOOKUP(INDEX(ENGINEER_ROLES,MATCH(PART_NUMBER_GENERATOR_TABLE[[#This Row],[Work Role]],settings.Table_Engineer.Roles[ID],0),1),Settings_Hidden!$H$359:$K$366,4,FALSE),0)</f>
        <v>0</v>
      </c>
      <c r="BM121" s="680">
        <f>-Summary!$C$66</f>
        <v>0</v>
      </c>
      <c r="BN121" s="465">
        <f>PART_NUMBER_GENERATOR_TABLE[[#This Row],[Total Base Price]]*MIN(PART_NUMBER_GENERATOR_TABLE[[#This Row],[Rate Service Discount]:[Flat Service Discount]])</f>
        <v>0</v>
      </c>
      <c r="BO121" s="451" t="str">
        <f>IF(PART_NUMBER_GENERATOR_TABLE[[#This Row],[Quantity]]&lt;&gt;0,MAX($BO$30:BO120)+1,"")</f>
        <v/>
      </c>
      <c r="BP121" t="str">
        <f>PART_NUMBER_GENERATOR_TABLE[[#This Row],[Part Number]]</f>
        <v>A-PS-C-COLLAB-SA-BH</v>
      </c>
      <c r="BQ121">
        <f>PART_NUMBER_GENERATOR_TABLE[[#This Row],[Total Hours]]</f>
        <v>0</v>
      </c>
      <c r="BR121">
        <f>PART_NUMBER_GENERATOR_TABLE[[#This Row],[Cost Rate]]</f>
        <v>167.61034913968996</v>
      </c>
      <c r="BS121" s="465">
        <f>PART_NUMBER_GENERATOR_TABLE[[#This Row],[Sell Rate]]+(PART_NUMBER_GENERATOR_TABLE[[#This Row],[Sell Rate]]*MIN(PART_NUMBER_GENERATOR_TABLE[[#This Row],[Rate Service Discount]:[Flat Service Discount]]))</f>
        <v>315</v>
      </c>
    </row>
    <row r="122" spans="1:71">
      <c r="A122">
        <v>92</v>
      </c>
      <c r="C122" t="s">
        <v>897</v>
      </c>
      <c r="D122" t="str" cm="1">
        <f t="array" ref="D122">INDEX(Table.Settings_Skill.List[Skill Name],MATCH(INDEX(_xlfn.TEXTSPLIT(C122,"-",,TRUE),4),Table.Settings_Skill.List[Skill Code],0),1)</f>
        <v>Collaboration</v>
      </c>
      <c r="E122" t="str" cm="1">
        <f t="array" ref="E122">INDEX(_xlfn.TEXTSPLIT(C122,"-",,TRUE),5)</f>
        <v>SC</v>
      </c>
      <c r="F122" t="str">
        <f>IFERROR(INDEX(settings.Table_Engineer.Roles[Department Code],MATCH(PART_NUMBER_GENERATOR_TABLE[[#This Row],[Work Role]],settings.Table_Engineer.Roles[ID],0),1),"PMO")</f>
        <v>CON</v>
      </c>
      <c r="G122" t="str" cm="1">
        <f t="array" ref="G122">INDEX(_xlfn.TEXTSPLIT(C122,"-",,TRUE),6)</f>
        <v>BH</v>
      </c>
      <c r="H12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2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22" cm="1">
        <f t="array" ref="J122">IF(J$1&lt;&gt;PART_NUMBER_GENERATOR_TABLE[[#This Row],[Work Role]:[Work Role]],0,
IF(RIGHT(J$30,2)&lt;&gt;PART_NUMBER_GENERATOR_TABLE[[#This Row],[Work Type]:[Work Type]],0,
SUMIFS(Input_Tasks[R1 Business Hours],Input_Tasks[[Skill Required]:[Skill Required]],PART_NUMBER_GENERATOR_TABLE[[#This Row],[Tech]:[Tech]])))</f>
        <v>0</v>
      </c>
      <c r="K122" cm="1">
        <f t="array" ref="K122">IF(K$1&lt;&gt;PART_NUMBER_GENERATOR_TABLE[[#This Row],[Work Role]:[Work Role]],0,
IF(RIGHT(K$30,2)&lt;&gt;PART_NUMBER_GENERATOR_TABLE[[#This Row],[Work Type]:[Work Type]],0,
SUMIFS(Input_Tasks[R1 After Hours],Input_Tasks[[Skill Required]:[Skill Required]],PART_NUMBER_GENERATOR_TABLE[[#This Row],[Tech]:[Tech]])))</f>
        <v>0</v>
      </c>
      <c r="L122" cm="1">
        <f t="array" ref="L122">IF(L$1&lt;&gt;PART_NUMBER_GENERATOR_TABLE[[#This Row],[Work Role]:[Work Role]],0,
IF(RIGHT(L$30,2)&lt;&gt;PART_NUMBER_GENERATOR_TABLE[[#This Row],[Work Type]:[Work Type]],0,
SUMIFS(Input_Tasks[R2 Business Hours],Input_Tasks[[Skill Required]:[Skill Required]],PART_NUMBER_GENERATOR_TABLE[[#This Row],[Tech]:[Tech]])))</f>
        <v>0</v>
      </c>
      <c r="M122" cm="1">
        <f t="array" ref="M122">IF(M$1&lt;&gt;PART_NUMBER_GENERATOR_TABLE[[#This Row],[Work Role]:[Work Role]],0,
IF(RIGHT(M$30,2)&lt;&gt;PART_NUMBER_GENERATOR_TABLE[[#This Row],[Work Type]:[Work Type]],0,
SUMIFS(Input_Tasks[R2 After Hours],Input_Tasks[[Skill Required]:[Skill Required]],PART_NUMBER_GENERATOR_TABLE[[#This Row],[Tech]:[Tech]])))</f>
        <v>0</v>
      </c>
      <c r="N122" cm="1">
        <f t="array" ref="N122">IF(N$1&lt;&gt;PART_NUMBER_GENERATOR_TABLE[[#This Row],[Work Role]:[Work Role]],0,
IF(RIGHT(N$30,2)&lt;&gt;PART_NUMBER_GENERATOR_TABLE[[#This Row],[Work Type]:[Work Type]],0,
SUMIFS(Input_Tasks[R3 Business Hours],Input_Tasks[[Skill Required]:[Skill Required]],PART_NUMBER_GENERATOR_TABLE[[#This Row],[Tech]:[Tech]])))</f>
        <v>0</v>
      </c>
      <c r="O122" cm="1">
        <f t="array" ref="O122">IF(O$1&lt;&gt;PART_NUMBER_GENERATOR_TABLE[[#This Row],[Work Role]:[Work Role]],0,
IF(RIGHT(O$30,2)&lt;&gt;PART_NUMBER_GENERATOR_TABLE[[#This Row],[Work Type]:[Work Type]],0,
SUMIFS(Input_Tasks[R3 After Hours],Input_Tasks[[Skill Required]:[Skill Required]],PART_NUMBER_GENERATOR_TABLE[[#This Row],[Tech]:[Tech]])))</f>
        <v>0</v>
      </c>
      <c r="P122" cm="1">
        <f t="array" ref="P122">IF(P$1&lt;&gt;PART_NUMBER_GENERATOR_TABLE[[#This Row],[Work Role]:[Work Role]],0,
IF(RIGHT(P$30,2)&lt;&gt;PART_NUMBER_GENERATOR_TABLE[[#This Row],[Work Type]:[Work Type]],0,
SUMIFS(Input_Tasks[R4 Business Hours],Input_Tasks[[Skill Required]:[Skill Required]],PART_NUMBER_GENERATOR_TABLE[[#This Row],[Tech]:[Tech]])))</f>
        <v>0</v>
      </c>
      <c r="Q122" cm="1">
        <f t="array" ref="Q122">IF(Q$1&lt;&gt;PART_NUMBER_GENERATOR_TABLE[[#This Row],[Work Role]:[Work Role]],0,
IF(RIGHT(Q$30,2)&lt;&gt;PART_NUMBER_GENERATOR_TABLE[[#This Row],[Work Type]:[Work Type]],0,
SUMIFS(Input_Tasks[R4 After Hours],Input_Tasks[[Skill Required]:[Skill Required]],PART_NUMBER_GENERATOR_TABLE[[#This Row],[Tech]:[Tech]])))</f>
        <v>0</v>
      </c>
      <c r="R122" cm="1">
        <f t="array" ref="R122">IF(R$1&lt;&gt;PART_NUMBER_GENERATOR_TABLE[[#This Row],[Work Role]:[Work Role]],0,
IF(RIGHT(R$30,2)&lt;&gt;PART_NUMBER_GENERATOR_TABLE[[#This Row],[Work Type]:[Work Type]],0,
SUMIFS(Input_Tasks[R5 Business Hours],Input_Tasks[[Skill Required]:[Skill Required]],PART_NUMBER_GENERATOR_TABLE[[#This Row],[Tech]:[Tech]])))</f>
        <v>0</v>
      </c>
      <c r="S122" cm="1">
        <f t="array" ref="S122">IF(S$1&lt;&gt;PART_NUMBER_GENERATOR_TABLE[[#This Row],[Work Role]:[Work Role]],0,
IF(RIGHT(S$30,2)&lt;&gt;PART_NUMBER_GENERATOR_TABLE[[#This Row],[Work Type]:[Work Type]],0,
SUMIFS(Input_Tasks[R5 After Hours],Input_Tasks[[Skill Required]:[Skill Required]],PART_NUMBER_GENERATOR_TABLE[[#This Row],[Tech]:[Tech]])))</f>
        <v>0</v>
      </c>
      <c r="T122" cm="1">
        <f t="array" ref="T122">IF(PART_NUMBER_GENERATOR_TABLE[[#This Row],[Work Role]:[Work Role]]&lt;&gt;T$1,0,
IF(PART_NUMBER_GENERATOR_TABLE[[#This Row],[Work Type]:[Work Type]]&lt;&gt;"BH",0,
SUMIFS(T$9:T$24,$M$9:$M$24,PART_NUMBER_GENERATOR_TABLE[[#This Row],[Tech]:[Tech]])))</f>
        <v>0</v>
      </c>
      <c r="U122" cm="1">
        <f t="array" ref="U122">IF(PART_NUMBER_GENERATOR_TABLE[[#This Row],[Work Role]:[Work Role]]&lt;&gt;U$1,0,
IF(PART_NUMBER_GENERATOR_TABLE[[#This Row],[Work Type]:[Work Type]]&lt;&gt;"BH",0,
SUMIFS(U$9:U$24,$M$9:$M$24,PART_NUMBER_GENERATOR_TABLE[[#This Row],[Tech]:[Tech]])))</f>
        <v>0</v>
      </c>
      <c r="V122" cm="1">
        <f t="array" ref="V122">IF(PART_NUMBER_GENERATOR_TABLE[[#This Row],[Work Role]:[Work Role]]&lt;&gt;V$1,0,
IF(PART_NUMBER_GENERATOR_TABLE[[#This Row],[Work Type]:[Work Type]]&lt;&gt;"BH",0,
SUMIFS(V$9:V$24,$M$9:$M$24,PART_NUMBER_GENERATOR_TABLE[[#This Row],[Tech]:[Tech]])))</f>
        <v>0</v>
      </c>
      <c r="W122" cm="1">
        <f t="array" ref="W122">IF(PART_NUMBER_GENERATOR_TABLE[[#This Row],[Work Role]:[Work Role]]&lt;&gt;W$1,0,
IF(PART_NUMBER_GENERATOR_TABLE[[#This Row],[Work Type]:[Work Type]]&lt;&gt;"BH",0,
SUMIFS(W$9:W$24,$M$9:$M$24,PART_NUMBER_GENERATOR_TABLE[[#This Row],[Tech]:[Tech]])))</f>
        <v>0</v>
      </c>
      <c r="X122" cm="1">
        <f t="array" ref="X122">IF(PART_NUMBER_GENERATOR_TABLE[[#This Row],[Work Role]:[Work Role]]&lt;&gt;X$1,0,
IF(PART_NUMBER_GENERATOR_TABLE[[#This Row],[Work Type]:[Work Type]]&lt;&gt;"BH",0,
SUMIFS(X$9:X$24,$M$9:$M$24,PART_NUMBER_GENERATOR_TABLE[[#This Row],[Tech]:[Tech]])))</f>
        <v>0</v>
      </c>
      <c r="Y122" cm="1">
        <f t="array" ref="Y122">IF(PART_NUMBER_GENERATOR_TABLE[[#This Row],[Work Role]:[Work Role]]&lt;&gt;Y$1,0,
IF(PART_NUMBER_GENERATOR_TABLE[[#This Row],[Work Type]:[Work Type]]&lt;&gt;"BH",0,
SUMIFS(Y$9:Y$24,$M$9:$M$24,PART_NUMBER_GENERATOR_TABLE[[#This Row],[Tech]:[Tech]])))</f>
        <v>0</v>
      </c>
      <c r="Z122" cm="1">
        <f t="array" ref="Z122">IF(PART_NUMBER_GENERATOR_TABLE[[#This Row],[Work Role]:[Work Role]]&lt;&gt;Z$1,0,
IF(PART_NUMBER_GENERATOR_TABLE[[#This Row],[Work Type]:[Work Type]]&lt;&gt;"BH",0,
SUMIFS(Z$9:Z$24,$M$9:$M$24,PART_NUMBER_GENERATOR_TABLE[[#This Row],[Tech]:[Tech]])))</f>
        <v>0</v>
      </c>
      <c r="AA122" cm="1">
        <f t="array" ref="AA122">IF(PART_NUMBER_GENERATOR_TABLE[[#This Row],[Work Role]:[Work Role]]&lt;&gt;AA$1,0,
IF(PART_NUMBER_GENERATOR_TABLE[[#This Row],[Work Type]:[Work Type]]&lt;&gt;"BH",0,
SUMIFS(AA$9:AA$24,$M$9:$M$24,PART_NUMBER_GENERATOR_TABLE[[#This Row],[Tech]:[Tech]])))</f>
        <v>0</v>
      </c>
      <c r="AB122" cm="1">
        <f t="array" ref="AB122">IF(PART_NUMBER_GENERATOR_TABLE[[#This Row],[Work Role]:[Work Role]]&lt;&gt;AB$1,0,
IF(PART_NUMBER_GENERATOR_TABLE[[#This Row],[Work Type]:[Work Type]]&lt;&gt;"BH",0,
SUMIFS(AB$9:AB$24,$M$9:$M$24,PART_NUMBER_GENERATOR_TABLE[[#This Row],[Tech]:[Tech]])))</f>
        <v>0</v>
      </c>
      <c r="AC122" cm="1">
        <f t="array" ref="AC122">IF(PART_NUMBER_GENERATOR_TABLE[[#This Row],[Work Role]:[Work Role]]&lt;&gt;AC$1,0,
IF(PART_NUMBER_GENERATOR_TABLE[[#This Row],[Work Type]:[Work Type]]&lt;&gt;"BH",0,
SUMIFS(AC$9:AC$24,$M$9:$M$24,PART_NUMBER_GENERATOR_TABLE[[#This Row],[Tech]:[Tech]])))</f>
        <v>0</v>
      </c>
      <c r="AD122" cm="1">
        <f t="array" ref="AD122">IF(PART_NUMBER_GENERATOR_TABLE[[#This Row],[Work Role]:[Work Role]]&lt;&gt;AD$1,0,
IF(PART_NUMBER_GENERATOR_TABLE[[#This Row],[Work Type]:[Work Type]]&lt;&gt;"BH",0,
SUMIFS(AD$9:AD$24,$M$9:$M$24,PART_NUMBER_GENERATOR_TABLE[[#This Row],[Tech]:[Tech]])))</f>
        <v>0</v>
      </c>
      <c r="AE122" cm="1">
        <f t="array" ref="AE122">IF(PART_NUMBER_GENERATOR_TABLE[[#This Row],[Work Role]:[Work Role]]&lt;&gt;AE$1,0,
IF(PART_NUMBER_GENERATOR_TABLE[[#This Row],[Work Type]:[Work Type]]&lt;&gt;"BH",0,
SUMIFS(AE$9:AE$24,$M$9:$M$24,PART_NUMBER_GENERATOR_TABLE[[#This Row],[Tech]:[Tech]])))</f>
        <v>0</v>
      </c>
      <c r="AF122" cm="1">
        <f t="array" ref="AF122">IF(PART_NUMBER_GENERATOR_TABLE[[#This Row],[Work Role]:[Work Role]]&lt;&gt;AF$1,0,
IF(PART_NUMBER_GENERATOR_TABLE[[#This Row],[Work Type]:[Work Type]]&lt;&gt;"BH",0,
SUMIFS(AF$9:AF$24,$M$9:$M$24,PART_NUMBER_GENERATOR_TABLE[[#This Row],[Tech]:[Tech]])))</f>
        <v>0</v>
      </c>
      <c r="AG122" cm="1">
        <f t="array" ref="AG122">IF(PART_NUMBER_GENERATOR_TABLE[[#This Row],[Work Role]:[Work Role]]&lt;&gt;AG$1,0,
IF(PART_NUMBER_GENERATOR_TABLE[[#This Row],[Work Type]:[Work Type]]&lt;&gt;"AH",0,
SUMIFS(AG$9:AG$24,$M$9:$M$24,PART_NUMBER_GENERATOR_TABLE[[#This Row],[Tech]:[Tech]])))</f>
        <v>0</v>
      </c>
      <c r="AH122" cm="1">
        <f t="array" ref="AH122">IF(PART_NUMBER_GENERATOR_TABLE[[#This Row],[Work Role]:[Work Role]]&lt;&gt;AH$1,0,
IF(PART_NUMBER_GENERATOR_TABLE[[#This Row],[Work Type]:[Work Type]]&lt;&gt;"BH",0,
SUMIFS(AH$9:AH$24,$M$9:$M$24,PART_NUMBER_GENERATOR_TABLE[[#This Row],[Tech]:[Tech]])))</f>
        <v>0</v>
      </c>
      <c r="AI122" cm="1">
        <f t="array" ref="AI122">IF(PART_NUMBER_GENERATOR_TABLE[[#This Row],[Work Role]:[Work Role]]&lt;&gt;AI$1,0,
IF(PART_NUMBER_GENERATOR_TABLE[[#This Row],[Work Type]:[Work Type]]&lt;&gt;"BH",0,
SUMIFS(AI$9:AI$24,$M$9:$M$24,PART_NUMBER_GENERATOR_TABLE[[#This Row],[Tech]:[Tech]])))</f>
        <v>0</v>
      </c>
      <c r="AJ122" cm="1">
        <f t="array" ref="AJ122">IF(PART_NUMBER_GENERATOR_TABLE[[#This Row],[Work Role]:[Work Role]]&lt;&gt;AJ$1,0,
IF(PART_NUMBER_GENERATOR_TABLE[[#This Row],[Work Type]:[Work Type]]&lt;&gt;"BH",0,
SUMIFS(AJ$9:AJ$24,$M$9:$M$24,PART_NUMBER_GENERATOR_TABLE[[#This Row],[Tech]:[Tech]])))</f>
        <v>0</v>
      </c>
      <c r="AK122" cm="1">
        <f t="array" ref="AK122">IF(PART_NUMBER_GENERATOR_TABLE[[#This Row],[Work Role]:[Work Role]]&lt;&gt;AK$1,0,
IF(PART_NUMBER_GENERATOR_TABLE[[#This Row],[Work Type]:[Work Type]]&lt;&gt;"AH",0,
SUMIFS(AK$9:AK$24,$M$9:$M$24,PART_NUMBER_GENERATOR_TABLE[[#This Row],[Tech]:[Tech]])))</f>
        <v>0</v>
      </c>
      <c r="AL122" cm="1">
        <f t="array" ref="AL122">IF(PART_NUMBER_GENERATOR_TABLE[[#This Row],[Work Role]:[Work Role]]&lt;&gt;AL$1,0,
IF(PART_NUMBER_GENERATOR_TABLE[[#This Row],[Work Type]:[Work Type]]&lt;&gt;"BH",0,
SUMIFS(AL$9:AL$24,$M$9:$M$24,PART_NUMBER_GENERATOR_TABLE[[#This Row],[Tech]:[Tech]])))</f>
        <v>0</v>
      </c>
      <c r="AM122">
        <f>0</f>
        <v>0</v>
      </c>
      <c r="AN122" cm="1">
        <f t="array" ref="AN122">IF(PART_NUMBER_GENERATOR_TABLE[[#This Row],[Work Role]:[Work Role]]&lt;&gt;AN$1,0,
IF(PART_NUMBER_GENERATOR_TABLE[[#This Row],[Work Type]:[Work Type]]&lt;&gt;"BH",0,
SUMIFS(AN$24,$AM$24,PART_NUMBER_GENERATOR_TABLE[[#This Row],[Tech]:[Tech]])))</f>
        <v>0</v>
      </c>
      <c r="AO122" cm="1">
        <f t="array" ref="AO122">IF(PART_NUMBER_GENERATOR_TABLE[[#This Row],[Work Role]:[Work Role]]&lt;&gt;AO$1,0,
IF(PART_NUMBER_GENERATOR_TABLE[[#This Row],[Work Type]:[Work Type]]&lt;&gt;"BH",0,
SUMIFS(AO$24,$AM$24,PART_NUMBER_GENERATOR_TABLE[[#This Row],[Tech]:[Tech]])))</f>
        <v>0</v>
      </c>
      <c r="AP122" cm="1">
        <f t="array" ref="AP122">IF(PART_NUMBER_GENERATOR_TABLE[[#This Row],[Work Role]:[Work Role]]&lt;&gt;AP$1,0,
IF(PART_NUMBER_GENERATOR_TABLE[[#This Row],[Work Type]:[Work Type]]&lt;&gt;"BH",0,
SUMIFS(AP$24,$AM$24,PART_NUMBER_GENERATOR_TABLE[[#This Row],[Tech]:[Tech]])))</f>
        <v>0</v>
      </c>
      <c r="AQ122" cm="1">
        <f t="array" ref="AQ122">IF(PART_NUMBER_GENERATOR_TABLE[[#This Row],[Work Role]:[Work Role]]&lt;&gt;AQ$1,0,
IF(PART_NUMBER_GENERATOR_TABLE[[#This Row],[Work Type]:[Work Type]]&lt;&gt;"BH",0,
SUMIFS(AQ$24,$AM$24,PART_NUMBER_GENERATOR_TABLE[[#This Row],[Tech]:[Tech]])))</f>
        <v>0</v>
      </c>
      <c r="AR122" cm="1">
        <f t="array" ref="AR122">IF(PART_NUMBER_GENERATOR_TABLE[[#This Row],[Work Role]:[Work Role]]&lt;&gt;AR$1,0,
IF(PART_NUMBER_GENERATOR_TABLE[[#This Row],[Work Type]:[Work Type]]&lt;&gt;"BH",0,
SUMIFS(AR$24,$AM$24,PART_NUMBER_GENERATOR_TABLE[[#This Row],[Tech]:[Tech]])))</f>
        <v>0</v>
      </c>
      <c r="AS122" cm="1">
        <f t="array" ref="AS122">IF(PART_NUMBER_GENERATOR_TABLE[[#This Row],[Work Role]:[Work Role]]&lt;&gt;AS$1,0,
IF(PART_NUMBER_GENERATOR_TABLE[[#This Row],[Work Type]:[Work Type]]&lt;&gt;"BH",0,
SUMIFS(AS$24,$AM$24,PART_NUMBER_GENERATOR_TABLE[[#This Row],[Tech]:[Tech]])))</f>
        <v>0</v>
      </c>
      <c r="AT122" cm="1">
        <f t="array" ref="AT122">IF(PART_NUMBER_GENERATOR_TABLE[[#This Row],[Work Role]:[Work Role]]&lt;&gt;AS$1,0,
IF(PART_NUMBER_GENERATOR_TABLE[[#This Row],[Work Type]:[Work Type]]&lt;&gt;"BH",0,
SUMIFS(AT$24,$AM$24,PART_NUMBER_GENERATOR_TABLE[[#This Row],[Tech]:[Tech]])))</f>
        <v>0</v>
      </c>
      <c r="AU122">
        <f>SUM(PART_NUMBER_GENERATOR_TABLE[[#This Row],[Resource 1 BH]:[Resource 5 AH]],PART_NUMBER_GENERATOR_TABLE[[#This Row],[R1 Mandatory Tasks]:[R5 Mandatory Tasks]],PART_NUMBER_GENERATOR_TABLE[[#This Row],[R1 Remainder]:[R5 Remainder]])</f>
        <v>0</v>
      </c>
      <c r="AV122">
        <f>PART_NUMBER_GENERATOR_TABLE[[#This Row],[Professional Engineering Hours]]*PART_NUMBER_GENERATOR_TABLE[[#This Row],[Sell Rate]]</f>
        <v>0</v>
      </c>
      <c r="AW122">
        <f>PART_NUMBER_GENERATOR_TABLE[[#This Row],[Professional Engineering Hours]]*PART_NUMBER_GENERATOR_TABLE[[#This Row],[Cost Rate]]</f>
        <v>0</v>
      </c>
      <c r="AX122">
        <f>SUM(PART_NUMBER_GENERATOR_TABLE[[#This Row],[PM Trips]:[R5 Trips]])</f>
        <v>0</v>
      </c>
      <c r="AY122">
        <f>PART_NUMBER_GENERATOR_TABLE[[#This Row],[Travel &amp; Accommodation Hours]]*PART_NUMBER_GENERATOR_TABLE[[#This Row],[Sell Rate]]</f>
        <v>0</v>
      </c>
      <c r="AZ122">
        <f>PART_NUMBER_GENERATOR_TABLE[[#This Row],[Travel &amp; Accommodation Hours]]*PART_NUMBER_GENERATOR_TABLE[[#This Row],[Cost Rate]]</f>
        <v>0</v>
      </c>
      <c r="BA122">
        <f>PART_NUMBER_GENERATOR_TABLE[[#This Row],[PM Hours]]+PART_NUMBER_GENERATOR_TABLE[[#This Row],[PM Remainder]]</f>
        <v>0</v>
      </c>
      <c r="BB122">
        <f>PART_NUMBER_GENERATOR_TABLE[[#This Row],[Project Management Hours]]*PART_NUMBER_GENERATOR_TABLE[[#This Row],[Sell Rate]]</f>
        <v>0</v>
      </c>
      <c r="BC122">
        <f>PART_NUMBER_GENERATOR_TABLE[[#This Row],[Project Management Hours]]*PART_NUMBER_GENERATOR_TABLE[[#This Row],[Cost Rate]]</f>
        <v>0</v>
      </c>
      <c r="BD122">
        <f>SUM(PART_NUMBER_GENERATOR_TABLE[[#This Row],[SSE RISK BH]:[PM RISK]],PART_NUMBER_GENERATOR_TABLE[[#This Row],[SSE Remainder RISK BH]:[PM Remainder RISK]])</f>
        <v>0</v>
      </c>
      <c r="BE122">
        <f>PART_NUMBER_GENERATOR_TABLE[[#This Row],[Project Risk Service Hours]]*PART_NUMBER_GENERATOR_TABLE[[#This Row],[Sell Rate]]</f>
        <v>0</v>
      </c>
      <c r="BF122">
        <f>PART_NUMBER_GENERATOR_TABLE[[#This Row],[Project Risk Service Hours]]*PART_NUMBER_GENERATOR_TABLE[[#This Row],[Cost Rate]]</f>
        <v>0</v>
      </c>
      <c r="BG122">
        <f>PART_NUMBER_GENERATOR_TABLE[[#This Row],[SSE RISK TRAVEL]]</f>
        <v>0</v>
      </c>
      <c r="BH122">
        <f>PART_NUMBER_GENERATOR_TABLE[[#This Row],[Sell Rate]]*PART_NUMBER_GENERATOR_TABLE[[#This Row],[Project Risk Travel Hours]]</f>
        <v>0</v>
      </c>
      <c r="BI122">
        <f>PART_NUMBER_GENERATOR_TABLE[[#This Row],[Project Risk Travel Hours]]*PART_NUMBER_GENERATOR_TABLE[[#This Row],[Cost Rate]]</f>
        <v>0</v>
      </c>
      <c r="BJ12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2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22">
        <f>IFERROR(-VLOOKUP(INDEX(ENGINEER_ROLES,MATCH(PART_NUMBER_GENERATOR_TABLE[[#This Row],[Work Role]],settings.Table_Engineer.Roles[ID],0),1),Settings_Hidden!$H$359:$K$366,4,FALSE),0)</f>
        <v>0</v>
      </c>
      <c r="BM122" s="680">
        <f>-Summary!$C$66</f>
        <v>0</v>
      </c>
      <c r="BN122" s="465">
        <f>PART_NUMBER_GENERATOR_TABLE[[#This Row],[Total Base Price]]*MIN(PART_NUMBER_GENERATOR_TABLE[[#This Row],[Rate Service Discount]:[Flat Service Discount]])</f>
        <v>0</v>
      </c>
      <c r="BO122" s="451" t="str">
        <f>IF(PART_NUMBER_GENERATOR_TABLE[[#This Row],[Quantity]]&lt;&gt;0,MAX($BO$30:BO121)+1,"")</f>
        <v/>
      </c>
      <c r="BP122" t="str">
        <f>PART_NUMBER_GENERATOR_TABLE[[#This Row],[Part Number]]</f>
        <v>A-PS-C-COLLAB-SC-BH</v>
      </c>
      <c r="BQ122">
        <f>PART_NUMBER_GENERATOR_TABLE[[#This Row],[Total Hours]]</f>
        <v>0</v>
      </c>
      <c r="BR122">
        <f>PART_NUMBER_GENERATOR_TABLE[[#This Row],[Cost Rate]]</f>
        <v>167.61034913968996</v>
      </c>
      <c r="BS122" s="465">
        <f>PART_NUMBER_GENERATOR_TABLE[[#This Row],[Sell Rate]]+(PART_NUMBER_GENERATOR_TABLE[[#This Row],[Sell Rate]]*MIN(PART_NUMBER_GENERATOR_TABLE[[#This Row],[Rate Service Discount]:[Flat Service Discount]]))</f>
        <v>315</v>
      </c>
    </row>
    <row r="123" spans="1:71">
      <c r="A123">
        <v>93</v>
      </c>
      <c r="C123" t="s">
        <v>889</v>
      </c>
      <c r="D123" t="str" cm="1">
        <f t="array" ref="D123">INDEX(Table.Settings_Skill.List[Skill Name],MATCH(INDEX(_xlfn.TEXTSPLIT(C123,"-",,TRUE),4),Table.Settings_Skill.List[Skill Code],0),1)</f>
        <v>Collaboration</v>
      </c>
      <c r="E123" t="str" cm="1">
        <f t="array" ref="E123">INDEX(_xlfn.TEXTSPLIT(C123,"-",,TRUE),5)</f>
        <v>AC</v>
      </c>
      <c r="F123" t="str">
        <f>IFERROR(INDEX(settings.Table_Engineer.Roles[Department Code],MATCH(PART_NUMBER_GENERATOR_TABLE[[#This Row],[Work Role]],settings.Table_Engineer.Roles[ID],0),1),"PMO")</f>
        <v>CON</v>
      </c>
      <c r="G123" t="str" cm="1">
        <f t="array" ref="G123">INDEX(_xlfn.TEXTSPLIT(C123,"-",,TRUE),6)</f>
        <v>BH</v>
      </c>
      <c r="H12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2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23" cm="1">
        <f t="array" ref="J123">IF(J$1&lt;&gt;PART_NUMBER_GENERATOR_TABLE[[#This Row],[Work Role]:[Work Role]],0,
IF(RIGHT(J$30,2)&lt;&gt;PART_NUMBER_GENERATOR_TABLE[[#This Row],[Work Type]:[Work Type]],0,
SUMIFS(Input_Tasks[R1 Business Hours],Input_Tasks[[Skill Required]:[Skill Required]],PART_NUMBER_GENERATOR_TABLE[[#This Row],[Tech]:[Tech]])))</f>
        <v>0</v>
      </c>
      <c r="K123" cm="1">
        <f t="array" ref="K123">IF(K$1&lt;&gt;PART_NUMBER_GENERATOR_TABLE[[#This Row],[Work Role]:[Work Role]],0,
IF(RIGHT(K$30,2)&lt;&gt;PART_NUMBER_GENERATOR_TABLE[[#This Row],[Work Type]:[Work Type]],0,
SUMIFS(Input_Tasks[R1 After Hours],Input_Tasks[[Skill Required]:[Skill Required]],PART_NUMBER_GENERATOR_TABLE[[#This Row],[Tech]:[Tech]])))</f>
        <v>0</v>
      </c>
      <c r="L123" cm="1">
        <f t="array" ref="L123">IF(L$1&lt;&gt;PART_NUMBER_GENERATOR_TABLE[[#This Row],[Work Role]:[Work Role]],0,
IF(RIGHT(L$30,2)&lt;&gt;PART_NUMBER_GENERATOR_TABLE[[#This Row],[Work Type]:[Work Type]],0,
SUMIFS(Input_Tasks[R2 Business Hours],Input_Tasks[[Skill Required]:[Skill Required]],PART_NUMBER_GENERATOR_TABLE[[#This Row],[Tech]:[Tech]])))</f>
        <v>0</v>
      </c>
      <c r="M123" cm="1">
        <f t="array" ref="M123">IF(M$1&lt;&gt;PART_NUMBER_GENERATOR_TABLE[[#This Row],[Work Role]:[Work Role]],0,
IF(RIGHT(M$30,2)&lt;&gt;PART_NUMBER_GENERATOR_TABLE[[#This Row],[Work Type]:[Work Type]],0,
SUMIFS(Input_Tasks[R2 After Hours],Input_Tasks[[Skill Required]:[Skill Required]],PART_NUMBER_GENERATOR_TABLE[[#This Row],[Tech]:[Tech]])))</f>
        <v>0</v>
      </c>
      <c r="N123" cm="1">
        <f t="array" ref="N123">IF(N$1&lt;&gt;PART_NUMBER_GENERATOR_TABLE[[#This Row],[Work Role]:[Work Role]],0,
IF(RIGHT(N$30,2)&lt;&gt;PART_NUMBER_GENERATOR_TABLE[[#This Row],[Work Type]:[Work Type]],0,
SUMIFS(Input_Tasks[R3 Business Hours],Input_Tasks[[Skill Required]:[Skill Required]],PART_NUMBER_GENERATOR_TABLE[[#This Row],[Tech]:[Tech]])))</f>
        <v>0</v>
      </c>
      <c r="O123" cm="1">
        <f t="array" ref="O123">IF(O$1&lt;&gt;PART_NUMBER_GENERATOR_TABLE[[#This Row],[Work Role]:[Work Role]],0,
IF(RIGHT(O$30,2)&lt;&gt;PART_NUMBER_GENERATOR_TABLE[[#This Row],[Work Type]:[Work Type]],0,
SUMIFS(Input_Tasks[R3 After Hours],Input_Tasks[[Skill Required]:[Skill Required]],PART_NUMBER_GENERATOR_TABLE[[#This Row],[Tech]:[Tech]])))</f>
        <v>0</v>
      </c>
      <c r="P123" cm="1">
        <f t="array" ref="P123">IF(P$1&lt;&gt;PART_NUMBER_GENERATOR_TABLE[[#This Row],[Work Role]:[Work Role]],0,
IF(RIGHT(P$30,2)&lt;&gt;PART_NUMBER_GENERATOR_TABLE[[#This Row],[Work Type]:[Work Type]],0,
SUMIFS(Input_Tasks[R4 Business Hours],Input_Tasks[[Skill Required]:[Skill Required]],PART_NUMBER_GENERATOR_TABLE[[#This Row],[Tech]:[Tech]])))</f>
        <v>0</v>
      </c>
      <c r="Q123" cm="1">
        <f t="array" ref="Q123">IF(Q$1&lt;&gt;PART_NUMBER_GENERATOR_TABLE[[#This Row],[Work Role]:[Work Role]],0,
IF(RIGHT(Q$30,2)&lt;&gt;PART_NUMBER_GENERATOR_TABLE[[#This Row],[Work Type]:[Work Type]],0,
SUMIFS(Input_Tasks[R4 After Hours],Input_Tasks[[Skill Required]:[Skill Required]],PART_NUMBER_GENERATOR_TABLE[[#This Row],[Tech]:[Tech]])))</f>
        <v>0</v>
      </c>
      <c r="R123" cm="1">
        <f t="array" ref="R123">IF(R$1&lt;&gt;PART_NUMBER_GENERATOR_TABLE[[#This Row],[Work Role]:[Work Role]],0,
IF(RIGHT(R$30,2)&lt;&gt;PART_NUMBER_GENERATOR_TABLE[[#This Row],[Work Type]:[Work Type]],0,
SUMIFS(Input_Tasks[R5 Business Hours],Input_Tasks[[Skill Required]:[Skill Required]],PART_NUMBER_GENERATOR_TABLE[[#This Row],[Tech]:[Tech]])))</f>
        <v>0</v>
      </c>
      <c r="S123" cm="1">
        <f t="array" ref="S123">IF(S$1&lt;&gt;PART_NUMBER_GENERATOR_TABLE[[#This Row],[Work Role]:[Work Role]],0,
IF(RIGHT(S$30,2)&lt;&gt;PART_NUMBER_GENERATOR_TABLE[[#This Row],[Work Type]:[Work Type]],0,
SUMIFS(Input_Tasks[R5 After Hours],Input_Tasks[[Skill Required]:[Skill Required]],PART_NUMBER_GENERATOR_TABLE[[#This Row],[Tech]:[Tech]])))</f>
        <v>0</v>
      </c>
      <c r="T123" cm="1">
        <f t="array" ref="T123">IF(PART_NUMBER_GENERATOR_TABLE[[#This Row],[Work Role]:[Work Role]]&lt;&gt;T$1,0,
IF(PART_NUMBER_GENERATOR_TABLE[[#This Row],[Work Type]:[Work Type]]&lt;&gt;"BH",0,
SUMIFS(T$9:T$24,$M$9:$M$24,PART_NUMBER_GENERATOR_TABLE[[#This Row],[Tech]:[Tech]])))</f>
        <v>0</v>
      </c>
      <c r="U123" cm="1">
        <f t="array" ref="U123">IF(PART_NUMBER_GENERATOR_TABLE[[#This Row],[Work Role]:[Work Role]]&lt;&gt;U$1,0,
IF(PART_NUMBER_GENERATOR_TABLE[[#This Row],[Work Type]:[Work Type]]&lt;&gt;"BH",0,
SUMIFS(U$9:U$24,$M$9:$M$24,PART_NUMBER_GENERATOR_TABLE[[#This Row],[Tech]:[Tech]])))</f>
        <v>0</v>
      </c>
      <c r="V123" cm="1">
        <f t="array" ref="V123">IF(PART_NUMBER_GENERATOR_TABLE[[#This Row],[Work Role]:[Work Role]]&lt;&gt;V$1,0,
IF(PART_NUMBER_GENERATOR_TABLE[[#This Row],[Work Type]:[Work Type]]&lt;&gt;"BH",0,
SUMIFS(V$9:V$24,$M$9:$M$24,PART_NUMBER_GENERATOR_TABLE[[#This Row],[Tech]:[Tech]])))</f>
        <v>0</v>
      </c>
      <c r="W123" cm="1">
        <f t="array" ref="W123">IF(PART_NUMBER_GENERATOR_TABLE[[#This Row],[Work Role]:[Work Role]]&lt;&gt;W$1,0,
IF(PART_NUMBER_GENERATOR_TABLE[[#This Row],[Work Type]:[Work Type]]&lt;&gt;"BH",0,
SUMIFS(W$9:W$24,$M$9:$M$24,PART_NUMBER_GENERATOR_TABLE[[#This Row],[Tech]:[Tech]])))</f>
        <v>0</v>
      </c>
      <c r="X123" cm="1">
        <f t="array" ref="X123">IF(PART_NUMBER_GENERATOR_TABLE[[#This Row],[Work Role]:[Work Role]]&lt;&gt;X$1,0,
IF(PART_NUMBER_GENERATOR_TABLE[[#This Row],[Work Type]:[Work Type]]&lt;&gt;"BH",0,
SUMIFS(X$9:X$24,$M$9:$M$24,PART_NUMBER_GENERATOR_TABLE[[#This Row],[Tech]:[Tech]])))</f>
        <v>0</v>
      </c>
      <c r="Y123" cm="1">
        <f t="array" ref="Y123">IF(PART_NUMBER_GENERATOR_TABLE[[#This Row],[Work Role]:[Work Role]]&lt;&gt;Y$1,0,
IF(PART_NUMBER_GENERATOR_TABLE[[#This Row],[Work Type]:[Work Type]]&lt;&gt;"BH",0,
SUMIFS(Y$9:Y$24,$M$9:$M$24,PART_NUMBER_GENERATOR_TABLE[[#This Row],[Tech]:[Tech]])))</f>
        <v>0</v>
      </c>
      <c r="Z123" cm="1">
        <f t="array" ref="Z123">IF(PART_NUMBER_GENERATOR_TABLE[[#This Row],[Work Role]:[Work Role]]&lt;&gt;Z$1,0,
IF(PART_NUMBER_GENERATOR_TABLE[[#This Row],[Work Type]:[Work Type]]&lt;&gt;"BH",0,
SUMIFS(Z$9:Z$24,$M$9:$M$24,PART_NUMBER_GENERATOR_TABLE[[#This Row],[Tech]:[Tech]])))</f>
        <v>0</v>
      </c>
      <c r="AA123" cm="1">
        <f t="array" ref="AA123">IF(PART_NUMBER_GENERATOR_TABLE[[#This Row],[Work Role]:[Work Role]]&lt;&gt;AA$1,0,
IF(PART_NUMBER_GENERATOR_TABLE[[#This Row],[Work Type]:[Work Type]]&lt;&gt;"BH",0,
SUMIFS(AA$9:AA$24,$M$9:$M$24,PART_NUMBER_GENERATOR_TABLE[[#This Row],[Tech]:[Tech]])))</f>
        <v>0</v>
      </c>
      <c r="AB123" cm="1">
        <f t="array" ref="AB123">IF(PART_NUMBER_GENERATOR_TABLE[[#This Row],[Work Role]:[Work Role]]&lt;&gt;AB$1,0,
IF(PART_NUMBER_GENERATOR_TABLE[[#This Row],[Work Type]:[Work Type]]&lt;&gt;"BH",0,
SUMIFS(AB$9:AB$24,$M$9:$M$24,PART_NUMBER_GENERATOR_TABLE[[#This Row],[Tech]:[Tech]])))</f>
        <v>0</v>
      </c>
      <c r="AC123" cm="1">
        <f t="array" ref="AC123">IF(PART_NUMBER_GENERATOR_TABLE[[#This Row],[Work Role]:[Work Role]]&lt;&gt;AC$1,0,
IF(PART_NUMBER_GENERATOR_TABLE[[#This Row],[Work Type]:[Work Type]]&lt;&gt;"BH",0,
SUMIFS(AC$9:AC$24,$M$9:$M$24,PART_NUMBER_GENERATOR_TABLE[[#This Row],[Tech]:[Tech]])))</f>
        <v>0</v>
      </c>
      <c r="AD123" cm="1">
        <f t="array" ref="AD123">IF(PART_NUMBER_GENERATOR_TABLE[[#This Row],[Work Role]:[Work Role]]&lt;&gt;AD$1,0,
IF(PART_NUMBER_GENERATOR_TABLE[[#This Row],[Work Type]:[Work Type]]&lt;&gt;"BH",0,
SUMIFS(AD$9:AD$24,$M$9:$M$24,PART_NUMBER_GENERATOR_TABLE[[#This Row],[Tech]:[Tech]])))</f>
        <v>0</v>
      </c>
      <c r="AE123" cm="1">
        <f t="array" ref="AE123">IF(PART_NUMBER_GENERATOR_TABLE[[#This Row],[Work Role]:[Work Role]]&lt;&gt;AE$1,0,
IF(PART_NUMBER_GENERATOR_TABLE[[#This Row],[Work Type]:[Work Type]]&lt;&gt;"BH",0,
SUMIFS(AE$9:AE$24,$M$9:$M$24,PART_NUMBER_GENERATOR_TABLE[[#This Row],[Tech]:[Tech]])))</f>
        <v>0</v>
      </c>
      <c r="AF123" cm="1">
        <f t="array" ref="AF123">IF(PART_NUMBER_GENERATOR_TABLE[[#This Row],[Work Role]:[Work Role]]&lt;&gt;AF$1,0,
IF(PART_NUMBER_GENERATOR_TABLE[[#This Row],[Work Type]:[Work Type]]&lt;&gt;"BH",0,
SUMIFS(AF$9:AF$24,$M$9:$M$24,PART_NUMBER_GENERATOR_TABLE[[#This Row],[Tech]:[Tech]])))</f>
        <v>0</v>
      </c>
      <c r="AG123" cm="1">
        <f t="array" ref="AG123">IF(PART_NUMBER_GENERATOR_TABLE[[#This Row],[Work Role]:[Work Role]]&lt;&gt;AG$1,0,
IF(PART_NUMBER_GENERATOR_TABLE[[#This Row],[Work Type]:[Work Type]]&lt;&gt;"AH",0,
SUMIFS(AG$9:AG$24,$M$9:$M$24,PART_NUMBER_GENERATOR_TABLE[[#This Row],[Tech]:[Tech]])))</f>
        <v>0</v>
      </c>
      <c r="AH123" cm="1">
        <f t="array" ref="AH123">IF(PART_NUMBER_GENERATOR_TABLE[[#This Row],[Work Role]:[Work Role]]&lt;&gt;AH$1,0,
IF(PART_NUMBER_GENERATOR_TABLE[[#This Row],[Work Type]:[Work Type]]&lt;&gt;"BH",0,
SUMIFS(AH$9:AH$24,$M$9:$M$24,PART_NUMBER_GENERATOR_TABLE[[#This Row],[Tech]:[Tech]])))</f>
        <v>0</v>
      </c>
      <c r="AI123" cm="1">
        <f t="array" ref="AI123">IF(PART_NUMBER_GENERATOR_TABLE[[#This Row],[Work Role]:[Work Role]]&lt;&gt;AI$1,0,
IF(PART_NUMBER_GENERATOR_TABLE[[#This Row],[Work Type]:[Work Type]]&lt;&gt;"BH",0,
SUMIFS(AI$9:AI$24,$M$9:$M$24,PART_NUMBER_GENERATOR_TABLE[[#This Row],[Tech]:[Tech]])))</f>
        <v>0</v>
      </c>
      <c r="AJ123" cm="1">
        <f t="array" ref="AJ123">IF(PART_NUMBER_GENERATOR_TABLE[[#This Row],[Work Role]:[Work Role]]&lt;&gt;AJ$1,0,
IF(PART_NUMBER_GENERATOR_TABLE[[#This Row],[Work Type]:[Work Type]]&lt;&gt;"BH",0,
SUMIFS(AJ$9:AJ$24,$M$9:$M$24,PART_NUMBER_GENERATOR_TABLE[[#This Row],[Tech]:[Tech]])))</f>
        <v>0</v>
      </c>
      <c r="AK123" cm="1">
        <f t="array" ref="AK123">IF(PART_NUMBER_GENERATOR_TABLE[[#This Row],[Work Role]:[Work Role]]&lt;&gt;AK$1,0,
IF(PART_NUMBER_GENERATOR_TABLE[[#This Row],[Work Type]:[Work Type]]&lt;&gt;"AH",0,
SUMIFS(AK$9:AK$24,$M$9:$M$24,PART_NUMBER_GENERATOR_TABLE[[#This Row],[Tech]:[Tech]])))</f>
        <v>0</v>
      </c>
      <c r="AL123" cm="1">
        <f t="array" ref="AL123">IF(PART_NUMBER_GENERATOR_TABLE[[#This Row],[Work Role]:[Work Role]]&lt;&gt;AL$1,0,
IF(PART_NUMBER_GENERATOR_TABLE[[#This Row],[Work Type]:[Work Type]]&lt;&gt;"BH",0,
SUMIFS(AL$9:AL$24,$M$9:$M$24,PART_NUMBER_GENERATOR_TABLE[[#This Row],[Tech]:[Tech]])))</f>
        <v>0</v>
      </c>
      <c r="AM123">
        <f>0</f>
        <v>0</v>
      </c>
      <c r="AN123" cm="1">
        <f t="array" ref="AN123">IF(PART_NUMBER_GENERATOR_TABLE[[#This Row],[Work Role]:[Work Role]]&lt;&gt;AN$1,0,
IF(PART_NUMBER_GENERATOR_TABLE[[#This Row],[Work Type]:[Work Type]]&lt;&gt;"BH",0,
SUMIFS(AN$24,$AM$24,PART_NUMBER_GENERATOR_TABLE[[#This Row],[Tech]:[Tech]])))</f>
        <v>0</v>
      </c>
      <c r="AO123" cm="1">
        <f t="array" ref="AO123">IF(PART_NUMBER_GENERATOR_TABLE[[#This Row],[Work Role]:[Work Role]]&lt;&gt;AO$1,0,
IF(PART_NUMBER_GENERATOR_TABLE[[#This Row],[Work Type]:[Work Type]]&lt;&gt;"BH",0,
SUMIFS(AO$24,$AM$24,PART_NUMBER_GENERATOR_TABLE[[#This Row],[Tech]:[Tech]])))</f>
        <v>0</v>
      </c>
      <c r="AP123" cm="1">
        <f t="array" ref="AP123">IF(PART_NUMBER_GENERATOR_TABLE[[#This Row],[Work Role]:[Work Role]]&lt;&gt;AP$1,0,
IF(PART_NUMBER_GENERATOR_TABLE[[#This Row],[Work Type]:[Work Type]]&lt;&gt;"BH",0,
SUMIFS(AP$24,$AM$24,PART_NUMBER_GENERATOR_TABLE[[#This Row],[Tech]:[Tech]])))</f>
        <v>0</v>
      </c>
      <c r="AQ123" cm="1">
        <f t="array" ref="AQ123">IF(PART_NUMBER_GENERATOR_TABLE[[#This Row],[Work Role]:[Work Role]]&lt;&gt;AQ$1,0,
IF(PART_NUMBER_GENERATOR_TABLE[[#This Row],[Work Type]:[Work Type]]&lt;&gt;"BH",0,
SUMIFS(AQ$24,$AM$24,PART_NUMBER_GENERATOR_TABLE[[#This Row],[Tech]:[Tech]])))</f>
        <v>0</v>
      </c>
      <c r="AR123" cm="1">
        <f t="array" ref="AR123">IF(PART_NUMBER_GENERATOR_TABLE[[#This Row],[Work Role]:[Work Role]]&lt;&gt;AR$1,0,
IF(PART_NUMBER_GENERATOR_TABLE[[#This Row],[Work Type]:[Work Type]]&lt;&gt;"BH",0,
SUMIFS(AR$24,$AM$24,PART_NUMBER_GENERATOR_TABLE[[#This Row],[Tech]:[Tech]])))</f>
        <v>0</v>
      </c>
      <c r="AS123" cm="1">
        <f t="array" ref="AS123">IF(PART_NUMBER_GENERATOR_TABLE[[#This Row],[Work Role]:[Work Role]]&lt;&gt;AS$1,0,
IF(PART_NUMBER_GENERATOR_TABLE[[#This Row],[Work Type]:[Work Type]]&lt;&gt;"BH",0,
SUMIFS(AS$24,$AM$24,PART_NUMBER_GENERATOR_TABLE[[#This Row],[Tech]:[Tech]])))</f>
        <v>0</v>
      </c>
      <c r="AT123" cm="1">
        <f t="array" ref="AT123">IF(PART_NUMBER_GENERATOR_TABLE[[#This Row],[Work Role]:[Work Role]]&lt;&gt;AS$1,0,
IF(PART_NUMBER_GENERATOR_TABLE[[#This Row],[Work Type]:[Work Type]]&lt;&gt;"BH",0,
SUMIFS(AT$24,$AM$24,PART_NUMBER_GENERATOR_TABLE[[#This Row],[Tech]:[Tech]])))</f>
        <v>0</v>
      </c>
      <c r="AU123">
        <f>SUM(PART_NUMBER_GENERATOR_TABLE[[#This Row],[Resource 1 BH]:[Resource 5 AH]],PART_NUMBER_GENERATOR_TABLE[[#This Row],[R1 Mandatory Tasks]:[R5 Mandatory Tasks]],PART_NUMBER_GENERATOR_TABLE[[#This Row],[R1 Remainder]:[R5 Remainder]])</f>
        <v>0</v>
      </c>
      <c r="AV123">
        <f>PART_NUMBER_GENERATOR_TABLE[[#This Row],[Professional Engineering Hours]]*PART_NUMBER_GENERATOR_TABLE[[#This Row],[Sell Rate]]</f>
        <v>0</v>
      </c>
      <c r="AW123">
        <f>PART_NUMBER_GENERATOR_TABLE[[#This Row],[Professional Engineering Hours]]*PART_NUMBER_GENERATOR_TABLE[[#This Row],[Cost Rate]]</f>
        <v>0</v>
      </c>
      <c r="AX123">
        <f>SUM(PART_NUMBER_GENERATOR_TABLE[[#This Row],[PM Trips]:[R5 Trips]])</f>
        <v>0</v>
      </c>
      <c r="AY123">
        <f>PART_NUMBER_GENERATOR_TABLE[[#This Row],[Travel &amp; Accommodation Hours]]*PART_NUMBER_GENERATOR_TABLE[[#This Row],[Sell Rate]]</f>
        <v>0</v>
      </c>
      <c r="AZ123">
        <f>PART_NUMBER_GENERATOR_TABLE[[#This Row],[Travel &amp; Accommodation Hours]]*PART_NUMBER_GENERATOR_TABLE[[#This Row],[Cost Rate]]</f>
        <v>0</v>
      </c>
      <c r="BA123">
        <f>PART_NUMBER_GENERATOR_TABLE[[#This Row],[PM Hours]]+PART_NUMBER_GENERATOR_TABLE[[#This Row],[PM Remainder]]</f>
        <v>0</v>
      </c>
      <c r="BB123">
        <f>PART_NUMBER_GENERATOR_TABLE[[#This Row],[Project Management Hours]]*PART_NUMBER_GENERATOR_TABLE[[#This Row],[Sell Rate]]</f>
        <v>0</v>
      </c>
      <c r="BC123">
        <f>PART_NUMBER_GENERATOR_TABLE[[#This Row],[Project Management Hours]]*PART_NUMBER_GENERATOR_TABLE[[#This Row],[Cost Rate]]</f>
        <v>0</v>
      </c>
      <c r="BD123">
        <f>SUM(PART_NUMBER_GENERATOR_TABLE[[#This Row],[SSE RISK BH]:[PM RISK]],PART_NUMBER_GENERATOR_TABLE[[#This Row],[SSE Remainder RISK BH]:[PM Remainder RISK]])</f>
        <v>0</v>
      </c>
      <c r="BE123">
        <f>PART_NUMBER_GENERATOR_TABLE[[#This Row],[Project Risk Service Hours]]*PART_NUMBER_GENERATOR_TABLE[[#This Row],[Sell Rate]]</f>
        <v>0</v>
      </c>
      <c r="BF123">
        <f>PART_NUMBER_GENERATOR_TABLE[[#This Row],[Project Risk Service Hours]]*PART_NUMBER_GENERATOR_TABLE[[#This Row],[Cost Rate]]</f>
        <v>0</v>
      </c>
      <c r="BG123">
        <f>PART_NUMBER_GENERATOR_TABLE[[#This Row],[SSE RISK TRAVEL]]</f>
        <v>0</v>
      </c>
      <c r="BH123">
        <f>PART_NUMBER_GENERATOR_TABLE[[#This Row],[Sell Rate]]*PART_NUMBER_GENERATOR_TABLE[[#This Row],[Project Risk Travel Hours]]</f>
        <v>0</v>
      </c>
      <c r="BI123">
        <f>PART_NUMBER_GENERATOR_TABLE[[#This Row],[Project Risk Travel Hours]]*PART_NUMBER_GENERATOR_TABLE[[#This Row],[Cost Rate]]</f>
        <v>0</v>
      </c>
      <c r="BJ12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2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23">
        <f>IFERROR(-VLOOKUP(INDEX(ENGINEER_ROLES,MATCH(PART_NUMBER_GENERATOR_TABLE[[#This Row],[Work Role]],settings.Table_Engineer.Roles[ID],0),1),Settings_Hidden!$H$359:$K$366,4,FALSE),0)</f>
        <v>0</v>
      </c>
      <c r="BM123" s="680">
        <f>-Summary!$C$66</f>
        <v>0</v>
      </c>
      <c r="BN123" s="465">
        <f>PART_NUMBER_GENERATOR_TABLE[[#This Row],[Total Base Price]]*MIN(PART_NUMBER_GENERATOR_TABLE[[#This Row],[Rate Service Discount]:[Flat Service Discount]])</f>
        <v>0</v>
      </c>
      <c r="BO123" s="451" t="str">
        <f>IF(PART_NUMBER_GENERATOR_TABLE[[#This Row],[Quantity]]&lt;&gt;0,MAX($BO$30:BO122)+1,"")</f>
        <v/>
      </c>
      <c r="BP123" t="str">
        <f>PART_NUMBER_GENERATOR_TABLE[[#This Row],[Part Number]]</f>
        <v>A-PS-C-COLLAB-AC-BH</v>
      </c>
      <c r="BQ123">
        <f>PART_NUMBER_GENERATOR_TABLE[[#This Row],[Total Hours]]</f>
        <v>0</v>
      </c>
      <c r="BR123">
        <f>PART_NUMBER_GENERATOR_TABLE[[#This Row],[Cost Rate]]</f>
        <v>167.61034913968996</v>
      </c>
      <c r="BS123" s="465">
        <f>PART_NUMBER_GENERATOR_TABLE[[#This Row],[Sell Rate]]+(PART_NUMBER_GENERATOR_TABLE[[#This Row],[Sell Rate]]*MIN(PART_NUMBER_GENERATOR_TABLE[[#This Row],[Rate Service Discount]:[Flat Service Discount]]))</f>
        <v>315</v>
      </c>
    </row>
    <row r="124" spans="1:71">
      <c r="A124">
        <v>94</v>
      </c>
      <c r="C124" t="s">
        <v>931</v>
      </c>
      <c r="D124" t="str" cm="1">
        <f t="array" ref="D124">INDEX(Table.Settings_Skill.List[Skill Name],MATCH(INDEX(_xlfn.TEXTSPLIT(C124,"-",,TRUE),4),Table.Settings_Skill.List[Skill Code],0),1)</f>
        <v>Data Centre / Cloud</v>
      </c>
      <c r="E124" t="str" cm="1">
        <f t="array" ref="E124">INDEX(_xlfn.TEXTSPLIT(C124,"-",,TRUE),5)</f>
        <v>SA</v>
      </c>
      <c r="F124" t="str">
        <f>IFERROR(INDEX(settings.Table_Engineer.Roles[Department Code],MATCH(PART_NUMBER_GENERATOR_TABLE[[#This Row],[Work Role]],settings.Table_Engineer.Roles[ID],0),1),"PMO")</f>
        <v>CON</v>
      </c>
      <c r="G124" t="str" cm="1">
        <f t="array" ref="G124">INDEX(_xlfn.TEXTSPLIT(C124,"-",,TRUE),6)</f>
        <v>BH</v>
      </c>
      <c r="H12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2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24" cm="1">
        <f t="array" ref="J124">IF(J$1&lt;&gt;PART_NUMBER_GENERATOR_TABLE[[#This Row],[Work Role]:[Work Role]],0,
IF(RIGHT(J$30,2)&lt;&gt;PART_NUMBER_GENERATOR_TABLE[[#This Row],[Work Type]:[Work Type]],0,
SUMIFS(Input_Tasks[R1 Business Hours],Input_Tasks[[Skill Required]:[Skill Required]],PART_NUMBER_GENERATOR_TABLE[[#This Row],[Tech]:[Tech]])))</f>
        <v>0</v>
      </c>
      <c r="K124" cm="1">
        <f t="array" ref="K124">IF(K$1&lt;&gt;PART_NUMBER_GENERATOR_TABLE[[#This Row],[Work Role]:[Work Role]],0,
IF(RIGHT(K$30,2)&lt;&gt;PART_NUMBER_GENERATOR_TABLE[[#This Row],[Work Type]:[Work Type]],0,
SUMIFS(Input_Tasks[R1 After Hours],Input_Tasks[[Skill Required]:[Skill Required]],PART_NUMBER_GENERATOR_TABLE[[#This Row],[Tech]:[Tech]])))</f>
        <v>0</v>
      </c>
      <c r="L124" cm="1">
        <f t="array" ref="L124">IF(L$1&lt;&gt;PART_NUMBER_GENERATOR_TABLE[[#This Row],[Work Role]:[Work Role]],0,
IF(RIGHT(L$30,2)&lt;&gt;PART_NUMBER_GENERATOR_TABLE[[#This Row],[Work Type]:[Work Type]],0,
SUMIFS(Input_Tasks[R2 Business Hours],Input_Tasks[[Skill Required]:[Skill Required]],PART_NUMBER_GENERATOR_TABLE[[#This Row],[Tech]:[Tech]])))</f>
        <v>0</v>
      </c>
      <c r="M124" cm="1">
        <f t="array" ref="M124">IF(M$1&lt;&gt;PART_NUMBER_GENERATOR_TABLE[[#This Row],[Work Role]:[Work Role]],0,
IF(RIGHT(M$30,2)&lt;&gt;PART_NUMBER_GENERATOR_TABLE[[#This Row],[Work Type]:[Work Type]],0,
SUMIFS(Input_Tasks[R2 After Hours],Input_Tasks[[Skill Required]:[Skill Required]],PART_NUMBER_GENERATOR_TABLE[[#This Row],[Tech]:[Tech]])))</f>
        <v>0</v>
      </c>
      <c r="N124" cm="1">
        <f t="array" ref="N124">IF(N$1&lt;&gt;PART_NUMBER_GENERATOR_TABLE[[#This Row],[Work Role]:[Work Role]],0,
IF(RIGHT(N$30,2)&lt;&gt;PART_NUMBER_GENERATOR_TABLE[[#This Row],[Work Type]:[Work Type]],0,
SUMIFS(Input_Tasks[R3 Business Hours],Input_Tasks[[Skill Required]:[Skill Required]],PART_NUMBER_GENERATOR_TABLE[[#This Row],[Tech]:[Tech]])))</f>
        <v>0</v>
      </c>
      <c r="O124" cm="1">
        <f t="array" ref="O124">IF(O$1&lt;&gt;PART_NUMBER_GENERATOR_TABLE[[#This Row],[Work Role]:[Work Role]],0,
IF(RIGHT(O$30,2)&lt;&gt;PART_NUMBER_GENERATOR_TABLE[[#This Row],[Work Type]:[Work Type]],0,
SUMIFS(Input_Tasks[R3 After Hours],Input_Tasks[[Skill Required]:[Skill Required]],PART_NUMBER_GENERATOR_TABLE[[#This Row],[Tech]:[Tech]])))</f>
        <v>0</v>
      </c>
      <c r="P124" cm="1">
        <f t="array" ref="P124">IF(P$1&lt;&gt;PART_NUMBER_GENERATOR_TABLE[[#This Row],[Work Role]:[Work Role]],0,
IF(RIGHT(P$30,2)&lt;&gt;PART_NUMBER_GENERATOR_TABLE[[#This Row],[Work Type]:[Work Type]],0,
SUMIFS(Input_Tasks[R4 Business Hours],Input_Tasks[[Skill Required]:[Skill Required]],PART_NUMBER_GENERATOR_TABLE[[#This Row],[Tech]:[Tech]])))</f>
        <v>0</v>
      </c>
      <c r="Q124" cm="1">
        <f t="array" ref="Q124">IF(Q$1&lt;&gt;PART_NUMBER_GENERATOR_TABLE[[#This Row],[Work Role]:[Work Role]],0,
IF(RIGHT(Q$30,2)&lt;&gt;PART_NUMBER_GENERATOR_TABLE[[#This Row],[Work Type]:[Work Type]],0,
SUMIFS(Input_Tasks[R4 After Hours],Input_Tasks[[Skill Required]:[Skill Required]],PART_NUMBER_GENERATOR_TABLE[[#This Row],[Tech]:[Tech]])))</f>
        <v>0</v>
      </c>
      <c r="R124" cm="1">
        <f t="array" ref="R124">IF(R$1&lt;&gt;PART_NUMBER_GENERATOR_TABLE[[#This Row],[Work Role]:[Work Role]],0,
IF(RIGHT(R$30,2)&lt;&gt;PART_NUMBER_GENERATOR_TABLE[[#This Row],[Work Type]:[Work Type]],0,
SUMIFS(Input_Tasks[R5 Business Hours],Input_Tasks[[Skill Required]:[Skill Required]],PART_NUMBER_GENERATOR_TABLE[[#This Row],[Tech]:[Tech]])))</f>
        <v>0</v>
      </c>
      <c r="S124" cm="1">
        <f t="array" ref="S124">IF(S$1&lt;&gt;PART_NUMBER_GENERATOR_TABLE[[#This Row],[Work Role]:[Work Role]],0,
IF(RIGHT(S$30,2)&lt;&gt;PART_NUMBER_GENERATOR_TABLE[[#This Row],[Work Type]:[Work Type]],0,
SUMIFS(Input_Tasks[R5 After Hours],Input_Tasks[[Skill Required]:[Skill Required]],PART_NUMBER_GENERATOR_TABLE[[#This Row],[Tech]:[Tech]])))</f>
        <v>0</v>
      </c>
      <c r="T124" cm="1">
        <f t="array" ref="T124">IF(PART_NUMBER_GENERATOR_TABLE[[#This Row],[Work Role]:[Work Role]]&lt;&gt;T$1,0,
IF(PART_NUMBER_GENERATOR_TABLE[[#This Row],[Work Type]:[Work Type]]&lt;&gt;"BH",0,
SUMIFS(T$9:T$24,$M$9:$M$24,PART_NUMBER_GENERATOR_TABLE[[#This Row],[Tech]:[Tech]])))</f>
        <v>0</v>
      </c>
      <c r="U124" cm="1">
        <f t="array" ref="U124">IF(PART_NUMBER_GENERATOR_TABLE[[#This Row],[Work Role]:[Work Role]]&lt;&gt;U$1,0,
IF(PART_NUMBER_GENERATOR_TABLE[[#This Row],[Work Type]:[Work Type]]&lt;&gt;"BH",0,
SUMIFS(U$9:U$24,$M$9:$M$24,PART_NUMBER_GENERATOR_TABLE[[#This Row],[Tech]:[Tech]])))</f>
        <v>0</v>
      </c>
      <c r="V124" cm="1">
        <f t="array" ref="V124">IF(PART_NUMBER_GENERATOR_TABLE[[#This Row],[Work Role]:[Work Role]]&lt;&gt;V$1,0,
IF(PART_NUMBER_GENERATOR_TABLE[[#This Row],[Work Type]:[Work Type]]&lt;&gt;"BH",0,
SUMIFS(V$9:V$24,$M$9:$M$24,PART_NUMBER_GENERATOR_TABLE[[#This Row],[Tech]:[Tech]])))</f>
        <v>0</v>
      </c>
      <c r="W124" cm="1">
        <f t="array" ref="W124">IF(PART_NUMBER_GENERATOR_TABLE[[#This Row],[Work Role]:[Work Role]]&lt;&gt;W$1,0,
IF(PART_NUMBER_GENERATOR_TABLE[[#This Row],[Work Type]:[Work Type]]&lt;&gt;"BH",0,
SUMIFS(W$9:W$24,$M$9:$M$24,PART_NUMBER_GENERATOR_TABLE[[#This Row],[Tech]:[Tech]])))</f>
        <v>0</v>
      </c>
      <c r="X124" cm="1">
        <f t="array" ref="X124">IF(PART_NUMBER_GENERATOR_TABLE[[#This Row],[Work Role]:[Work Role]]&lt;&gt;X$1,0,
IF(PART_NUMBER_GENERATOR_TABLE[[#This Row],[Work Type]:[Work Type]]&lt;&gt;"BH",0,
SUMIFS(X$9:X$24,$M$9:$M$24,PART_NUMBER_GENERATOR_TABLE[[#This Row],[Tech]:[Tech]])))</f>
        <v>0</v>
      </c>
      <c r="Y124" cm="1">
        <f t="array" ref="Y124">IF(PART_NUMBER_GENERATOR_TABLE[[#This Row],[Work Role]:[Work Role]]&lt;&gt;Y$1,0,
IF(PART_NUMBER_GENERATOR_TABLE[[#This Row],[Work Type]:[Work Type]]&lt;&gt;"BH",0,
SUMIFS(Y$9:Y$24,$M$9:$M$24,PART_NUMBER_GENERATOR_TABLE[[#This Row],[Tech]:[Tech]])))</f>
        <v>0</v>
      </c>
      <c r="Z124" cm="1">
        <f t="array" ref="Z124">IF(PART_NUMBER_GENERATOR_TABLE[[#This Row],[Work Role]:[Work Role]]&lt;&gt;Z$1,0,
IF(PART_NUMBER_GENERATOR_TABLE[[#This Row],[Work Type]:[Work Type]]&lt;&gt;"BH",0,
SUMIFS(Z$9:Z$24,$M$9:$M$24,PART_NUMBER_GENERATOR_TABLE[[#This Row],[Tech]:[Tech]])))</f>
        <v>0</v>
      </c>
      <c r="AA124" cm="1">
        <f t="array" ref="AA124">IF(PART_NUMBER_GENERATOR_TABLE[[#This Row],[Work Role]:[Work Role]]&lt;&gt;AA$1,0,
IF(PART_NUMBER_GENERATOR_TABLE[[#This Row],[Work Type]:[Work Type]]&lt;&gt;"BH",0,
SUMIFS(AA$9:AA$24,$M$9:$M$24,PART_NUMBER_GENERATOR_TABLE[[#This Row],[Tech]:[Tech]])))</f>
        <v>0</v>
      </c>
      <c r="AB124" cm="1">
        <f t="array" ref="AB124">IF(PART_NUMBER_GENERATOR_TABLE[[#This Row],[Work Role]:[Work Role]]&lt;&gt;AB$1,0,
IF(PART_NUMBER_GENERATOR_TABLE[[#This Row],[Work Type]:[Work Type]]&lt;&gt;"BH",0,
SUMIFS(AB$9:AB$24,$M$9:$M$24,PART_NUMBER_GENERATOR_TABLE[[#This Row],[Tech]:[Tech]])))</f>
        <v>0</v>
      </c>
      <c r="AC124" cm="1">
        <f t="array" ref="AC124">IF(PART_NUMBER_GENERATOR_TABLE[[#This Row],[Work Role]:[Work Role]]&lt;&gt;AC$1,0,
IF(PART_NUMBER_GENERATOR_TABLE[[#This Row],[Work Type]:[Work Type]]&lt;&gt;"BH",0,
SUMIFS(AC$9:AC$24,$M$9:$M$24,PART_NUMBER_GENERATOR_TABLE[[#This Row],[Tech]:[Tech]])))</f>
        <v>0</v>
      </c>
      <c r="AD124" cm="1">
        <f t="array" ref="AD124">IF(PART_NUMBER_GENERATOR_TABLE[[#This Row],[Work Role]:[Work Role]]&lt;&gt;AD$1,0,
IF(PART_NUMBER_GENERATOR_TABLE[[#This Row],[Work Type]:[Work Type]]&lt;&gt;"BH",0,
SUMIFS(AD$9:AD$24,$M$9:$M$24,PART_NUMBER_GENERATOR_TABLE[[#This Row],[Tech]:[Tech]])))</f>
        <v>0</v>
      </c>
      <c r="AE124" cm="1">
        <f t="array" ref="AE124">IF(PART_NUMBER_GENERATOR_TABLE[[#This Row],[Work Role]:[Work Role]]&lt;&gt;AE$1,0,
IF(PART_NUMBER_GENERATOR_TABLE[[#This Row],[Work Type]:[Work Type]]&lt;&gt;"BH",0,
SUMIFS(AE$9:AE$24,$M$9:$M$24,PART_NUMBER_GENERATOR_TABLE[[#This Row],[Tech]:[Tech]])))</f>
        <v>0</v>
      </c>
      <c r="AF124" cm="1">
        <f t="array" ref="AF124">IF(PART_NUMBER_GENERATOR_TABLE[[#This Row],[Work Role]:[Work Role]]&lt;&gt;AF$1,0,
IF(PART_NUMBER_GENERATOR_TABLE[[#This Row],[Work Type]:[Work Type]]&lt;&gt;"BH",0,
SUMIFS(AF$9:AF$24,$M$9:$M$24,PART_NUMBER_GENERATOR_TABLE[[#This Row],[Tech]:[Tech]])))</f>
        <v>0</v>
      </c>
      <c r="AG124" cm="1">
        <f t="array" ref="AG124">IF(PART_NUMBER_GENERATOR_TABLE[[#This Row],[Work Role]:[Work Role]]&lt;&gt;AG$1,0,
IF(PART_NUMBER_GENERATOR_TABLE[[#This Row],[Work Type]:[Work Type]]&lt;&gt;"AH",0,
SUMIFS(AG$9:AG$24,$M$9:$M$24,PART_NUMBER_GENERATOR_TABLE[[#This Row],[Tech]:[Tech]])))</f>
        <v>0</v>
      </c>
      <c r="AH124" cm="1">
        <f t="array" ref="AH124">IF(PART_NUMBER_GENERATOR_TABLE[[#This Row],[Work Role]:[Work Role]]&lt;&gt;AH$1,0,
IF(PART_NUMBER_GENERATOR_TABLE[[#This Row],[Work Type]:[Work Type]]&lt;&gt;"BH",0,
SUMIFS(AH$9:AH$24,$M$9:$M$24,PART_NUMBER_GENERATOR_TABLE[[#This Row],[Tech]:[Tech]])))</f>
        <v>0</v>
      </c>
      <c r="AI124" cm="1">
        <f t="array" ref="AI124">IF(PART_NUMBER_GENERATOR_TABLE[[#This Row],[Work Role]:[Work Role]]&lt;&gt;AI$1,0,
IF(PART_NUMBER_GENERATOR_TABLE[[#This Row],[Work Type]:[Work Type]]&lt;&gt;"BH",0,
SUMIFS(AI$9:AI$24,$M$9:$M$24,PART_NUMBER_GENERATOR_TABLE[[#This Row],[Tech]:[Tech]])))</f>
        <v>0</v>
      </c>
      <c r="AJ124" cm="1">
        <f t="array" ref="AJ124">IF(PART_NUMBER_GENERATOR_TABLE[[#This Row],[Work Role]:[Work Role]]&lt;&gt;AJ$1,0,
IF(PART_NUMBER_GENERATOR_TABLE[[#This Row],[Work Type]:[Work Type]]&lt;&gt;"BH",0,
SUMIFS(AJ$9:AJ$24,$M$9:$M$24,PART_NUMBER_GENERATOR_TABLE[[#This Row],[Tech]:[Tech]])))</f>
        <v>0</v>
      </c>
      <c r="AK124" cm="1">
        <f t="array" ref="AK124">IF(PART_NUMBER_GENERATOR_TABLE[[#This Row],[Work Role]:[Work Role]]&lt;&gt;AK$1,0,
IF(PART_NUMBER_GENERATOR_TABLE[[#This Row],[Work Type]:[Work Type]]&lt;&gt;"AH",0,
SUMIFS(AK$9:AK$24,$M$9:$M$24,PART_NUMBER_GENERATOR_TABLE[[#This Row],[Tech]:[Tech]])))</f>
        <v>0</v>
      </c>
      <c r="AL124" cm="1">
        <f t="array" ref="AL124">IF(PART_NUMBER_GENERATOR_TABLE[[#This Row],[Work Role]:[Work Role]]&lt;&gt;AL$1,0,
IF(PART_NUMBER_GENERATOR_TABLE[[#This Row],[Work Type]:[Work Type]]&lt;&gt;"BH",0,
SUMIFS(AL$9:AL$24,$M$9:$M$24,PART_NUMBER_GENERATOR_TABLE[[#This Row],[Tech]:[Tech]])))</f>
        <v>0</v>
      </c>
      <c r="AM124">
        <f>0</f>
        <v>0</v>
      </c>
      <c r="AN124" cm="1">
        <f t="array" ref="AN124">IF(PART_NUMBER_GENERATOR_TABLE[[#This Row],[Work Role]:[Work Role]]&lt;&gt;AN$1,0,
IF(PART_NUMBER_GENERATOR_TABLE[[#This Row],[Work Type]:[Work Type]]&lt;&gt;"BH",0,
SUMIFS(AN$24,$AM$24,PART_NUMBER_GENERATOR_TABLE[[#This Row],[Tech]:[Tech]])))</f>
        <v>0</v>
      </c>
      <c r="AO124" cm="1">
        <f t="array" ref="AO124">IF(PART_NUMBER_GENERATOR_TABLE[[#This Row],[Work Role]:[Work Role]]&lt;&gt;AO$1,0,
IF(PART_NUMBER_GENERATOR_TABLE[[#This Row],[Work Type]:[Work Type]]&lt;&gt;"BH",0,
SUMIFS(AO$24,$AM$24,PART_NUMBER_GENERATOR_TABLE[[#This Row],[Tech]:[Tech]])))</f>
        <v>0</v>
      </c>
      <c r="AP124" cm="1">
        <f t="array" ref="AP124">IF(PART_NUMBER_GENERATOR_TABLE[[#This Row],[Work Role]:[Work Role]]&lt;&gt;AP$1,0,
IF(PART_NUMBER_GENERATOR_TABLE[[#This Row],[Work Type]:[Work Type]]&lt;&gt;"BH",0,
SUMIFS(AP$24,$AM$24,PART_NUMBER_GENERATOR_TABLE[[#This Row],[Tech]:[Tech]])))</f>
        <v>0</v>
      </c>
      <c r="AQ124" cm="1">
        <f t="array" ref="AQ124">IF(PART_NUMBER_GENERATOR_TABLE[[#This Row],[Work Role]:[Work Role]]&lt;&gt;AQ$1,0,
IF(PART_NUMBER_GENERATOR_TABLE[[#This Row],[Work Type]:[Work Type]]&lt;&gt;"BH",0,
SUMIFS(AQ$24,$AM$24,PART_NUMBER_GENERATOR_TABLE[[#This Row],[Tech]:[Tech]])))</f>
        <v>0</v>
      </c>
      <c r="AR124" cm="1">
        <f t="array" ref="AR124">IF(PART_NUMBER_GENERATOR_TABLE[[#This Row],[Work Role]:[Work Role]]&lt;&gt;AR$1,0,
IF(PART_NUMBER_GENERATOR_TABLE[[#This Row],[Work Type]:[Work Type]]&lt;&gt;"BH",0,
SUMIFS(AR$24,$AM$24,PART_NUMBER_GENERATOR_TABLE[[#This Row],[Tech]:[Tech]])))</f>
        <v>0</v>
      </c>
      <c r="AS124" cm="1">
        <f t="array" ref="AS124">IF(PART_NUMBER_GENERATOR_TABLE[[#This Row],[Work Role]:[Work Role]]&lt;&gt;AS$1,0,
IF(PART_NUMBER_GENERATOR_TABLE[[#This Row],[Work Type]:[Work Type]]&lt;&gt;"BH",0,
SUMIFS(AS$24,$AM$24,PART_NUMBER_GENERATOR_TABLE[[#This Row],[Tech]:[Tech]])))</f>
        <v>0</v>
      </c>
      <c r="AT124" cm="1">
        <f t="array" ref="AT124">IF(PART_NUMBER_GENERATOR_TABLE[[#This Row],[Work Role]:[Work Role]]&lt;&gt;AS$1,0,
IF(PART_NUMBER_GENERATOR_TABLE[[#This Row],[Work Type]:[Work Type]]&lt;&gt;"BH",0,
SUMIFS(AT$24,$AM$24,PART_NUMBER_GENERATOR_TABLE[[#This Row],[Tech]:[Tech]])))</f>
        <v>0</v>
      </c>
      <c r="AU124">
        <f>SUM(PART_NUMBER_GENERATOR_TABLE[[#This Row],[Resource 1 BH]:[Resource 5 AH]],PART_NUMBER_GENERATOR_TABLE[[#This Row],[R1 Mandatory Tasks]:[R5 Mandatory Tasks]],PART_NUMBER_GENERATOR_TABLE[[#This Row],[R1 Remainder]:[R5 Remainder]])</f>
        <v>0</v>
      </c>
      <c r="AV124">
        <f>PART_NUMBER_GENERATOR_TABLE[[#This Row],[Professional Engineering Hours]]*PART_NUMBER_GENERATOR_TABLE[[#This Row],[Sell Rate]]</f>
        <v>0</v>
      </c>
      <c r="AW124">
        <f>PART_NUMBER_GENERATOR_TABLE[[#This Row],[Professional Engineering Hours]]*PART_NUMBER_GENERATOR_TABLE[[#This Row],[Cost Rate]]</f>
        <v>0</v>
      </c>
      <c r="AX124">
        <f>SUM(PART_NUMBER_GENERATOR_TABLE[[#This Row],[PM Trips]:[R5 Trips]])</f>
        <v>0</v>
      </c>
      <c r="AY124">
        <f>PART_NUMBER_GENERATOR_TABLE[[#This Row],[Travel &amp; Accommodation Hours]]*PART_NUMBER_GENERATOR_TABLE[[#This Row],[Sell Rate]]</f>
        <v>0</v>
      </c>
      <c r="AZ124">
        <f>PART_NUMBER_GENERATOR_TABLE[[#This Row],[Travel &amp; Accommodation Hours]]*PART_NUMBER_GENERATOR_TABLE[[#This Row],[Cost Rate]]</f>
        <v>0</v>
      </c>
      <c r="BA124">
        <f>PART_NUMBER_GENERATOR_TABLE[[#This Row],[PM Hours]]+PART_NUMBER_GENERATOR_TABLE[[#This Row],[PM Remainder]]</f>
        <v>0</v>
      </c>
      <c r="BB124">
        <f>PART_NUMBER_GENERATOR_TABLE[[#This Row],[Project Management Hours]]*PART_NUMBER_GENERATOR_TABLE[[#This Row],[Sell Rate]]</f>
        <v>0</v>
      </c>
      <c r="BC124">
        <f>PART_NUMBER_GENERATOR_TABLE[[#This Row],[Project Management Hours]]*PART_NUMBER_GENERATOR_TABLE[[#This Row],[Cost Rate]]</f>
        <v>0</v>
      </c>
      <c r="BD124">
        <f>SUM(PART_NUMBER_GENERATOR_TABLE[[#This Row],[SSE RISK BH]:[PM RISK]],PART_NUMBER_GENERATOR_TABLE[[#This Row],[SSE Remainder RISK BH]:[PM Remainder RISK]])</f>
        <v>0</v>
      </c>
      <c r="BE124">
        <f>PART_NUMBER_GENERATOR_TABLE[[#This Row],[Project Risk Service Hours]]*PART_NUMBER_GENERATOR_TABLE[[#This Row],[Sell Rate]]</f>
        <v>0</v>
      </c>
      <c r="BF124">
        <f>PART_NUMBER_GENERATOR_TABLE[[#This Row],[Project Risk Service Hours]]*PART_NUMBER_GENERATOR_TABLE[[#This Row],[Cost Rate]]</f>
        <v>0</v>
      </c>
      <c r="BG124">
        <f>PART_NUMBER_GENERATOR_TABLE[[#This Row],[SSE RISK TRAVEL]]</f>
        <v>0</v>
      </c>
      <c r="BH124">
        <f>PART_NUMBER_GENERATOR_TABLE[[#This Row],[Sell Rate]]*PART_NUMBER_GENERATOR_TABLE[[#This Row],[Project Risk Travel Hours]]</f>
        <v>0</v>
      </c>
      <c r="BI124">
        <f>PART_NUMBER_GENERATOR_TABLE[[#This Row],[Project Risk Travel Hours]]*PART_NUMBER_GENERATOR_TABLE[[#This Row],[Cost Rate]]</f>
        <v>0</v>
      </c>
      <c r="BJ12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2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24">
        <f>IFERROR(-VLOOKUP(INDEX(ENGINEER_ROLES,MATCH(PART_NUMBER_GENERATOR_TABLE[[#This Row],[Work Role]],settings.Table_Engineer.Roles[ID],0),1),Settings_Hidden!$H$359:$K$366,4,FALSE),0)</f>
        <v>0</v>
      </c>
      <c r="BM124" s="680">
        <f>-Summary!$C$66</f>
        <v>0</v>
      </c>
      <c r="BN124" s="465">
        <f>PART_NUMBER_GENERATOR_TABLE[[#This Row],[Total Base Price]]*MIN(PART_NUMBER_GENERATOR_TABLE[[#This Row],[Rate Service Discount]:[Flat Service Discount]])</f>
        <v>0</v>
      </c>
      <c r="BO124" s="451" t="str">
        <f>IF(PART_NUMBER_GENERATOR_TABLE[[#This Row],[Quantity]]&lt;&gt;0,MAX($BO$30:BO123)+1,"")</f>
        <v/>
      </c>
      <c r="BP124" t="str">
        <f>PART_NUMBER_GENERATOR_TABLE[[#This Row],[Part Number]]</f>
        <v>A-PS-C-DATACC-SA-BH</v>
      </c>
      <c r="BQ124">
        <f>PART_NUMBER_GENERATOR_TABLE[[#This Row],[Total Hours]]</f>
        <v>0</v>
      </c>
      <c r="BR124">
        <f>PART_NUMBER_GENERATOR_TABLE[[#This Row],[Cost Rate]]</f>
        <v>167.61034913968996</v>
      </c>
      <c r="BS124" s="465">
        <f>PART_NUMBER_GENERATOR_TABLE[[#This Row],[Sell Rate]]+(PART_NUMBER_GENERATOR_TABLE[[#This Row],[Sell Rate]]*MIN(PART_NUMBER_GENERATOR_TABLE[[#This Row],[Rate Service Discount]:[Flat Service Discount]]))</f>
        <v>315</v>
      </c>
    </row>
    <row r="125" spans="1:71">
      <c r="A125">
        <v>95</v>
      </c>
      <c r="C125" t="s">
        <v>923</v>
      </c>
      <c r="D125" t="str" cm="1">
        <f t="array" ref="D125">INDEX(Table.Settings_Skill.List[Skill Name],MATCH(INDEX(_xlfn.TEXTSPLIT(C125,"-",,TRUE),4),Table.Settings_Skill.List[Skill Code],0),1)</f>
        <v>Data Centre / Cloud</v>
      </c>
      <c r="E125" t="str" cm="1">
        <f t="array" ref="E125">INDEX(_xlfn.TEXTSPLIT(C125,"-",,TRUE),5)</f>
        <v>SC</v>
      </c>
      <c r="F125" t="str">
        <f>IFERROR(INDEX(settings.Table_Engineer.Roles[Department Code],MATCH(PART_NUMBER_GENERATOR_TABLE[[#This Row],[Work Role]],settings.Table_Engineer.Roles[ID],0),1),"PMO")</f>
        <v>CON</v>
      </c>
      <c r="G125" t="str" cm="1">
        <f t="array" ref="G125">INDEX(_xlfn.TEXTSPLIT(C125,"-",,TRUE),6)</f>
        <v>BH</v>
      </c>
      <c r="H12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2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25" cm="1">
        <f t="array" ref="J125">IF(J$1&lt;&gt;PART_NUMBER_GENERATOR_TABLE[[#This Row],[Work Role]:[Work Role]],0,
IF(RIGHT(J$30,2)&lt;&gt;PART_NUMBER_GENERATOR_TABLE[[#This Row],[Work Type]:[Work Type]],0,
SUMIFS(Input_Tasks[R1 Business Hours],Input_Tasks[[Skill Required]:[Skill Required]],PART_NUMBER_GENERATOR_TABLE[[#This Row],[Tech]:[Tech]])))</f>
        <v>0</v>
      </c>
      <c r="K125" cm="1">
        <f t="array" ref="K125">IF(K$1&lt;&gt;PART_NUMBER_GENERATOR_TABLE[[#This Row],[Work Role]:[Work Role]],0,
IF(RIGHT(K$30,2)&lt;&gt;PART_NUMBER_GENERATOR_TABLE[[#This Row],[Work Type]:[Work Type]],0,
SUMIFS(Input_Tasks[R1 After Hours],Input_Tasks[[Skill Required]:[Skill Required]],PART_NUMBER_GENERATOR_TABLE[[#This Row],[Tech]:[Tech]])))</f>
        <v>0</v>
      </c>
      <c r="L125" cm="1">
        <f t="array" ref="L125">IF(L$1&lt;&gt;PART_NUMBER_GENERATOR_TABLE[[#This Row],[Work Role]:[Work Role]],0,
IF(RIGHT(L$30,2)&lt;&gt;PART_NUMBER_GENERATOR_TABLE[[#This Row],[Work Type]:[Work Type]],0,
SUMIFS(Input_Tasks[R2 Business Hours],Input_Tasks[[Skill Required]:[Skill Required]],PART_NUMBER_GENERATOR_TABLE[[#This Row],[Tech]:[Tech]])))</f>
        <v>0</v>
      </c>
      <c r="M125" cm="1">
        <f t="array" ref="M125">IF(M$1&lt;&gt;PART_NUMBER_GENERATOR_TABLE[[#This Row],[Work Role]:[Work Role]],0,
IF(RIGHT(M$30,2)&lt;&gt;PART_NUMBER_GENERATOR_TABLE[[#This Row],[Work Type]:[Work Type]],0,
SUMIFS(Input_Tasks[R2 After Hours],Input_Tasks[[Skill Required]:[Skill Required]],PART_NUMBER_GENERATOR_TABLE[[#This Row],[Tech]:[Tech]])))</f>
        <v>0</v>
      </c>
      <c r="N125" cm="1">
        <f t="array" ref="N125">IF(N$1&lt;&gt;PART_NUMBER_GENERATOR_TABLE[[#This Row],[Work Role]:[Work Role]],0,
IF(RIGHT(N$30,2)&lt;&gt;PART_NUMBER_GENERATOR_TABLE[[#This Row],[Work Type]:[Work Type]],0,
SUMIFS(Input_Tasks[R3 Business Hours],Input_Tasks[[Skill Required]:[Skill Required]],PART_NUMBER_GENERATOR_TABLE[[#This Row],[Tech]:[Tech]])))</f>
        <v>0</v>
      </c>
      <c r="O125" cm="1">
        <f t="array" ref="O125">IF(O$1&lt;&gt;PART_NUMBER_GENERATOR_TABLE[[#This Row],[Work Role]:[Work Role]],0,
IF(RIGHT(O$30,2)&lt;&gt;PART_NUMBER_GENERATOR_TABLE[[#This Row],[Work Type]:[Work Type]],0,
SUMIFS(Input_Tasks[R3 After Hours],Input_Tasks[[Skill Required]:[Skill Required]],PART_NUMBER_GENERATOR_TABLE[[#This Row],[Tech]:[Tech]])))</f>
        <v>0</v>
      </c>
      <c r="P125" cm="1">
        <f t="array" ref="P125">IF(P$1&lt;&gt;PART_NUMBER_GENERATOR_TABLE[[#This Row],[Work Role]:[Work Role]],0,
IF(RIGHT(P$30,2)&lt;&gt;PART_NUMBER_GENERATOR_TABLE[[#This Row],[Work Type]:[Work Type]],0,
SUMIFS(Input_Tasks[R4 Business Hours],Input_Tasks[[Skill Required]:[Skill Required]],PART_NUMBER_GENERATOR_TABLE[[#This Row],[Tech]:[Tech]])))</f>
        <v>0</v>
      </c>
      <c r="Q125" cm="1">
        <f t="array" ref="Q125">IF(Q$1&lt;&gt;PART_NUMBER_GENERATOR_TABLE[[#This Row],[Work Role]:[Work Role]],0,
IF(RIGHT(Q$30,2)&lt;&gt;PART_NUMBER_GENERATOR_TABLE[[#This Row],[Work Type]:[Work Type]],0,
SUMIFS(Input_Tasks[R4 After Hours],Input_Tasks[[Skill Required]:[Skill Required]],PART_NUMBER_GENERATOR_TABLE[[#This Row],[Tech]:[Tech]])))</f>
        <v>0</v>
      </c>
      <c r="R125" cm="1">
        <f t="array" ref="R125">IF(R$1&lt;&gt;PART_NUMBER_GENERATOR_TABLE[[#This Row],[Work Role]:[Work Role]],0,
IF(RIGHT(R$30,2)&lt;&gt;PART_NUMBER_GENERATOR_TABLE[[#This Row],[Work Type]:[Work Type]],0,
SUMIFS(Input_Tasks[R5 Business Hours],Input_Tasks[[Skill Required]:[Skill Required]],PART_NUMBER_GENERATOR_TABLE[[#This Row],[Tech]:[Tech]])))</f>
        <v>0</v>
      </c>
      <c r="S125" cm="1">
        <f t="array" ref="S125">IF(S$1&lt;&gt;PART_NUMBER_GENERATOR_TABLE[[#This Row],[Work Role]:[Work Role]],0,
IF(RIGHT(S$30,2)&lt;&gt;PART_NUMBER_GENERATOR_TABLE[[#This Row],[Work Type]:[Work Type]],0,
SUMIFS(Input_Tasks[R5 After Hours],Input_Tasks[[Skill Required]:[Skill Required]],PART_NUMBER_GENERATOR_TABLE[[#This Row],[Tech]:[Tech]])))</f>
        <v>0</v>
      </c>
      <c r="T125" cm="1">
        <f t="array" ref="T125">IF(PART_NUMBER_GENERATOR_TABLE[[#This Row],[Work Role]:[Work Role]]&lt;&gt;T$1,0,
IF(PART_NUMBER_GENERATOR_TABLE[[#This Row],[Work Type]:[Work Type]]&lt;&gt;"BH",0,
SUMIFS(T$9:T$24,$M$9:$M$24,PART_NUMBER_GENERATOR_TABLE[[#This Row],[Tech]:[Tech]])))</f>
        <v>0</v>
      </c>
      <c r="U125" cm="1">
        <f t="array" ref="U125">IF(PART_NUMBER_GENERATOR_TABLE[[#This Row],[Work Role]:[Work Role]]&lt;&gt;U$1,0,
IF(PART_NUMBER_GENERATOR_TABLE[[#This Row],[Work Type]:[Work Type]]&lt;&gt;"BH",0,
SUMIFS(U$9:U$24,$M$9:$M$24,PART_NUMBER_GENERATOR_TABLE[[#This Row],[Tech]:[Tech]])))</f>
        <v>0</v>
      </c>
      <c r="V125" cm="1">
        <f t="array" ref="V125">IF(PART_NUMBER_GENERATOR_TABLE[[#This Row],[Work Role]:[Work Role]]&lt;&gt;V$1,0,
IF(PART_NUMBER_GENERATOR_TABLE[[#This Row],[Work Type]:[Work Type]]&lt;&gt;"BH",0,
SUMIFS(V$9:V$24,$M$9:$M$24,PART_NUMBER_GENERATOR_TABLE[[#This Row],[Tech]:[Tech]])))</f>
        <v>0</v>
      </c>
      <c r="W125" cm="1">
        <f t="array" ref="W125">IF(PART_NUMBER_GENERATOR_TABLE[[#This Row],[Work Role]:[Work Role]]&lt;&gt;W$1,0,
IF(PART_NUMBER_GENERATOR_TABLE[[#This Row],[Work Type]:[Work Type]]&lt;&gt;"BH",0,
SUMIFS(W$9:W$24,$M$9:$M$24,PART_NUMBER_GENERATOR_TABLE[[#This Row],[Tech]:[Tech]])))</f>
        <v>0</v>
      </c>
      <c r="X125" cm="1">
        <f t="array" ref="X125">IF(PART_NUMBER_GENERATOR_TABLE[[#This Row],[Work Role]:[Work Role]]&lt;&gt;X$1,0,
IF(PART_NUMBER_GENERATOR_TABLE[[#This Row],[Work Type]:[Work Type]]&lt;&gt;"BH",0,
SUMIFS(X$9:X$24,$M$9:$M$24,PART_NUMBER_GENERATOR_TABLE[[#This Row],[Tech]:[Tech]])))</f>
        <v>0</v>
      </c>
      <c r="Y125" cm="1">
        <f t="array" ref="Y125">IF(PART_NUMBER_GENERATOR_TABLE[[#This Row],[Work Role]:[Work Role]]&lt;&gt;Y$1,0,
IF(PART_NUMBER_GENERATOR_TABLE[[#This Row],[Work Type]:[Work Type]]&lt;&gt;"BH",0,
SUMIFS(Y$9:Y$24,$M$9:$M$24,PART_NUMBER_GENERATOR_TABLE[[#This Row],[Tech]:[Tech]])))</f>
        <v>0</v>
      </c>
      <c r="Z125" cm="1">
        <f t="array" ref="Z125">IF(PART_NUMBER_GENERATOR_TABLE[[#This Row],[Work Role]:[Work Role]]&lt;&gt;Z$1,0,
IF(PART_NUMBER_GENERATOR_TABLE[[#This Row],[Work Type]:[Work Type]]&lt;&gt;"BH",0,
SUMIFS(Z$9:Z$24,$M$9:$M$24,PART_NUMBER_GENERATOR_TABLE[[#This Row],[Tech]:[Tech]])))</f>
        <v>0</v>
      </c>
      <c r="AA125" cm="1">
        <f t="array" ref="AA125">IF(PART_NUMBER_GENERATOR_TABLE[[#This Row],[Work Role]:[Work Role]]&lt;&gt;AA$1,0,
IF(PART_NUMBER_GENERATOR_TABLE[[#This Row],[Work Type]:[Work Type]]&lt;&gt;"BH",0,
SUMIFS(AA$9:AA$24,$M$9:$M$24,PART_NUMBER_GENERATOR_TABLE[[#This Row],[Tech]:[Tech]])))</f>
        <v>0</v>
      </c>
      <c r="AB125" cm="1">
        <f t="array" ref="AB125">IF(PART_NUMBER_GENERATOR_TABLE[[#This Row],[Work Role]:[Work Role]]&lt;&gt;AB$1,0,
IF(PART_NUMBER_GENERATOR_TABLE[[#This Row],[Work Type]:[Work Type]]&lt;&gt;"BH",0,
SUMIFS(AB$9:AB$24,$M$9:$M$24,PART_NUMBER_GENERATOR_TABLE[[#This Row],[Tech]:[Tech]])))</f>
        <v>0</v>
      </c>
      <c r="AC125" cm="1">
        <f t="array" ref="AC125">IF(PART_NUMBER_GENERATOR_TABLE[[#This Row],[Work Role]:[Work Role]]&lt;&gt;AC$1,0,
IF(PART_NUMBER_GENERATOR_TABLE[[#This Row],[Work Type]:[Work Type]]&lt;&gt;"BH",0,
SUMIFS(AC$9:AC$24,$M$9:$M$24,PART_NUMBER_GENERATOR_TABLE[[#This Row],[Tech]:[Tech]])))</f>
        <v>0</v>
      </c>
      <c r="AD125" cm="1">
        <f t="array" ref="AD125">IF(PART_NUMBER_GENERATOR_TABLE[[#This Row],[Work Role]:[Work Role]]&lt;&gt;AD$1,0,
IF(PART_NUMBER_GENERATOR_TABLE[[#This Row],[Work Type]:[Work Type]]&lt;&gt;"BH",0,
SUMIFS(AD$9:AD$24,$M$9:$M$24,PART_NUMBER_GENERATOR_TABLE[[#This Row],[Tech]:[Tech]])))</f>
        <v>0</v>
      </c>
      <c r="AE125" cm="1">
        <f t="array" ref="AE125">IF(PART_NUMBER_GENERATOR_TABLE[[#This Row],[Work Role]:[Work Role]]&lt;&gt;AE$1,0,
IF(PART_NUMBER_GENERATOR_TABLE[[#This Row],[Work Type]:[Work Type]]&lt;&gt;"BH",0,
SUMIFS(AE$9:AE$24,$M$9:$M$24,PART_NUMBER_GENERATOR_TABLE[[#This Row],[Tech]:[Tech]])))</f>
        <v>0</v>
      </c>
      <c r="AF125" cm="1">
        <f t="array" ref="AF125">IF(PART_NUMBER_GENERATOR_TABLE[[#This Row],[Work Role]:[Work Role]]&lt;&gt;AF$1,0,
IF(PART_NUMBER_GENERATOR_TABLE[[#This Row],[Work Type]:[Work Type]]&lt;&gt;"BH",0,
SUMIFS(AF$9:AF$24,$M$9:$M$24,PART_NUMBER_GENERATOR_TABLE[[#This Row],[Tech]:[Tech]])))</f>
        <v>0</v>
      </c>
      <c r="AG125" cm="1">
        <f t="array" ref="AG125">IF(PART_NUMBER_GENERATOR_TABLE[[#This Row],[Work Role]:[Work Role]]&lt;&gt;AG$1,0,
IF(PART_NUMBER_GENERATOR_TABLE[[#This Row],[Work Type]:[Work Type]]&lt;&gt;"AH",0,
SUMIFS(AG$9:AG$24,$M$9:$M$24,PART_NUMBER_GENERATOR_TABLE[[#This Row],[Tech]:[Tech]])))</f>
        <v>0</v>
      </c>
      <c r="AH125" cm="1">
        <f t="array" ref="AH125">IF(PART_NUMBER_GENERATOR_TABLE[[#This Row],[Work Role]:[Work Role]]&lt;&gt;AH$1,0,
IF(PART_NUMBER_GENERATOR_TABLE[[#This Row],[Work Type]:[Work Type]]&lt;&gt;"BH",0,
SUMIFS(AH$9:AH$24,$M$9:$M$24,PART_NUMBER_GENERATOR_TABLE[[#This Row],[Tech]:[Tech]])))</f>
        <v>0</v>
      </c>
      <c r="AI125" cm="1">
        <f t="array" ref="AI125">IF(PART_NUMBER_GENERATOR_TABLE[[#This Row],[Work Role]:[Work Role]]&lt;&gt;AI$1,0,
IF(PART_NUMBER_GENERATOR_TABLE[[#This Row],[Work Type]:[Work Type]]&lt;&gt;"BH",0,
SUMIFS(AI$9:AI$24,$M$9:$M$24,PART_NUMBER_GENERATOR_TABLE[[#This Row],[Tech]:[Tech]])))</f>
        <v>0</v>
      </c>
      <c r="AJ125" cm="1">
        <f t="array" ref="AJ125">IF(PART_NUMBER_GENERATOR_TABLE[[#This Row],[Work Role]:[Work Role]]&lt;&gt;AJ$1,0,
IF(PART_NUMBER_GENERATOR_TABLE[[#This Row],[Work Type]:[Work Type]]&lt;&gt;"BH",0,
SUMIFS(AJ$9:AJ$24,$M$9:$M$24,PART_NUMBER_GENERATOR_TABLE[[#This Row],[Tech]:[Tech]])))</f>
        <v>0</v>
      </c>
      <c r="AK125" cm="1">
        <f t="array" ref="AK125">IF(PART_NUMBER_GENERATOR_TABLE[[#This Row],[Work Role]:[Work Role]]&lt;&gt;AK$1,0,
IF(PART_NUMBER_GENERATOR_TABLE[[#This Row],[Work Type]:[Work Type]]&lt;&gt;"AH",0,
SUMIFS(AK$9:AK$24,$M$9:$M$24,PART_NUMBER_GENERATOR_TABLE[[#This Row],[Tech]:[Tech]])))</f>
        <v>0</v>
      </c>
      <c r="AL125" cm="1">
        <f t="array" ref="AL125">IF(PART_NUMBER_GENERATOR_TABLE[[#This Row],[Work Role]:[Work Role]]&lt;&gt;AL$1,0,
IF(PART_NUMBER_GENERATOR_TABLE[[#This Row],[Work Type]:[Work Type]]&lt;&gt;"BH",0,
SUMIFS(AL$9:AL$24,$M$9:$M$24,PART_NUMBER_GENERATOR_TABLE[[#This Row],[Tech]:[Tech]])))</f>
        <v>0</v>
      </c>
      <c r="AM125">
        <f>0</f>
        <v>0</v>
      </c>
      <c r="AN125" cm="1">
        <f t="array" ref="AN125">IF(PART_NUMBER_GENERATOR_TABLE[[#This Row],[Work Role]:[Work Role]]&lt;&gt;AN$1,0,
IF(PART_NUMBER_GENERATOR_TABLE[[#This Row],[Work Type]:[Work Type]]&lt;&gt;"BH",0,
SUMIFS(AN$24,$AM$24,PART_NUMBER_GENERATOR_TABLE[[#This Row],[Tech]:[Tech]])))</f>
        <v>0</v>
      </c>
      <c r="AO125" cm="1">
        <f t="array" ref="AO125">IF(PART_NUMBER_GENERATOR_TABLE[[#This Row],[Work Role]:[Work Role]]&lt;&gt;AO$1,0,
IF(PART_NUMBER_GENERATOR_TABLE[[#This Row],[Work Type]:[Work Type]]&lt;&gt;"BH",0,
SUMIFS(AO$24,$AM$24,PART_NUMBER_GENERATOR_TABLE[[#This Row],[Tech]:[Tech]])))</f>
        <v>0</v>
      </c>
      <c r="AP125" cm="1">
        <f t="array" ref="AP125">IF(PART_NUMBER_GENERATOR_TABLE[[#This Row],[Work Role]:[Work Role]]&lt;&gt;AP$1,0,
IF(PART_NUMBER_GENERATOR_TABLE[[#This Row],[Work Type]:[Work Type]]&lt;&gt;"BH",0,
SUMIFS(AP$24,$AM$24,PART_NUMBER_GENERATOR_TABLE[[#This Row],[Tech]:[Tech]])))</f>
        <v>0</v>
      </c>
      <c r="AQ125" cm="1">
        <f t="array" ref="AQ125">IF(PART_NUMBER_GENERATOR_TABLE[[#This Row],[Work Role]:[Work Role]]&lt;&gt;AQ$1,0,
IF(PART_NUMBER_GENERATOR_TABLE[[#This Row],[Work Type]:[Work Type]]&lt;&gt;"BH",0,
SUMIFS(AQ$24,$AM$24,PART_NUMBER_GENERATOR_TABLE[[#This Row],[Tech]:[Tech]])))</f>
        <v>0</v>
      </c>
      <c r="AR125" cm="1">
        <f t="array" ref="AR125">IF(PART_NUMBER_GENERATOR_TABLE[[#This Row],[Work Role]:[Work Role]]&lt;&gt;AR$1,0,
IF(PART_NUMBER_GENERATOR_TABLE[[#This Row],[Work Type]:[Work Type]]&lt;&gt;"BH",0,
SUMIFS(AR$24,$AM$24,PART_NUMBER_GENERATOR_TABLE[[#This Row],[Tech]:[Tech]])))</f>
        <v>0</v>
      </c>
      <c r="AS125" cm="1">
        <f t="array" ref="AS125">IF(PART_NUMBER_GENERATOR_TABLE[[#This Row],[Work Role]:[Work Role]]&lt;&gt;AS$1,0,
IF(PART_NUMBER_GENERATOR_TABLE[[#This Row],[Work Type]:[Work Type]]&lt;&gt;"BH",0,
SUMIFS(AS$24,$AM$24,PART_NUMBER_GENERATOR_TABLE[[#This Row],[Tech]:[Tech]])))</f>
        <v>0</v>
      </c>
      <c r="AT125" cm="1">
        <f t="array" ref="AT125">IF(PART_NUMBER_GENERATOR_TABLE[[#This Row],[Work Role]:[Work Role]]&lt;&gt;AS$1,0,
IF(PART_NUMBER_GENERATOR_TABLE[[#This Row],[Work Type]:[Work Type]]&lt;&gt;"BH",0,
SUMIFS(AT$24,$AM$24,PART_NUMBER_GENERATOR_TABLE[[#This Row],[Tech]:[Tech]])))</f>
        <v>0</v>
      </c>
      <c r="AU125">
        <f>SUM(PART_NUMBER_GENERATOR_TABLE[[#This Row],[Resource 1 BH]:[Resource 5 AH]],PART_NUMBER_GENERATOR_TABLE[[#This Row],[R1 Mandatory Tasks]:[R5 Mandatory Tasks]],PART_NUMBER_GENERATOR_TABLE[[#This Row],[R1 Remainder]:[R5 Remainder]])</f>
        <v>0</v>
      </c>
      <c r="AV125">
        <f>PART_NUMBER_GENERATOR_TABLE[[#This Row],[Professional Engineering Hours]]*PART_NUMBER_GENERATOR_TABLE[[#This Row],[Sell Rate]]</f>
        <v>0</v>
      </c>
      <c r="AW125">
        <f>PART_NUMBER_GENERATOR_TABLE[[#This Row],[Professional Engineering Hours]]*PART_NUMBER_GENERATOR_TABLE[[#This Row],[Cost Rate]]</f>
        <v>0</v>
      </c>
      <c r="AX125">
        <f>SUM(PART_NUMBER_GENERATOR_TABLE[[#This Row],[PM Trips]:[R5 Trips]])</f>
        <v>0</v>
      </c>
      <c r="AY125">
        <f>PART_NUMBER_GENERATOR_TABLE[[#This Row],[Travel &amp; Accommodation Hours]]*PART_NUMBER_GENERATOR_TABLE[[#This Row],[Sell Rate]]</f>
        <v>0</v>
      </c>
      <c r="AZ125">
        <f>PART_NUMBER_GENERATOR_TABLE[[#This Row],[Travel &amp; Accommodation Hours]]*PART_NUMBER_GENERATOR_TABLE[[#This Row],[Cost Rate]]</f>
        <v>0</v>
      </c>
      <c r="BA125">
        <f>PART_NUMBER_GENERATOR_TABLE[[#This Row],[PM Hours]]+PART_NUMBER_GENERATOR_TABLE[[#This Row],[PM Remainder]]</f>
        <v>0</v>
      </c>
      <c r="BB125">
        <f>PART_NUMBER_GENERATOR_TABLE[[#This Row],[Project Management Hours]]*PART_NUMBER_GENERATOR_TABLE[[#This Row],[Sell Rate]]</f>
        <v>0</v>
      </c>
      <c r="BC125">
        <f>PART_NUMBER_GENERATOR_TABLE[[#This Row],[Project Management Hours]]*PART_NUMBER_GENERATOR_TABLE[[#This Row],[Cost Rate]]</f>
        <v>0</v>
      </c>
      <c r="BD125">
        <f>SUM(PART_NUMBER_GENERATOR_TABLE[[#This Row],[SSE RISK BH]:[PM RISK]],PART_NUMBER_GENERATOR_TABLE[[#This Row],[SSE Remainder RISK BH]:[PM Remainder RISK]])</f>
        <v>0</v>
      </c>
      <c r="BE125">
        <f>PART_NUMBER_GENERATOR_TABLE[[#This Row],[Project Risk Service Hours]]*PART_NUMBER_GENERATOR_TABLE[[#This Row],[Sell Rate]]</f>
        <v>0</v>
      </c>
      <c r="BF125">
        <f>PART_NUMBER_GENERATOR_TABLE[[#This Row],[Project Risk Service Hours]]*PART_NUMBER_GENERATOR_TABLE[[#This Row],[Cost Rate]]</f>
        <v>0</v>
      </c>
      <c r="BG125">
        <f>PART_NUMBER_GENERATOR_TABLE[[#This Row],[SSE RISK TRAVEL]]</f>
        <v>0</v>
      </c>
      <c r="BH125">
        <f>PART_NUMBER_GENERATOR_TABLE[[#This Row],[Sell Rate]]*PART_NUMBER_GENERATOR_TABLE[[#This Row],[Project Risk Travel Hours]]</f>
        <v>0</v>
      </c>
      <c r="BI125">
        <f>PART_NUMBER_GENERATOR_TABLE[[#This Row],[Project Risk Travel Hours]]*PART_NUMBER_GENERATOR_TABLE[[#This Row],[Cost Rate]]</f>
        <v>0</v>
      </c>
      <c r="BJ12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2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25">
        <f>IFERROR(-VLOOKUP(INDEX(ENGINEER_ROLES,MATCH(PART_NUMBER_GENERATOR_TABLE[[#This Row],[Work Role]],settings.Table_Engineer.Roles[ID],0),1),Settings_Hidden!$H$359:$K$366,4,FALSE),0)</f>
        <v>0</v>
      </c>
      <c r="BM125" s="680">
        <f>-Summary!$C$66</f>
        <v>0</v>
      </c>
      <c r="BN125" s="465">
        <f>PART_NUMBER_GENERATOR_TABLE[[#This Row],[Total Base Price]]*MIN(PART_NUMBER_GENERATOR_TABLE[[#This Row],[Rate Service Discount]:[Flat Service Discount]])</f>
        <v>0</v>
      </c>
      <c r="BO125" s="451" t="str">
        <f>IF(PART_NUMBER_GENERATOR_TABLE[[#This Row],[Quantity]]&lt;&gt;0,MAX($BO$30:BO124)+1,"")</f>
        <v/>
      </c>
      <c r="BP125" t="str">
        <f>PART_NUMBER_GENERATOR_TABLE[[#This Row],[Part Number]]</f>
        <v>A-PS-C-DATACC-SC-BH</v>
      </c>
      <c r="BQ125">
        <f>PART_NUMBER_GENERATOR_TABLE[[#This Row],[Total Hours]]</f>
        <v>0</v>
      </c>
      <c r="BR125">
        <f>PART_NUMBER_GENERATOR_TABLE[[#This Row],[Cost Rate]]</f>
        <v>167.61034913968996</v>
      </c>
      <c r="BS125" s="465">
        <f>PART_NUMBER_GENERATOR_TABLE[[#This Row],[Sell Rate]]+(PART_NUMBER_GENERATOR_TABLE[[#This Row],[Sell Rate]]*MIN(PART_NUMBER_GENERATOR_TABLE[[#This Row],[Rate Service Discount]:[Flat Service Discount]]))</f>
        <v>315</v>
      </c>
    </row>
    <row r="126" spans="1:71">
      <c r="A126">
        <v>96</v>
      </c>
      <c r="C126" t="s">
        <v>915</v>
      </c>
      <c r="D126" t="str" cm="1">
        <f t="array" ref="D126">INDEX(Table.Settings_Skill.List[Skill Name],MATCH(INDEX(_xlfn.TEXTSPLIT(C126,"-",,TRUE),4),Table.Settings_Skill.List[Skill Code],0),1)</f>
        <v>Data Centre / Cloud</v>
      </c>
      <c r="E126" t="str" cm="1">
        <f t="array" ref="E126">INDEX(_xlfn.TEXTSPLIT(C126,"-",,TRUE),5)</f>
        <v>AC</v>
      </c>
      <c r="F126" t="str">
        <f>IFERROR(INDEX(settings.Table_Engineer.Roles[Department Code],MATCH(PART_NUMBER_GENERATOR_TABLE[[#This Row],[Work Role]],settings.Table_Engineer.Roles[ID],0),1),"PMO")</f>
        <v>CON</v>
      </c>
      <c r="G126" t="str" cm="1">
        <f t="array" ref="G126">INDEX(_xlfn.TEXTSPLIT(C126,"-",,TRUE),6)</f>
        <v>BH</v>
      </c>
      <c r="H12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2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26" cm="1">
        <f t="array" ref="J126">IF(J$1&lt;&gt;PART_NUMBER_GENERATOR_TABLE[[#This Row],[Work Role]:[Work Role]],0,
IF(RIGHT(J$30,2)&lt;&gt;PART_NUMBER_GENERATOR_TABLE[[#This Row],[Work Type]:[Work Type]],0,
SUMIFS(Input_Tasks[R1 Business Hours],Input_Tasks[[Skill Required]:[Skill Required]],PART_NUMBER_GENERATOR_TABLE[[#This Row],[Tech]:[Tech]])))</f>
        <v>0</v>
      </c>
      <c r="K126" cm="1">
        <f t="array" ref="K126">IF(K$1&lt;&gt;PART_NUMBER_GENERATOR_TABLE[[#This Row],[Work Role]:[Work Role]],0,
IF(RIGHT(K$30,2)&lt;&gt;PART_NUMBER_GENERATOR_TABLE[[#This Row],[Work Type]:[Work Type]],0,
SUMIFS(Input_Tasks[R1 After Hours],Input_Tasks[[Skill Required]:[Skill Required]],PART_NUMBER_GENERATOR_TABLE[[#This Row],[Tech]:[Tech]])))</f>
        <v>0</v>
      </c>
      <c r="L126" cm="1">
        <f t="array" ref="L126">IF(L$1&lt;&gt;PART_NUMBER_GENERATOR_TABLE[[#This Row],[Work Role]:[Work Role]],0,
IF(RIGHT(L$30,2)&lt;&gt;PART_NUMBER_GENERATOR_TABLE[[#This Row],[Work Type]:[Work Type]],0,
SUMIFS(Input_Tasks[R2 Business Hours],Input_Tasks[[Skill Required]:[Skill Required]],PART_NUMBER_GENERATOR_TABLE[[#This Row],[Tech]:[Tech]])))</f>
        <v>0</v>
      </c>
      <c r="M126" cm="1">
        <f t="array" ref="M126">IF(M$1&lt;&gt;PART_NUMBER_GENERATOR_TABLE[[#This Row],[Work Role]:[Work Role]],0,
IF(RIGHT(M$30,2)&lt;&gt;PART_NUMBER_GENERATOR_TABLE[[#This Row],[Work Type]:[Work Type]],0,
SUMIFS(Input_Tasks[R2 After Hours],Input_Tasks[[Skill Required]:[Skill Required]],PART_NUMBER_GENERATOR_TABLE[[#This Row],[Tech]:[Tech]])))</f>
        <v>0</v>
      </c>
      <c r="N126" cm="1">
        <f t="array" ref="N126">IF(N$1&lt;&gt;PART_NUMBER_GENERATOR_TABLE[[#This Row],[Work Role]:[Work Role]],0,
IF(RIGHT(N$30,2)&lt;&gt;PART_NUMBER_GENERATOR_TABLE[[#This Row],[Work Type]:[Work Type]],0,
SUMIFS(Input_Tasks[R3 Business Hours],Input_Tasks[[Skill Required]:[Skill Required]],PART_NUMBER_GENERATOR_TABLE[[#This Row],[Tech]:[Tech]])))</f>
        <v>0</v>
      </c>
      <c r="O126" cm="1">
        <f t="array" ref="O126">IF(O$1&lt;&gt;PART_NUMBER_GENERATOR_TABLE[[#This Row],[Work Role]:[Work Role]],0,
IF(RIGHT(O$30,2)&lt;&gt;PART_NUMBER_GENERATOR_TABLE[[#This Row],[Work Type]:[Work Type]],0,
SUMIFS(Input_Tasks[R3 After Hours],Input_Tasks[[Skill Required]:[Skill Required]],PART_NUMBER_GENERATOR_TABLE[[#This Row],[Tech]:[Tech]])))</f>
        <v>0</v>
      </c>
      <c r="P126" cm="1">
        <f t="array" ref="P126">IF(P$1&lt;&gt;PART_NUMBER_GENERATOR_TABLE[[#This Row],[Work Role]:[Work Role]],0,
IF(RIGHT(P$30,2)&lt;&gt;PART_NUMBER_GENERATOR_TABLE[[#This Row],[Work Type]:[Work Type]],0,
SUMIFS(Input_Tasks[R4 Business Hours],Input_Tasks[[Skill Required]:[Skill Required]],PART_NUMBER_GENERATOR_TABLE[[#This Row],[Tech]:[Tech]])))</f>
        <v>0</v>
      </c>
      <c r="Q126" cm="1">
        <f t="array" ref="Q126">IF(Q$1&lt;&gt;PART_NUMBER_GENERATOR_TABLE[[#This Row],[Work Role]:[Work Role]],0,
IF(RIGHT(Q$30,2)&lt;&gt;PART_NUMBER_GENERATOR_TABLE[[#This Row],[Work Type]:[Work Type]],0,
SUMIFS(Input_Tasks[R4 After Hours],Input_Tasks[[Skill Required]:[Skill Required]],PART_NUMBER_GENERATOR_TABLE[[#This Row],[Tech]:[Tech]])))</f>
        <v>0</v>
      </c>
      <c r="R126" cm="1">
        <f t="array" ref="R126">IF(R$1&lt;&gt;PART_NUMBER_GENERATOR_TABLE[[#This Row],[Work Role]:[Work Role]],0,
IF(RIGHT(R$30,2)&lt;&gt;PART_NUMBER_GENERATOR_TABLE[[#This Row],[Work Type]:[Work Type]],0,
SUMIFS(Input_Tasks[R5 Business Hours],Input_Tasks[[Skill Required]:[Skill Required]],PART_NUMBER_GENERATOR_TABLE[[#This Row],[Tech]:[Tech]])))</f>
        <v>0</v>
      </c>
      <c r="S126" cm="1">
        <f t="array" ref="S126">IF(S$1&lt;&gt;PART_NUMBER_GENERATOR_TABLE[[#This Row],[Work Role]:[Work Role]],0,
IF(RIGHT(S$30,2)&lt;&gt;PART_NUMBER_GENERATOR_TABLE[[#This Row],[Work Type]:[Work Type]],0,
SUMIFS(Input_Tasks[R5 After Hours],Input_Tasks[[Skill Required]:[Skill Required]],PART_NUMBER_GENERATOR_TABLE[[#This Row],[Tech]:[Tech]])))</f>
        <v>0</v>
      </c>
      <c r="T126" cm="1">
        <f t="array" ref="T126">IF(PART_NUMBER_GENERATOR_TABLE[[#This Row],[Work Role]:[Work Role]]&lt;&gt;T$1,0,
IF(PART_NUMBER_GENERATOR_TABLE[[#This Row],[Work Type]:[Work Type]]&lt;&gt;"BH",0,
SUMIFS(T$9:T$24,$M$9:$M$24,PART_NUMBER_GENERATOR_TABLE[[#This Row],[Tech]:[Tech]])))</f>
        <v>0</v>
      </c>
      <c r="U126" cm="1">
        <f t="array" ref="U126">IF(PART_NUMBER_GENERATOR_TABLE[[#This Row],[Work Role]:[Work Role]]&lt;&gt;U$1,0,
IF(PART_NUMBER_GENERATOR_TABLE[[#This Row],[Work Type]:[Work Type]]&lt;&gt;"BH",0,
SUMIFS(U$9:U$24,$M$9:$M$24,PART_NUMBER_GENERATOR_TABLE[[#This Row],[Tech]:[Tech]])))</f>
        <v>0</v>
      </c>
      <c r="V126" cm="1">
        <f t="array" ref="V126">IF(PART_NUMBER_GENERATOR_TABLE[[#This Row],[Work Role]:[Work Role]]&lt;&gt;V$1,0,
IF(PART_NUMBER_GENERATOR_TABLE[[#This Row],[Work Type]:[Work Type]]&lt;&gt;"BH",0,
SUMIFS(V$9:V$24,$M$9:$M$24,PART_NUMBER_GENERATOR_TABLE[[#This Row],[Tech]:[Tech]])))</f>
        <v>0</v>
      </c>
      <c r="W126" cm="1">
        <f t="array" ref="W126">IF(PART_NUMBER_GENERATOR_TABLE[[#This Row],[Work Role]:[Work Role]]&lt;&gt;W$1,0,
IF(PART_NUMBER_GENERATOR_TABLE[[#This Row],[Work Type]:[Work Type]]&lt;&gt;"BH",0,
SUMIFS(W$9:W$24,$M$9:$M$24,PART_NUMBER_GENERATOR_TABLE[[#This Row],[Tech]:[Tech]])))</f>
        <v>0</v>
      </c>
      <c r="X126" cm="1">
        <f t="array" ref="X126">IF(PART_NUMBER_GENERATOR_TABLE[[#This Row],[Work Role]:[Work Role]]&lt;&gt;X$1,0,
IF(PART_NUMBER_GENERATOR_TABLE[[#This Row],[Work Type]:[Work Type]]&lt;&gt;"BH",0,
SUMIFS(X$9:X$24,$M$9:$M$24,PART_NUMBER_GENERATOR_TABLE[[#This Row],[Tech]:[Tech]])))</f>
        <v>0</v>
      </c>
      <c r="Y126" cm="1">
        <f t="array" ref="Y126">IF(PART_NUMBER_GENERATOR_TABLE[[#This Row],[Work Role]:[Work Role]]&lt;&gt;Y$1,0,
IF(PART_NUMBER_GENERATOR_TABLE[[#This Row],[Work Type]:[Work Type]]&lt;&gt;"BH",0,
SUMIFS(Y$9:Y$24,$M$9:$M$24,PART_NUMBER_GENERATOR_TABLE[[#This Row],[Tech]:[Tech]])))</f>
        <v>0</v>
      </c>
      <c r="Z126" cm="1">
        <f t="array" ref="Z126">IF(PART_NUMBER_GENERATOR_TABLE[[#This Row],[Work Role]:[Work Role]]&lt;&gt;Z$1,0,
IF(PART_NUMBER_GENERATOR_TABLE[[#This Row],[Work Type]:[Work Type]]&lt;&gt;"BH",0,
SUMIFS(Z$9:Z$24,$M$9:$M$24,PART_NUMBER_GENERATOR_TABLE[[#This Row],[Tech]:[Tech]])))</f>
        <v>0</v>
      </c>
      <c r="AA126" cm="1">
        <f t="array" ref="AA126">IF(PART_NUMBER_GENERATOR_TABLE[[#This Row],[Work Role]:[Work Role]]&lt;&gt;AA$1,0,
IF(PART_NUMBER_GENERATOR_TABLE[[#This Row],[Work Type]:[Work Type]]&lt;&gt;"BH",0,
SUMIFS(AA$9:AA$24,$M$9:$M$24,PART_NUMBER_GENERATOR_TABLE[[#This Row],[Tech]:[Tech]])))</f>
        <v>0</v>
      </c>
      <c r="AB126" cm="1">
        <f t="array" ref="AB126">IF(PART_NUMBER_GENERATOR_TABLE[[#This Row],[Work Role]:[Work Role]]&lt;&gt;AB$1,0,
IF(PART_NUMBER_GENERATOR_TABLE[[#This Row],[Work Type]:[Work Type]]&lt;&gt;"BH",0,
SUMIFS(AB$9:AB$24,$M$9:$M$24,PART_NUMBER_GENERATOR_TABLE[[#This Row],[Tech]:[Tech]])))</f>
        <v>0</v>
      </c>
      <c r="AC126" cm="1">
        <f t="array" ref="AC126">IF(PART_NUMBER_GENERATOR_TABLE[[#This Row],[Work Role]:[Work Role]]&lt;&gt;AC$1,0,
IF(PART_NUMBER_GENERATOR_TABLE[[#This Row],[Work Type]:[Work Type]]&lt;&gt;"BH",0,
SUMIFS(AC$9:AC$24,$M$9:$M$24,PART_NUMBER_GENERATOR_TABLE[[#This Row],[Tech]:[Tech]])))</f>
        <v>0</v>
      </c>
      <c r="AD126" cm="1">
        <f t="array" ref="AD126">IF(PART_NUMBER_GENERATOR_TABLE[[#This Row],[Work Role]:[Work Role]]&lt;&gt;AD$1,0,
IF(PART_NUMBER_GENERATOR_TABLE[[#This Row],[Work Type]:[Work Type]]&lt;&gt;"BH",0,
SUMIFS(AD$9:AD$24,$M$9:$M$24,PART_NUMBER_GENERATOR_TABLE[[#This Row],[Tech]:[Tech]])))</f>
        <v>0</v>
      </c>
      <c r="AE126" cm="1">
        <f t="array" ref="AE126">IF(PART_NUMBER_GENERATOR_TABLE[[#This Row],[Work Role]:[Work Role]]&lt;&gt;AE$1,0,
IF(PART_NUMBER_GENERATOR_TABLE[[#This Row],[Work Type]:[Work Type]]&lt;&gt;"BH",0,
SUMIFS(AE$9:AE$24,$M$9:$M$24,PART_NUMBER_GENERATOR_TABLE[[#This Row],[Tech]:[Tech]])))</f>
        <v>0</v>
      </c>
      <c r="AF126" cm="1">
        <f t="array" ref="AF126">IF(PART_NUMBER_GENERATOR_TABLE[[#This Row],[Work Role]:[Work Role]]&lt;&gt;AF$1,0,
IF(PART_NUMBER_GENERATOR_TABLE[[#This Row],[Work Type]:[Work Type]]&lt;&gt;"BH",0,
SUMIFS(AF$9:AF$24,$M$9:$M$24,PART_NUMBER_GENERATOR_TABLE[[#This Row],[Tech]:[Tech]])))</f>
        <v>0</v>
      </c>
      <c r="AG126" cm="1">
        <f t="array" ref="AG126">IF(PART_NUMBER_GENERATOR_TABLE[[#This Row],[Work Role]:[Work Role]]&lt;&gt;AG$1,0,
IF(PART_NUMBER_GENERATOR_TABLE[[#This Row],[Work Type]:[Work Type]]&lt;&gt;"AH",0,
SUMIFS(AG$9:AG$24,$M$9:$M$24,PART_NUMBER_GENERATOR_TABLE[[#This Row],[Tech]:[Tech]])))</f>
        <v>0</v>
      </c>
      <c r="AH126" cm="1">
        <f t="array" ref="AH126">IF(PART_NUMBER_GENERATOR_TABLE[[#This Row],[Work Role]:[Work Role]]&lt;&gt;AH$1,0,
IF(PART_NUMBER_GENERATOR_TABLE[[#This Row],[Work Type]:[Work Type]]&lt;&gt;"BH",0,
SUMIFS(AH$9:AH$24,$M$9:$M$24,PART_NUMBER_GENERATOR_TABLE[[#This Row],[Tech]:[Tech]])))</f>
        <v>0</v>
      </c>
      <c r="AI126" cm="1">
        <f t="array" ref="AI126">IF(PART_NUMBER_GENERATOR_TABLE[[#This Row],[Work Role]:[Work Role]]&lt;&gt;AI$1,0,
IF(PART_NUMBER_GENERATOR_TABLE[[#This Row],[Work Type]:[Work Type]]&lt;&gt;"BH",0,
SUMIFS(AI$9:AI$24,$M$9:$M$24,PART_NUMBER_GENERATOR_TABLE[[#This Row],[Tech]:[Tech]])))</f>
        <v>0</v>
      </c>
      <c r="AJ126" cm="1">
        <f t="array" ref="AJ126">IF(PART_NUMBER_GENERATOR_TABLE[[#This Row],[Work Role]:[Work Role]]&lt;&gt;AJ$1,0,
IF(PART_NUMBER_GENERATOR_TABLE[[#This Row],[Work Type]:[Work Type]]&lt;&gt;"BH",0,
SUMIFS(AJ$9:AJ$24,$M$9:$M$24,PART_NUMBER_GENERATOR_TABLE[[#This Row],[Tech]:[Tech]])))</f>
        <v>0</v>
      </c>
      <c r="AK126" cm="1">
        <f t="array" ref="AK126">IF(PART_NUMBER_GENERATOR_TABLE[[#This Row],[Work Role]:[Work Role]]&lt;&gt;AK$1,0,
IF(PART_NUMBER_GENERATOR_TABLE[[#This Row],[Work Type]:[Work Type]]&lt;&gt;"AH",0,
SUMIFS(AK$9:AK$24,$M$9:$M$24,PART_NUMBER_GENERATOR_TABLE[[#This Row],[Tech]:[Tech]])))</f>
        <v>0</v>
      </c>
      <c r="AL126" cm="1">
        <f t="array" ref="AL126">IF(PART_NUMBER_GENERATOR_TABLE[[#This Row],[Work Role]:[Work Role]]&lt;&gt;AL$1,0,
IF(PART_NUMBER_GENERATOR_TABLE[[#This Row],[Work Type]:[Work Type]]&lt;&gt;"BH",0,
SUMIFS(AL$9:AL$24,$M$9:$M$24,PART_NUMBER_GENERATOR_TABLE[[#This Row],[Tech]:[Tech]])))</f>
        <v>0</v>
      </c>
      <c r="AM126">
        <f>0</f>
        <v>0</v>
      </c>
      <c r="AN126" cm="1">
        <f t="array" ref="AN126">IF(PART_NUMBER_GENERATOR_TABLE[[#This Row],[Work Role]:[Work Role]]&lt;&gt;AN$1,0,
IF(PART_NUMBER_GENERATOR_TABLE[[#This Row],[Work Type]:[Work Type]]&lt;&gt;"BH",0,
SUMIFS(AN$24,$AM$24,PART_NUMBER_GENERATOR_TABLE[[#This Row],[Tech]:[Tech]])))</f>
        <v>0</v>
      </c>
      <c r="AO126" cm="1">
        <f t="array" ref="AO126">IF(PART_NUMBER_GENERATOR_TABLE[[#This Row],[Work Role]:[Work Role]]&lt;&gt;AO$1,0,
IF(PART_NUMBER_GENERATOR_TABLE[[#This Row],[Work Type]:[Work Type]]&lt;&gt;"BH",0,
SUMIFS(AO$24,$AM$24,PART_NUMBER_GENERATOR_TABLE[[#This Row],[Tech]:[Tech]])))</f>
        <v>0</v>
      </c>
      <c r="AP126" cm="1">
        <f t="array" ref="AP126">IF(PART_NUMBER_GENERATOR_TABLE[[#This Row],[Work Role]:[Work Role]]&lt;&gt;AP$1,0,
IF(PART_NUMBER_GENERATOR_TABLE[[#This Row],[Work Type]:[Work Type]]&lt;&gt;"BH",0,
SUMIFS(AP$24,$AM$24,PART_NUMBER_GENERATOR_TABLE[[#This Row],[Tech]:[Tech]])))</f>
        <v>0</v>
      </c>
      <c r="AQ126" cm="1">
        <f t="array" ref="AQ126">IF(PART_NUMBER_GENERATOR_TABLE[[#This Row],[Work Role]:[Work Role]]&lt;&gt;AQ$1,0,
IF(PART_NUMBER_GENERATOR_TABLE[[#This Row],[Work Type]:[Work Type]]&lt;&gt;"BH",0,
SUMIFS(AQ$24,$AM$24,PART_NUMBER_GENERATOR_TABLE[[#This Row],[Tech]:[Tech]])))</f>
        <v>0</v>
      </c>
      <c r="AR126" cm="1">
        <f t="array" ref="AR126">IF(PART_NUMBER_GENERATOR_TABLE[[#This Row],[Work Role]:[Work Role]]&lt;&gt;AR$1,0,
IF(PART_NUMBER_GENERATOR_TABLE[[#This Row],[Work Type]:[Work Type]]&lt;&gt;"BH",0,
SUMIFS(AR$24,$AM$24,PART_NUMBER_GENERATOR_TABLE[[#This Row],[Tech]:[Tech]])))</f>
        <v>0</v>
      </c>
      <c r="AS126" cm="1">
        <f t="array" ref="AS126">IF(PART_NUMBER_GENERATOR_TABLE[[#This Row],[Work Role]:[Work Role]]&lt;&gt;AS$1,0,
IF(PART_NUMBER_GENERATOR_TABLE[[#This Row],[Work Type]:[Work Type]]&lt;&gt;"BH",0,
SUMIFS(AS$24,$AM$24,PART_NUMBER_GENERATOR_TABLE[[#This Row],[Tech]:[Tech]])))</f>
        <v>0</v>
      </c>
      <c r="AT126" cm="1">
        <f t="array" ref="AT126">IF(PART_NUMBER_GENERATOR_TABLE[[#This Row],[Work Role]:[Work Role]]&lt;&gt;AS$1,0,
IF(PART_NUMBER_GENERATOR_TABLE[[#This Row],[Work Type]:[Work Type]]&lt;&gt;"BH",0,
SUMIFS(AT$24,$AM$24,PART_NUMBER_GENERATOR_TABLE[[#This Row],[Tech]:[Tech]])))</f>
        <v>0</v>
      </c>
      <c r="AU126">
        <f>SUM(PART_NUMBER_GENERATOR_TABLE[[#This Row],[Resource 1 BH]:[Resource 5 AH]],PART_NUMBER_GENERATOR_TABLE[[#This Row],[R1 Mandatory Tasks]:[R5 Mandatory Tasks]],PART_NUMBER_GENERATOR_TABLE[[#This Row],[R1 Remainder]:[R5 Remainder]])</f>
        <v>0</v>
      </c>
      <c r="AV126">
        <f>PART_NUMBER_GENERATOR_TABLE[[#This Row],[Professional Engineering Hours]]*PART_NUMBER_GENERATOR_TABLE[[#This Row],[Sell Rate]]</f>
        <v>0</v>
      </c>
      <c r="AW126">
        <f>PART_NUMBER_GENERATOR_TABLE[[#This Row],[Professional Engineering Hours]]*PART_NUMBER_GENERATOR_TABLE[[#This Row],[Cost Rate]]</f>
        <v>0</v>
      </c>
      <c r="AX126">
        <f>SUM(PART_NUMBER_GENERATOR_TABLE[[#This Row],[PM Trips]:[R5 Trips]])</f>
        <v>0</v>
      </c>
      <c r="AY126">
        <f>PART_NUMBER_GENERATOR_TABLE[[#This Row],[Travel &amp; Accommodation Hours]]*PART_NUMBER_GENERATOR_TABLE[[#This Row],[Sell Rate]]</f>
        <v>0</v>
      </c>
      <c r="AZ126">
        <f>PART_NUMBER_GENERATOR_TABLE[[#This Row],[Travel &amp; Accommodation Hours]]*PART_NUMBER_GENERATOR_TABLE[[#This Row],[Cost Rate]]</f>
        <v>0</v>
      </c>
      <c r="BA126">
        <f>PART_NUMBER_GENERATOR_TABLE[[#This Row],[PM Hours]]+PART_NUMBER_GENERATOR_TABLE[[#This Row],[PM Remainder]]</f>
        <v>0</v>
      </c>
      <c r="BB126">
        <f>PART_NUMBER_GENERATOR_TABLE[[#This Row],[Project Management Hours]]*PART_NUMBER_GENERATOR_TABLE[[#This Row],[Sell Rate]]</f>
        <v>0</v>
      </c>
      <c r="BC126">
        <f>PART_NUMBER_GENERATOR_TABLE[[#This Row],[Project Management Hours]]*PART_NUMBER_GENERATOR_TABLE[[#This Row],[Cost Rate]]</f>
        <v>0</v>
      </c>
      <c r="BD126">
        <f>SUM(PART_NUMBER_GENERATOR_TABLE[[#This Row],[SSE RISK BH]:[PM RISK]],PART_NUMBER_GENERATOR_TABLE[[#This Row],[SSE Remainder RISK BH]:[PM Remainder RISK]])</f>
        <v>0</v>
      </c>
      <c r="BE126">
        <f>PART_NUMBER_GENERATOR_TABLE[[#This Row],[Project Risk Service Hours]]*PART_NUMBER_GENERATOR_TABLE[[#This Row],[Sell Rate]]</f>
        <v>0</v>
      </c>
      <c r="BF126">
        <f>PART_NUMBER_GENERATOR_TABLE[[#This Row],[Project Risk Service Hours]]*PART_NUMBER_GENERATOR_TABLE[[#This Row],[Cost Rate]]</f>
        <v>0</v>
      </c>
      <c r="BG126">
        <f>PART_NUMBER_GENERATOR_TABLE[[#This Row],[SSE RISK TRAVEL]]</f>
        <v>0</v>
      </c>
      <c r="BH126">
        <f>PART_NUMBER_GENERATOR_TABLE[[#This Row],[Sell Rate]]*PART_NUMBER_GENERATOR_TABLE[[#This Row],[Project Risk Travel Hours]]</f>
        <v>0</v>
      </c>
      <c r="BI126">
        <f>PART_NUMBER_GENERATOR_TABLE[[#This Row],[Project Risk Travel Hours]]*PART_NUMBER_GENERATOR_TABLE[[#This Row],[Cost Rate]]</f>
        <v>0</v>
      </c>
      <c r="BJ12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2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26">
        <f>IFERROR(-VLOOKUP(INDEX(ENGINEER_ROLES,MATCH(PART_NUMBER_GENERATOR_TABLE[[#This Row],[Work Role]],settings.Table_Engineer.Roles[ID],0),1),Settings_Hidden!$H$359:$K$366,4,FALSE),0)</f>
        <v>0</v>
      </c>
      <c r="BM126" s="680">
        <f>-Summary!$C$66</f>
        <v>0</v>
      </c>
      <c r="BN126" s="465">
        <f>PART_NUMBER_GENERATOR_TABLE[[#This Row],[Total Base Price]]*MIN(PART_NUMBER_GENERATOR_TABLE[[#This Row],[Rate Service Discount]:[Flat Service Discount]])</f>
        <v>0</v>
      </c>
      <c r="BO126" s="451" t="str">
        <f>IF(PART_NUMBER_GENERATOR_TABLE[[#This Row],[Quantity]]&lt;&gt;0,MAX($BO$30:BO125)+1,"")</f>
        <v/>
      </c>
      <c r="BP126" t="str">
        <f>PART_NUMBER_GENERATOR_TABLE[[#This Row],[Part Number]]</f>
        <v>A-PS-C-DATACC-AC-BH</v>
      </c>
      <c r="BQ126">
        <f>PART_NUMBER_GENERATOR_TABLE[[#This Row],[Total Hours]]</f>
        <v>0</v>
      </c>
      <c r="BR126">
        <f>PART_NUMBER_GENERATOR_TABLE[[#This Row],[Cost Rate]]</f>
        <v>167.61034913968996</v>
      </c>
      <c r="BS126" s="465">
        <f>PART_NUMBER_GENERATOR_TABLE[[#This Row],[Sell Rate]]+(PART_NUMBER_GENERATOR_TABLE[[#This Row],[Sell Rate]]*MIN(PART_NUMBER_GENERATOR_TABLE[[#This Row],[Rate Service Discount]:[Flat Service Discount]]))</f>
        <v>315</v>
      </c>
    </row>
    <row r="127" spans="1:71">
      <c r="A127">
        <v>97</v>
      </c>
      <c r="C127" t="s">
        <v>957</v>
      </c>
      <c r="D127" t="str" cm="1">
        <f t="array" ref="D127">INDEX(Table.Settings_Skill.List[Skill Name],MATCH(INDEX(_xlfn.TEXTSPLIT(C127,"-",,TRUE),4),Table.Settings_Skill.List[Skill Code],0),1)</f>
        <v>Integrated Health</v>
      </c>
      <c r="E127" t="str" cm="1">
        <f t="array" ref="E127">INDEX(_xlfn.TEXTSPLIT(C127,"-",,TRUE),5)</f>
        <v>SA</v>
      </c>
      <c r="F127" t="str">
        <f>IFERROR(INDEX(settings.Table_Engineer.Roles[Department Code],MATCH(PART_NUMBER_GENERATOR_TABLE[[#This Row],[Work Role]],settings.Table_Engineer.Roles[ID],0),1),"PMO")</f>
        <v>CON</v>
      </c>
      <c r="G127" t="str" cm="1">
        <f t="array" ref="G127">INDEX(_xlfn.TEXTSPLIT(C127,"-",,TRUE),6)</f>
        <v>BH</v>
      </c>
      <c r="H12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2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27" cm="1">
        <f t="array" ref="J127">IF(J$1&lt;&gt;PART_NUMBER_GENERATOR_TABLE[[#This Row],[Work Role]:[Work Role]],0,
IF(RIGHT(J$30,2)&lt;&gt;PART_NUMBER_GENERATOR_TABLE[[#This Row],[Work Type]:[Work Type]],0,
SUMIFS(Input_Tasks[R1 Business Hours],Input_Tasks[[Skill Required]:[Skill Required]],PART_NUMBER_GENERATOR_TABLE[[#This Row],[Tech]:[Tech]])))</f>
        <v>0</v>
      </c>
      <c r="K127" cm="1">
        <f t="array" ref="K127">IF(K$1&lt;&gt;PART_NUMBER_GENERATOR_TABLE[[#This Row],[Work Role]:[Work Role]],0,
IF(RIGHT(K$30,2)&lt;&gt;PART_NUMBER_GENERATOR_TABLE[[#This Row],[Work Type]:[Work Type]],0,
SUMIFS(Input_Tasks[R1 After Hours],Input_Tasks[[Skill Required]:[Skill Required]],PART_NUMBER_GENERATOR_TABLE[[#This Row],[Tech]:[Tech]])))</f>
        <v>0</v>
      </c>
      <c r="L127" cm="1">
        <f t="array" ref="L127">IF(L$1&lt;&gt;PART_NUMBER_GENERATOR_TABLE[[#This Row],[Work Role]:[Work Role]],0,
IF(RIGHT(L$30,2)&lt;&gt;PART_NUMBER_GENERATOR_TABLE[[#This Row],[Work Type]:[Work Type]],0,
SUMIFS(Input_Tasks[R2 Business Hours],Input_Tasks[[Skill Required]:[Skill Required]],PART_NUMBER_GENERATOR_TABLE[[#This Row],[Tech]:[Tech]])))</f>
        <v>0</v>
      </c>
      <c r="M127" cm="1">
        <f t="array" ref="M127">IF(M$1&lt;&gt;PART_NUMBER_GENERATOR_TABLE[[#This Row],[Work Role]:[Work Role]],0,
IF(RIGHT(M$30,2)&lt;&gt;PART_NUMBER_GENERATOR_TABLE[[#This Row],[Work Type]:[Work Type]],0,
SUMIFS(Input_Tasks[R2 After Hours],Input_Tasks[[Skill Required]:[Skill Required]],PART_NUMBER_GENERATOR_TABLE[[#This Row],[Tech]:[Tech]])))</f>
        <v>0</v>
      </c>
      <c r="N127" cm="1">
        <f t="array" ref="N127">IF(N$1&lt;&gt;PART_NUMBER_GENERATOR_TABLE[[#This Row],[Work Role]:[Work Role]],0,
IF(RIGHT(N$30,2)&lt;&gt;PART_NUMBER_GENERATOR_TABLE[[#This Row],[Work Type]:[Work Type]],0,
SUMIFS(Input_Tasks[R3 Business Hours],Input_Tasks[[Skill Required]:[Skill Required]],PART_NUMBER_GENERATOR_TABLE[[#This Row],[Tech]:[Tech]])))</f>
        <v>0</v>
      </c>
      <c r="O127" cm="1">
        <f t="array" ref="O127">IF(O$1&lt;&gt;PART_NUMBER_GENERATOR_TABLE[[#This Row],[Work Role]:[Work Role]],0,
IF(RIGHT(O$30,2)&lt;&gt;PART_NUMBER_GENERATOR_TABLE[[#This Row],[Work Type]:[Work Type]],0,
SUMIFS(Input_Tasks[R3 After Hours],Input_Tasks[[Skill Required]:[Skill Required]],PART_NUMBER_GENERATOR_TABLE[[#This Row],[Tech]:[Tech]])))</f>
        <v>0</v>
      </c>
      <c r="P127" cm="1">
        <f t="array" ref="P127">IF(P$1&lt;&gt;PART_NUMBER_GENERATOR_TABLE[[#This Row],[Work Role]:[Work Role]],0,
IF(RIGHT(P$30,2)&lt;&gt;PART_NUMBER_GENERATOR_TABLE[[#This Row],[Work Type]:[Work Type]],0,
SUMIFS(Input_Tasks[R4 Business Hours],Input_Tasks[[Skill Required]:[Skill Required]],PART_NUMBER_GENERATOR_TABLE[[#This Row],[Tech]:[Tech]])))</f>
        <v>0</v>
      </c>
      <c r="Q127" cm="1">
        <f t="array" ref="Q127">IF(Q$1&lt;&gt;PART_NUMBER_GENERATOR_TABLE[[#This Row],[Work Role]:[Work Role]],0,
IF(RIGHT(Q$30,2)&lt;&gt;PART_NUMBER_GENERATOR_TABLE[[#This Row],[Work Type]:[Work Type]],0,
SUMIFS(Input_Tasks[R4 After Hours],Input_Tasks[[Skill Required]:[Skill Required]],PART_NUMBER_GENERATOR_TABLE[[#This Row],[Tech]:[Tech]])))</f>
        <v>0</v>
      </c>
      <c r="R127" cm="1">
        <f t="array" ref="R127">IF(R$1&lt;&gt;PART_NUMBER_GENERATOR_TABLE[[#This Row],[Work Role]:[Work Role]],0,
IF(RIGHT(R$30,2)&lt;&gt;PART_NUMBER_GENERATOR_TABLE[[#This Row],[Work Type]:[Work Type]],0,
SUMIFS(Input_Tasks[R5 Business Hours],Input_Tasks[[Skill Required]:[Skill Required]],PART_NUMBER_GENERATOR_TABLE[[#This Row],[Tech]:[Tech]])))</f>
        <v>0</v>
      </c>
      <c r="S127" cm="1">
        <f t="array" ref="S127">IF(S$1&lt;&gt;PART_NUMBER_GENERATOR_TABLE[[#This Row],[Work Role]:[Work Role]],0,
IF(RIGHT(S$30,2)&lt;&gt;PART_NUMBER_GENERATOR_TABLE[[#This Row],[Work Type]:[Work Type]],0,
SUMIFS(Input_Tasks[R5 After Hours],Input_Tasks[[Skill Required]:[Skill Required]],PART_NUMBER_GENERATOR_TABLE[[#This Row],[Tech]:[Tech]])))</f>
        <v>0</v>
      </c>
      <c r="T127" cm="1">
        <f t="array" ref="T127">IF(PART_NUMBER_GENERATOR_TABLE[[#This Row],[Work Role]:[Work Role]]&lt;&gt;T$1,0,
IF(PART_NUMBER_GENERATOR_TABLE[[#This Row],[Work Type]:[Work Type]]&lt;&gt;"BH",0,
SUMIFS(T$9:T$24,$M$9:$M$24,PART_NUMBER_GENERATOR_TABLE[[#This Row],[Tech]:[Tech]])))</f>
        <v>0</v>
      </c>
      <c r="U127" cm="1">
        <f t="array" ref="U127">IF(PART_NUMBER_GENERATOR_TABLE[[#This Row],[Work Role]:[Work Role]]&lt;&gt;U$1,0,
IF(PART_NUMBER_GENERATOR_TABLE[[#This Row],[Work Type]:[Work Type]]&lt;&gt;"BH",0,
SUMIFS(U$9:U$24,$M$9:$M$24,PART_NUMBER_GENERATOR_TABLE[[#This Row],[Tech]:[Tech]])))</f>
        <v>0</v>
      </c>
      <c r="V127" cm="1">
        <f t="array" ref="V127">IF(PART_NUMBER_GENERATOR_TABLE[[#This Row],[Work Role]:[Work Role]]&lt;&gt;V$1,0,
IF(PART_NUMBER_GENERATOR_TABLE[[#This Row],[Work Type]:[Work Type]]&lt;&gt;"BH",0,
SUMIFS(V$9:V$24,$M$9:$M$24,PART_NUMBER_GENERATOR_TABLE[[#This Row],[Tech]:[Tech]])))</f>
        <v>0</v>
      </c>
      <c r="W127" cm="1">
        <f t="array" ref="W127">IF(PART_NUMBER_GENERATOR_TABLE[[#This Row],[Work Role]:[Work Role]]&lt;&gt;W$1,0,
IF(PART_NUMBER_GENERATOR_TABLE[[#This Row],[Work Type]:[Work Type]]&lt;&gt;"BH",0,
SUMIFS(W$9:W$24,$M$9:$M$24,PART_NUMBER_GENERATOR_TABLE[[#This Row],[Tech]:[Tech]])))</f>
        <v>0</v>
      </c>
      <c r="X127" cm="1">
        <f t="array" ref="X127">IF(PART_NUMBER_GENERATOR_TABLE[[#This Row],[Work Role]:[Work Role]]&lt;&gt;X$1,0,
IF(PART_NUMBER_GENERATOR_TABLE[[#This Row],[Work Type]:[Work Type]]&lt;&gt;"BH",0,
SUMIFS(X$9:X$24,$M$9:$M$24,PART_NUMBER_GENERATOR_TABLE[[#This Row],[Tech]:[Tech]])))</f>
        <v>0</v>
      </c>
      <c r="Y127" cm="1">
        <f t="array" ref="Y127">IF(PART_NUMBER_GENERATOR_TABLE[[#This Row],[Work Role]:[Work Role]]&lt;&gt;Y$1,0,
IF(PART_NUMBER_GENERATOR_TABLE[[#This Row],[Work Type]:[Work Type]]&lt;&gt;"BH",0,
SUMIFS(Y$9:Y$24,$M$9:$M$24,PART_NUMBER_GENERATOR_TABLE[[#This Row],[Tech]:[Tech]])))</f>
        <v>0</v>
      </c>
      <c r="Z127" cm="1">
        <f t="array" ref="Z127">IF(PART_NUMBER_GENERATOR_TABLE[[#This Row],[Work Role]:[Work Role]]&lt;&gt;Z$1,0,
IF(PART_NUMBER_GENERATOR_TABLE[[#This Row],[Work Type]:[Work Type]]&lt;&gt;"BH",0,
SUMIFS(Z$9:Z$24,$M$9:$M$24,PART_NUMBER_GENERATOR_TABLE[[#This Row],[Tech]:[Tech]])))</f>
        <v>0</v>
      </c>
      <c r="AA127" cm="1">
        <f t="array" ref="AA127">IF(PART_NUMBER_GENERATOR_TABLE[[#This Row],[Work Role]:[Work Role]]&lt;&gt;AA$1,0,
IF(PART_NUMBER_GENERATOR_TABLE[[#This Row],[Work Type]:[Work Type]]&lt;&gt;"BH",0,
SUMIFS(AA$9:AA$24,$M$9:$M$24,PART_NUMBER_GENERATOR_TABLE[[#This Row],[Tech]:[Tech]])))</f>
        <v>0</v>
      </c>
      <c r="AB127" cm="1">
        <f t="array" ref="AB127">IF(PART_NUMBER_GENERATOR_TABLE[[#This Row],[Work Role]:[Work Role]]&lt;&gt;AB$1,0,
IF(PART_NUMBER_GENERATOR_TABLE[[#This Row],[Work Type]:[Work Type]]&lt;&gt;"BH",0,
SUMIFS(AB$9:AB$24,$M$9:$M$24,PART_NUMBER_GENERATOR_TABLE[[#This Row],[Tech]:[Tech]])))</f>
        <v>0</v>
      </c>
      <c r="AC127" cm="1">
        <f t="array" ref="AC127">IF(PART_NUMBER_GENERATOR_TABLE[[#This Row],[Work Role]:[Work Role]]&lt;&gt;AC$1,0,
IF(PART_NUMBER_GENERATOR_TABLE[[#This Row],[Work Type]:[Work Type]]&lt;&gt;"BH",0,
SUMIFS(AC$9:AC$24,$M$9:$M$24,PART_NUMBER_GENERATOR_TABLE[[#This Row],[Tech]:[Tech]])))</f>
        <v>0</v>
      </c>
      <c r="AD127" cm="1">
        <f t="array" ref="AD127">IF(PART_NUMBER_GENERATOR_TABLE[[#This Row],[Work Role]:[Work Role]]&lt;&gt;AD$1,0,
IF(PART_NUMBER_GENERATOR_TABLE[[#This Row],[Work Type]:[Work Type]]&lt;&gt;"BH",0,
SUMIFS(AD$9:AD$24,$M$9:$M$24,PART_NUMBER_GENERATOR_TABLE[[#This Row],[Tech]:[Tech]])))</f>
        <v>0</v>
      </c>
      <c r="AE127" cm="1">
        <f t="array" ref="AE127">IF(PART_NUMBER_GENERATOR_TABLE[[#This Row],[Work Role]:[Work Role]]&lt;&gt;AE$1,0,
IF(PART_NUMBER_GENERATOR_TABLE[[#This Row],[Work Type]:[Work Type]]&lt;&gt;"BH",0,
SUMIFS(AE$9:AE$24,$M$9:$M$24,PART_NUMBER_GENERATOR_TABLE[[#This Row],[Tech]:[Tech]])))</f>
        <v>0</v>
      </c>
      <c r="AF127" cm="1">
        <f t="array" ref="AF127">IF(PART_NUMBER_GENERATOR_TABLE[[#This Row],[Work Role]:[Work Role]]&lt;&gt;AF$1,0,
IF(PART_NUMBER_GENERATOR_TABLE[[#This Row],[Work Type]:[Work Type]]&lt;&gt;"BH",0,
SUMIFS(AF$9:AF$24,$M$9:$M$24,PART_NUMBER_GENERATOR_TABLE[[#This Row],[Tech]:[Tech]])))</f>
        <v>0</v>
      </c>
      <c r="AG127" cm="1">
        <f t="array" ref="AG127">IF(PART_NUMBER_GENERATOR_TABLE[[#This Row],[Work Role]:[Work Role]]&lt;&gt;AG$1,0,
IF(PART_NUMBER_GENERATOR_TABLE[[#This Row],[Work Type]:[Work Type]]&lt;&gt;"AH",0,
SUMIFS(AG$9:AG$24,$M$9:$M$24,PART_NUMBER_GENERATOR_TABLE[[#This Row],[Tech]:[Tech]])))</f>
        <v>0</v>
      </c>
      <c r="AH127" cm="1">
        <f t="array" ref="AH127">IF(PART_NUMBER_GENERATOR_TABLE[[#This Row],[Work Role]:[Work Role]]&lt;&gt;AH$1,0,
IF(PART_NUMBER_GENERATOR_TABLE[[#This Row],[Work Type]:[Work Type]]&lt;&gt;"BH",0,
SUMIFS(AH$9:AH$24,$M$9:$M$24,PART_NUMBER_GENERATOR_TABLE[[#This Row],[Tech]:[Tech]])))</f>
        <v>0</v>
      </c>
      <c r="AI127" cm="1">
        <f t="array" ref="AI127">IF(PART_NUMBER_GENERATOR_TABLE[[#This Row],[Work Role]:[Work Role]]&lt;&gt;AI$1,0,
IF(PART_NUMBER_GENERATOR_TABLE[[#This Row],[Work Type]:[Work Type]]&lt;&gt;"BH",0,
SUMIFS(AI$9:AI$24,$M$9:$M$24,PART_NUMBER_GENERATOR_TABLE[[#This Row],[Tech]:[Tech]])))</f>
        <v>0</v>
      </c>
      <c r="AJ127" cm="1">
        <f t="array" ref="AJ127">IF(PART_NUMBER_GENERATOR_TABLE[[#This Row],[Work Role]:[Work Role]]&lt;&gt;AJ$1,0,
IF(PART_NUMBER_GENERATOR_TABLE[[#This Row],[Work Type]:[Work Type]]&lt;&gt;"BH",0,
SUMIFS(AJ$9:AJ$24,$M$9:$M$24,PART_NUMBER_GENERATOR_TABLE[[#This Row],[Tech]:[Tech]])))</f>
        <v>0</v>
      </c>
      <c r="AK127" cm="1">
        <f t="array" ref="AK127">IF(PART_NUMBER_GENERATOR_TABLE[[#This Row],[Work Role]:[Work Role]]&lt;&gt;AK$1,0,
IF(PART_NUMBER_GENERATOR_TABLE[[#This Row],[Work Type]:[Work Type]]&lt;&gt;"AH",0,
SUMIFS(AK$9:AK$24,$M$9:$M$24,PART_NUMBER_GENERATOR_TABLE[[#This Row],[Tech]:[Tech]])))</f>
        <v>0</v>
      </c>
      <c r="AL127" cm="1">
        <f t="array" ref="AL127">IF(PART_NUMBER_GENERATOR_TABLE[[#This Row],[Work Role]:[Work Role]]&lt;&gt;AL$1,0,
IF(PART_NUMBER_GENERATOR_TABLE[[#This Row],[Work Type]:[Work Type]]&lt;&gt;"BH",0,
SUMIFS(AL$9:AL$24,$M$9:$M$24,PART_NUMBER_GENERATOR_TABLE[[#This Row],[Tech]:[Tech]])))</f>
        <v>0</v>
      </c>
      <c r="AM127">
        <f>0</f>
        <v>0</v>
      </c>
      <c r="AN127" cm="1">
        <f t="array" ref="AN127">IF(PART_NUMBER_GENERATOR_TABLE[[#This Row],[Work Role]:[Work Role]]&lt;&gt;AN$1,0,
IF(PART_NUMBER_GENERATOR_TABLE[[#This Row],[Work Type]:[Work Type]]&lt;&gt;"BH",0,
SUMIFS(AN$24,$AM$24,PART_NUMBER_GENERATOR_TABLE[[#This Row],[Tech]:[Tech]])))</f>
        <v>0</v>
      </c>
      <c r="AO127" cm="1">
        <f t="array" ref="AO127">IF(PART_NUMBER_GENERATOR_TABLE[[#This Row],[Work Role]:[Work Role]]&lt;&gt;AO$1,0,
IF(PART_NUMBER_GENERATOR_TABLE[[#This Row],[Work Type]:[Work Type]]&lt;&gt;"BH",0,
SUMIFS(AO$24,$AM$24,PART_NUMBER_GENERATOR_TABLE[[#This Row],[Tech]:[Tech]])))</f>
        <v>0</v>
      </c>
      <c r="AP127" cm="1">
        <f t="array" ref="AP127">IF(PART_NUMBER_GENERATOR_TABLE[[#This Row],[Work Role]:[Work Role]]&lt;&gt;AP$1,0,
IF(PART_NUMBER_GENERATOR_TABLE[[#This Row],[Work Type]:[Work Type]]&lt;&gt;"BH",0,
SUMIFS(AP$24,$AM$24,PART_NUMBER_GENERATOR_TABLE[[#This Row],[Tech]:[Tech]])))</f>
        <v>0</v>
      </c>
      <c r="AQ127" cm="1">
        <f t="array" ref="AQ127">IF(PART_NUMBER_GENERATOR_TABLE[[#This Row],[Work Role]:[Work Role]]&lt;&gt;AQ$1,0,
IF(PART_NUMBER_GENERATOR_TABLE[[#This Row],[Work Type]:[Work Type]]&lt;&gt;"BH",0,
SUMIFS(AQ$24,$AM$24,PART_NUMBER_GENERATOR_TABLE[[#This Row],[Tech]:[Tech]])))</f>
        <v>0</v>
      </c>
      <c r="AR127" cm="1">
        <f t="array" ref="AR127">IF(PART_NUMBER_GENERATOR_TABLE[[#This Row],[Work Role]:[Work Role]]&lt;&gt;AR$1,0,
IF(PART_NUMBER_GENERATOR_TABLE[[#This Row],[Work Type]:[Work Type]]&lt;&gt;"BH",0,
SUMIFS(AR$24,$AM$24,PART_NUMBER_GENERATOR_TABLE[[#This Row],[Tech]:[Tech]])))</f>
        <v>0</v>
      </c>
      <c r="AS127" cm="1">
        <f t="array" ref="AS127">IF(PART_NUMBER_GENERATOR_TABLE[[#This Row],[Work Role]:[Work Role]]&lt;&gt;AS$1,0,
IF(PART_NUMBER_GENERATOR_TABLE[[#This Row],[Work Type]:[Work Type]]&lt;&gt;"BH",0,
SUMIFS(AS$24,$AM$24,PART_NUMBER_GENERATOR_TABLE[[#This Row],[Tech]:[Tech]])))</f>
        <v>0</v>
      </c>
      <c r="AT127" cm="1">
        <f t="array" ref="AT127">IF(PART_NUMBER_GENERATOR_TABLE[[#This Row],[Work Role]:[Work Role]]&lt;&gt;AS$1,0,
IF(PART_NUMBER_GENERATOR_TABLE[[#This Row],[Work Type]:[Work Type]]&lt;&gt;"BH",0,
SUMIFS(AT$24,$AM$24,PART_NUMBER_GENERATOR_TABLE[[#This Row],[Tech]:[Tech]])))</f>
        <v>0</v>
      </c>
      <c r="AU127">
        <f>SUM(PART_NUMBER_GENERATOR_TABLE[[#This Row],[Resource 1 BH]:[Resource 5 AH]],PART_NUMBER_GENERATOR_TABLE[[#This Row],[R1 Mandatory Tasks]:[R5 Mandatory Tasks]],PART_NUMBER_GENERATOR_TABLE[[#This Row],[R1 Remainder]:[R5 Remainder]])</f>
        <v>0</v>
      </c>
      <c r="AV127">
        <f>PART_NUMBER_GENERATOR_TABLE[[#This Row],[Professional Engineering Hours]]*PART_NUMBER_GENERATOR_TABLE[[#This Row],[Sell Rate]]</f>
        <v>0</v>
      </c>
      <c r="AW127">
        <f>PART_NUMBER_GENERATOR_TABLE[[#This Row],[Professional Engineering Hours]]*PART_NUMBER_GENERATOR_TABLE[[#This Row],[Cost Rate]]</f>
        <v>0</v>
      </c>
      <c r="AX127">
        <f>SUM(PART_NUMBER_GENERATOR_TABLE[[#This Row],[PM Trips]:[R5 Trips]])</f>
        <v>0</v>
      </c>
      <c r="AY127">
        <f>PART_NUMBER_GENERATOR_TABLE[[#This Row],[Travel &amp; Accommodation Hours]]*PART_NUMBER_GENERATOR_TABLE[[#This Row],[Sell Rate]]</f>
        <v>0</v>
      </c>
      <c r="AZ127">
        <f>PART_NUMBER_GENERATOR_TABLE[[#This Row],[Travel &amp; Accommodation Hours]]*PART_NUMBER_GENERATOR_TABLE[[#This Row],[Cost Rate]]</f>
        <v>0</v>
      </c>
      <c r="BA127">
        <f>PART_NUMBER_GENERATOR_TABLE[[#This Row],[PM Hours]]+PART_NUMBER_GENERATOR_TABLE[[#This Row],[PM Remainder]]</f>
        <v>0</v>
      </c>
      <c r="BB127">
        <f>PART_NUMBER_GENERATOR_TABLE[[#This Row],[Project Management Hours]]*PART_NUMBER_GENERATOR_TABLE[[#This Row],[Sell Rate]]</f>
        <v>0</v>
      </c>
      <c r="BC127">
        <f>PART_NUMBER_GENERATOR_TABLE[[#This Row],[Project Management Hours]]*PART_NUMBER_GENERATOR_TABLE[[#This Row],[Cost Rate]]</f>
        <v>0</v>
      </c>
      <c r="BD127">
        <f>SUM(PART_NUMBER_GENERATOR_TABLE[[#This Row],[SSE RISK BH]:[PM RISK]],PART_NUMBER_GENERATOR_TABLE[[#This Row],[SSE Remainder RISK BH]:[PM Remainder RISK]])</f>
        <v>0</v>
      </c>
      <c r="BE127">
        <f>PART_NUMBER_GENERATOR_TABLE[[#This Row],[Project Risk Service Hours]]*PART_NUMBER_GENERATOR_TABLE[[#This Row],[Sell Rate]]</f>
        <v>0</v>
      </c>
      <c r="BF127">
        <f>PART_NUMBER_GENERATOR_TABLE[[#This Row],[Project Risk Service Hours]]*PART_NUMBER_GENERATOR_TABLE[[#This Row],[Cost Rate]]</f>
        <v>0</v>
      </c>
      <c r="BG127">
        <f>PART_NUMBER_GENERATOR_TABLE[[#This Row],[SSE RISK TRAVEL]]</f>
        <v>0</v>
      </c>
      <c r="BH127">
        <f>PART_NUMBER_GENERATOR_TABLE[[#This Row],[Sell Rate]]*PART_NUMBER_GENERATOR_TABLE[[#This Row],[Project Risk Travel Hours]]</f>
        <v>0</v>
      </c>
      <c r="BI127">
        <f>PART_NUMBER_GENERATOR_TABLE[[#This Row],[Project Risk Travel Hours]]*PART_NUMBER_GENERATOR_TABLE[[#This Row],[Cost Rate]]</f>
        <v>0</v>
      </c>
      <c r="BJ12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2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27">
        <f>IFERROR(-VLOOKUP(INDEX(ENGINEER_ROLES,MATCH(PART_NUMBER_GENERATOR_TABLE[[#This Row],[Work Role]],settings.Table_Engineer.Roles[ID],0),1),Settings_Hidden!$H$359:$K$366,4,FALSE),0)</f>
        <v>0</v>
      </c>
      <c r="BM127" s="680">
        <f>-Summary!$C$66</f>
        <v>0</v>
      </c>
      <c r="BN127" s="465">
        <f>PART_NUMBER_GENERATOR_TABLE[[#This Row],[Total Base Price]]*MIN(PART_NUMBER_GENERATOR_TABLE[[#This Row],[Rate Service Discount]:[Flat Service Discount]])</f>
        <v>0</v>
      </c>
      <c r="BO127" s="451" t="str">
        <f>IF(PART_NUMBER_GENERATOR_TABLE[[#This Row],[Quantity]]&lt;&gt;0,MAX($BO$30:BO126)+1,"")</f>
        <v/>
      </c>
      <c r="BP127" t="str">
        <f>PART_NUMBER_GENERATOR_TABLE[[#This Row],[Part Number]]</f>
        <v>A-PS-C-INTHLT-SA-BH</v>
      </c>
      <c r="BQ127">
        <f>PART_NUMBER_GENERATOR_TABLE[[#This Row],[Total Hours]]</f>
        <v>0</v>
      </c>
      <c r="BR127">
        <f>PART_NUMBER_GENERATOR_TABLE[[#This Row],[Cost Rate]]</f>
        <v>167.61034913968996</v>
      </c>
      <c r="BS127" s="465">
        <f>PART_NUMBER_GENERATOR_TABLE[[#This Row],[Sell Rate]]+(PART_NUMBER_GENERATOR_TABLE[[#This Row],[Sell Rate]]*MIN(PART_NUMBER_GENERATOR_TABLE[[#This Row],[Rate Service Discount]:[Flat Service Discount]]))</f>
        <v>315</v>
      </c>
    </row>
    <row r="128" spans="1:71">
      <c r="A128">
        <v>98</v>
      </c>
      <c r="C128" t="s">
        <v>949</v>
      </c>
      <c r="D128" t="str" cm="1">
        <f t="array" ref="D128">INDEX(Table.Settings_Skill.List[Skill Name],MATCH(INDEX(_xlfn.TEXTSPLIT(C128,"-",,TRUE),4),Table.Settings_Skill.List[Skill Code],0),1)</f>
        <v>Integrated Health</v>
      </c>
      <c r="E128" t="str" cm="1">
        <f t="array" ref="E128">INDEX(_xlfn.TEXTSPLIT(C128,"-",,TRUE),5)</f>
        <v>SC</v>
      </c>
      <c r="F128" t="str">
        <f>IFERROR(INDEX(settings.Table_Engineer.Roles[Department Code],MATCH(PART_NUMBER_GENERATOR_TABLE[[#This Row],[Work Role]],settings.Table_Engineer.Roles[ID],0),1),"PMO")</f>
        <v>CON</v>
      </c>
      <c r="G128" t="str" cm="1">
        <f t="array" ref="G128">INDEX(_xlfn.TEXTSPLIT(C128,"-",,TRUE),6)</f>
        <v>BH</v>
      </c>
      <c r="H12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2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28" cm="1">
        <f t="array" ref="J128">IF(J$1&lt;&gt;PART_NUMBER_GENERATOR_TABLE[[#This Row],[Work Role]:[Work Role]],0,
IF(RIGHT(J$30,2)&lt;&gt;PART_NUMBER_GENERATOR_TABLE[[#This Row],[Work Type]:[Work Type]],0,
SUMIFS(Input_Tasks[R1 Business Hours],Input_Tasks[[Skill Required]:[Skill Required]],PART_NUMBER_GENERATOR_TABLE[[#This Row],[Tech]:[Tech]])))</f>
        <v>0</v>
      </c>
      <c r="K128" cm="1">
        <f t="array" ref="K128">IF(K$1&lt;&gt;PART_NUMBER_GENERATOR_TABLE[[#This Row],[Work Role]:[Work Role]],0,
IF(RIGHT(K$30,2)&lt;&gt;PART_NUMBER_GENERATOR_TABLE[[#This Row],[Work Type]:[Work Type]],0,
SUMIFS(Input_Tasks[R1 After Hours],Input_Tasks[[Skill Required]:[Skill Required]],PART_NUMBER_GENERATOR_TABLE[[#This Row],[Tech]:[Tech]])))</f>
        <v>0</v>
      </c>
      <c r="L128" cm="1">
        <f t="array" ref="L128">IF(L$1&lt;&gt;PART_NUMBER_GENERATOR_TABLE[[#This Row],[Work Role]:[Work Role]],0,
IF(RIGHT(L$30,2)&lt;&gt;PART_NUMBER_GENERATOR_TABLE[[#This Row],[Work Type]:[Work Type]],0,
SUMIFS(Input_Tasks[R2 Business Hours],Input_Tasks[[Skill Required]:[Skill Required]],PART_NUMBER_GENERATOR_TABLE[[#This Row],[Tech]:[Tech]])))</f>
        <v>0</v>
      </c>
      <c r="M128" cm="1">
        <f t="array" ref="M128">IF(M$1&lt;&gt;PART_NUMBER_GENERATOR_TABLE[[#This Row],[Work Role]:[Work Role]],0,
IF(RIGHT(M$30,2)&lt;&gt;PART_NUMBER_GENERATOR_TABLE[[#This Row],[Work Type]:[Work Type]],0,
SUMIFS(Input_Tasks[R2 After Hours],Input_Tasks[[Skill Required]:[Skill Required]],PART_NUMBER_GENERATOR_TABLE[[#This Row],[Tech]:[Tech]])))</f>
        <v>0</v>
      </c>
      <c r="N128" cm="1">
        <f t="array" ref="N128">IF(N$1&lt;&gt;PART_NUMBER_GENERATOR_TABLE[[#This Row],[Work Role]:[Work Role]],0,
IF(RIGHT(N$30,2)&lt;&gt;PART_NUMBER_GENERATOR_TABLE[[#This Row],[Work Type]:[Work Type]],0,
SUMIFS(Input_Tasks[R3 Business Hours],Input_Tasks[[Skill Required]:[Skill Required]],PART_NUMBER_GENERATOR_TABLE[[#This Row],[Tech]:[Tech]])))</f>
        <v>0</v>
      </c>
      <c r="O128" cm="1">
        <f t="array" ref="O128">IF(O$1&lt;&gt;PART_NUMBER_GENERATOR_TABLE[[#This Row],[Work Role]:[Work Role]],0,
IF(RIGHT(O$30,2)&lt;&gt;PART_NUMBER_GENERATOR_TABLE[[#This Row],[Work Type]:[Work Type]],0,
SUMIFS(Input_Tasks[R3 After Hours],Input_Tasks[[Skill Required]:[Skill Required]],PART_NUMBER_GENERATOR_TABLE[[#This Row],[Tech]:[Tech]])))</f>
        <v>0</v>
      </c>
      <c r="P128" cm="1">
        <f t="array" ref="P128">IF(P$1&lt;&gt;PART_NUMBER_GENERATOR_TABLE[[#This Row],[Work Role]:[Work Role]],0,
IF(RIGHT(P$30,2)&lt;&gt;PART_NUMBER_GENERATOR_TABLE[[#This Row],[Work Type]:[Work Type]],0,
SUMIFS(Input_Tasks[R4 Business Hours],Input_Tasks[[Skill Required]:[Skill Required]],PART_NUMBER_GENERATOR_TABLE[[#This Row],[Tech]:[Tech]])))</f>
        <v>0</v>
      </c>
      <c r="Q128" cm="1">
        <f t="array" ref="Q128">IF(Q$1&lt;&gt;PART_NUMBER_GENERATOR_TABLE[[#This Row],[Work Role]:[Work Role]],0,
IF(RIGHT(Q$30,2)&lt;&gt;PART_NUMBER_GENERATOR_TABLE[[#This Row],[Work Type]:[Work Type]],0,
SUMIFS(Input_Tasks[R4 After Hours],Input_Tasks[[Skill Required]:[Skill Required]],PART_NUMBER_GENERATOR_TABLE[[#This Row],[Tech]:[Tech]])))</f>
        <v>0</v>
      </c>
      <c r="R128" cm="1">
        <f t="array" ref="R128">IF(R$1&lt;&gt;PART_NUMBER_GENERATOR_TABLE[[#This Row],[Work Role]:[Work Role]],0,
IF(RIGHT(R$30,2)&lt;&gt;PART_NUMBER_GENERATOR_TABLE[[#This Row],[Work Type]:[Work Type]],0,
SUMIFS(Input_Tasks[R5 Business Hours],Input_Tasks[[Skill Required]:[Skill Required]],PART_NUMBER_GENERATOR_TABLE[[#This Row],[Tech]:[Tech]])))</f>
        <v>0</v>
      </c>
      <c r="S128" cm="1">
        <f t="array" ref="S128">IF(S$1&lt;&gt;PART_NUMBER_GENERATOR_TABLE[[#This Row],[Work Role]:[Work Role]],0,
IF(RIGHT(S$30,2)&lt;&gt;PART_NUMBER_GENERATOR_TABLE[[#This Row],[Work Type]:[Work Type]],0,
SUMIFS(Input_Tasks[R5 After Hours],Input_Tasks[[Skill Required]:[Skill Required]],PART_NUMBER_GENERATOR_TABLE[[#This Row],[Tech]:[Tech]])))</f>
        <v>0</v>
      </c>
      <c r="T128" cm="1">
        <f t="array" ref="T128">IF(PART_NUMBER_GENERATOR_TABLE[[#This Row],[Work Role]:[Work Role]]&lt;&gt;T$1,0,
IF(PART_NUMBER_GENERATOR_TABLE[[#This Row],[Work Type]:[Work Type]]&lt;&gt;"BH",0,
SUMIFS(T$9:T$24,$M$9:$M$24,PART_NUMBER_GENERATOR_TABLE[[#This Row],[Tech]:[Tech]])))</f>
        <v>0</v>
      </c>
      <c r="U128" cm="1">
        <f t="array" ref="U128">IF(PART_NUMBER_GENERATOR_TABLE[[#This Row],[Work Role]:[Work Role]]&lt;&gt;U$1,0,
IF(PART_NUMBER_GENERATOR_TABLE[[#This Row],[Work Type]:[Work Type]]&lt;&gt;"BH",0,
SUMIFS(U$9:U$24,$M$9:$M$24,PART_NUMBER_GENERATOR_TABLE[[#This Row],[Tech]:[Tech]])))</f>
        <v>0</v>
      </c>
      <c r="V128" cm="1">
        <f t="array" ref="V128">IF(PART_NUMBER_GENERATOR_TABLE[[#This Row],[Work Role]:[Work Role]]&lt;&gt;V$1,0,
IF(PART_NUMBER_GENERATOR_TABLE[[#This Row],[Work Type]:[Work Type]]&lt;&gt;"BH",0,
SUMIFS(V$9:V$24,$M$9:$M$24,PART_NUMBER_GENERATOR_TABLE[[#This Row],[Tech]:[Tech]])))</f>
        <v>0</v>
      </c>
      <c r="W128" cm="1">
        <f t="array" ref="W128">IF(PART_NUMBER_GENERATOR_TABLE[[#This Row],[Work Role]:[Work Role]]&lt;&gt;W$1,0,
IF(PART_NUMBER_GENERATOR_TABLE[[#This Row],[Work Type]:[Work Type]]&lt;&gt;"BH",0,
SUMIFS(W$9:W$24,$M$9:$M$24,PART_NUMBER_GENERATOR_TABLE[[#This Row],[Tech]:[Tech]])))</f>
        <v>0</v>
      </c>
      <c r="X128" cm="1">
        <f t="array" ref="X128">IF(PART_NUMBER_GENERATOR_TABLE[[#This Row],[Work Role]:[Work Role]]&lt;&gt;X$1,0,
IF(PART_NUMBER_GENERATOR_TABLE[[#This Row],[Work Type]:[Work Type]]&lt;&gt;"BH",0,
SUMIFS(X$9:X$24,$M$9:$M$24,PART_NUMBER_GENERATOR_TABLE[[#This Row],[Tech]:[Tech]])))</f>
        <v>0</v>
      </c>
      <c r="Y128" cm="1">
        <f t="array" ref="Y128">IF(PART_NUMBER_GENERATOR_TABLE[[#This Row],[Work Role]:[Work Role]]&lt;&gt;Y$1,0,
IF(PART_NUMBER_GENERATOR_TABLE[[#This Row],[Work Type]:[Work Type]]&lt;&gt;"BH",0,
SUMIFS(Y$9:Y$24,$M$9:$M$24,PART_NUMBER_GENERATOR_TABLE[[#This Row],[Tech]:[Tech]])))</f>
        <v>0</v>
      </c>
      <c r="Z128" cm="1">
        <f t="array" ref="Z128">IF(PART_NUMBER_GENERATOR_TABLE[[#This Row],[Work Role]:[Work Role]]&lt;&gt;Z$1,0,
IF(PART_NUMBER_GENERATOR_TABLE[[#This Row],[Work Type]:[Work Type]]&lt;&gt;"BH",0,
SUMIFS(Z$9:Z$24,$M$9:$M$24,PART_NUMBER_GENERATOR_TABLE[[#This Row],[Tech]:[Tech]])))</f>
        <v>0</v>
      </c>
      <c r="AA128" cm="1">
        <f t="array" ref="AA128">IF(PART_NUMBER_GENERATOR_TABLE[[#This Row],[Work Role]:[Work Role]]&lt;&gt;AA$1,0,
IF(PART_NUMBER_GENERATOR_TABLE[[#This Row],[Work Type]:[Work Type]]&lt;&gt;"BH",0,
SUMIFS(AA$9:AA$24,$M$9:$M$24,PART_NUMBER_GENERATOR_TABLE[[#This Row],[Tech]:[Tech]])))</f>
        <v>0</v>
      </c>
      <c r="AB128" cm="1">
        <f t="array" ref="AB128">IF(PART_NUMBER_GENERATOR_TABLE[[#This Row],[Work Role]:[Work Role]]&lt;&gt;AB$1,0,
IF(PART_NUMBER_GENERATOR_TABLE[[#This Row],[Work Type]:[Work Type]]&lt;&gt;"BH",0,
SUMIFS(AB$9:AB$24,$M$9:$M$24,PART_NUMBER_GENERATOR_TABLE[[#This Row],[Tech]:[Tech]])))</f>
        <v>0</v>
      </c>
      <c r="AC128" cm="1">
        <f t="array" ref="AC128">IF(PART_NUMBER_GENERATOR_TABLE[[#This Row],[Work Role]:[Work Role]]&lt;&gt;AC$1,0,
IF(PART_NUMBER_GENERATOR_TABLE[[#This Row],[Work Type]:[Work Type]]&lt;&gt;"BH",0,
SUMIFS(AC$9:AC$24,$M$9:$M$24,PART_NUMBER_GENERATOR_TABLE[[#This Row],[Tech]:[Tech]])))</f>
        <v>0</v>
      </c>
      <c r="AD128" cm="1">
        <f t="array" ref="AD128">IF(PART_NUMBER_GENERATOR_TABLE[[#This Row],[Work Role]:[Work Role]]&lt;&gt;AD$1,0,
IF(PART_NUMBER_GENERATOR_TABLE[[#This Row],[Work Type]:[Work Type]]&lt;&gt;"BH",0,
SUMIFS(AD$9:AD$24,$M$9:$M$24,PART_NUMBER_GENERATOR_TABLE[[#This Row],[Tech]:[Tech]])))</f>
        <v>0</v>
      </c>
      <c r="AE128" cm="1">
        <f t="array" ref="AE128">IF(PART_NUMBER_GENERATOR_TABLE[[#This Row],[Work Role]:[Work Role]]&lt;&gt;AE$1,0,
IF(PART_NUMBER_GENERATOR_TABLE[[#This Row],[Work Type]:[Work Type]]&lt;&gt;"BH",0,
SUMIFS(AE$9:AE$24,$M$9:$M$24,PART_NUMBER_GENERATOR_TABLE[[#This Row],[Tech]:[Tech]])))</f>
        <v>0</v>
      </c>
      <c r="AF128" cm="1">
        <f t="array" ref="AF128">IF(PART_NUMBER_GENERATOR_TABLE[[#This Row],[Work Role]:[Work Role]]&lt;&gt;AF$1,0,
IF(PART_NUMBER_GENERATOR_TABLE[[#This Row],[Work Type]:[Work Type]]&lt;&gt;"BH",0,
SUMIFS(AF$9:AF$24,$M$9:$M$24,PART_NUMBER_GENERATOR_TABLE[[#This Row],[Tech]:[Tech]])))</f>
        <v>0</v>
      </c>
      <c r="AG128" cm="1">
        <f t="array" ref="AG128">IF(PART_NUMBER_GENERATOR_TABLE[[#This Row],[Work Role]:[Work Role]]&lt;&gt;AG$1,0,
IF(PART_NUMBER_GENERATOR_TABLE[[#This Row],[Work Type]:[Work Type]]&lt;&gt;"AH",0,
SUMIFS(AG$9:AG$24,$M$9:$M$24,PART_NUMBER_GENERATOR_TABLE[[#This Row],[Tech]:[Tech]])))</f>
        <v>0</v>
      </c>
      <c r="AH128" cm="1">
        <f t="array" ref="AH128">IF(PART_NUMBER_GENERATOR_TABLE[[#This Row],[Work Role]:[Work Role]]&lt;&gt;AH$1,0,
IF(PART_NUMBER_GENERATOR_TABLE[[#This Row],[Work Type]:[Work Type]]&lt;&gt;"BH",0,
SUMIFS(AH$9:AH$24,$M$9:$M$24,PART_NUMBER_GENERATOR_TABLE[[#This Row],[Tech]:[Tech]])))</f>
        <v>0</v>
      </c>
      <c r="AI128" cm="1">
        <f t="array" ref="AI128">IF(PART_NUMBER_GENERATOR_TABLE[[#This Row],[Work Role]:[Work Role]]&lt;&gt;AI$1,0,
IF(PART_NUMBER_GENERATOR_TABLE[[#This Row],[Work Type]:[Work Type]]&lt;&gt;"BH",0,
SUMIFS(AI$9:AI$24,$M$9:$M$24,PART_NUMBER_GENERATOR_TABLE[[#This Row],[Tech]:[Tech]])))</f>
        <v>0</v>
      </c>
      <c r="AJ128" cm="1">
        <f t="array" ref="AJ128">IF(PART_NUMBER_GENERATOR_TABLE[[#This Row],[Work Role]:[Work Role]]&lt;&gt;AJ$1,0,
IF(PART_NUMBER_GENERATOR_TABLE[[#This Row],[Work Type]:[Work Type]]&lt;&gt;"BH",0,
SUMIFS(AJ$9:AJ$24,$M$9:$M$24,PART_NUMBER_GENERATOR_TABLE[[#This Row],[Tech]:[Tech]])))</f>
        <v>0</v>
      </c>
      <c r="AK128" cm="1">
        <f t="array" ref="AK128">IF(PART_NUMBER_GENERATOR_TABLE[[#This Row],[Work Role]:[Work Role]]&lt;&gt;AK$1,0,
IF(PART_NUMBER_GENERATOR_TABLE[[#This Row],[Work Type]:[Work Type]]&lt;&gt;"AH",0,
SUMIFS(AK$9:AK$24,$M$9:$M$24,PART_NUMBER_GENERATOR_TABLE[[#This Row],[Tech]:[Tech]])))</f>
        <v>0</v>
      </c>
      <c r="AL128" cm="1">
        <f t="array" ref="AL128">IF(PART_NUMBER_GENERATOR_TABLE[[#This Row],[Work Role]:[Work Role]]&lt;&gt;AL$1,0,
IF(PART_NUMBER_GENERATOR_TABLE[[#This Row],[Work Type]:[Work Type]]&lt;&gt;"BH",0,
SUMIFS(AL$9:AL$24,$M$9:$M$24,PART_NUMBER_GENERATOR_TABLE[[#This Row],[Tech]:[Tech]])))</f>
        <v>0</v>
      </c>
      <c r="AM128">
        <f>0</f>
        <v>0</v>
      </c>
      <c r="AN128" cm="1">
        <f t="array" ref="AN128">IF(PART_NUMBER_GENERATOR_TABLE[[#This Row],[Work Role]:[Work Role]]&lt;&gt;AN$1,0,
IF(PART_NUMBER_GENERATOR_TABLE[[#This Row],[Work Type]:[Work Type]]&lt;&gt;"BH",0,
SUMIFS(AN$24,$AM$24,PART_NUMBER_GENERATOR_TABLE[[#This Row],[Tech]:[Tech]])))</f>
        <v>0</v>
      </c>
      <c r="AO128" cm="1">
        <f t="array" ref="AO128">IF(PART_NUMBER_GENERATOR_TABLE[[#This Row],[Work Role]:[Work Role]]&lt;&gt;AO$1,0,
IF(PART_NUMBER_GENERATOR_TABLE[[#This Row],[Work Type]:[Work Type]]&lt;&gt;"BH",0,
SUMIFS(AO$24,$AM$24,PART_NUMBER_GENERATOR_TABLE[[#This Row],[Tech]:[Tech]])))</f>
        <v>0</v>
      </c>
      <c r="AP128" cm="1">
        <f t="array" ref="AP128">IF(PART_NUMBER_GENERATOR_TABLE[[#This Row],[Work Role]:[Work Role]]&lt;&gt;AP$1,0,
IF(PART_NUMBER_GENERATOR_TABLE[[#This Row],[Work Type]:[Work Type]]&lt;&gt;"BH",0,
SUMIFS(AP$24,$AM$24,PART_NUMBER_GENERATOR_TABLE[[#This Row],[Tech]:[Tech]])))</f>
        <v>0</v>
      </c>
      <c r="AQ128" cm="1">
        <f t="array" ref="AQ128">IF(PART_NUMBER_GENERATOR_TABLE[[#This Row],[Work Role]:[Work Role]]&lt;&gt;AQ$1,0,
IF(PART_NUMBER_GENERATOR_TABLE[[#This Row],[Work Type]:[Work Type]]&lt;&gt;"BH",0,
SUMIFS(AQ$24,$AM$24,PART_NUMBER_GENERATOR_TABLE[[#This Row],[Tech]:[Tech]])))</f>
        <v>0</v>
      </c>
      <c r="AR128" cm="1">
        <f t="array" ref="AR128">IF(PART_NUMBER_GENERATOR_TABLE[[#This Row],[Work Role]:[Work Role]]&lt;&gt;AR$1,0,
IF(PART_NUMBER_GENERATOR_TABLE[[#This Row],[Work Type]:[Work Type]]&lt;&gt;"BH",0,
SUMIFS(AR$24,$AM$24,PART_NUMBER_GENERATOR_TABLE[[#This Row],[Tech]:[Tech]])))</f>
        <v>0</v>
      </c>
      <c r="AS128" cm="1">
        <f t="array" ref="AS128">IF(PART_NUMBER_GENERATOR_TABLE[[#This Row],[Work Role]:[Work Role]]&lt;&gt;AS$1,0,
IF(PART_NUMBER_GENERATOR_TABLE[[#This Row],[Work Type]:[Work Type]]&lt;&gt;"BH",0,
SUMIFS(AS$24,$AM$24,PART_NUMBER_GENERATOR_TABLE[[#This Row],[Tech]:[Tech]])))</f>
        <v>0</v>
      </c>
      <c r="AT128" cm="1">
        <f t="array" ref="AT128">IF(PART_NUMBER_GENERATOR_TABLE[[#This Row],[Work Role]:[Work Role]]&lt;&gt;AS$1,0,
IF(PART_NUMBER_GENERATOR_TABLE[[#This Row],[Work Type]:[Work Type]]&lt;&gt;"BH",0,
SUMIFS(AT$24,$AM$24,PART_NUMBER_GENERATOR_TABLE[[#This Row],[Tech]:[Tech]])))</f>
        <v>0</v>
      </c>
      <c r="AU128">
        <f>SUM(PART_NUMBER_GENERATOR_TABLE[[#This Row],[Resource 1 BH]:[Resource 5 AH]],PART_NUMBER_GENERATOR_TABLE[[#This Row],[R1 Mandatory Tasks]:[R5 Mandatory Tasks]],PART_NUMBER_GENERATOR_TABLE[[#This Row],[R1 Remainder]:[R5 Remainder]])</f>
        <v>0</v>
      </c>
      <c r="AV128">
        <f>PART_NUMBER_GENERATOR_TABLE[[#This Row],[Professional Engineering Hours]]*PART_NUMBER_GENERATOR_TABLE[[#This Row],[Sell Rate]]</f>
        <v>0</v>
      </c>
      <c r="AW128">
        <f>PART_NUMBER_GENERATOR_TABLE[[#This Row],[Professional Engineering Hours]]*PART_NUMBER_GENERATOR_TABLE[[#This Row],[Cost Rate]]</f>
        <v>0</v>
      </c>
      <c r="AX128">
        <f>SUM(PART_NUMBER_GENERATOR_TABLE[[#This Row],[PM Trips]:[R5 Trips]])</f>
        <v>0</v>
      </c>
      <c r="AY128">
        <f>PART_NUMBER_GENERATOR_TABLE[[#This Row],[Travel &amp; Accommodation Hours]]*PART_NUMBER_GENERATOR_TABLE[[#This Row],[Sell Rate]]</f>
        <v>0</v>
      </c>
      <c r="AZ128">
        <f>PART_NUMBER_GENERATOR_TABLE[[#This Row],[Travel &amp; Accommodation Hours]]*PART_NUMBER_GENERATOR_TABLE[[#This Row],[Cost Rate]]</f>
        <v>0</v>
      </c>
      <c r="BA128">
        <f>PART_NUMBER_GENERATOR_TABLE[[#This Row],[PM Hours]]+PART_NUMBER_GENERATOR_TABLE[[#This Row],[PM Remainder]]</f>
        <v>0</v>
      </c>
      <c r="BB128">
        <f>PART_NUMBER_GENERATOR_TABLE[[#This Row],[Project Management Hours]]*PART_NUMBER_GENERATOR_TABLE[[#This Row],[Sell Rate]]</f>
        <v>0</v>
      </c>
      <c r="BC128">
        <f>PART_NUMBER_GENERATOR_TABLE[[#This Row],[Project Management Hours]]*PART_NUMBER_GENERATOR_TABLE[[#This Row],[Cost Rate]]</f>
        <v>0</v>
      </c>
      <c r="BD128">
        <f>SUM(PART_NUMBER_GENERATOR_TABLE[[#This Row],[SSE RISK BH]:[PM RISK]],PART_NUMBER_GENERATOR_TABLE[[#This Row],[SSE Remainder RISK BH]:[PM Remainder RISK]])</f>
        <v>0</v>
      </c>
      <c r="BE128">
        <f>PART_NUMBER_GENERATOR_TABLE[[#This Row],[Project Risk Service Hours]]*PART_NUMBER_GENERATOR_TABLE[[#This Row],[Sell Rate]]</f>
        <v>0</v>
      </c>
      <c r="BF128">
        <f>PART_NUMBER_GENERATOR_TABLE[[#This Row],[Project Risk Service Hours]]*PART_NUMBER_GENERATOR_TABLE[[#This Row],[Cost Rate]]</f>
        <v>0</v>
      </c>
      <c r="BG128">
        <f>PART_NUMBER_GENERATOR_TABLE[[#This Row],[SSE RISK TRAVEL]]</f>
        <v>0</v>
      </c>
      <c r="BH128">
        <f>PART_NUMBER_GENERATOR_TABLE[[#This Row],[Sell Rate]]*PART_NUMBER_GENERATOR_TABLE[[#This Row],[Project Risk Travel Hours]]</f>
        <v>0</v>
      </c>
      <c r="BI128">
        <f>PART_NUMBER_GENERATOR_TABLE[[#This Row],[Project Risk Travel Hours]]*PART_NUMBER_GENERATOR_TABLE[[#This Row],[Cost Rate]]</f>
        <v>0</v>
      </c>
      <c r="BJ12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2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28">
        <f>IFERROR(-VLOOKUP(INDEX(ENGINEER_ROLES,MATCH(PART_NUMBER_GENERATOR_TABLE[[#This Row],[Work Role]],settings.Table_Engineer.Roles[ID],0),1),Settings_Hidden!$H$359:$K$366,4,FALSE),0)</f>
        <v>0</v>
      </c>
      <c r="BM128" s="680">
        <f>-Summary!$C$66</f>
        <v>0</v>
      </c>
      <c r="BN128" s="465">
        <f>PART_NUMBER_GENERATOR_TABLE[[#This Row],[Total Base Price]]*MIN(PART_NUMBER_GENERATOR_TABLE[[#This Row],[Rate Service Discount]:[Flat Service Discount]])</f>
        <v>0</v>
      </c>
      <c r="BO128" s="451" t="str">
        <f>IF(PART_NUMBER_GENERATOR_TABLE[[#This Row],[Quantity]]&lt;&gt;0,MAX($BO$30:BO127)+1,"")</f>
        <v/>
      </c>
      <c r="BP128" t="str">
        <f>PART_NUMBER_GENERATOR_TABLE[[#This Row],[Part Number]]</f>
        <v>A-PS-C-INTHLT-SC-BH</v>
      </c>
      <c r="BQ128">
        <f>PART_NUMBER_GENERATOR_TABLE[[#This Row],[Total Hours]]</f>
        <v>0</v>
      </c>
      <c r="BR128">
        <f>PART_NUMBER_GENERATOR_TABLE[[#This Row],[Cost Rate]]</f>
        <v>167.61034913968996</v>
      </c>
      <c r="BS128" s="465">
        <f>PART_NUMBER_GENERATOR_TABLE[[#This Row],[Sell Rate]]+(PART_NUMBER_GENERATOR_TABLE[[#This Row],[Sell Rate]]*MIN(PART_NUMBER_GENERATOR_TABLE[[#This Row],[Rate Service Discount]:[Flat Service Discount]]))</f>
        <v>315</v>
      </c>
    </row>
    <row r="129" spans="1:71">
      <c r="A129">
        <v>99</v>
      </c>
      <c r="C129" t="s">
        <v>941</v>
      </c>
      <c r="D129" t="str" cm="1">
        <f t="array" ref="D129">INDEX(Table.Settings_Skill.List[Skill Name],MATCH(INDEX(_xlfn.TEXTSPLIT(C129,"-",,TRUE),4),Table.Settings_Skill.List[Skill Code],0),1)</f>
        <v>Integrated Health</v>
      </c>
      <c r="E129" t="str" cm="1">
        <f t="array" ref="E129">INDEX(_xlfn.TEXTSPLIT(C129,"-",,TRUE),5)</f>
        <v>AC</v>
      </c>
      <c r="F129" t="str">
        <f>IFERROR(INDEX(settings.Table_Engineer.Roles[Department Code],MATCH(PART_NUMBER_GENERATOR_TABLE[[#This Row],[Work Role]],settings.Table_Engineer.Roles[ID],0),1),"PMO")</f>
        <v>CON</v>
      </c>
      <c r="G129" t="str" cm="1">
        <f t="array" ref="G129">INDEX(_xlfn.TEXTSPLIT(C129,"-",,TRUE),6)</f>
        <v>BH</v>
      </c>
      <c r="H12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2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29" cm="1">
        <f t="array" ref="J129">IF(J$1&lt;&gt;PART_NUMBER_GENERATOR_TABLE[[#This Row],[Work Role]:[Work Role]],0,
IF(RIGHT(J$30,2)&lt;&gt;PART_NUMBER_GENERATOR_TABLE[[#This Row],[Work Type]:[Work Type]],0,
SUMIFS(Input_Tasks[R1 Business Hours],Input_Tasks[[Skill Required]:[Skill Required]],PART_NUMBER_GENERATOR_TABLE[[#This Row],[Tech]:[Tech]])))</f>
        <v>0</v>
      </c>
      <c r="K129" cm="1">
        <f t="array" ref="K129">IF(K$1&lt;&gt;PART_NUMBER_GENERATOR_TABLE[[#This Row],[Work Role]:[Work Role]],0,
IF(RIGHT(K$30,2)&lt;&gt;PART_NUMBER_GENERATOR_TABLE[[#This Row],[Work Type]:[Work Type]],0,
SUMIFS(Input_Tasks[R1 After Hours],Input_Tasks[[Skill Required]:[Skill Required]],PART_NUMBER_GENERATOR_TABLE[[#This Row],[Tech]:[Tech]])))</f>
        <v>0</v>
      </c>
      <c r="L129" cm="1">
        <f t="array" ref="L129">IF(L$1&lt;&gt;PART_NUMBER_GENERATOR_TABLE[[#This Row],[Work Role]:[Work Role]],0,
IF(RIGHT(L$30,2)&lt;&gt;PART_NUMBER_GENERATOR_TABLE[[#This Row],[Work Type]:[Work Type]],0,
SUMIFS(Input_Tasks[R2 Business Hours],Input_Tasks[[Skill Required]:[Skill Required]],PART_NUMBER_GENERATOR_TABLE[[#This Row],[Tech]:[Tech]])))</f>
        <v>0</v>
      </c>
      <c r="M129" cm="1">
        <f t="array" ref="M129">IF(M$1&lt;&gt;PART_NUMBER_GENERATOR_TABLE[[#This Row],[Work Role]:[Work Role]],0,
IF(RIGHT(M$30,2)&lt;&gt;PART_NUMBER_GENERATOR_TABLE[[#This Row],[Work Type]:[Work Type]],0,
SUMIFS(Input_Tasks[R2 After Hours],Input_Tasks[[Skill Required]:[Skill Required]],PART_NUMBER_GENERATOR_TABLE[[#This Row],[Tech]:[Tech]])))</f>
        <v>0</v>
      </c>
      <c r="N129" cm="1">
        <f t="array" ref="N129">IF(N$1&lt;&gt;PART_NUMBER_GENERATOR_TABLE[[#This Row],[Work Role]:[Work Role]],0,
IF(RIGHT(N$30,2)&lt;&gt;PART_NUMBER_GENERATOR_TABLE[[#This Row],[Work Type]:[Work Type]],0,
SUMIFS(Input_Tasks[R3 Business Hours],Input_Tasks[[Skill Required]:[Skill Required]],PART_NUMBER_GENERATOR_TABLE[[#This Row],[Tech]:[Tech]])))</f>
        <v>0</v>
      </c>
      <c r="O129" cm="1">
        <f t="array" ref="O129">IF(O$1&lt;&gt;PART_NUMBER_GENERATOR_TABLE[[#This Row],[Work Role]:[Work Role]],0,
IF(RIGHT(O$30,2)&lt;&gt;PART_NUMBER_GENERATOR_TABLE[[#This Row],[Work Type]:[Work Type]],0,
SUMIFS(Input_Tasks[R3 After Hours],Input_Tasks[[Skill Required]:[Skill Required]],PART_NUMBER_GENERATOR_TABLE[[#This Row],[Tech]:[Tech]])))</f>
        <v>0</v>
      </c>
      <c r="P129" cm="1">
        <f t="array" ref="P129">IF(P$1&lt;&gt;PART_NUMBER_GENERATOR_TABLE[[#This Row],[Work Role]:[Work Role]],0,
IF(RIGHT(P$30,2)&lt;&gt;PART_NUMBER_GENERATOR_TABLE[[#This Row],[Work Type]:[Work Type]],0,
SUMIFS(Input_Tasks[R4 Business Hours],Input_Tasks[[Skill Required]:[Skill Required]],PART_NUMBER_GENERATOR_TABLE[[#This Row],[Tech]:[Tech]])))</f>
        <v>0</v>
      </c>
      <c r="Q129" cm="1">
        <f t="array" ref="Q129">IF(Q$1&lt;&gt;PART_NUMBER_GENERATOR_TABLE[[#This Row],[Work Role]:[Work Role]],0,
IF(RIGHT(Q$30,2)&lt;&gt;PART_NUMBER_GENERATOR_TABLE[[#This Row],[Work Type]:[Work Type]],0,
SUMIFS(Input_Tasks[R4 After Hours],Input_Tasks[[Skill Required]:[Skill Required]],PART_NUMBER_GENERATOR_TABLE[[#This Row],[Tech]:[Tech]])))</f>
        <v>0</v>
      </c>
      <c r="R129" cm="1">
        <f t="array" ref="R129">IF(R$1&lt;&gt;PART_NUMBER_GENERATOR_TABLE[[#This Row],[Work Role]:[Work Role]],0,
IF(RIGHT(R$30,2)&lt;&gt;PART_NUMBER_GENERATOR_TABLE[[#This Row],[Work Type]:[Work Type]],0,
SUMIFS(Input_Tasks[R5 Business Hours],Input_Tasks[[Skill Required]:[Skill Required]],PART_NUMBER_GENERATOR_TABLE[[#This Row],[Tech]:[Tech]])))</f>
        <v>0</v>
      </c>
      <c r="S129" cm="1">
        <f t="array" ref="S129">IF(S$1&lt;&gt;PART_NUMBER_GENERATOR_TABLE[[#This Row],[Work Role]:[Work Role]],0,
IF(RIGHT(S$30,2)&lt;&gt;PART_NUMBER_GENERATOR_TABLE[[#This Row],[Work Type]:[Work Type]],0,
SUMIFS(Input_Tasks[R5 After Hours],Input_Tasks[[Skill Required]:[Skill Required]],PART_NUMBER_GENERATOR_TABLE[[#This Row],[Tech]:[Tech]])))</f>
        <v>0</v>
      </c>
      <c r="T129" cm="1">
        <f t="array" ref="T129">IF(PART_NUMBER_GENERATOR_TABLE[[#This Row],[Work Role]:[Work Role]]&lt;&gt;T$1,0,
IF(PART_NUMBER_GENERATOR_TABLE[[#This Row],[Work Type]:[Work Type]]&lt;&gt;"BH",0,
SUMIFS(T$9:T$24,$M$9:$M$24,PART_NUMBER_GENERATOR_TABLE[[#This Row],[Tech]:[Tech]])))</f>
        <v>0</v>
      </c>
      <c r="U129" cm="1">
        <f t="array" ref="U129">IF(PART_NUMBER_GENERATOR_TABLE[[#This Row],[Work Role]:[Work Role]]&lt;&gt;U$1,0,
IF(PART_NUMBER_GENERATOR_TABLE[[#This Row],[Work Type]:[Work Type]]&lt;&gt;"BH",0,
SUMIFS(U$9:U$24,$M$9:$M$24,PART_NUMBER_GENERATOR_TABLE[[#This Row],[Tech]:[Tech]])))</f>
        <v>0</v>
      </c>
      <c r="V129" cm="1">
        <f t="array" ref="V129">IF(PART_NUMBER_GENERATOR_TABLE[[#This Row],[Work Role]:[Work Role]]&lt;&gt;V$1,0,
IF(PART_NUMBER_GENERATOR_TABLE[[#This Row],[Work Type]:[Work Type]]&lt;&gt;"BH",0,
SUMIFS(V$9:V$24,$M$9:$M$24,PART_NUMBER_GENERATOR_TABLE[[#This Row],[Tech]:[Tech]])))</f>
        <v>0</v>
      </c>
      <c r="W129" cm="1">
        <f t="array" ref="W129">IF(PART_NUMBER_GENERATOR_TABLE[[#This Row],[Work Role]:[Work Role]]&lt;&gt;W$1,0,
IF(PART_NUMBER_GENERATOR_TABLE[[#This Row],[Work Type]:[Work Type]]&lt;&gt;"BH",0,
SUMIFS(W$9:W$24,$M$9:$M$24,PART_NUMBER_GENERATOR_TABLE[[#This Row],[Tech]:[Tech]])))</f>
        <v>0</v>
      </c>
      <c r="X129" cm="1">
        <f t="array" ref="X129">IF(PART_NUMBER_GENERATOR_TABLE[[#This Row],[Work Role]:[Work Role]]&lt;&gt;X$1,0,
IF(PART_NUMBER_GENERATOR_TABLE[[#This Row],[Work Type]:[Work Type]]&lt;&gt;"BH",0,
SUMIFS(X$9:X$24,$M$9:$M$24,PART_NUMBER_GENERATOR_TABLE[[#This Row],[Tech]:[Tech]])))</f>
        <v>0</v>
      </c>
      <c r="Y129" cm="1">
        <f t="array" ref="Y129">IF(PART_NUMBER_GENERATOR_TABLE[[#This Row],[Work Role]:[Work Role]]&lt;&gt;Y$1,0,
IF(PART_NUMBER_GENERATOR_TABLE[[#This Row],[Work Type]:[Work Type]]&lt;&gt;"BH",0,
SUMIFS(Y$9:Y$24,$M$9:$M$24,PART_NUMBER_GENERATOR_TABLE[[#This Row],[Tech]:[Tech]])))</f>
        <v>0</v>
      </c>
      <c r="Z129" cm="1">
        <f t="array" ref="Z129">IF(PART_NUMBER_GENERATOR_TABLE[[#This Row],[Work Role]:[Work Role]]&lt;&gt;Z$1,0,
IF(PART_NUMBER_GENERATOR_TABLE[[#This Row],[Work Type]:[Work Type]]&lt;&gt;"BH",0,
SUMIFS(Z$9:Z$24,$M$9:$M$24,PART_NUMBER_GENERATOR_TABLE[[#This Row],[Tech]:[Tech]])))</f>
        <v>0</v>
      </c>
      <c r="AA129" cm="1">
        <f t="array" ref="AA129">IF(PART_NUMBER_GENERATOR_TABLE[[#This Row],[Work Role]:[Work Role]]&lt;&gt;AA$1,0,
IF(PART_NUMBER_GENERATOR_TABLE[[#This Row],[Work Type]:[Work Type]]&lt;&gt;"BH",0,
SUMIFS(AA$9:AA$24,$M$9:$M$24,PART_NUMBER_GENERATOR_TABLE[[#This Row],[Tech]:[Tech]])))</f>
        <v>0</v>
      </c>
      <c r="AB129" cm="1">
        <f t="array" ref="AB129">IF(PART_NUMBER_GENERATOR_TABLE[[#This Row],[Work Role]:[Work Role]]&lt;&gt;AB$1,0,
IF(PART_NUMBER_GENERATOR_TABLE[[#This Row],[Work Type]:[Work Type]]&lt;&gt;"BH",0,
SUMIFS(AB$9:AB$24,$M$9:$M$24,PART_NUMBER_GENERATOR_TABLE[[#This Row],[Tech]:[Tech]])))</f>
        <v>0</v>
      </c>
      <c r="AC129" cm="1">
        <f t="array" ref="AC129">IF(PART_NUMBER_GENERATOR_TABLE[[#This Row],[Work Role]:[Work Role]]&lt;&gt;AC$1,0,
IF(PART_NUMBER_GENERATOR_TABLE[[#This Row],[Work Type]:[Work Type]]&lt;&gt;"BH",0,
SUMIFS(AC$9:AC$24,$M$9:$M$24,PART_NUMBER_GENERATOR_TABLE[[#This Row],[Tech]:[Tech]])))</f>
        <v>0</v>
      </c>
      <c r="AD129" cm="1">
        <f t="array" ref="AD129">IF(PART_NUMBER_GENERATOR_TABLE[[#This Row],[Work Role]:[Work Role]]&lt;&gt;AD$1,0,
IF(PART_NUMBER_GENERATOR_TABLE[[#This Row],[Work Type]:[Work Type]]&lt;&gt;"BH",0,
SUMIFS(AD$9:AD$24,$M$9:$M$24,PART_NUMBER_GENERATOR_TABLE[[#This Row],[Tech]:[Tech]])))</f>
        <v>0</v>
      </c>
      <c r="AE129" cm="1">
        <f t="array" ref="AE129">IF(PART_NUMBER_GENERATOR_TABLE[[#This Row],[Work Role]:[Work Role]]&lt;&gt;AE$1,0,
IF(PART_NUMBER_GENERATOR_TABLE[[#This Row],[Work Type]:[Work Type]]&lt;&gt;"BH",0,
SUMIFS(AE$9:AE$24,$M$9:$M$24,PART_NUMBER_GENERATOR_TABLE[[#This Row],[Tech]:[Tech]])))</f>
        <v>0</v>
      </c>
      <c r="AF129" cm="1">
        <f t="array" ref="AF129">IF(PART_NUMBER_GENERATOR_TABLE[[#This Row],[Work Role]:[Work Role]]&lt;&gt;AF$1,0,
IF(PART_NUMBER_GENERATOR_TABLE[[#This Row],[Work Type]:[Work Type]]&lt;&gt;"BH",0,
SUMIFS(AF$9:AF$24,$M$9:$M$24,PART_NUMBER_GENERATOR_TABLE[[#This Row],[Tech]:[Tech]])))</f>
        <v>0</v>
      </c>
      <c r="AG129" cm="1">
        <f t="array" ref="AG129">IF(PART_NUMBER_GENERATOR_TABLE[[#This Row],[Work Role]:[Work Role]]&lt;&gt;AG$1,0,
IF(PART_NUMBER_GENERATOR_TABLE[[#This Row],[Work Type]:[Work Type]]&lt;&gt;"AH",0,
SUMIFS(AG$9:AG$24,$M$9:$M$24,PART_NUMBER_GENERATOR_TABLE[[#This Row],[Tech]:[Tech]])))</f>
        <v>0</v>
      </c>
      <c r="AH129" cm="1">
        <f t="array" ref="AH129">IF(PART_NUMBER_GENERATOR_TABLE[[#This Row],[Work Role]:[Work Role]]&lt;&gt;AH$1,0,
IF(PART_NUMBER_GENERATOR_TABLE[[#This Row],[Work Type]:[Work Type]]&lt;&gt;"BH",0,
SUMIFS(AH$9:AH$24,$M$9:$M$24,PART_NUMBER_GENERATOR_TABLE[[#This Row],[Tech]:[Tech]])))</f>
        <v>0</v>
      </c>
      <c r="AI129" cm="1">
        <f t="array" ref="AI129">IF(PART_NUMBER_GENERATOR_TABLE[[#This Row],[Work Role]:[Work Role]]&lt;&gt;AI$1,0,
IF(PART_NUMBER_GENERATOR_TABLE[[#This Row],[Work Type]:[Work Type]]&lt;&gt;"BH",0,
SUMIFS(AI$9:AI$24,$M$9:$M$24,PART_NUMBER_GENERATOR_TABLE[[#This Row],[Tech]:[Tech]])))</f>
        <v>0</v>
      </c>
      <c r="AJ129" cm="1">
        <f t="array" ref="AJ129">IF(PART_NUMBER_GENERATOR_TABLE[[#This Row],[Work Role]:[Work Role]]&lt;&gt;AJ$1,0,
IF(PART_NUMBER_GENERATOR_TABLE[[#This Row],[Work Type]:[Work Type]]&lt;&gt;"BH",0,
SUMIFS(AJ$9:AJ$24,$M$9:$M$24,PART_NUMBER_GENERATOR_TABLE[[#This Row],[Tech]:[Tech]])))</f>
        <v>0</v>
      </c>
      <c r="AK129" cm="1">
        <f t="array" ref="AK129">IF(PART_NUMBER_GENERATOR_TABLE[[#This Row],[Work Role]:[Work Role]]&lt;&gt;AK$1,0,
IF(PART_NUMBER_GENERATOR_TABLE[[#This Row],[Work Type]:[Work Type]]&lt;&gt;"AH",0,
SUMIFS(AK$9:AK$24,$M$9:$M$24,PART_NUMBER_GENERATOR_TABLE[[#This Row],[Tech]:[Tech]])))</f>
        <v>0</v>
      </c>
      <c r="AL129" cm="1">
        <f t="array" ref="AL129">IF(PART_NUMBER_GENERATOR_TABLE[[#This Row],[Work Role]:[Work Role]]&lt;&gt;AL$1,0,
IF(PART_NUMBER_GENERATOR_TABLE[[#This Row],[Work Type]:[Work Type]]&lt;&gt;"BH",0,
SUMIFS(AL$9:AL$24,$M$9:$M$24,PART_NUMBER_GENERATOR_TABLE[[#This Row],[Tech]:[Tech]])))</f>
        <v>0</v>
      </c>
      <c r="AM129">
        <f>0</f>
        <v>0</v>
      </c>
      <c r="AN129" cm="1">
        <f t="array" ref="AN129">IF(PART_NUMBER_GENERATOR_TABLE[[#This Row],[Work Role]:[Work Role]]&lt;&gt;AN$1,0,
IF(PART_NUMBER_GENERATOR_TABLE[[#This Row],[Work Type]:[Work Type]]&lt;&gt;"BH",0,
SUMIFS(AN$24,$AM$24,PART_NUMBER_GENERATOR_TABLE[[#This Row],[Tech]:[Tech]])))</f>
        <v>0</v>
      </c>
      <c r="AO129" cm="1">
        <f t="array" ref="AO129">IF(PART_NUMBER_GENERATOR_TABLE[[#This Row],[Work Role]:[Work Role]]&lt;&gt;AO$1,0,
IF(PART_NUMBER_GENERATOR_TABLE[[#This Row],[Work Type]:[Work Type]]&lt;&gt;"BH",0,
SUMIFS(AO$24,$AM$24,PART_NUMBER_GENERATOR_TABLE[[#This Row],[Tech]:[Tech]])))</f>
        <v>0</v>
      </c>
      <c r="AP129" cm="1">
        <f t="array" ref="AP129">IF(PART_NUMBER_GENERATOR_TABLE[[#This Row],[Work Role]:[Work Role]]&lt;&gt;AP$1,0,
IF(PART_NUMBER_GENERATOR_TABLE[[#This Row],[Work Type]:[Work Type]]&lt;&gt;"BH",0,
SUMIFS(AP$24,$AM$24,PART_NUMBER_GENERATOR_TABLE[[#This Row],[Tech]:[Tech]])))</f>
        <v>0</v>
      </c>
      <c r="AQ129" cm="1">
        <f t="array" ref="AQ129">IF(PART_NUMBER_GENERATOR_TABLE[[#This Row],[Work Role]:[Work Role]]&lt;&gt;AQ$1,0,
IF(PART_NUMBER_GENERATOR_TABLE[[#This Row],[Work Type]:[Work Type]]&lt;&gt;"BH",0,
SUMIFS(AQ$24,$AM$24,PART_NUMBER_GENERATOR_TABLE[[#This Row],[Tech]:[Tech]])))</f>
        <v>0</v>
      </c>
      <c r="AR129" cm="1">
        <f t="array" ref="AR129">IF(PART_NUMBER_GENERATOR_TABLE[[#This Row],[Work Role]:[Work Role]]&lt;&gt;AR$1,0,
IF(PART_NUMBER_GENERATOR_TABLE[[#This Row],[Work Type]:[Work Type]]&lt;&gt;"BH",0,
SUMIFS(AR$24,$AM$24,PART_NUMBER_GENERATOR_TABLE[[#This Row],[Tech]:[Tech]])))</f>
        <v>0</v>
      </c>
      <c r="AS129" cm="1">
        <f t="array" ref="AS129">IF(PART_NUMBER_GENERATOR_TABLE[[#This Row],[Work Role]:[Work Role]]&lt;&gt;AS$1,0,
IF(PART_NUMBER_GENERATOR_TABLE[[#This Row],[Work Type]:[Work Type]]&lt;&gt;"BH",0,
SUMIFS(AS$24,$AM$24,PART_NUMBER_GENERATOR_TABLE[[#This Row],[Tech]:[Tech]])))</f>
        <v>0</v>
      </c>
      <c r="AT129" cm="1">
        <f t="array" ref="AT129">IF(PART_NUMBER_GENERATOR_TABLE[[#This Row],[Work Role]:[Work Role]]&lt;&gt;AS$1,0,
IF(PART_NUMBER_GENERATOR_TABLE[[#This Row],[Work Type]:[Work Type]]&lt;&gt;"BH",0,
SUMIFS(AT$24,$AM$24,PART_NUMBER_GENERATOR_TABLE[[#This Row],[Tech]:[Tech]])))</f>
        <v>0</v>
      </c>
      <c r="AU129">
        <f>SUM(PART_NUMBER_GENERATOR_TABLE[[#This Row],[Resource 1 BH]:[Resource 5 AH]],PART_NUMBER_GENERATOR_TABLE[[#This Row],[R1 Mandatory Tasks]:[R5 Mandatory Tasks]],PART_NUMBER_GENERATOR_TABLE[[#This Row],[R1 Remainder]:[R5 Remainder]])</f>
        <v>0</v>
      </c>
      <c r="AV129">
        <f>PART_NUMBER_GENERATOR_TABLE[[#This Row],[Professional Engineering Hours]]*PART_NUMBER_GENERATOR_TABLE[[#This Row],[Sell Rate]]</f>
        <v>0</v>
      </c>
      <c r="AW129">
        <f>PART_NUMBER_GENERATOR_TABLE[[#This Row],[Professional Engineering Hours]]*PART_NUMBER_GENERATOR_TABLE[[#This Row],[Cost Rate]]</f>
        <v>0</v>
      </c>
      <c r="AX129">
        <f>SUM(PART_NUMBER_GENERATOR_TABLE[[#This Row],[PM Trips]:[R5 Trips]])</f>
        <v>0</v>
      </c>
      <c r="AY129">
        <f>PART_NUMBER_GENERATOR_TABLE[[#This Row],[Travel &amp; Accommodation Hours]]*PART_NUMBER_GENERATOR_TABLE[[#This Row],[Sell Rate]]</f>
        <v>0</v>
      </c>
      <c r="AZ129">
        <f>PART_NUMBER_GENERATOR_TABLE[[#This Row],[Travel &amp; Accommodation Hours]]*PART_NUMBER_GENERATOR_TABLE[[#This Row],[Cost Rate]]</f>
        <v>0</v>
      </c>
      <c r="BA129">
        <f>PART_NUMBER_GENERATOR_TABLE[[#This Row],[PM Hours]]+PART_NUMBER_GENERATOR_TABLE[[#This Row],[PM Remainder]]</f>
        <v>0</v>
      </c>
      <c r="BB129">
        <f>PART_NUMBER_GENERATOR_TABLE[[#This Row],[Project Management Hours]]*PART_NUMBER_GENERATOR_TABLE[[#This Row],[Sell Rate]]</f>
        <v>0</v>
      </c>
      <c r="BC129">
        <f>PART_NUMBER_GENERATOR_TABLE[[#This Row],[Project Management Hours]]*PART_NUMBER_GENERATOR_TABLE[[#This Row],[Cost Rate]]</f>
        <v>0</v>
      </c>
      <c r="BD129">
        <f>SUM(PART_NUMBER_GENERATOR_TABLE[[#This Row],[SSE RISK BH]:[PM RISK]],PART_NUMBER_GENERATOR_TABLE[[#This Row],[SSE Remainder RISK BH]:[PM Remainder RISK]])</f>
        <v>0</v>
      </c>
      <c r="BE129">
        <f>PART_NUMBER_GENERATOR_TABLE[[#This Row],[Project Risk Service Hours]]*PART_NUMBER_GENERATOR_TABLE[[#This Row],[Sell Rate]]</f>
        <v>0</v>
      </c>
      <c r="BF129">
        <f>PART_NUMBER_GENERATOR_TABLE[[#This Row],[Project Risk Service Hours]]*PART_NUMBER_GENERATOR_TABLE[[#This Row],[Cost Rate]]</f>
        <v>0</v>
      </c>
      <c r="BG129">
        <f>PART_NUMBER_GENERATOR_TABLE[[#This Row],[SSE RISK TRAVEL]]</f>
        <v>0</v>
      </c>
      <c r="BH129">
        <f>PART_NUMBER_GENERATOR_TABLE[[#This Row],[Sell Rate]]*PART_NUMBER_GENERATOR_TABLE[[#This Row],[Project Risk Travel Hours]]</f>
        <v>0</v>
      </c>
      <c r="BI129">
        <f>PART_NUMBER_GENERATOR_TABLE[[#This Row],[Project Risk Travel Hours]]*PART_NUMBER_GENERATOR_TABLE[[#This Row],[Cost Rate]]</f>
        <v>0</v>
      </c>
      <c r="BJ12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2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29">
        <f>IFERROR(-VLOOKUP(INDEX(ENGINEER_ROLES,MATCH(PART_NUMBER_GENERATOR_TABLE[[#This Row],[Work Role]],settings.Table_Engineer.Roles[ID],0),1),Settings_Hidden!$H$359:$K$366,4,FALSE),0)</f>
        <v>0</v>
      </c>
      <c r="BM129" s="680">
        <f>-Summary!$C$66</f>
        <v>0</v>
      </c>
      <c r="BN129" s="465">
        <f>PART_NUMBER_GENERATOR_TABLE[[#This Row],[Total Base Price]]*MIN(PART_NUMBER_GENERATOR_TABLE[[#This Row],[Rate Service Discount]:[Flat Service Discount]])</f>
        <v>0</v>
      </c>
      <c r="BO129" s="451" t="str">
        <f>IF(PART_NUMBER_GENERATOR_TABLE[[#This Row],[Quantity]]&lt;&gt;0,MAX($BO$30:BO128)+1,"")</f>
        <v/>
      </c>
      <c r="BP129" t="str">
        <f>PART_NUMBER_GENERATOR_TABLE[[#This Row],[Part Number]]</f>
        <v>A-PS-C-INTHLT-AC-BH</v>
      </c>
      <c r="BQ129">
        <f>PART_NUMBER_GENERATOR_TABLE[[#This Row],[Total Hours]]</f>
        <v>0</v>
      </c>
      <c r="BR129">
        <f>PART_NUMBER_GENERATOR_TABLE[[#This Row],[Cost Rate]]</f>
        <v>167.61034913968996</v>
      </c>
      <c r="BS129" s="465">
        <f>PART_NUMBER_GENERATOR_TABLE[[#This Row],[Sell Rate]]+(PART_NUMBER_GENERATOR_TABLE[[#This Row],[Sell Rate]]*MIN(PART_NUMBER_GENERATOR_TABLE[[#This Row],[Rate Service Discount]:[Flat Service Discount]]))</f>
        <v>315</v>
      </c>
    </row>
    <row r="130" spans="1:71">
      <c r="A130">
        <v>100</v>
      </c>
      <c r="C130" t="s">
        <v>983</v>
      </c>
      <c r="D130" t="str" cm="1">
        <f t="array" ref="D130">INDEX(Table.Settings_Skill.List[Skill Name],MATCH(INDEX(_xlfn.TEXTSPLIT(C130,"-",,TRUE),4),Table.Settings_Skill.List[Skill Code],0),1)</f>
        <v>Networking</v>
      </c>
      <c r="E130" t="str" cm="1">
        <f t="array" ref="E130">INDEX(_xlfn.TEXTSPLIT(C130,"-",,TRUE),5)</f>
        <v>SA</v>
      </c>
      <c r="F130" t="str">
        <f>IFERROR(INDEX(settings.Table_Engineer.Roles[Department Code],MATCH(PART_NUMBER_GENERATOR_TABLE[[#This Row],[Work Role]],settings.Table_Engineer.Roles[ID],0),1),"PMO")</f>
        <v>CON</v>
      </c>
      <c r="G130" t="str" cm="1">
        <f t="array" ref="G130">INDEX(_xlfn.TEXTSPLIT(C130,"-",,TRUE),6)</f>
        <v>BH</v>
      </c>
      <c r="H13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3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30" cm="1">
        <f t="array" ref="J130">IF(J$1&lt;&gt;PART_NUMBER_GENERATOR_TABLE[[#This Row],[Work Role]:[Work Role]],0,
IF(RIGHT(J$30,2)&lt;&gt;PART_NUMBER_GENERATOR_TABLE[[#This Row],[Work Type]:[Work Type]],0,
SUMIFS(Input_Tasks[R1 Business Hours],Input_Tasks[[Skill Required]:[Skill Required]],PART_NUMBER_GENERATOR_TABLE[[#This Row],[Tech]:[Tech]])))</f>
        <v>0</v>
      </c>
      <c r="K130" cm="1">
        <f t="array" ref="K130">IF(K$1&lt;&gt;PART_NUMBER_GENERATOR_TABLE[[#This Row],[Work Role]:[Work Role]],0,
IF(RIGHT(K$30,2)&lt;&gt;PART_NUMBER_GENERATOR_TABLE[[#This Row],[Work Type]:[Work Type]],0,
SUMIFS(Input_Tasks[R1 After Hours],Input_Tasks[[Skill Required]:[Skill Required]],PART_NUMBER_GENERATOR_TABLE[[#This Row],[Tech]:[Tech]])))</f>
        <v>0</v>
      </c>
      <c r="L130" cm="1">
        <f t="array" ref="L130">IF(L$1&lt;&gt;PART_NUMBER_GENERATOR_TABLE[[#This Row],[Work Role]:[Work Role]],0,
IF(RIGHT(L$30,2)&lt;&gt;PART_NUMBER_GENERATOR_TABLE[[#This Row],[Work Type]:[Work Type]],0,
SUMIFS(Input_Tasks[R2 Business Hours],Input_Tasks[[Skill Required]:[Skill Required]],PART_NUMBER_GENERATOR_TABLE[[#This Row],[Tech]:[Tech]])))</f>
        <v>0</v>
      </c>
      <c r="M130" cm="1">
        <f t="array" ref="M130">IF(M$1&lt;&gt;PART_NUMBER_GENERATOR_TABLE[[#This Row],[Work Role]:[Work Role]],0,
IF(RIGHT(M$30,2)&lt;&gt;PART_NUMBER_GENERATOR_TABLE[[#This Row],[Work Type]:[Work Type]],0,
SUMIFS(Input_Tasks[R2 After Hours],Input_Tasks[[Skill Required]:[Skill Required]],PART_NUMBER_GENERATOR_TABLE[[#This Row],[Tech]:[Tech]])))</f>
        <v>0</v>
      </c>
      <c r="N130" cm="1">
        <f t="array" ref="N130">IF(N$1&lt;&gt;PART_NUMBER_GENERATOR_TABLE[[#This Row],[Work Role]:[Work Role]],0,
IF(RIGHT(N$30,2)&lt;&gt;PART_NUMBER_GENERATOR_TABLE[[#This Row],[Work Type]:[Work Type]],0,
SUMIFS(Input_Tasks[R3 Business Hours],Input_Tasks[[Skill Required]:[Skill Required]],PART_NUMBER_GENERATOR_TABLE[[#This Row],[Tech]:[Tech]])))</f>
        <v>0</v>
      </c>
      <c r="O130" cm="1">
        <f t="array" ref="O130">IF(O$1&lt;&gt;PART_NUMBER_GENERATOR_TABLE[[#This Row],[Work Role]:[Work Role]],0,
IF(RIGHT(O$30,2)&lt;&gt;PART_NUMBER_GENERATOR_TABLE[[#This Row],[Work Type]:[Work Type]],0,
SUMIFS(Input_Tasks[R3 After Hours],Input_Tasks[[Skill Required]:[Skill Required]],PART_NUMBER_GENERATOR_TABLE[[#This Row],[Tech]:[Tech]])))</f>
        <v>0</v>
      </c>
      <c r="P130" cm="1">
        <f t="array" ref="P130">IF(P$1&lt;&gt;PART_NUMBER_GENERATOR_TABLE[[#This Row],[Work Role]:[Work Role]],0,
IF(RIGHT(P$30,2)&lt;&gt;PART_NUMBER_GENERATOR_TABLE[[#This Row],[Work Type]:[Work Type]],0,
SUMIFS(Input_Tasks[R4 Business Hours],Input_Tasks[[Skill Required]:[Skill Required]],PART_NUMBER_GENERATOR_TABLE[[#This Row],[Tech]:[Tech]])))</f>
        <v>0</v>
      </c>
      <c r="Q130" cm="1">
        <f t="array" ref="Q130">IF(Q$1&lt;&gt;PART_NUMBER_GENERATOR_TABLE[[#This Row],[Work Role]:[Work Role]],0,
IF(RIGHT(Q$30,2)&lt;&gt;PART_NUMBER_GENERATOR_TABLE[[#This Row],[Work Type]:[Work Type]],0,
SUMIFS(Input_Tasks[R4 After Hours],Input_Tasks[[Skill Required]:[Skill Required]],PART_NUMBER_GENERATOR_TABLE[[#This Row],[Tech]:[Tech]])))</f>
        <v>0</v>
      </c>
      <c r="R130" cm="1">
        <f t="array" ref="R130">IF(R$1&lt;&gt;PART_NUMBER_GENERATOR_TABLE[[#This Row],[Work Role]:[Work Role]],0,
IF(RIGHT(R$30,2)&lt;&gt;PART_NUMBER_GENERATOR_TABLE[[#This Row],[Work Type]:[Work Type]],0,
SUMIFS(Input_Tasks[R5 Business Hours],Input_Tasks[[Skill Required]:[Skill Required]],PART_NUMBER_GENERATOR_TABLE[[#This Row],[Tech]:[Tech]])))</f>
        <v>0</v>
      </c>
      <c r="S130" cm="1">
        <f t="array" ref="S130">IF(S$1&lt;&gt;PART_NUMBER_GENERATOR_TABLE[[#This Row],[Work Role]:[Work Role]],0,
IF(RIGHT(S$30,2)&lt;&gt;PART_NUMBER_GENERATOR_TABLE[[#This Row],[Work Type]:[Work Type]],0,
SUMIFS(Input_Tasks[R5 After Hours],Input_Tasks[[Skill Required]:[Skill Required]],PART_NUMBER_GENERATOR_TABLE[[#This Row],[Tech]:[Tech]])))</f>
        <v>0</v>
      </c>
      <c r="T130" cm="1">
        <f t="array" ref="T130">IF(PART_NUMBER_GENERATOR_TABLE[[#This Row],[Work Role]:[Work Role]]&lt;&gt;T$1,0,
IF(PART_NUMBER_GENERATOR_TABLE[[#This Row],[Work Type]:[Work Type]]&lt;&gt;"BH",0,
SUMIFS(T$9:T$24,$M$9:$M$24,PART_NUMBER_GENERATOR_TABLE[[#This Row],[Tech]:[Tech]])))</f>
        <v>0</v>
      </c>
      <c r="U130" cm="1">
        <f t="array" ref="U130">IF(PART_NUMBER_GENERATOR_TABLE[[#This Row],[Work Role]:[Work Role]]&lt;&gt;U$1,0,
IF(PART_NUMBER_GENERATOR_TABLE[[#This Row],[Work Type]:[Work Type]]&lt;&gt;"BH",0,
SUMIFS(U$9:U$24,$M$9:$M$24,PART_NUMBER_GENERATOR_TABLE[[#This Row],[Tech]:[Tech]])))</f>
        <v>0</v>
      </c>
      <c r="V130" cm="1">
        <f t="array" ref="V130">IF(PART_NUMBER_GENERATOR_TABLE[[#This Row],[Work Role]:[Work Role]]&lt;&gt;V$1,0,
IF(PART_NUMBER_GENERATOR_TABLE[[#This Row],[Work Type]:[Work Type]]&lt;&gt;"BH",0,
SUMIFS(V$9:V$24,$M$9:$M$24,PART_NUMBER_GENERATOR_TABLE[[#This Row],[Tech]:[Tech]])))</f>
        <v>0</v>
      </c>
      <c r="W130" cm="1">
        <f t="array" ref="W130">IF(PART_NUMBER_GENERATOR_TABLE[[#This Row],[Work Role]:[Work Role]]&lt;&gt;W$1,0,
IF(PART_NUMBER_GENERATOR_TABLE[[#This Row],[Work Type]:[Work Type]]&lt;&gt;"BH",0,
SUMIFS(W$9:W$24,$M$9:$M$24,PART_NUMBER_GENERATOR_TABLE[[#This Row],[Tech]:[Tech]])))</f>
        <v>0</v>
      </c>
      <c r="X130" cm="1">
        <f t="array" ref="X130">IF(PART_NUMBER_GENERATOR_TABLE[[#This Row],[Work Role]:[Work Role]]&lt;&gt;X$1,0,
IF(PART_NUMBER_GENERATOR_TABLE[[#This Row],[Work Type]:[Work Type]]&lt;&gt;"BH",0,
SUMIFS(X$9:X$24,$M$9:$M$24,PART_NUMBER_GENERATOR_TABLE[[#This Row],[Tech]:[Tech]])))</f>
        <v>0</v>
      </c>
      <c r="Y130" cm="1">
        <f t="array" ref="Y130">IF(PART_NUMBER_GENERATOR_TABLE[[#This Row],[Work Role]:[Work Role]]&lt;&gt;Y$1,0,
IF(PART_NUMBER_GENERATOR_TABLE[[#This Row],[Work Type]:[Work Type]]&lt;&gt;"BH",0,
SUMIFS(Y$9:Y$24,$M$9:$M$24,PART_NUMBER_GENERATOR_TABLE[[#This Row],[Tech]:[Tech]])))</f>
        <v>0</v>
      </c>
      <c r="Z130" cm="1">
        <f t="array" ref="Z130">IF(PART_NUMBER_GENERATOR_TABLE[[#This Row],[Work Role]:[Work Role]]&lt;&gt;Z$1,0,
IF(PART_NUMBER_GENERATOR_TABLE[[#This Row],[Work Type]:[Work Type]]&lt;&gt;"BH",0,
SUMIFS(Z$9:Z$24,$M$9:$M$24,PART_NUMBER_GENERATOR_TABLE[[#This Row],[Tech]:[Tech]])))</f>
        <v>0</v>
      </c>
      <c r="AA130" cm="1">
        <f t="array" ref="AA130">IF(PART_NUMBER_GENERATOR_TABLE[[#This Row],[Work Role]:[Work Role]]&lt;&gt;AA$1,0,
IF(PART_NUMBER_GENERATOR_TABLE[[#This Row],[Work Type]:[Work Type]]&lt;&gt;"BH",0,
SUMIFS(AA$9:AA$24,$M$9:$M$24,PART_NUMBER_GENERATOR_TABLE[[#This Row],[Tech]:[Tech]])))</f>
        <v>0</v>
      </c>
      <c r="AB130" cm="1">
        <f t="array" ref="AB130">IF(PART_NUMBER_GENERATOR_TABLE[[#This Row],[Work Role]:[Work Role]]&lt;&gt;AB$1,0,
IF(PART_NUMBER_GENERATOR_TABLE[[#This Row],[Work Type]:[Work Type]]&lt;&gt;"BH",0,
SUMIFS(AB$9:AB$24,$M$9:$M$24,PART_NUMBER_GENERATOR_TABLE[[#This Row],[Tech]:[Tech]])))</f>
        <v>0</v>
      </c>
      <c r="AC130" cm="1">
        <f t="array" ref="AC130">IF(PART_NUMBER_GENERATOR_TABLE[[#This Row],[Work Role]:[Work Role]]&lt;&gt;AC$1,0,
IF(PART_NUMBER_GENERATOR_TABLE[[#This Row],[Work Type]:[Work Type]]&lt;&gt;"BH",0,
SUMIFS(AC$9:AC$24,$M$9:$M$24,PART_NUMBER_GENERATOR_TABLE[[#This Row],[Tech]:[Tech]])))</f>
        <v>0</v>
      </c>
      <c r="AD130" cm="1">
        <f t="array" ref="AD130">IF(PART_NUMBER_GENERATOR_TABLE[[#This Row],[Work Role]:[Work Role]]&lt;&gt;AD$1,0,
IF(PART_NUMBER_GENERATOR_TABLE[[#This Row],[Work Type]:[Work Type]]&lt;&gt;"BH",0,
SUMIFS(AD$9:AD$24,$M$9:$M$24,PART_NUMBER_GENERATOR_TABLE[[#This Row],[Tech]:[Tech]])))</f>
        <v>0</v>
      </c>
      <c r="AE130" cm="1">
        <f t="array" ref="AE130">IF(PART_NUMBER_GENERATOR_TABLE[[#This Row],[Work Role]:[Work Role]]&lt;&gt;AE$1,0,
IF(PART_NUMBER_GENERATOR_TABLE[[#This Row],[Work Type]:[Work Type]]&lt;&gt;"BH",0,
SUMIFS(AE$9:AE$24,$M$9:$M$24,PART_NUMBER_GENERATOR_TABLE[[#This Row],[Tech]:[Tech]])))</f>
        <v>0</v>
      </c>
      <c r="AF130" cm="1">
        <f t="array" ref="AF130">IF(PART_NUMBER_GENERATOR_TABLE[[#This Row],[Work Role]:[Work Role]]&lt;&gt;AF$1,0,
IF(PART_NUMBER_GENERATOR_TABLE[[#This Row],[Work Type]:[Work Type]]&lt;&gt;"BH",0,
SUMIFS(AF$9:AF$24,$M$9:$M$24,PART_NUMBER_GENERATOR_TABLE[[#This Row],[Tech]:[Tech]])))</f>
        <v>0</v>
      </c>
      <c r="AG130" cm="1">
        <f t="array" ref="AG130">IF(PART_NUMBER_GENERATOR_TABLE[[#This Row],[Work Role]:[Work Role]]&lt;&gt;AG$1,0,
IF(PART_NUMBER_GENERATOR_TABLE[[#This Row],[Work Type]:[Work Type]]&lt;&gt;"AH",0,
SUMIFS(AG$9:AG$24,$M$9:$M$24,PART_NUMBER_GENERATOR_TABLE[[#This Row],[Tech]:[Tech]])))</f>
        <v>0</v>
      </c>
      <c r="AH130" cm="1">
        <f t="array" ref="AH130">IF(PART_NUMBER_GENERATOR_TABLE[[#This Row],[Work Role]:[Work Role]]&lt;&gt;AH$1,0,
IF(PART_NUMBER_GENERATOR_TABLE[[#This Row],[Work Type]:[Work Type]]&lt;&gt;"BH",0,
SUMIFS(AH$9:AH$24,$M$9:$M$24,PART_NUMBER_GENERATOR_TABLE[[#This Row],[Tech]:[Tech]])))</f>
        <v>0</v>
      </c>
      <c r="AI130" cm="1">
        <f t="array" ref="AI130">IF(PART_NUMBER_GENERATOR_TABLE[[#This Row],[Work Role]:[Work Role]]&lt;&gt;AI$1,0,
IF(PART_NUMBER_GENERATOR_TABLE[[#This Row],[Work Type]:[Work Type]]&lt;&gt;"BH",0,
SUMIFS(AI$9:AI$24,$M$9:$M$24,PART_NUMBER_GENERATOR_TABLE[[#This Row],[Tech]:[Tech]])))</f>
        <v>0</v>
      </c>
      <c r="AJ130" cm="1">
        <f t="array" ref="AJ130">IF(PART_NUMBER_GENERATOR_TABLE[[#This Row],[Work Role]:[Work Role]]&lt;&gt;AJ$1,0,
IF(PART_NUMBER_GENERATOR_TABLE[[#This Row],[Work Type]:[Work Type]]&lt;&gt;"BH",0,
SUMIFS(AJ$9:AJ$24,$M$9:$M$24,PART_NUMBER_GENERATOR_TABLE[[#This Row],[Tech]:[Tech]])))</f>
        <v>0</v>
      </c>
      <c r="AK130" cm="1">
        <f t="array" ref="AK130">IF(PART_NUMBER_GENERATOR_TABLE[[#This Row],[Work Role]:[Work Role]]&lt;&gt;AK$1,0,
IF(PART_NUMBER_GENERATOR_TABLE[[#This Row],[Work Type]:[Work Type]]&lt;&gt;"AH",0,
SUMIFS(AK$9:AK$24,$M$9:$M$24,PART_NUMBER_GENERATOR_TABLE[[#This Row],[Tech]:[Tech]])))</f>
        <v>0</v>
      </c>
      <c r="AL130" cm="1">
        <f t="array" ref="AL130">IF(PART_NUMBER_GENERATOR_TABLE[[#This Row],[Work Role]:[Work Role]]&lt;&gt;AL$1,0,
IF(PART_NUMBER_GENERATOR_TABLE[[#This Row],[Work Type]:[Work Type]]&lt;&gt;"BH",0,
SUMIFS(AL$9:AL$24,$M$9:$M$24,PART_NUMBER_GENERATOR_TABLE[[#This Row],[Tech]:[Tech]])))</f>
        <v>0</v>
      </c>
      <c r="AM130">
        <f>0</f>
        <v>0</v>
      </c>
      <c r="AN130" cm="1">
        <f t="array" ref="AN130">IF(PART_NUMBER_GENERATOR_TABLE[[#This Row],[Work Role]:[Work Role]]&lt;&gt;AN$1,0,
IF(PART_NUMBER_GENERATOR_TABLE[[#This Row],[Work Type]:[Work Type]]&lt;&gt;"BH",0,
SUMIFS(AN$24,$AM$24,PART_NUMBER_GENERATOR_TABLE[[#This Row],[Tech]:[Tech]])))</f>
        <v>0</v>
      </c>
      <c r="AO130" cm="1">
        <f t="array" ref="AO130">IF(PART_NUMBER_GENERATOR_TABLE[[#This Row],[Work Role]:[Work Role]]&lt;&gt;AO$1,0,
IF(PART_NUMBER_GENERATOR_TABLE[[#This Row],[Work Type]:[Work Type]]&lt;&gt;"BH",0,
SUMIFS(AO$24,$AM$24,PART_NUMBER_GENERATOR_TABLE[[#This Row],[Tech]:[Tech]])))</f>
        <v>0</v>
      </c>
      <c r="AP130" cm="1">
        <f t="array" ref="AP130">IF(PART_NUMBER_GENERATOR_TABLE[[#This Row],[Work Role]:[Work Role]]&lt;&gt;AP$1,0,
IF(PART_NUMBER_GENERATOR_TABLE[[#This Row],[Work Type]:[Work Type]]&lt;&gt;"BH",0,
SUMIFS(AP$24,$AM$24,PART_NUMBER_GENERATOR_TABLE[[#This Row],[Tech]:[Tech]])))</f>
        <v>0</v>
      </c>
      <c r="AQ130" cm="1">
        <f t="array" ref="AQ130">IF(PART_NUMBER_GENERATOR_TABLE[[#This Row],[Work Role]:[Work Role]]&lt;&gt;AQ$1,0,
IF(PART_NUMBER_GENERATOR_TABLE[[#This Row],[Work Type]:[Work Type]]&lt;&gt;"BH",0,
SUMIFS(AQ$24,$AM$24,PART_NUMBER_GENERATOR_TABLE[[#This Row],[Tech]:[Tech]])))</f>
        <v>0</v>
      </c>
      <c r="AR130" cm="1">
        <f t="array" ref="AR130">IF(PART_NUMBER_GENERATOR_TABLE[[#This Row],[Work Role]:[Work Role]]&lt;&gt;AR$1,0,
IF(PART_NUMBER_GENERATOR_TABLE[[#This Row],[Work Type]:[Work Type]]&lt;&gt;"BH",0,
SUMIFS(AR$24,$AM$24,PART_NUMBER_GENERATOR_TABLE[[#This Row],[Tech]:[Tech]])))</f>
        <v>0</v>
      </c>
      <c r="AS130" cm="1">
        <f t="array" ref="AS130">IF(PART_NUMBER_GENERATOR_TABLE[[#This Row],[Work Role]:[Work Role]]&lt;&gt;AS$1,0,
IF(PART_NUMBER_GENERATOR_TABLE[[#This Row],[Work Type]:[Work Type]]&lt;&gt;"BH",0,
SUMIFS(AS$24,$AM$24,PART_NUMBER_GENERATOR_TABLE[[#This Row],[Tech]:[Tech]])))</f>
        <v>0</v>
      </c>
      <c r="AT130" cm="1">
        <f t="array" ref="AT130">IF(PART_NUMBER_GENERATOR_TABLE[[#This Row],[Work Role]:[Work Role]]&lt;&gt;AS$1,0,
IF(PART_NUMBER_GENERATOR_TABLE[[#This Row],[Work Type]:[Work Type]]&lt;&gt;"BH",0,
SUMIFS(AT$24,$AM$24,PART_NUMBER_GENERATOR_TABLE[[#This Row],[Tech]:[Tech]])))</f>
        <v>0</v>
      </c>
      <c r="AU130">
        <f>SUM(PART_NUMBER_GENERATOR_TABLE[[#This Row],[Resource 1 BH]:[Resource 5 AH]],PART_NUMBER_GENERATOR_TABLE[[#This Row],[R1 Mandatory Tasks]:[R5 Mandatory Tasks]],PART_NUMBER_GENERATOR_TABLE[[#This Row],[R1 Remainder]:[R5 Remainder]])</f>
        <v>0</v>
      </c>
      <c r="AV130">
        <f>PART_NUMBER_GENERATOR_TABLE[[#This Row],[Professional Engineering Hours]]*PART_NUMBER_GENERATOR_TABLE[[#This Row],[Sell Rate]]</f>
        <v>0</v>
      </c>
      <c r="AW130">
        <f>PART_NUMBER_GENERATOR_TABLE[[#This Row],[Professional Engineering Hours]]*PART_NUMBER_GENERATOR_TABLE[[#This Row],[Cost Rate]]</f>
        <v>0</v>
      </c>
      <c r="AX130">
        <f>SUM(PART_NUMBER_GENERATOR_TABLE[[#This Row],[PM Trips]:[R5 Trips]])</f>
        <v>0</v>
      </c>
      <c r="AY130">
        <f>PART_NUMBER_GENERATOR_TABLE[[#This Row],[Travel &amp; Accommodation Hours]]*PART_NUMBER_GENERATOR_TABLE[[#This Row],[Sell Rate]]</f>
        <v>0</v>
      </c>
      <c r="AZ130">
        <f>PART_NUMBER_GENERATOR_TABLE[[#This Row],[Travel &amp; Accommodation Hours]]*PART_NUMBER_GENERATOR_TABLE[[#This Row],[Cost Rate]]</f>
        <v>0</v>
      </c>
      <c r="BA130">
        <f>PART_NUMBER_GENERATOR_TABLE[[#This Row],[PM Hours]]+PART_NUMBER_GENERATOR_TABLE[[#This Row],[PM Remainder]]</f>
        <v>0</v>
      </c>
      <c r="BB130">
        <f>PART_NUMBER_GENERATOR_TABLE[[#This Row],[Project Management Hours]]*PART_NUMBER_GENERATOR_TABLE[[#This Row],[Sell Rate]]</f>
        <v>0</v>
      </c>
      <c r="BC130">
        <f>PART_NUMBER_GENERATOR_TABLE[[#This Row],[Project Management Hours]]*PART_NUMBER_GENERATOR_TABLE[[#This Row],[Cost Rate]]</f>
        <v>0</v>
      </c>
      <c r="BD130">
        <f>SUM(PART_NUMBER_GENERATOR_TABLE[[#This Row],[SSE RISK BH]:[PM RISK]],PART_NUMBER_GENERATOR_TABLE[[#This Row],[SSE Remainder RISK BH]:[PM Remainder RISK]])</f>
        <v>0</v>
      </c>
      <c r="BE130">
        <f>PART_NUMBER_GENERATOR_TABLE[[#This Row],[Project Risk Service Hours]]*PART_NUMBER_GENERATOR_TABLE[[#This Row],[Sell Rate]]</f>
        <v>0</v>
      </c>
      <c r="BF130">
        <f>PART_NUMBER_GENERATOR_TABLE[[#This Row],[Project Risk Service Hours]]*PART_NUMBER_GENERATOR_TABLE[[#This Row],[Cost Rate]]</f>
        <v>0</v>
      </c>
      <c r="BG130">
        <f>PART_NUMBER_GENERATOR_TABLE[[#This Row],[SSE RISK TRAVEL]]</f>
        <v>0</v>
      </c>
      <c r="BH130">
        <f>PART_NUMBER_GENERATOR_TABLE[[#This Row],[Sell Rate]]*PART_NUMBER_GENERATOR_TABLE[[#This Row],[Project Risk Travel Hours]]</f>
        <v>0</v>
      </c>
      <c r="BI130">
        <f>PART_NUMBER_GENERATOR_TABLE[[#This Row],[Project Risk Travel Hours]]*PART_NUMBER_GENERATOR_TABLE[[#This Row],[Cost Rate]]</f>
        <v>0</v>
      </c>
      <c r="BJ13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3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30">
        <f>IFERROR(-VLOOKUP(INDEX(ENGINEER_ROLES,MATCH(PART_NUMBER_GENERATOR_TABLE[[#This Row],[Work Role]],settings.Table_Engineer.Roles[ID],0),1),Settings_Hidden!$H$359:$K$366,4,FALSE),0)</f>
        <v>0</v>
      </c>
      <c r="BM130" s="680">
        <f>-Summary!$C$66</f>
        <v>0</v>
      </c>
      <c r="BN130" s="465">
        <f>PART_NUMBER_GENERATOR_TABLE[[#This Row],[Total Base Price]]*MIN(PART_NUMBER_GENERATOR_TABLE[[#This Row],[Rate Service Discount]:[Flat Service Discount]])</f>
        <v>0</v>
      </c>
      <c r="BO130" s="451" t="str">
        <f>IF(PART_NUMBER_GENERATOR_TABLE[[#This Row],[Quantity]]&lt;&gt;0,MAX($BO$30:BO129)+1,"")</f>
        <v/>
      </c>
      <c r="BP130" t="str">
        <f>PART_NUMBER_GENERATOR_TABLE[[#This Row],[Part Number]]</f>
        <v>A-PS-C-NETWRK-SA-BH</v>
      </c>
      <c r="BQ130">
        <f>PART_NUMBER_GENERATOR_TABLE[[#This Row],[Total Hours]]</f>
        <v>0</v>
      </c>
      <c r="BR130">
        <f>PART_NUMBER_GENERATOR_TABLE[[#This Row],[Cost Rate]]</f>
        <v>167.61034913968996</v>
      </c>
      <c r="BS130" s="465">
        <f>PART_NUMBER_GENERATOR_TABLE[[#This Row],[Sell Rate]]+(PART_NUMBER_GENERATOR_TABLE[[#This Row],[Sell Rate]]*MIN(PART_NUMBER_GENERATOR_TABLE[[#This Row],[Rate Service Discount]:[Flat Service Discount]]))</f>
        <v>315</v>
      </c>
    </row>
    <row r="131" spans="1:71">
      <c r="A131">
        <v>101</v>
      </c>
      <c r="C131" t="s">
        <v>975</v>
      </c>
      <c r="D131" t="str" cm="1">
        <f t="array" ref="D131">INDEX(Table.Settings_Skill.List[Skill Name],MATCH(INDEX(_xlfn.TEXTSPLIT(C131,"-",,TRUE),4),Table.Settings_Skill.List[Skill Code],0),1)</f>
        <v>Networking</v>
      </c>
      <c r="E131" t="str" cm="1">
        <f t="array" ref="E131">INDEX(_xlfn.TEXTSPLIT(C131,"-",,TRUE),5)</f>
        <v>SC</v>
      </c>
      <c r="F131" t="str">
        <f>IFERROR(INDEX(settings.Table_Engineer.Roles[Department Code],MATCH(PART_NUMBER_GENERATOR_TABLE[[#This Row],[Work Role]],settings.Table_Engineer.Roles[ID],0),1),"PMO")</f>
        <v>CON</v>
      </c>
      <c r="G131" t="str" cm="1">
        <f t="array" ref="G131">INDEX(_xlfn.TEXTSPLIT(C131,"-",,TRUE),6)</f>
        <v>BH</v>
      </c>
      <c r="H13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3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31" cm="1">
        <f t="array" ref="J131">IF(J$1&lt;&gt;PART_NUMBER_GENERATOR_TABLE[[#This Row],[Work Role]:[Work Role]],0,
IF(RIGHT(J$30,2)&lt;&gt;PART_NUMBER_GENERATOR_TABLE[[#This Row],[Work Type]:[Work Type]],0,
SUMIFS(Input_Tasks[R1 Business Hours],Input_Tasks[[Skill Required]:[Skill Required]],PART_NUMBER_GENERATOR_TABLE[[#This Row],[Tech]:[Tech]])))</f>
        <v>0</v>
      </c>
      <c r="K131" cm="1">
        <f t="array" ref="K131">IF(K$1&lt;&gt;PART_NUMBER_GENERATOR_TABLE[[#This Row],[Work Role]:[Work Role]],0,
IF(RIGHT(K$30,2)&lt;&gt;PART_NUMBER_GENERATOR_TABLE[[#This Row],[Work Type]:[Work Type]],0,
SUMIFS(Input_Tasks[R1 After Hours],Input_Tasks[[Skill Required]:[Skill Required]],PART_NUMBER_GENERATOR_TABLE[[#This Row],[Tech]:[Tech]])))</f>
        <v>0</v>
      </c>
      <c r="L131" cm="1">
        <f t="array" ref="L131">IF(L$1&lt;&gt;PART_NUMBER_GENERATOR_TABLE[[#This Row],[Work Role]:[Work Role]],0,
IF(RIGHT(L$30,2)&lt;&gt;PART_NUMBER_GENERATOR_TABLE[[#This Row],[Work Type]:[Work Type]],0,
SUMIFS(Input_Tasks[R2 Business Hours],Input_Tasks[[Skill Required]:[Skill Required]],PART_NUMBER_GENERATOR_TABLE[[#This Row],[Tech]:[Tech]])))</f>
        <v>0</v>
      </c>
      <c r="M131" cm="1">
        <f t="array" ref="M131">IF(M$1&lt;&gt;PART_NUMBER_GENERATOR_TABLE[[#This Row],[Work Role]:[Work Role]],0,
IF(RIGHT(M$30,2)&lt;&gt;PART_NUMBER_GENERATOR_TABLE[[#This Row],[Work Type]:[Work Type]],0,
SUMIFS(Input_Tasks[R2 After Hours],Input_Tasks[[Skill Required]:[Skill Required]],PART_NUMBER_GENERATOR_TABLE[[#This Row],[Tech]:[Tech]])))</f>
        <v>0</v>
      </c>
      <c r="N131" cm="1">
        <f t="array" ref="N131">IF(N$1&lt;&gt;PART_NUMBER_GENERATOR_TABLE[[#This Row],[Work Role]:[Work Role]],0,
IF(RIGHT(N$30,2)&lt;&gt;PART_NUMBER_GENERATOR_TABLE[[#This Row],[Work Type]:[Work Type]],0,
SUMIFS(Input_Tasks[R3 Business Hours],Input_Tasks[[Skill Required]:[Skill Required]],PART_NUMBER_GENERATOR_TABLE[[#This Row],[Tech]:[Tech]])))</f>
        <v>0</v>
      </c>
      <c r="O131" cm="1">
        <f t="array" ref="O131">IF(O$1&lt;&gt;PART_NUMBER_GENERATOR_TABLE[[#This Row],[Work Role]:[Work Role]],0,
IF(RIGHT(O$30,2)&lt;&gt;PART_NUMBER_GENERATOR_TABLE[[#This Row],[Work Type]:[Work Type]],0,
SUMIFS(Input_Tasks[R3 After Hours],Input_Tasks[[Skill Required]:[Skill Required]],PART_NUMBER_GENERATOR_TABLE[[#This Row],[Tech]:[Tech]])))</f>
        <v>0</v>
      </c>
      <c r="P131" cm="1">
        <f t="array" ref="P131">IF(P$1&lt;&gt;PART_NUMBER_GENERATOR_TABLE[[#This Row],[Work Role]:[Work Role]],0,
IF(RIGHT(P$30,2)&lt;&gt;PART_NUMBER_GENERATOR_TABLE[[#This Row],[Work Type]:[Work Type]],0,
SUMIFS(Input_Tasks[R4 Business Hours],Input_Tasks[[Skill Required]:[Skill Required]],PART_NUMBER_GENERATOR_TABLE[[#This Row],[Tech]:[Tech]])))</f>
        <v>0</v>
      </c>
      <c r="Q131" cm="1">
        <f t="array" ref="Q131">IF(Q$1&lt;&gt;PART_NUMBER_GENERATOR_TABLE[[#This Row],[Work Role]:[Work Role]],0,
IF(RIGHT(Q$30,2)&lt;&gt;PART_NUMBER_GENERATOR_TABLE[[#This Row],[Work Type]:[Work Type]],0,
SUMIFS(Input_Tasks[R4 After Hours],Input_Tasks[[Skill Required]:[Skill Required]],PART_NUMBER_GENERATOR_TABLE[[#This Row],[Tech]:[Tech]])))</f>
        <v>0</v>
      </c>
      <c r="R131" cm="1">
        <f t="array" ref="R131">IF(R$1&lt;&gt;PART_NUMBER_GENERATOR_TABLE[[#This Row],[Work Role]:[Work Role]],0,
IF(RIGHT(R$30,2)&lt;&gt;PART_NUMBER_GENERATOR_TABLE[[#This Row],[Work Type]:[Work Type]],0,
SUMIFS(Input_Tasks[R5 Business Hours],Input_Tasks[[Skill Required]:[Skill Required]],PART_NUMBER_GENERATOR_TABLE[[#This Row],[Tech]:[Tech]])))</f>
        <v>0</v>
      </c>
      <c r="S131" cm="1">
        <f t="array" ref="S131">IF(S$1&lt;&gt;PART_NUMBER_GENERATOR_TABLE[[#This Row],[Work Role]:[Work Role]],0,
IF(RIGHT(S$30,2)&lt;&gt;PART_NUMBER_GENERATOR_TABLE[[#This Row],[Work Type]:[Work Type]],0,
SUMIFS(Input_Tasks[R5 After Hours],Input_Tasks[[Skill Required]:[Skill Required]],PART_NUMBER_GENERATOR_TABLE[[#This Row],[Tech]:[Tech]])))</f>
        <v>0</v>
      </c>
      <c r="T131" cm="1">
        <f t="array" ref="T131">IF(PART_NUMBER_GENERATOR_TABLE[[#This Row],[Work Role]:[Work Role]]&lt;&gt;T$1,0,
IF(PART_NUMBER_GENERATOR_TABLE[[#This Row],[Work Type]:[Work Type]]&lt;&gt;"BH",0,
SUMIFS(T$9:T$24,$M$9:$M$24,PART_NUMBER_GENERATOR_TABLE[[#This Row],[Tech]:[Tech]])))</f>
        <v>0</v>
      </c>
      <c r="U131" cm="1">
        <f t="array" ref="U131">IF(PART_NUMBER_GENERATOR_TABLE[[#This Row],[Work Role]:[Work Role]]&lt;&gt;U$1,0,
IF(PART_NUMBER_GENERATOR_TABLE[[#This Row],[Work Type]:[Work Type]]&lt;&gt;"BH",0,
SUMIFS(U$9:U$24,$M$9:$M$24,PART_NUMBER_GENERATOR_TABLE[[#This Row],[Tech]:[Tech]])))</f>
        <v>0</v>
      </c>
      <c r="V131" cm="1">
        <f t="array" ref="V131">IF(PART_NUMBER_GENERATOR_TABLE[[#This Row],[Work Role]:[Work Role]]&lt;&gt;V$1,0,
IF(PART_NUMBER_GENERATOR_TABLE[[#This Row],[Work Type]:[Work Type]]&lt;&gt;"BH",0,
SUMIFS(V$9:V$24,$M$9:$M$24,PART_NUMBER_GENERATOR_TABLE[[#This Row],[Tech]:[Tech]])))</f>
        <v>0</v>
      </c>
      <c r="W131" cm="1">
        <f t="array" ref="W131">IF(PART_NUMBER_GENERATOR_TABLE[[#This Row],[Work Role]:[Work Role]]&lt;&gt;W$1,0,
IF(PART_NUMBER_GENERATOR_TABLE[[#This Row],[Work Type]:[Work Type]]&lt;&gt;"BH",0,
SUMIFS(W$9:W$24,$M$9:$M$24,PART_NUMBER_GENERATOR_TABLE[[#This Row],[Tech]:[Tech]])))</f>
        <v>0</v>
      </c>
      <c r="X131" cm="1">
        <f t="array" ref="X131">IF(PART_NUMBER_GENERATOR_TABLE[[#This Row],[Work Role]:[Work Role]]&lt;&gt;X$1,0,
IF(PART_NUMBER_GENERATOR_TABLE[[#This Row],[Work Type]:[Work Type]]&lt;&gt;"BH",0,
SUMIFS(X$9:X$24,$M$9:$M$24,PART_NUMBER_GENERATOR_TABLE[[#This Row],[Tech]:[Tech]])))</f>
        <v>0</v>
      </c>
      <c r="Y131" cm="1">
        <f t="array" ref="Y131">IF(PART_NUMBER_GENERATOR_TABLE[[#This Row],[Work Role]:[Work Role]]&lt;&gt;Y$1,0,
IF(PART_NUMBER_GENERATOR_TABLE[[#This Row],[Work Type]:[Work Type]]&lt;&gt;"BH",0,
SUMIFS(Y$9:Y$24,$M$9:$M$24,PART_NUMBER_GENERATOR_TABLE[[#This Row],[Tech]:[Tech]])))</f>
        <v>0</v>
      </c>
      <c r="Z131" cm="1">
        <f t="array" ref="Z131">IF(PART_NUMBER_GENERATOR_TABLE[[#This Row],[Work Role]:[Work Role]]&lt;&gt;Z$1,0,
IF(PART_NUMBER_GENERATOR_TABLE[[#This Row],[Work Type]:[Work Type]]&lt;&gt;"BH",0,
SUMIFS(Z$9:Z$24,$M$9:$M$24,PART_NUMBER_GENERATOR_TABLE[[#This Row],[Tech]:[Tech]])))</f>
        <v>0</v>
      </c>
      <c r="AA131" cm="1">
        <f t="array" ref="AA131">IF(PART_NUMBER_GENERATOR_TABLE[[#This Row],[Work Role]:[Work Role]]&lt;&gt;AA$1,0,
IF(PART_NUMBER_GENERATOR_TABLE[[#This Row],[Work Type]:[Work Type]]&lt;&gt;"BH",0,
SUMIFS(AA$9:AA$24,$M$9:$M$24,PART_NUMBER_GENERATOR_TABLE[[#This Row],[Tech]:[Tech]])))</f>
        <v>0</v>
      </c>
      <c r="AB131" cm="1">
        <f t="array" ref="AB131">IF(PART_NUMBER_GENERATOR_TABLE[[#This Row],[Work Role]:[Work Role]]&lt;&gt;AB$1,0,
IF(PART_NUMBER_GENERATOR_TABLE[[#This Row],[Work Type]:[Work Type]]&lt;&gt;"BH",0,
SUMIFS(AB$9:AB$24,$M$9:$M$24,PART_NUMBER_GENERATOR_TABLE[[#This Row],[Tech]:[Tech]])))</f>
        <v>0</v>
      </c>
      <c r="AC131" cm="1">
        <f t="array" ref="AC131">IF(PART_NUMBER_GENERATOR_TABLE[[#This Row],[Work Role]:[Work Role]]&lt;&gt;AC$1,0,
IF(PART_NUMBER_GENERATOR_TABLE[[#This Row],[Work Type]:[Work Type]]&lt;&gt;"BH",0,
SUMIFS(AC$9:AC$24,$M$9:$M$24,PART_NUMBER_GENERATOR_TABLE[[#This Row],[Tech]:[Tech]])))</f>
        <v>0</v>
      </c>
      <c r="AD131" cm="1">
        <f t="array" ref="AD131">IF(PART_NUMBER_GENERATOR_TABLE[[#This Row],[Work Role]:[Work Role]]&lt;&gt;AD$1,0,
IF(PART_NUMBER_GENERATOR_TABLE[[#This Row],[Work Type]:[Work Type]]&lt;&gt;"BH",0,
SUMIFS(AD$9:AD$24,$M$9:$M$24,PART_NUMBER_GENERATOR_TABLE[[#This Row],[Tech]:[Tech]])))</f>
        <v>0</v>
      </c>
      <c r="AE131" cm="1">
        <f t="array" ref="AE131">IF(PART_NUMBER_GENERATOR_TABLE[[#This Row],[Work Role]:[Work Role]]&lt;&gt;AE$1,0,
IF(PART_NUMBER_GENERATOR_TABLE[[#This Row],[Work Type]:[Work Type]]&lt;&gt;"BH",0,
SUMIFS(AE$9:AE$24,$M$9:$M$24,PART_NUMBER_GENERATOR_TABLE[[#This Row],[Tech]:[Tech]])))</f>
        <v>0</v>
      </c>
      <c r="AF131" cm="1">
        <f t="array" ref="AF131">IF(PART_NUMBER_GENERATOR_TABLE[[#This Row],[Work Role]:[Work Role]]&lt;&gt;AF$1,0,
IF(PART_NUMBER_GENERATOR_TABLE[[#This Row],[Work Type]:[Work Type]]&lt;&gt;"BH",0,
SUMIFS(AF$9:AF$24,$M$9:$M$24,PART_NUMBER_GENERATOR_TABLE[[#This Row],[Tech]:[Tech]])))</f>
        <v>0</v>
      </c>
      <c r="AG131" cm="1">
        <f t="array" ref="AG131">IF(PART_NUMBER_GENERATOR_TABLE[[#This Row],[Work Role]:[Work Role]]&lt;&gt;AG$1,0,
IF(PART_NUMBER_GENERATOR_TABLE[[#This Row],[Work Type]:[Work Type]]&lt;&gt;"AH",0,
SUMIFS(AG$9:AG$24,$M$9:$M$24,PART_NUMBER_GENERATOR_TABLE[[#This Row],[Tech]:[Tech]])))</f>
        <v>0</v>
      </c>
      <c r="AH131" cm="1">
        <f t="array" ref="AH131">IF(PART_NUMBER_GENERATOR_TABLE[[#This Row],[Work Role]:[Work Role]]&lt;&gt;AH$1,0,
IF(PART_NUMBER_GENERATOR_TABLE[[#This Row],[Work Type]:[Work Type]]&lt;&gt;"BH",0,
SUMIFS(AH$9:AH$24,$M$9:$M$24,PART_NUMBER_GENERATOR_TABLE[[#This Row],[Tech]:[Tech]])))</f>
        <v>0</v>
      </c>
      <c r="AI131" cm="1">
        <f t="array" ref="AI131">IF(PART_NUMBER_GENERATOR_TABLE[[#This Row],[Work Role]:[Work Role]]&lt;&gt;AI$1,0,
IF(PART_NUMBER_GENERATOR_TABLE[[#This Row],[Work Type]:[Work Type]]&lt;&gt;"BH",0,
SUMIFS(AI$9:AI$24,$M$9:$M$24,PART_NUMBER_GENERATOR_TABLE[[#This Row],[Tech]:[Tech]])))</f>
        <v>0</v>
      </c>
      <c r="AJ131" cm="1">
        <f t="array" ref="AJ131">IF(PART_NUMBER_GENERATOR_TABLE[[#This Row],[Work Role]:[Work Role]]&lt;&gt;AJ$1,0,
IF(PART_NUMBER_GENERATOR_TABLE[[#This Row],[Work Type]:[Work Type]]&lt;&gt;"BH",0,
SUMIFS(AJ$9:AJ$24,$M$9:$M$24,PART_NUMBER_GENERATOR_TABLE[[#This Row],[Tech]:[Tech]])))</f>
        <v>0</v>
      </c>
      <c r="AK131" cm="1">
        <f t="array" ref="AK131">IF(PART_NUMBER_GENERATOR_TABLE[[#This Row],[Work Role]:[Work Role]]&lt;&gt;AK$1,0,
IF(PART_NUMBER_GENERATOR_TABLE[[#This Row],[Work Type]:[Work Type]]&lt;&gt;"AH",0,
SUMIFS(AK$9:AK$24,$M$9:$M$24,PART_NUMBER_GENERATOR_TABLE[[#This Row],[Tech]:[Tech]])))</f>
        <v>0</v>
      </c>
      <c r="AL131" cm="1">
        <f t="array" ref="AL131">IF(PART_NUMBER_GENERATOR_TABLE[[#This Row],[Work Role]:[Work Role]]&lt;&gt;AL$1,0,
IF(PART_NUMBER_GENERATOR_TABLE[[#This Row],[Work Type]:[Work Type]]&lt;&gt;"BH",0,
SUMIFS(AL$9:AL$24,$M$9:$M$24,PART_NUMBER_GENERATOR_TABLE[[#This Row],[Tech]:[Tech]])))</f>
        <v>0</v>
      </c>
      <c r="AM131">
        <f>0</f>
        <v>0</v>
      </c>
      <c r="AN131" cm="1">
        <f t="array" ref="AN131">IF(PART_NUMBER_GENERATOR_TABLE[[#This Row],[Work Role]:[Work Role]]&lt;&gt;AN$1,0,
IF(PART_NUMBER_GENERATOR_TABLE[[#This Row],[Work Type]:[Work Type]]&lt;&gt;"BH",0,
SUMIFS(AN$24,$AM$24,PART_NUMBER_GENERATOR_TABLE[[#This Row],[Tech]:[Tech]])))</f>
        <v>0</v>
      </c>
      <c r="AO131" cm="1">
        <f t="array" ref="AO131">IF(PART_NUMBER_GENERATOR_TABLE[[#This Row],[Work Role]:[Work Role]]&lt;&gt;AO$1,0,
IF(PART_NUMBER_GENERATOR_TABLE[[#This Row],[Work Type]:[Work Type]]&lt;&gt;"BH",0,
SUMIFS(AO$24,$AM$24,PART_NUMBER_GENERATOR_TABLE[[#This Row],[Tech]:[Tech]])))</f>
        <v>0</v>
      </c>
      <c r="AP131" cm="1">
        <f t="array" ref="AP131">IF(PART_NUMBER_GENERATOR_TABLE[[#This Row],[Work Role]:[Work Role]]&lt;&gt;AP$1,0,
IF(PART_NUMBER_GENERATOR_TABLE[[#This Row],[Work Type]:[Work Type]]&lt;&gt;"BH",0,
SUMIFS(AP$24,$AM$24,PART_NUMBER_GENERATOR_TABLE[[#This Row],[Tech]:[Tech]])))</f>
        <v>0</v>
      </c>
      <c r="AQ131" cm="1">
        <f t="array" ref="AQ131">IF(PART_NUMBER_GENERATOR_TABLE[[#This Row],[Work Role]:[Work Role]]&lt;&gt;AQ$1,0,
IF(PART_NUMBER_GENERATOR_TABLE[[#This Row],[Work Type]:[Work Type]]&lt;&gt;"BH",0,
SUMIFS(AQ$24,$AM$24,PART_NUMBER_GENERATOR_TABLE[[#This Row],[Tech]:[Tech]])))</f>
        <v>0</v>
      </c>
      <c r="AR131" cm="1">
        <f t="array" ref="AR131">IF(PART_NUMBER_GENERATOR_TABLE[[#This Row],[Work Role]:[Work Role]]&lt;&gt;AR$1,0,
IF(PART_NUMBER_GENERATOR_TABLE[[#This Row],[Work Type]:[Work Type]]&lt;&gt;"BH",0,
SUMIFS(AR$24,$AM$24,PART_NUMBER_GENERATOR_TABLE[[#This Row],[Tech]:[Tech]])))</f>
        <v>0</v>
      </c>
      <c r="AS131" cm="1">
        <f t="array" ref="AS131">IF(PART_NUMBER_GENERATOR_TABLE[[#This Row],[Work Role]:[Work Role]]&lt;&gt;AS$1,0,
IF(PART_NUMBER_GENERATOR_TABLE[[#This Row],[Work Type]:[Work Type]]&lt;&gt;"BH",0,
SUMIFS(AS$24,$AM$24,PART_NUMBER_GENERATOR_TABLE[[#This Row],[Tech]:[Tech]])))</f>
        <v>0</v>
      </c>
      <c r="AT131" cm="1">
        <f t="array" ref="AT131">IF(PART_NUMBER_GENERATOR_TABLE[[#This Row],[Work Role]:[Work Role]]&lt;&gt;AS$1,0,
IF(PART_NUMBER_GENERATOR_TABLE[[#This Row],[Work Type]:[Work Type]]&lt;&gt;"BH",0,
SUMIFS(AT$24,$AM$24,PART_NUMBER_GENERATOR_TABLE[[#This Row],[Tech]:[Tech]])))</f>
        <v>0</v>
      </c>
      <c r="AU131">
        <f>SUM(PART_NUMBER_GENERATOR_TABLE[[#This Row],[Resource 1 BH]:[Resource 5 AH]],PART_NUMBER_GENERATOR_TABLE[[#This Row],[R1 Mandatory Tasks]:[R5 Mandatory Tasks]],PART_NUMBER_GENERATOR_TABLE[[#This Row],[R1 Remainder]:[R5 Remainder]])</f>
        <v>0</v>
      </c>
      <c r="AV131">
        <f>PART_NUMBER_GENERATOR_TABLE[[#This Row],[Professional Engineering Hours]]*PART_NUMBER_GENERATOR_TABLE[[#This Row],[Sell Rate]]</f>
        <v>0</v>
      </c>
      <c r="AW131">
        <f>PART_NUMBER_GENERATOR_TABLE[[#This Row],[Professional Engineering Hours]]*PART_NUMBER_GENERATOR_TABLE[[#This Row],[Cost Rate]]</f>
        <v>0</v>
      </c>
      <c r="AX131">
        <f>SUM(PART_NUMBER_GENERATOR_TABLE[[#This Row],[PM Trips]:[R5 Trips]])</f>
        <v>0</v>
      </c>
      <c r="AY131">
        <f>PART_NUMBER_GENERATOR_TABLE[[#This Row],[Travel &amp; Accommodation Hours]]*PART_NUMBER_GENERATOR_TABLE[[#This Row],[Sell Rate]]</f>
        <v>0</v>
      </c>
      <c r="AZ131">
        <f>PART_NUMBER_GENERATOR_TABLE[[#This Row],[Travel &amp; Accommodation Hours]]*PART_NUMBER_GENERATOR_TABLE[[#This Row],[Cost Rate]]</f>
        <v>0</v>
      </c>
      <c r="BA131">
        <f>PART_NUMBER_GENERATOR_TABLE[[#This Row],[PM Hours]]+PART_NUMBER_GENERATOR_TABLE[[#This Row],[PM Remainder]]</f>
        <v>0</v>
      </c>
      <c r="BB131">
        <f>PART_NUMBER_GENERATOR_TABLE[[#This Row],[Project Management Hours]]*PART_NUMBER_GENERATOR_TABLE[[#This Row],[Sell Rate]]</f>
        <v>0</v>
      </c>
      <c r="BC131">
        <f>PART_NUMBER_GENERATOR_TABLE[[#This Row],[Project Management Hours]]*PART_NUMBER_GENERATOR_TABLE[[#This Row],[Cost Rate]]</f>
        <v>0</v>
      </c>
      <c r="BD131">
        <f>SUM(PART_NUMBER_GENERATOR_TABLE[[#This Row],[SSE RISK BH]:[PM RISK]],PART_NUMBER_GENERATOR_TABLE[[#This Row],[SSE Remainder RISK BH]:[PM Remainder RISK]])</f>
        <v>0</v>
      </c>
      <c r="BE131">
        <f>PART_NUMBER_GENERATOR_TABLE[[#This Row],[Project Risk Service Hours]]*PART_NUMBER_GENERATOR_TABLE[[#This Row],[Sell Rate]]</f>
        <v>0</v>
      </c>
      <c r="BF131">
        <f>PART_NUMBER_GENERATOR_TABLE[[#This Row],[Project Risk Service Hours]]*PART_NUMBER_GENERATOR_TABLE[[#This Row],[Cost Rate]]</f>
        <v>0</v>
      </c>
      <c r="BG131">
        <f>PART_NUMBER_GENERATOR_TABLE[[#This Row],[SSE RISK TRAVEL]]</f>
        <v>0</v>
      </c>
      <c r="BH131">
        <f>PART_NUMBER_GENERATOR_TABLE[[#This Row],[Sell Rate]]*PART_NUMBER_GENERATOR_TABLE[[#This Row],[Project Risk Travel Hours]]</f>
        <v>0</v>
      </c>
      <c r="BI131">
        <f>PART_NUMBER_GENERATOR_TABLE[[#This Row],[Project Risk Travel Hours]]*PART_NUMBER_GENERATOR_TABLE[[#This Row],[Cost Rate]]</f>
        <v>0</v>
      </c>
      <c r="BJ13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3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31">
        <f>IFERROR(-VLOOKUP(INDEX(ENGINEER_ROLES,MATCH(PART_NUMBER_GENERATOR_TABLE[[#This Row],[Work Role]],settings.Table_Engineer.Roles[ID],0),1),Settings_Hidden!$H$359:$K$366,4,FALSE),0)</f>
        <v>0</v>
      </c>
      <c r="BM131" s="680">
        <f>-Summary!$C$66</f>
        <v>0</v>
      </c>
      <c r="BN131" s="465">
        <f>PART_NUMBER_GENERATOR_TABLE[[#This Row],[Total Base Price]]*MIN(PART_NUMBER_GENERATOR_TABLE[[#This Row],[Rate Service Discount]:[Flat Service Discount]])</f>
        <v>0</v>
      </c>
      <c r="BO131" s="451" t="str">
        <f>IF(PART_NUMBER_GENERATOR_TABLE[[#This Row],[Quantity]]&lt;&gt;0,MAX($BO$30:BO130)+1,"")</f>
        <v/>
      </c>
      <c r="BP131" t="str">
        <f>PART_NUMBER_GENERATOR_TABLE[[#This Row],[Part Number]]</f>
        <v>A-PS-C-NETWRK-SC-BH</v>
      </c>
      <c r="BQ131">
        <f>PART_NUMBER_GENERATOR_TABLE[[#This Row],[Total Hours]]</f>
        <v>0</v>
      </c>
      <c r="BR131">
        <f>PART_NUMBER_GENERATOR_TABLE[[#This Row],[Cost Rate]]</f>
        <v>167.61034913968996</v>
      </c>
      <c r="BS131" s="465">
        <f>PART_NUMBER_GENERATOR_TABLE[[#This Row],[Sell Rate]]+(PART_NUMBER_GENERATOR_TABLE[[#This Row],[Sell Rate]]*MIN(PART_NUMBER_GENERATOR_TABLE[[#This Row],[Rate Service Discount]:[Flat Service Discount]]))</f>
        <v>315</v>
      </c>
    </row>
    <row r="132" spans="1:71">
      <c r="A132">
        <v>102</v>
      </c>
      <c r="C132" t="s">
        <v>967</v>
      </c>
      <c r="D132" t="str" cm="1">
        <f t="array" ref="D132">INDEX(Table.Settings_Skill.List[Skill Name],MATCH(INDEX(_xlfn.TEXTSPLIT(C132,"-",,TRUE),4),Table.Settings_Skill.List[Skill Code],0),1)</f>
        <v>Networking</v>
      </c>
      <c r="E132" t="str" cm="1">
        <f t="array" ref="E132">INDEX(_xlfn.TEXTSPLIT(C132,"-",,TRUE),5)</f>
        <v>AC</v>
      </c>
      <c r="F132" t="str">
        <f>IFERROR(INDEX(settings.Table_Engineer.Roles[Department Code],MATCH(PART_NUMBER_GENERATOR_TABLE[[#This Row],[Work Role]],settings.Table_Engineer.Roles[ID],0),1),"PMO")</f>
        <v>CON</v>
      </c>
      <c r="G132" t="str" cm="1">
        <f t="array" ref="G132">INDEX(_xlfn.TEXTSPLIT(C132,"-",,TRUE),6)</f>
        <v>BH</v>
      </c>
      <c r="H13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3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32" cm="1">
        <f t="array" ref="J132">IF(J$1&lt;&gt;PART_NUMBER_GENERATOR_TABLE[[#This Row],[Work Role]:[Work Role]],0,
IF(RIGHT(J$30,2)&lt;&gt;PART_NUMBER_GENERATOR_TABLE[[#This Row],[Work Type]:[Work Type]],0,
SUMIFS(Input_Tasks[R1 Business Hours],Input_Tasks[[Skill Required]:[Skill Required]],PART_NUMBER_GENERATOR_TABLE[[#This Row],[Tech]:[Tech]])))</f>
        <v>0</v>
      </c>
      <c r="K132" cm="1">
        <f t="array" ref="K132">IF(K$1&lt;&gt;PART_NUMBER_GENERATOR_TABLE[[#This Row],[Work Role]:[Work Role]],0,
IF(RIGHT(K$30,2)&lt;&gt;PART_NUMBER_GENERATOR_TABLE[[#This Row],[Work Type]:[Work Type]],0,
SUMIFS(Input_Tasks[R1 After Hours],Input_Tasks[[Skill Required]:[Skill Required]],PART_NUMBER_GENERATOR_TABLE[[#This Row],[Tech]:[Tech]])))</f>
        <v>0</v>
      </c>
      <c r="L132" cm="1">
        <f t="array" ref="L132">IF(L$1&lt;&gt;PART_NUMBER_GENERATOR_TABLE[[#This Row],[Work Role]:[Work Role]],0,
IF(RIGHT(L$30,2)&lt;&gt;PART_NUMBER_GENERATOR_TABLE[[#This Row],[Work Type]:[Work Type]],0,
SUMIFS(Input_Tasks[R2 Business Hours],Input_Tasks[[Skill Required]:[Skill Required]],PART_NUMBER_GENERATOR_TABLE[[#This Row],[Tech]:[Tech]])))</f>
        <v>0</v>
      </c>
      <c r="M132" cm="1">
        <f t="array" ref="M132">IF(M$1&lt;&gt;PART_NUMBER_GENERATOR_TABLE[[#This Row],[Work Role]:[Work Role]],0,
IF(RIGHT(M$30,2)&lt;&gt;PART_NUMBER_GENERATOR_TABLE[[#This Row],[Work Type]:[Work Type]],0,
SUMIFS(Input_Tasks[R2 After Hours],Input_Tasks[[Skill Required]:[Skill Required]],PART_NUMBER_GENERATOR_TABLE[[#This Row],[Tech]:[Tech]])))</f>
        <v>0</v>
      </c>
      <c r="N132" cm="1">
        <f t="array" ref="N132">IF(N$1&lt;&gt;PART_NUMBER_GENERATOR_TABLE[[#This Row],[Work Role]:[Work Role]],0,
IF(RIGHT(N$30,2)&lt;&gt;PART_NUMBER_GENERATOR_TABLE[[#This Row],[Work Type]:[Work Type]],0,
SUMIFS(Input_Tasks[R3 Business Hours],Input_Tasks[[Skill Required]:[Skill Required]],PART_NUMBER_GENERATOR_TABLE[[#This Row],[Tech]:[Tech]])))</f>
        <v>0</v>
      </c>
      <c r="O132" cm="1">
        <f t="array" ref="O132">IF(O$1&lt;&gt;PART_NUMBER_GENERATOR_TABLE[[#This Row],[Work Role]:[Work Role]],0,
IF(RIGHT(O$30,2)&lt;&gt;PART_NUMBER_GENERATOR_TABLE[[#This Row],[Work Type]:[Work Type]],0,
SUMIFS(Input_Tasks[R3 After Hours],Input_Tasks[[Skill Required]:[Skill Required]],PART_NUMBER_GENERATOR_TABLE[[#This Row],[Tech]:[Tech]])))</f>
        <v>0</v>
      </c>
      <c r="P132" cm="1">
        <f t="array" ref="P132">IF(P$1&lt;&gt;PART_NUMBER_GENERATOR_TABLE[[#This Row],[Work Role]:[Work Role]],0,
IF(RIGHT(P$30,2)&lt;&gt;PART_NUMBER_GENERATOR_TABLE[[#This Row],[Work Type]:[Work Type]],0,
SUMIFS(Input_Tasks[R4 Business Hours],Input_Tasks[[Skill Required]:[Skill Required]],PART_NUMBER_GENERATOR_TABLE[[#This Row],[Tech]:[Tech]])))</f>
        <v>0</v>
      </c>
      <c r="Q132" cm="1">
        <f t="array" ref="Q132">IF(Q$1&lt;&gt;PART_NUMBER_GENERATOR_TABLE[[#This Row],[Work Role]:[Work Role]],0,
IF(RIGHT(Q$30,2)&lt;&gt;PART_NUMBER_GENERATOR_TABLE[[#This Row],[Work Type]:[Work Type]],0,
SUMIFS(Input_Tasks[R4 After Hours],Input_Tasks[[Skill Required]:[Skill Required]],PART_NUMBER_GENERATOR_TABLE[[#This Row],[Tech]:[Tech]])))</f>
        <v>0</v>
      </c>
      <c r="R132" cm="1">
        <f t="array" ref="R132">IF(R$1&lt;&gt;PART_NUMBER_GENERATOR_TABLE[[#This Row],[Work Role]:[Work Role]],0,
IF(RIGHT(R$30,2)&lt;&gt;PART_NUMBER_GENERATOR_TABLE[[#This Row],[Work Type]:[Work Type]],0,
SUMIFS(Input_Tasks[R5 Business Hours],Input_Tasks[[Skill Required]:[Skill Required]],PART_NUMBER_GENERATOR_TABLE[[#This Row],[Tech]:[Tech]])))</f>
        <v>0</v>
      </c>
      <c r="S132" cm="1">
        <f t="array" ref="S132">IF(S$1&lt;&gt;PART_NUMBER_GENERATOR_TABLE[[#This Row],[Work Role]:[Work Role]],0,
IF(RIGHT(S$30,2)&lt;&gt;PART_NUMBER_GENERATOR_TABLE[[#This Row],[Work Type]:[Work Type]],0,
SUMIFS(Input_Tasks[R5 After Hours],Input_Tasks[[Skill Required]:[Skill Required]],PART_NUMBER_GENERATOR_TABLE[[#This Row],[Tech]:[Tech]])))</f>
        <v>0</v>
      </c>
      <c r="T132" cm="1">
        <f t="array" ref="T132">IF(PART_NUMBER_GENERATOR_TABLE[[#This Row],[Work Role]:[Work Role]]&lt;&gt;T$1,0,
IF(PART_NUMBER_GENERATOR_TABLE[[#This Row],[Work Type]:[Work Type]]&lt;&gt;"BH",0,
SUMIFS(T$9:T$24,$M$9:$M$24,PART_NUMBER_GENERATOR_TABLE[[#This Row],[Tech]:[Tech]])))</f>
        <v>0</v>
      </c>
      <c r="U132" cm="1">
        <f t="array" ref="U132">IF(PART_NUMBER_GENERATOR_TABLE[[#This Row],[Work Role]:[Work Role]]&lt;&gt;U$1,0,
IF(PART_NUMBER_GENERATOR_TABLE[[#This Row],[Work Type]:[Work Type]]&lt;&gt;"BH",0,
SUMIFS(U$9:U$24,$M$9:$M$24,PART_NUMBER_GENERATOR_TABLE[[#This Row],[Tech]:[Tech]])))</f>
        <v>0</v>
      </c>
      <c r="V132" cm="1">
        <f t="array" ref="V132">IF(PART_NUMBER_GENERATOR_TABLE[[#This Row],[Work Role]:[Work Role]]&lt;&gt;V$1,0,
IF(PART_NUMBER_GENERATOR_TABLE[[#This Row],[Work Type]:[Work Type]]&lt;&gt;"BH",0,
SUMIFS(V$9:V$24,$M$9:$M$24,PART_NUMBER_GENERATOR_TABLE[[#This Row],[Tech]:[Tech]])))</f>
        <v>0</v>
      </c>
      <c r="W132" cm="1">
        <f t="array" ref="W132">IF(PART_NUMBER_GENERATOR_TABLE[[#This Row],[Work Role]:[Work Role]]&lt;&gt;W$1,0,
IF(PART_NUMBER_GENERATOR_TABLE[[#This Row],[Work Type]:[Work Type]]&lt;&gt;"BH",0,
SUMIFS(W$9:W$24,$M$9:$M$24,PART_NUMBER_GENERATOR_TABLE[[#This Row],[Tech]:[Tech]])))</f>
        <v>0</v>
      </c>
      <c r="X132" cm="1">
        <f t="array" ref="X132">IF(PART_NUMBER_GENERATOR_TABLE[[#This Row],[Work Role]:[Work Role]]&lt;&gt;X$1,0,
IF(PART_NUMBER_GENERATOR_TABLE[[#This Row],[Work Type]:[Work Type]]&lt;&gt;"BH",0,
SUMIFS(X$9:X$24,$M$9:$M$24,PART_NUMBER_GENERATOR_TABLE[[#This Row],[Tech]:[Tech]])))</f>
        <v>0</v>
      </c>
      <c r="Y132" cm="1">
        <f t="array" ref="Y132">IF(PART_NUMBER_GENERATOR_TABLE[[#This Row],[Work Role]:[Work Role]]&lt;&gt;Y$1,0,
IF(PART_NUMBER_GENERATOR_TABLE[[#This Row],[Work Type]:[Work Type]]&lt;&gt;"BH",0,
SUMIFS(Y$9:Y$24,$M$9:$M$24,PART_NUMBER_GENERATOR_TABLE[[#This Row],[Tech]:[Tech]])))</f>
        <v>0</v>
      </c>
      <c r="Z132" cm="1">
        <f t="array" ref="Z132">IF(PART_NUMBER_GENERATOR_TABLE[[#This Row],[Work Role]:[Work Role]]&lt;&gt;Z$1,0,
IF(PART_NUMBER_GENERATOR_TABLE[[#This Row],[Work Type]:[Work Type]]&lt;&gt;"BH",0,
SUMIFS(Z$9:Z$24,$M$9:$M$24,PART_NUMBER_GENERATOR_TABLE[[#This Row],[Tech]:[Tech]])))</f>
        <v>0</v>
      </c>
      <c r="AA132" cm="1">
        <f t="array" ref="AA132">IF(PART_NUMBER_GENERATOR_TABLE[[#This Row],[Work Role]:[Work Role]]&lt;&gt;AA$1,0,
IF(PART_NUMBER_GENERATOR_TABLE[[#This Row],[Work Type]:[Work Type]]&lt;&gt;"BH",0,
SUMIFS(AA$9:AA$24,$M$9:$M$24,PART_NUMBER_GENERATOR_TABLE[[#This Row],[Tech]:[Tech]])))</f>
        <v>0</v>
      </c>
      <c r="AB132" cm="1">
        <f t="array" ref="AB132">IF(PART_NUMBER_GENERATOR_TABLE[[#This Row],[Work Role]:[Work Role]]&lt;&gt;AB$1,0,
IF(PART_NUMBER_GENERATOR_TABLE[[#This Row],[Work Type]:[Work Type]]&lt;&gt;"BH",0,
SUMIFS(AB$9:AB$24,$M$9:$M$24,PART_NUMBER_GENERATOR_TABLE[[#This Row],[Tech]:[Tech]])))</f>
        <v>0</v>
      </c>
      <c r="AC132" cm="1">
        <f t="array" ref="AC132">IF(PART_NUMBER_GENERATOR_TABLE[[#This Row],[Work Role]:[Work Role]]&lt;&gt;AC$1,0,
IF(PART_NUMBER_GENERATOR_TABLE[[#This Row],[Work Type]:[Work Type]]&lt;&gt;"BH",0,
SUMIFS(AC$9:AC$24,$M$9:$M$24,PART_NUMBER_GENERATOR_TABLE[[#This Row],[Tech]:[Tech]])))</f>
        <v>0</v>
      </c>
      <c r="AD132" cm="1">
        <f t="array" ref="AD132">IF(PART_NUMBER_GENERATOR_TABLE[[#This Row],[Work Role]:[Work Role]]&lt;&gt;AD$1,0,
IF(PART_NUMBER_GENERATOR_TABLE[[#This Row],[Work Type]:[Work Type]]&lt;&gt;"BH",0,
SUMIFS(AD$9:AD$24,$M$9:$M$24,PART_NUMBER_GENERATOR_TABLE[[#This Row],[Tech]:[Tech]])))</f>
        <v>0</v>
      </c>
      <c r="AE132" cm="1">
        <f t="array" ref="AE132">IF(PART_NUMBER_GENERATOR_TABLE[[#This Row],[Work Role]:[Work Role]]&lt;&gt;AE$1,0,
IF(PART_NUMBER_GENERATOR_TABLE[[#This Row],[Work Type]:[Work Type]]&lt;&gt;"BH",0,
SUMIFS(AE$9:AE$24,$M$9:$M$24,PART_NUMBER_GENERATOR_TABLE[[#This Row],[Tech]:[Tech]])))</f>
        <v>0</v>
      </c>
      <c r="AF132" cm="1">
        <f t="array" ref="AF132">IF(PART_NUMBER_GENERATOR_TABLE[[#This Row],[Work Role]:[Work Role]]&lt;&gt;AF$1,0,
IF(PART_NUMBER_GENERATOR_TABLE[[#This Row],[Work Type]:[Work Type]]&lt;&gt;"BH",0,
SUMIFS(AF$9:AF$24,$M$9:$M$24,PART_NUMBER_GENERATOR_TABLE[[#This Row],[Tech]:[Tech]])))</f>
        <v>0</v>
      </c>
      <c r="AG132" cm="1">
        <f t="array" ref="AG132">IF(PART_NUMBER_GENERATOR_TABLE[[#This Row],[Work Role]:[Work Role]]&lt;&gt;AG$1,0,
IF(PART_NUMBER_GENERATOR_TABLE[[#This Row],[Work Type]:[Work Type]]&lt;&gt;"AH",0,
SUMIFS(AG$9:AG$24,$M$9:$M$24,PART_NUMBER_GENERATOR_TABLE[[#This Row],[Tech]:[Tech]])))</f>
        <v>0</v>
      </c>
      <c r="AH132" cm="1">
        <f t="array" ref="AH132">IF(PART_NUMBER_GENERATOR_TABLE[[#This Row],[Work Role]:[Work Role]]&lt;&gt;AH$1,0,
IF(PART_NUMBER_GENERATOR_TABLE[[#This Row],[Work Type]:[Work Type]]&lt;&gt;"BH",0,
SUMIFS(AH$9:AH$24,$M$9:$M$24,PART_NUMBER_GENERATOR_TABLE[[#This Row],[Tech]:[Tech]])))</f>
        <v>0</v>
      </c>
      <c r="AI132" cm="1">
        <f t="array" ref="AI132">IF(PART_NUMBER_GENERATOR_TABLE[[#This Row],[Work Role]:[Work Role]]&lt;&gt;AI$1,0,
IF(PART_NUMBER_GENERATOR_TABLE[[#This Row],[Work Type]:[Work Type]]&lt;&gt;"BH",0,
SUMIFS(AI$9:AI$24,$M$9:$M$24,PART_NUMBER_GENERATOR_TABLE[[#This Row],[Tech]:[Tech]])))</f>
        <v>0</v>
      </c>
      <c r="AJ132" cm="1">
        <f t="array" ref="AJ132">IF(PART_NUMBER_GENERATOR_TABLE[[#This Row],[Work Role]:[Work Role]]&lt;&gt;AJ$1,0,
IF(PART_NUMBER_GENERATOR_TABLE[[#This Row],[Work Type]:[Work Type]]&lt;&gt;"BH",0,
SUMIFS(AJ$9:AJ$24,$M$9:$M$24,PART_NUMBER_GENERATOR_TABLE[[#This Row],[Tech]:[Tech]])))</f>
        <v>0</v>
      </c>
      <c r="AK132" cm="1">
        <f t="array" ref="AK132">IF(PART_NUMBER_GENERATOR_TABLE[[#This Row],[Work Role]:[Work Role]]&lt;&gt;AK$1,0,
IF(PART_NUMBER_GENERATOR_TABLE[[#This Row],[Work Type]:[Work Type]]&lt;&gt;"AH",0,
SUMIFS(AK$9:AK$24,$M$9:$M$24,PART_NUMBER_GENERATOR_TABLE[[#This Row],[Tech]:[Tech]])))</f>
        <v>0</v>
      </c>
      <c r="AL132" cm="1">
        <f t="array" ref="AL132">IF(PART_NUMBER_GENERATOR_TABLE[[#This Row],[Work Role]:[Work Role]]&lt;&gt;AL$1,0,
IF(PART_NUMBER_GENERATOR_TABLE[[#This Row],[Work Type]:[Work Type]]&lt;&gt;"BH",0,
SUMIFS(AL$9:AL$24,$M$9:$M$24,PART_NUMBER_GENERATOR_TABLE[[#This Row],[Tech]:[Tech]])))</f>
        <v>0</v>
      </c>
      <c r="AM132">
        <f>0</f>
        <v>0</v>
      </c>
      <c r="AN132" cm="1">
        <f t="array" ref="AN132">IF(PART_NUMBER_GENERATOR_TABLE[[#This Row],[Work Role]:[Work Role]]&lt;&gt;AN$1,0,
IF(PART_NUMBER_GENERATOR_TABLE[[#This Row],[Work Type]:[Work Type]]&lt;&gt;"BH",0,
SUMIFS(AN$24,$AM$24,PART_NUMBER_GENERATOR_TABLE[[#This Row],[Tech]:[Tech]])))</f>
        <v>0</v>
      </c>
      <c r="AO132" cm="1">
        <f t="array" ref="AO132">IF(PART_NUMBER_GENERATOR_TABLE[[#This Row],[Work Role]:[Work Role]]&lt;&gt;AO$1,0,
IF(PART_NUMBER_GENERATOR_TABLE[[#This Row],[Work Type]:[Work Type]]&lt;&gt;"BH",0,
SUMIFS(AO$24,$AM$24,PART_NUMBER_GENERATOR_TABLE[[#This Row],[Tech]:[Tech]])))</f>
        <v>0</v>
      </c>
      <c r="AP132" cm="1">
        <f t="array" ref="AP132">IF(PART_NUMBER_GENERATOR_TABLE[[#This Row],[Work Role]:[Work Role]]&lt;&gt;AP$1,0,
IF(PART_NUMBER_GENERATOR_TABLE[[#This Row],[Work Type]:[Work Type]]&lt;&gt;"BH",0,
SUMIFS(AP$24,$AM$24,PART_NUMBER_GENERATOR_TABLE[[#This Row],[Tech]:[Tech]])))</f>
        <v>0</v>
      </c>
      <c r="AQ132" cm="1">
        <f t="array" ref="AQ132">IF(PART_NUMBER_GENERATOR_TABLE[[#This Row],[Work Role]:[Work Role]]&lt;&gt;AQ$1,0,
IF(PART_NUMBER_GENERATOR_TABLE[[#This Row],[Work Type]:[Work Type]]&lt;&gt;"BH",0,
SUMIFS(AQ$24,$AM$24,PART_NUMBER_GENERATOR_TABLE[[#This Row],[Tech]:[Tech]])))</f>
        <v>0</v>
      </c>
      <c r="AR132" cm="1">
        <f t="array" ref="AR132">IF(PART_NUMBER_GENERATOR_TABLE[[#This Row],[Work Role]:[Work Role]]&lt;&gt;AR$1,0,
IF(PART_NUMBER_GENERATOR_TABLE[[#This Row],[Work Type]:[Work Type]]&lt;&gt;"BH",0,
SUMIFS(AR$24,$AM$24,PART_NUMBER_GENERATOR_TABLE[[#This Row],[Tech]:[Tech]])))</f>
        <v>0</v>
      </c>
      <c r="AS132" cm="1">
        <f t="array" ref="AS132">IF(PART_NUMBER_GENERATOR_TABLE[[#This Row],[Work Role]:[Work Role]]&lt;&gt;AS$1,0,
IF(PART_NUMBER_GENERATOR_TABLE[[#This Row],[Work Type]:[Work Type]]&lt;&gt;"BH",0,
SUMIFS(AS$24,$AM$24,PART_NUMBER_GENERATOR_TABLE[[#This Row],[Tech]:[Tech]])))</f>
        <v>0</v>
      </c>
      <c r="AT132" cm="1">
        <f t="array" ref="AT132">IF(PART_NUMBER_GENERATOR_TABLE[[#This Row],[Work Role]:[Work Role]]&lt;&gt;AS$1,0,
IF(PART_NUMBER_GENERATOR_TABLE[[#This Row],[Work Type]:[Work Type]]&lt;&gt;"BH",0,
SUMIFS(AT$24,$AM$24,PART_NUMBER_GENERATOR_TABLE[[#This Row],[Tech]:[Tech]])))</f>
        <v>0</v>
      </c>
      <c r="AU132">
        <f>SUM(PART_NUMBER_GENERATOR_TABLE[[#This Row],[Resource 1 BH]:[Resource 5 AH]],PART_NUMBER_GENERATOR_TABLE[[#This Row],[R1 Mandatory Tasks]:[R5 Mandatory Tasks]],PART_NUMBER_GENERATOR_TABLE[[#This Row],[R1 Remainder]:[R5 Remainder]])</f>
        <v>0</v>
      </c>
      <c r="AV132">
        <f>PART_NUMBER_GENERATOR_TABLE[[#This Row],[Professional Engineering Hours]]*PART_NUMBER_GENERATOR_TABLE[[#This Row],[Sell Rate]]</f>
        <v>0</v>
      </c>
      <c r="AW132">
        <f>PART_NUMBER_GENERATOR_TABLE[[#This Row],[Professional Engineering Hours]]*PART_NUMBER_GENERATOR_TABLE[[#This Row],[Cost Rate]]</f>
        <v>0</v>
      </c>
      <c r="AX132">
        <f>SUM(PART_NUMBER_GENERATOR_TABLE[[#This Row],[PM Trips]:[R5 Trips]])</f>
        <v>0</v>
      </c>
      <c r="AY132">
        <f>PART_NUMBER_GENERATOR_TABLE[[#This Row],[Travel &amp; Accommodation Hours]]*PART_NUMBER_GENERATOR_TABLE[[#This Row],[Sell Rate]]</f>
        <v>0</v>
      </c>
      <c r="AZ132">
        <f>PART_NUMBER_GENERATOR_TABLE[[#This Row],[Travel &amp; Accommodation Hours]]*PART_NUMBER_GENERATOR_TABLE[[#This Row],[Cost Rate]]</f>
        <v>0</v>
      </c>
      <c r="BA132">
        <f>PART_NUMBER_GENERATOR_TABLE[[#This Row],[PM Hours]]+PART_NUMBER_GENERATOR_TABLE[[#This Row],[PM Remainder]]</f>
        <v>0</v>
      </c>
      <c r="BB132">
        <f>PART_NUMBER_GENERATOR_TABLE[[#This Row],[Project Management Hours]]*PART_NUMBER_GENERATOR_TABLE[[#This Row],[Sell Rate]]</f>
        <v>0</v>
      </c>
      <c r="BC132">
        <f>PART_NUMBER_GENERATOR_TABLE[[#This Row],[Project Management Hours]]*PART_NUMBER_GENERATOR_TABLE[[#This Row],[Cost Rate]]</f>
        <v>0</v>
      </c>
      <c r="BD132">
        <f>SUM(PART_NUMBER_GENERATOR_TABLE[[#This Row],[SSE RISK BH]:[PM RISK]],PART_NUMBER_GENERATOR_TABLE[[#This Row],[SSE Remainder RISK BH]:[PM Remainder RISK]])</f>
        <v>0</v>
      </c>
      <c r="BE132">
        <f>PART_NUMBER_GENERATOR_TABLE[[#This Row],[Project Risk Service Hours]]*PART_NUMBER_GENERATOR_TABLE[[#This Row],[Sell Rate]]</f>
        <v>0</v>
      </c>
      <c r="BF132">
        <f>PART_NUMBER_GENERATOR_TABLE[[#This Row],[Project Risk Service Hours]]*PART_NUMBER_GENERATOR_TABLE[[#This Row],[Cost Rate]]</f>
        <v>0</v>
      </c>
      <c r="BG132">
        <f>PART_NUMBER_GENERATOR_TABLE[[#This Row],[SSE RISK TRAVEL]]</f>
        <v>0</v>
      </c>
      <c r="BH132">
        <f>PART_NUMBER_GENERATOR_TABLE[[#This Row],[Sell Rate]]*PART_NUMBER_GENERATOR_TABLE[[#This Row],[Project Risk Travel Hours]]</f>
        <v>0</v>
      </c>
      <c r="BI132">
        <f>PART_NUMBER_GENERATOR_TABLE[[#This Row],[Project Risk Travel Hours]]*PART_NUMBER_GENERATOR_TABLE[[#This Row],[Cost Rate]]</f>
        <v>0</v>
      </c>
      <c r="BJ13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3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32">
        <f>IFERROR(-VLOOKUP(INDEX(ENGINEER_ROLES,MATCH(PART_NUMBER_GENERATOR_TABLE[[#This Row],[Work Role]],settings.Table_Engineer.Roles[ID],0),1),Settings_Hidden!$H$359:$K$366,4,FALSE),0)</f>
        <v>0</v>
      </c>
      <c r="BM132" s="680">
        <f>-Summary!$C$66</f>
        <v>0</v>
      </c>
      <c r="BN132" s="465">
        <f>PART_NUMBER_GENERATOR_TABLE[[#This Row],[Total Base Price]]*MIN(PART_NUMBER_GENERATOR_TABLE[[#This Row],[Rate Service Discount]:[Flat Service Discount]])</f>
        <v>0</v>
      </c>
      <c r="BO132" s="451" t="str">
        <f>IF(PART_NUMBER_GENERATOR_TABLE[[#This Row],[Quantity]]&lt;&gt;0,MAX($BO$30:BO131)+1,"")</f>
        <v/>
      </c>
      <c r="BP132" t="str">
        <f>PART_NUMBER_GENERATOR_TABLE[[#This Row],[Part Number]]</f>
        <v>A-PS-C-NETWRK-AC-BH</v>
      </c>
      <c r="BQ132">
        <f>PART_NUMBER_GENERATOR_TABLE[[#This Row],[Total Hours]]</f>
        <v>0</v>
      </c>
      <c r="BR132">
        <f>PART_NUMBER_GENERATOR_TABLE[[#This Row],[Cost Rate]]</f>
        <v>167.61034913968996</v>
      </c>
      <c r="BS132" s="465">
        <f>PART_NUMBER_GENERATOR_TABLE[[#This Row],[Sell Rate]]+(PART_NUMBER_GENERATOR_TABLE[[#This Row],[Sell Rate]]*MIN(PART_NUMBER_GENERATOR_TABLE[[#This Row],[Rate Service Discount]:[Flat Service Discount]]))</f>
        <v>315</v>
      </c>
    </row>
    <row r="133" spans="1:71">
      <c r="A133">
        <v>103</v>
      </c>
      <c r="C133" t="s">
        <v>1009</v>
      </c>
      <c r="D133" t="str" cm="1">
        <f t="array" ref="D133">INDEX(Table.Settings_Skill.List[Skill Name],MATCH(INDEX(_xlfn.TEXTSPLIT(C133,"-",,TRUE),4),Table.Settings_Skill.List[Skill Code],0),1)</f>
        <v>Operational Technology</v>
      </c>
      <c r="E133" t="str" cm="1">
        <f t="array" ref="E133">INDEX(_xlfn.TEXTSPLIT(C133,"-",,TRUE),5)</f>
        <v>SA</v>
      </c>
      <c r="F133" t="str">
        <f>IFERROR(INDEX(settings.Table_Engineer.Roles[Department Code],MATCH(PART_NUMBER_GENERATOR_TABLE[[#This Row],[Work Role]],settings.Table_Engineer.Roles[ID],0),1),"PMO")</f>
        <v>CON</v>
      </c>
      <c r="G133" t="str" cm="1">
        <f t="array" ref="G133">INDEX(_xlfn.TEXTSPLIT(C133,"-",,TRUE),6)</f>
        <v>BH</v>
      </c>
      <c r="H13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3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33" cm="1">
        <f t="array" ref="J133">IF(J$1&lt;&gt;PART_NUMBER_GENERATOR_TABLE[[#This Row],[Work Role]:[Work Role]],0,
IF(RIGHT(J$30,2)&lt;&gt;PART_NUMBER_GENERATOR_TABLE[[#This Row],[Work Type]:[Work Type]],0,
SUMIFS(Input_Tasks[R1 Business Hours],Input_Tasks[[Skill Required]:[Skill Required]],PART_NUMBER_GENERATOR_TABLE[[#This Row],[Tech]:[Tech]])))</f>
        <v>0</v>
      </c>
      <c r="K133" cm="1">
        <f t="array" ref="K133">IF(K$1&lt;&gt;PART_NUMBER_GENERATOR_TABLE[[#This Row],[Work Role]:[Work Role]],0,
IF(RIGHT(K$30,2)&lt;&gt;PART_NUMBER_GENERATOR_TABLE[[#This Row],[Work Type]:[Work Type]],0,
SUMIFS(Input_Tasks[R1 After Hours],Input_Tasks[[Skill Required]:[Skill Required]],PART_NUMBER_GENERATOR_TABLE[[#This Row],[Tech]:[Tech]])))</f>
        <v>0</v>
      </c>
      <c r="L133" cm="1">
        <f t="array" ref="L133">IF(L$1&lt;&gt;PART_NUMBER_GENERATOR_TABLE[[#This Row],[Work Role]:[Work Role]],0,
IF(RIGHT(L$30,2)&lt;&gt;PART_NUMBER_GENERATOR_TABLE[[#This Row],[Work Type]:[Work Type]],0,
SUMIFS(Input_Tasks[R2 Business Hours],Input_Tasks[[Skill Required]:[Skill Required]],PART_NUMBER_GENERATOR_TABLE[[#This Row],[Tech]:[Tech]])))</f>
        <v>0</v>
      </c>
      <c r="M133" cm="1">
        <f t="array" ref="M133">IF(M$1&lt;&gt;PART_NUMBER_GENERATOR_TABLE[[#This Row],[Work Role]:[Work Role]],0,
IF(RIGHT(M$30,2)&lt;&gt;PART_NUMBER_GENERATOR_TABLE[[#This Row],[Work Type]:[Work Type]],0,
SUMIFS(Input_Tasks[R2 After Hours],Input_Tasks[[Skill Required]:[Skill Required]],PART_NUMBER_GENERATOR_TABLE[[#This Row],[Tech]:[Tech]])))</f>
        <v>0</v>
      </c>
      <c r="N133" cm="1">
        <f t="array" ref="N133">IF(N$1&lt;&gt;PART_NUMBER_GENERATOR_TABLE[[#This Row],[Work Role]:[Work Role]],0,
IF(RIGHT(N$30,2)&lt;&gt;PART_NUMBER_GENERATOR_TABLE[[#This Row],[Work Type]:[Work Type]],0,
SUMIFS(Input_Tasks[R3 Business Hours],Input_Tasks[[Skill Required]:[Skill Required]],PART_NUMBER_GENERATOR_TABLE[[#This Row],[Tech]:[Tech]])))</f>
        <v>0</v>
      </c>
      <c r="O133" cm="1">
        <f t="array" ref="O133">IF(O$1&lt;&gt;PART_NUMBER_GENERATOR_TABLE[[#This Row],[Work Role]:[Work Role]],0,
IF(RIGHT(O$30,2)&lt;&gt;PART_NUMBER_GENERATOR_TABLE[[#This Row],[Work Type]:[Work Type]],0,
SUMIFS(Input_Tasks[R3 After Hours],Input_Tasks[[Skill Required]:[Skill Required]],PART_NUMBER_GENERATOR_TABLE[[#This Row],[Tech]:[Tech]])))</f>
        <v>0</v>
      </c>
      <c r="P133" cm="1">
        <f t="array" ref="P133">IF(P$1&lt;&gt;PART_NUMBER_GENERATOR_TABLE[[#This Row],[Work Role]:[Work Role]],0,
IF(RIGHT(P$30,2)&lt;&gt;PART_NUMBER_GENERATOR_TABLE[[#This Row],[Work Type]:[Work Type]],0,
SUMIFS(Input_Tasks[R4 Business Hours],Input_Tasks[[Skill Required]:[Skill Required]],PART_NUMBER_GENERATOR_TABLE[[#This Row],[Tech]:[Tech]])))</f>
        <v>0</v>
      </c>
      <c r="Q133" cm="1">
        <f t="array" ref="Q133">IF(Q$1&lt;&gt;PART_NUMBER_GENERATOR_TABLE[[#This Row],[Work Role]:[Work Role]],0,
IF(RIGHT(Q$30,2)&lt;&gt;PART_NUMBER_GENERATOR_TABLE[[#This Row],[Work Type]:[Work Type]],0,
SUMIFS(Input_Tasks[R4 After Hours],Input_Tasks[[Skill Required]:[Skill Required]],PART_NUMBER_GENERATOR_TABLE[[#This Row],[Tech]:[Tech]])))</f>
        <v>0</v>
      </c>
      <c r="R133" cm="1">
        <f t="array" ref="R133">IF(R$1&lt;&gt;PART_NUMBER_GENERATOR_TABLE[[#This Row],[Work Role]:[Work Role]],0,
IF(RIGHT(R$30,2)&lt;&gt;PART_NUMBER_GENERATOR_TABLE[[#This Row],[Work Type]:[Work Type]],0,
SUMIFS(Input_Tasks[R5 Business Hours],Input_Tasks[[Skill Required]:[Skill Required]],PART_NUMBER_GENERATOR_TABLE[[#This Row],[Tech]:[Tech]])))</f>
        <v>0</v>
      </c>
      <c r="S133" cm="1">
        <f t="array" ref="S133">IF(S$1&lt;&gt;PART_NUMBER_GENERATOR_TABLE[[#This Row],[Work Role]:[Work Role]],0,
IF(RIGHT(S$30,2)&lt;&gt;PART_NUMBER_GENERATOR_TABLE[[#This Row],[Work Type]:[Work Type]],0,
SUMIFS(Input_Tasks[R5 After Hours],Input_Tasks[[Skill Required]:[Skill Required]],PART_NUMBER_GENERATOR_TABLE[[#This Row],[Tech]:[Tech]])))</f>
        <v>0</v>
      </c>
      <c r="T133" cm="1">
        <f t="array" ref="T133">IF(PART_NUMBER_GENERATOR_TABLE[[#This Row],[Work Role]:[Work Role]]&lt;&gt;T$1,0,
IF(PART_NUMBER_GENERATOR_TABLE[[#This Row],[Work Type]:[Work Type]]&lt;&gt;"BH",0,
SUMIFS(T$9:T$24,$M$9:$M$24,PART_NUMBER_GENERATOR_TABLE[[#This Row],[Tech]:[Tech]])))</f>
        <v>0</v>
      </c>
      <c r="U133" cm="1">
        <f t="array" ref="U133">IF(PART_NUMBER_GENERATOR_TABLE[[#This Row],[Work Role]:[Work Role]]&lt;&gt;U$1,0,
IF(PART_NUMBER_GENERATOR_TABLE[[#This Row],[Work Type]:[Work Type]]&lt;&gt;"BH",0,
SUMIFS(U$9:U$24,$M$9:$M$24,PART_NUMBER_GENERATOR_TABLE[[#This Row],[Tech]:[Tech]])))</f>
        <v>0</v>
      </c>
      <c r="V133" cm="1">
        <f t="array" ref="V133">IF(PART_NUMBER_GENERATOR_TABLE[[#This Row],[Work Role]:[Work Role]]&lt;&gt;V$1,0,
IF(PART_NUMBER_GENERATOR_TABLE[[#This Row],[Work Type]:[Work Type]]&lt;&gt;"BH",0,
SUMIFS(V$9:V$24,$M$9:$M$24,PART_NUMBER_GENERATOR_TABLE[[#This Row],[Tech]:[Tech]])))</f>
        <v>0</v>
      </c>
      <c r="W133" cm="1">
        <f t="array" ref="W133">IF(PART_NUMBER_GENERATOR_TABLE[[#This Row],[Work Role]:[Work Role]]&lt;&gt;W$1,0,
IF(PART_NUMBER_GENERATOR_TABLE[[#This Row],[Work Type]:[Work Type]]&lt;&gt;"BH",0,
SUMIFS(W$9:W$24,$M$9:$M$24,PART_NUMBER_GENERATOR_TABLE[[#This Row],[Tech]:[Tech]])))</f>
        <v>0</v>
      </c>
      <c r="X133" cm="1">
        <f t="array" ref="X133">IF(PART_NUMBER_GENERATOR_TABLE[[#This Row],[Work Role]:[Work Role]]&lt;&gt;X$1,0,
IF(PART_NUMBER_GENERATOR_TABLE[[#This Row],[Work Type]:[Work Type]]&lt;&gt;"BH",0,
SUMIFS(X$9:X$24,$M$9:$M$24,PART_NUMBER_GENERATOR_TABLE[[#This Row],[Tech]:[Tech]])))</f>
        <v>0</v>
      </c>
      <c r="Y133" cm="1">
        <f t="array" ref="Y133">IF(PART_NUMBER_GENERATOR_TABLE[[#This Row],[Work Role]:[Work Role]]&lt;&gt;Y$1,0,
IF(PART_NUMBER_GENERATOR_TABLE[[#This Row],[Work Type]:[Work Type]]&lt;&gt;"BH",0,
SUMIFS(Y$9:Y$24,$M$9:$M$24,PART_NUMBER_GENERATOR_TABLE[[#This Row],[Tech]:[Tech]])))</f>
        <v>0</v>
      </c>
      <c r="Z133" cm="1">
        <f t="array" ref="Z133">IF(PART_NUMBER_GENERATOR_TABLE[[#This Row],[Work Role]:[Work Role]]&lt;&gt;Z$1,0,
IF(PART_NUMBER_GENERATOR_TABLE[[#This Row],[Work Type]:[Work Type]]&lt;&gt;"BH",0,
SUMIFS(Z$9:Z$24,$M$9:$M$24,PART_NUMBER_GENERATOR_TABLE[[#This Row],[Tech]:[Tech]])))</f>
        <v>0</v>
      </c>
      <c r="AA133" cm="1">
        <f t="array" ref="AA133">IF(PART_NUMBER_GENERATOR_TABLE[[#This Row],[Work Role]:[Work Role]]&lt;&gt;AA$1,0,
IF(PART_NUMBER_GENERATOR_TABLE[[#This Row],[Work Type]:[Work Type]]&lt;&gt;"BH",0,
SUMIFS(AA$9:AA$24,$M$9:$M$24,PART_NUMBER_GENERATOR_TABLE[[#This Row],[Tech]:[Tech]])))</f>
        <v>0</v>
      </c>
      <c r="AB133" cm="1">
        <f t="array" ref="AB133">IF(PART_NUMBER_GENERATOR_TABLE[[#This Row],[Work Role]:[Work Role]]&lt;&gt;AB$1,0,
IF(PART_NUMBER_GENERATOR_TABLE[[#This Row],[Work Type]:[Work Type]]&lt;&gt;"BH",0,
SUMIFS(AB$9:AB$24,$M$9:$M$24,PART_NUMBER_GENERATOR_TABLE[[#This Row],[Tech]:[Tech]])))</f>
        <v>0</v>
      </c>
      <c r="AC133" cm="1">
        <f t="array" ref="AC133">IF(PART_NUMBER_GENERATOR_TABLE[[#This Row],[Work Role]:[Work Role]]&lt;&gt;AC$1,0,
IF(PART_NUMBER_GENERATOR_TABLE[[#This Row],[Work Type]:[Work Type]]&lt;&gt;"BH",0,
SUMIFS(AC$9:AC$24,$M$9:$M$24,PART_NUMBER_GENERATOR_TABLE[[#This Row],[Tech]:[Tech]])))</f>
        <v>0</v>
      </c>
      <c r="AD133" cm="1">
        <f t="array" ref="AD133">IF(PART_NUMBER_GENERATOR_TABLE[[#This Row],[Work Role]:[Work Role]]&lt;&gt;AD$1,0,
IF(PART_NUMBER_GENERATOR_TABLE[[#This Row],[Work Type]:[Work Type]]&lt;&gt;"BH",0,
SUMIFS(AD$9:AD$24,$M$9:$M$24,PART_NUMBER_GENERATOR_TABLE[[#This Row],[Tech]:[Tech]])))</f>
        <v>0</v>
      </c>
      <c r="AE133" cm="1">
        <f t="array" ref="AE133">IF(PART_NUMBER_GENERATOR_TABLE[[#This Row],[Work Role]:[Work Role]]&lt;&gt;AE$1,0,
IF(PART_NUMBER_GENERATOR_TABLE[[#This Row],[Work Type]:[Work Type]]&lt;&gt;"BH",0,
SUMIFS(AE$9:AE$24,$M$9:$M$24,PART_NUMBER_GENERATOR_TABLE[[#This Row],[Tech]:[Tech]])))</f>
        <v>0</v>
      </c>
      <c r="AF133" cm="1">
        <f t="array" ref="AF133">IF(PART_NUMBER_GENERATOR_TABLE[[#This Row],[Work Role]:[Work Role]]&lt;&gt;AF$1,0,
IF(PART_NUMBER_GENERATOR_TABLE[[#This Row],[Work Type]:[Work Type]]&lt;&gt;"BH",0,
SUMIFS(AF$9:AF$24,$M$9:$M$24,PART_NUMBER_GENERATOR_TABLE[[#This Row],[Tech]:[Tech]])))</f>
        <v>0</v>
      </c>
      <c r="AG133" cm="1">
        <f t="array" ref="AG133">IF(PART_NUMBER_GENERATOR_TABLE[[#This Row],[Work Role]:[Work Role]]&lt;&gt;AG$1,0,
IF(PART_NUMBER_GENERATOR_TABLE[[#This Row],[Work Type]:[Work Type]]&lt;&gt;"AH",0,
SUMIFS(AG$9:AG$24,$M$9:$M$24,PART_NUMBER_GENERATOR_TABLE[[#This Row],[Tech]:[Tech]])))</f>
        <v>0</v>
      </c>
      <c r="AH133" cm="1">
        <f t="array" ref="AH133">IF(PART_NUMBER_GENERATOR_TABLE[[#This Row],[Work Role]:[Work Role]]&lt;&gt;AH$1,0,
IF(PART_NUMBER_GENERATOR_TABLE[[#This Row],[Work Type]:[Work Type]]&lt;&gt;"BH",0,
SUMIFS(AH$9:AH$24,$M$9:$M$24,PART_NUMBER_GENERATOR_TABLE[[#This Row],[Tech]:[Tech]])))</f>
        <v>0</v>
      </c>
      <c r="AI133" cm="1">
        <f t="array" ref="AI133">IF(PART_NUMBER_GENERATOR_TABLE[[#This Row],[Work Role]:[Work Role]]&lt;&gt;AI$1,0,
IF(PART_NUMBER_GENERATOR_TABLE[[#This Row],[Work Type]:[Work Type]]&lt;&gt;"BH",0,
SUMIFS(AI$9:AI$24,$M$9:$M$24,PART_NUMBER_GENERATOR_TABLE[[#This Row],[Tech]:[Tech]])))</f>
        <v>0</v>
      </c>
      <c r="AJ133" cm="1">
        <f t="array" ref="AJ133">IF(PART_NUMBER_GENERATOR_TABLE[[#This Row],[Work Role]:[Work Role]]&lt;&gt;AJ$1,0,
IF(PART_NUMBER_GENERATOR_TABLE[[#This Row],[Work Type]:[Work Type]]&lt;&gt;"BH",0,
SUMIFS(AJ$9:AJ$24,$M$9:$M$24,PART_NUMBER_GENERATOR_TABLE[[#This Row],[Tech]:[Tech]])))</f>
        <v>0</v>
      </c>
      <c r="AK133" cm="1">
        <f t="array" ref="AK133">IF(PART_NUMBER_GENERATOR_TABLE[[#This Row],[Work Role]:[Work Role]]&lt;&gt;AK$1,0,
IF(PART_NUMBER_GENERATOR_TABLE[[#This Row],[Work Type]:[Work Type]]&lt;&gt;"AH",0,
SUMIFS(AK$9:AK$24,$M$9:$M$24,PART_NUMBER_GENERATOR_TABLE[[#This Row],[Tech]:[Tech]])))</f>
        <v>0</v>
      </c>
      <c r="AL133" cm="1">
        <f t="array" ref="AL133">IF(PART_NUMBER_GENERATOR_TABLE[[#This Row],[Work Role]:[Work Role]]&lt;&gt;AL$1,0,
IF(PART_NUMBER_GENERATOR_TABLE[[#This Row],[Work Type]:[Work Type]]&lt;&gt;"BH",0,
SUMIFS(AL$9:AL$24,$M$9:$M$24,PART_NUMBER_GENERATOR_TABLE[[#This Row],[Tech]:[Tech]])))</f>
        <v>0</v>
      </c>
      <c r="AM133">
        <f>0</f>
        <v>0</v>
      </c>
      <c r="AN133" cm="1">
        <f t="array" ref="AN133">IF(PART_NUMBER_GENERATOR_TABLE[[#This Row],[Work Role]:[Work Role]]&lt;&gt;AN$1,0,
IF(PART_NUMBER_GENERATOR_TABLE[[#This Row],[Work Type]:[Work Type]]&lt;&gt;"BH",0,
SUMIFS(AN$24,$AM$24,PART_NUMBER_GENERATOR_TABLE[[#This Row],[Tech]:[Tech]])))</f>
        <v>0</v>
      </c>
      <c r="AO133" cm="1">
        <f t="array" ref="AO133">IF(PART_NUMBER_GENERATOR_TABLE[[#This Row],[Work Role]:[Work Role]]&lt;&gt;AO$1,0,
IF(PART_NUMBER_GENERATOR_TABLE[[#This Row],[Work Type]:[Work Type]]&lt;&gt;"BH",0,
SUMIFS(AO$24,$AM$24,PART_NUMBER_GENERATOR_TABLE[[#This Row],[Tech]:[Tech]])))</f>
        <v>0</v>
      </c>
      <c r="AP133" cm="1">
        <f t="array" ref="AP133">IF(PART_NUMBER_GENERATOR_TABLE[[#This Row],[Work Role]:[Work Role]]&lt;&gt;AP$1,0,
IF(PART_NUMBER_GENERATOR_TABLE[[#This Row],[Work Type]:[Work Type]]&lt;&gt;"BH",0,
SUMIFS(AP$24,$AM$24,PART_NUMBER_GENERATOR_TABLE[[#This Row],[Tech]:[Tech]])))</f>
        <v>0</v>
      </c>
      <c r="AQ133" cm="1">
        <f t="array" ref="AQ133">IF(PART_NUMBER_GENERATOR_TABLE[[#This Row],[Work Role]:[Work Role]]&lt;&gt;AQ$1,0,
IF(PART_NUMBER_GENERATOR_TABLE[[#This Row],[Work Type]:[Work Type]]&lt;&gt;"BH",0,
SUMIFS(AQ$24,$AM$24,PART_NUMBER_GENERATOR_TABLE[[#This Row],[Tech]:[Tech]])))</f>
        <v>0</v>
      </c>
      <c r="AR133" cm="1">
        <f t="array" ref="AR133">IF(PART_NUMBER_GENERATOR_TABLE[[#This Row],[Work Role]:[Work Role]]&lt;&gt;AR$1,0,
IF(PART_NUMBER_GENERATOR_TABLE[[#This Row],[Work Type]:[Work Type]]&lt;&gt;"BH",0,
SUMIFS(AR$24,$AM$24,PART_NUMBER_GENERATOR_TABLE[[#This Row],[Tech]:[Tech]])))</f>
        <v>0</v>
      </c>
      <c r="AS133" cm="1">
        <f t="array" ref="AS133">IF(PART_NUMBER_GENERATOR_TABLE[[#This Row],[Work Role]:[Work Role]]&lt;&gt;AS$1,0,
IF(PART_NUMBER_GENERATOR_TABLE[[#This Row],[Work Type]:[Work Type]]&lt;&gt;"BH",0,
SUMIFS(AS$24,$AM$24,PART_NUMBER_GENERATOR_TABLE[[#This Row],[Tech]:[Tech]])))</f>
        <v>0</v>
      </c>
      <c r="AT133" cm="1">
        <f t="array" ref="AT133">IF(PART_NUMBER_GENERATOR_TABLE[[#This Row],[Work Role]:[Work Role]]&lt;&gt;AS$1,0,
IF(PART_NUMBER_GENERATOR_TABLE[[#This Row],[Work Type]:[Work Type]]&lt;&gt;"BH",0,
SUMIFS(AT$24,$AM$24,PART_NUMBER_GENERATOR_TABLE[[#This Row],[Tech]:[Tech]])))</f>
        <v>0</v>
      </c>
      <c r="AU133">
        <f>SUM(PART_NUMBER_GENERATOR_TABLE[[#This Row],[Resource 1 BH]:[Resource 5 AH]],PART_NUMBER_GENERATOR_TABLE[[#This Row],[R1 Mandatory Tasks]:[R5 Mandatory Tasks]],PART_NUMBER_GENERATOR_TABLE[[#This Row],[R1 Remainder]:[R5 Remainder]])</f>
        <v>0</v>
      </c>
      <c r="AV133">
        <f>PART_NUMBER_GENERATOR_TABLE[[#This Row],[Professional Engineering Hours]]*PART_NUMBER_GENERATOR_TABLE[[#This Row],[Sell Rate]]</f>
        <v>0</v>
      </c>
      <c r="AW133">
        <f>PART_NUMBER_GENERATOR_TABLE[[#This Row],[Professional Engineering Hours]]*PART_NUMBER_GENERATOR_TABLE[[#This Row],[Cost Rate]]</f>
        <v>0</v>
      </c>
      <c r="AX133">
        <f>SUM(PART_NUMBER_GENERATOR_TABLE[[#This Row],[PM Trips]:[R5 Trips]])</f>
        <v>0</v>
      </c>
      <c r="AY133">
        <f>PART_NUMBER_GENERATOR_TABLE[[#This Row],[Travel &amp; Accommodation Hours]]*PART_NUMBER_GENERATOR_TABLE[[#This Row],[Sell Rate]]</f>
        <v>0</v>
      </c>
      <c r="AZ133">
        <f>PART_NUMBER_GENERATOR_TABLE[[#This Row],[Travel &amp; Accommodation Hours]]*PART_NUMBER_GENERATOR_TABLE[[#This Row],[Cost Rate]]</f>
        <v>0</v>
      </c>
      <c r="BA133">
        <f>PART_NUMBER_GENERATOR_TABLE[[#This Row],[PM Hours]]+PART_NUMBER_GENERATOR_TABLE[[#This Row],[PM Remainder]]</f>
        <v>0</v>
      </c>
      <c r="BB133">
        <f>PART_NUMBER_GENERATOR_TABLE[[#This Row],[Project Management Hours]]*PART_NUMBER_GENERATOR_TABLE[[#This Row],[Sell Rate]]</f>
        <v>0</v>
      </c>
      <c r="BC133">
        <f>PART_NUMBER_GENERATOR_TABLE[[#This Row],[Project Management Hours]]*PART_NUMBER_GENERATOR_TABLE[[#This Row],[Cost Rate]]</f>
        <v>0</v>
      </c>
      <c r="BD133">
        <f>SUM(PART_NUMBER_GENERATOR_TABLE[[#This Row],[SSE RISK BH]:[PM RISK]],PART_NUMBER_GENERATOR_TABLE[[#This Row],[SSE Remainder RISK BH]:[PM Remainder RISK]])</f>
        <v>0</v>
      </c>
      <c r="BE133">
        <f>PART_NUMBER_GENERATOR_TABLE[[#This Row],[Project Risk Service Hours]]*PART_NUMBER_GENERATOR_TABLE[[#This Row],[Sell Rate]]</f>
        <v>0</v>
      </c>
      <c r="BF133">
        <f>PART_NUMBER_GENERATOR_TABLE[[#This Row],[Project Risk Service Hours]]*PART_NUMBER_GENERATOR_TABLE[[#This Row],[Cost Rate]]</f>
        <v>0</v>
      </c>
      <c r="BG133">
        <f>PART_NUMBER_GENERATOR_TABLE[[#This Row],[SSE RISK TRAVEL]]</f>
        <v>0</v>
      </c>
      <c r="BH133">
        <f>PART_NUMBER_GENERATOR_TABLE[[#This Row],[Sell Rate]]*PART_NUMBER_GENERATOR_TABLE[[#This Row],[Project Risk Travel Hours]]</f>
        <v>0</v>
      </c>
      <c r="BI133">
        <f>PART_NUMBER_GENERATOR_TABLE[[#This Row],[Project Risk Travel Hours]]*PART_NUMBER_GENERATOR_TABLE[[#This Row],[Cost Rate]]</f>
        <v>0</v>
      </c>
      <c r="BJ13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3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33">
        <f>IFERROR(-VLOOKUP(INDEX(ENGINEER_ROLES,MATCH(PART_NUMBER_GENERATOR_TABLE[[#This Row],[Work Role]],settings.Table_Engineer.Roles[ID],0),1),Settings_Hidden!$H$359:$K$366,4,FALSE),0)</f>
        <v>0</v>
      </c>
      <c r="BM133" s="680">
        <f>-Summary!$C$66</f>
        <v>0</v>
      </c>
      <c r="BN133" s="465">
        <f>PART_NUMBER_GENERATOR_TABLE[[#This Row],[Total Base Price]]*MIN(PART_NUMBER_GENERATOR_TABLE[[#This Row],[Rate Service Discount]:[Flat Service Discount]])</f>
        <v>0</v>
      </c>
      <c r="BO133" s="451" t="str">
        <f>IF(PART_NUMBER_GENERATOR_TABLE[[#This Row],[Quantity]]&lt;&gt;0,MAX($BO$30:BO132)+1,"")</f>
        <v/>
      </c>
      <c r="BP133" t="str">
        <f>PART_NUMBER_GENERATOR_TABLE[[#This Row],[Part Number]]</f>
        <v>A-PS-C-OPPTEC-SA-BH</v>
      </c>
      <c r="BQ133">
        <f>PART_NUMBER_GENERATOR_TABLE[[#This Row],[Total Hours]]</f>
        <v>0</v>
      </c>
      <c r="BR133">
        <f>PART_NUMBER_GENERATOR_TABLE[[#This Row],[Cost Rate]]</f>
        <v>167.61034913968996</v>
      </c>
      <c r="BS133" s="465">
        <f>PART_NUMBER_GENERATOR_TABLE[[#This Row],[Sell Rate]]+(PART_NUMBER_GENERATOR_TABLE[[#This Row],[Sell Rate]]*MIN(PART_NUMBER_GENERATOR_TABLE[[#This Row],[Rate Service Discount]:[Flat Service Discount]]))</f>
        <v>315</v>
      </c>
    </row>
    <row r="134" spans="1:71">
      <c r="A134">
        <v>104</v>
      </c>
      <c r="C134" t="s">
        <v>1001</v>
      </c>
      <c r="D134" t="str" cm="1">
        <f t="array" ref="D134">INDEX(Table.Settings_Skill.List[Skill Name],MATCH(INDEX(_xlfn.TEXTSPLIT(C134,"-",,TRUE),4),Table.Settings_Skill.List[Skill Code],0),1)</f>
        <v>Operational Technology</v>
      </c>
      <c r="E134" t="str" cm="1">
        <f t="array" ref="E134">INDEX(_xlfn.TEXTSPLIT(C134,"-",,TRUE),5)</f>
        <v>SC</v>
      </c>
      <c r="F134" t="str">
        <f>IFERROR(INDEX(settings.Table_Engineer.Roles[Department Code],MATCH(PART_NUMBER_GENERATOR_TABLE[[#This Row],[Work Role]],settings.Table_Engineer.Roles[ID],0),1),"PMO")</f>
        <v>CON</v>
      </c>
      <c r="G134" t="str" cm="1">
        <f t="array" ref="G134">INDEX(_xlfn.TEXTSPLIT(C134,"-",,TRUE),6)</f>
        <v>BH</v>
      </c>
      <c r="H13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3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34" cm="1">
        <f t="array" ref="J134">IF(J$1&lt;&gt;PART_NUMBER_GENERATOR_TABLE[[#This Row],[Work Role]:[Work Role]],0,
IF(RIGHT(J$30,2)&lt;&gt;PART_NUMBER_GENERATOR_TABLE[[#This Row],[Work Type]:[Work Type]],0,
SUMIFS(Input_Tasks[R1 Business Hours],Input_Tasks[[Skill Required]:[Skill Required]],PART_NUMBER_GENERATOR_TABLE[[#This Row],[Tech]:[Tech]])))</f>
        <v>0</v>
      </c>
      <c r="K134" cm="1">
        <f t="array" ref="K134">IF(K$1&lt;&gt;PART_NUMBER_GENERATOR_TABLE[[#This Row],[Work Role]:[Work Role]],0,
IF(RIGHT(K$30,2)&lt;&gt;PART_NUMBER_GENERATOR_TABLE[[#This Row],[Work Type]:[Work Type]],0,
SUMIFS(Input_Tasks[R1 After Hours],Input_Tasks[[Skill Required]:[Skill Required]],PART_NUMBER_GENERATOR_TABLE[[#This Row],[Tech]:[Tech]])))</f>
        <v>0</v>
      </c>
      <c r="L134" cm="1">
        <f t="array" ref="L134">IF(L$1&lt;&gt;PART_NUMBER_GENERATOR_TABLE[[#This Row],[Work Role]:[Work Role]],0,
IF(RIGHT(L$30,2)&lt;&gt;PART_NUMBER_GENERATOR_TABLE[[#This Row],[Work Type]:[Work Type]],0,
SUMIFS(Input_Tasks[R2 Business Hours],Input_Tasks[[Skill Required]:[Skill Required]],PART_NUMBER_GENERATOR_TABLE[[#This Row],[Tech]:[Tech]])))</f>
        <v>0</v>
      </c>
      <c r="M134" cm="1">
        <f t="array" ref="M134">IF(M$1&lt;&gt;PART_NUMBER_GENERATOR_TABLE[[#This Row],[Work Role]:[Work Role]],0,
IF(RIGHT(M$30,2)&lt;&gt;PART_NUMBER_GENERATOR_TABLE[[#This Row],[Work Type]:[Work Type]],0,
SUMIFS(Input_Tasks[R2 After Hours],Input_Tasks[[Skill Required]:[Skill Required]],PART_NUMBER_GENERATOR_TABLE[[#This Row],[Tech]:[Tech]])))</f>
        <v>0</v>
      </c>
      <c r="N134" cm="1">
        <f t="array" ref="N134">IF(N$1&lt;&gt;PART_NUMBER_GENERATOR_TABLE[[#This Row],[Work Role]:[Work Role]],0,
IF(RIGHT(N$30,2)&lt;&gt;PART_NUMBER_GENERATOR_TABLE[[#This Row],[Work Type]:[Work Type]],0,
SUMIFS(Input_Tasks[R3 Business Hours],Input_Tasks[[Skill Required]:[Skill Required]],PART_NUMBER_GENERATOR_TABLE[[#This Row],[Tech]:[Tech]])))</f>
        <v>0</v>
      </c>
      <c r="O134" cm="1">
        <f t="array" ref="O134">IF(O$1&lt;&gt;PART_NUMBER_GENERATOR_TABLE[[#This Row],[Work Role]:[Work Role]],0,
IF(RIGHT(O$30,2)&lt;&gt;PART_NUMBER_GENERATOR_TABLE[[#This Row],[Work Type]:[Work Type]],0,
SUMIFS(Input_Tasks[R3 After Hours],Input_Tasks[[Skill Required]:[Skill Required]],PART_NUMBER_GENERATOR_TABLE[[#This Row],[Tech]:[Tech]])))</f>
        <v>0</v>
      </c>
      <c r="P134" cm="1">
        <f t="array" ref="P134">IF(P$1&lt;&gt;PART_NUMBER_GENERATOR_TABLE[[#This Row],[Work Role]:[Work Role]],0,
IF(RIGHT(P$30,2)&lt;&gt;PART_NUMBER_GENERATOR_TABLE[[#This Row],[Work Type]:[Work Type]],0,
SUMIFS(Input_Tasks[R4 Business Hours],Input_Tasks[[Skill Required]:[Skill Required]],PART_NUMBER_GENERATOR_TABLE[[#This Row],[Tech]:[Tech]])))</f>
        <v>0</v>
      </c>
      <c r="Q134" cm="1">
        <f t="array" ref="Q134">IF(Q$1&lt;&gt;PART_NUMBER_GENERATOR_TABLE[[#This Row],[Work Role]:[Work Role]],0,
IF(RIGHT(Q$30,2)&lt;&gt;PART_NUMBER_GENERATOR_TABLE[[#This Row],[Work Type]:[Work Type]],0,
SUMIFS(Input_Tasks[R4 After Hours],Input_Tasks[[Skill Required]:[Skill Required]],PART_NUMBER_GENERATOR_TABLE[[#This Row],[Tech]:[Tech]])))</f>
        <v>0</v>
      </c>
      <c r="R134" cm="1">
        <f t="array" ref="R134">IF(R$1&lt;&gt;PART_NUMBER_GENERATOR_TABLE[[#This Row],[Work Role]:[Work Role]],0,
IF(RIGHT(R$30,2)&lt;&gt;PART_NUMBER_GENERATOR_TABLE[[#This Row],[Work Type]:[Work Type]],0,
SUMIFS(Input_Tasks[R5 Business Hours],Input_Tasks[[Skill Required]:[Skill Required]],PART_NUMBER_GENERATOR_TABLE[[#This Row],[Tech]:[Tech]])))</f>
        <v>0</v>
      </c>
      <c r="S134" cm="1">
        <f t="array" ref="S134">IF(S$1&lt;&gt;PART_NUMBER_GENERATOR_TABLE[[#This Row],[Work Role]:[Work Role]],0,
IF(RIGHT(S$30,2)&lt;&gt;PART_NUMBER_GENERATOR_TABLE[[#This Row],[Work Type]:[Work Type]],0,
SUMIFS(Input_Tasks[R5 After Hours],Input_Tasks[[Skill Required]:[Skill Required]],PART_NUMBER_GENERATOR_TABLE[[#This Row],[Tech]:[Tech]])))</f>
        <v>0</v>
      </c>
      <c r="T134" cm="1">
        <f t="array" ref="T134">IF(PART_NUMBER_GENERATOR_TABLE[[#This Row],[Work Role]:[Work Role]]&lt;&gt;T$1,0,
IF(PART_NUMBER_GENERATOR_TABLE[[#This Row],[Work Type]:[Work Type]]&lt;&gt;"BH",0,
SUMIFS(T$9:T$24,$M$9:$M$24,PART_NUMBER_GENERATOR_TABLE[[#This Row],[Tech]:[Tech]])))</f>
        <v>0</v>
      </c>
      <c r="U134" cm="1">
        <f t="array" ref="U134">IF(PART_NUMBER_GENERATOR_TABLE[[#This Row],[Work Role]:[Work Role]]&lt;&gt;U$1,0,
IF(PART_NUMBER_GENERATOR_TABLE[[#This Row],[Work Type]:[Work Type]]&lt;&gt;"BH",0,
SUMIFS(U$9:U$24,$M$9:$M$24,PART_NUMBER_GENERATOR_TABLE[[#This Row],[Tech]:[Tech]])))</f>
        <v>0</v>
      </c>
      <c r="V134" cm="1">
        <f t="array" ref="V134">IF(PART_NUMBER_GENERATOR_TABLE[[#This Row],[Work Role]:[Work Role]]&lt;&gt;V$1,0,
IF(PART_NUMBER_GENERATOR_TABLE[[#This Row],[Work Type]:[Work Type]]&lt;&gt;"BH",0,
SUMIFS(V$9:V$24,$M$9:$M$24,PART_NUMBER_GENERATOR_TABLE[[#This Row],[Tech]:[Tech]])))</f>
        <v>0</v>
      </c>
      <c r="W134" cm="1">
        <f t="array" ref="W134">IF(PART_NUMBER_GENERATOR_TABLE[[#This Row],[Work Role]:[Work Role]]&lt;&gt;W$1,0,
IF(PART_NUMBER_GENERATOR_TABLE[[#This Row],[Work Type]:[Work Type]]&lt;&gt;"BH",0,
SUMIFS(W$9:W$24,$M$9:$M$24,PART_NUMBER_GENERATOR_TABLE[[#This Row],[Tech]:[Tech]])))</f>
        <v>0</v>
      </c>
      <c r="X134" cm="1">
        <f t="array" ref="X134">IF(PART_NUMBER_GENERATOR_TABLE[[#This Row],[Work Role]:[Work Role]]&lt;&gt;X$1,0,
IF(PART_NUMBER_GENERATOR_TABLE[[#This Row],[Work Type]:[Work Type]]&lt;&gt;"BH",0,
SUMIFS(X$9:X$24,$M$9:$M$24,PART_NUMBER_GENERATOR_TABLE[[#This Row],[Tech]:[Tech]])))</f>
        <v>0</v>
      </c>
      <c r="Y134" cm="1">
        <f t="array" ref="Y134">IF(PART_NUMBER_GENERATOR_TABLE[[#This Row],[Work Role]:[Work Role]]&lt;&gt;Y$1,0,
IF(PART_NUMBER_GENERATOR_TABLE[[#This Row],[Work Type]:[Work Type]]&lt;&gt;"BH",0,
SUMIFS(Y$9:Y$24,$M$9:$M$24,PART_NUMBER_GENERATOR_TABLE[[#This Row],[Tech]:[Tech]])))</f>
        <v>0</v>
      </c>
      <c r="Z134" cm="1">
        <f t="array" ref="Z134">IF(PART_NUMBER_GENERATOR_TABLE[[#This Row],[Work Role]:[Work Role]]&lt;&gt;Z$1,0,
IF(PART_NUMBER_GENERATOR_TABLE[[#This Row],[Work Type]:[Work Type]]&lt;&gt;"BH",0,
SUMIFS(Z$9:Z$24,$M$9:$M$24,PART_NUMBER_GENERATOR_TABLE[[#This Row],[Tech]:[Tech]])))</f>
        <v>0</v>
      </c>
      <c r="AA134" cm="1">
        <f t="array" ref="AA134">IF(PART_NUMBER_GENERATOR_TABLE[[#This Row],[Work Role]:[Work Role]]&lt;&gt;AA$1,0,
IF(PART_NUMBER_GENERATOR_TABLE[[#This Row],[Work Type]:[Work Type]]&lt;&gt;"BH",0,
SUMIFS(AA$9:AA$24,$M$9:$M$24,PART_NUMBER_GENERATOR_TABLE[[#This Row],[Tech]:[Tech]])))</f>
        <v>0</v>
      </c>
      <c r="AB134" cm="1">
        <f t="array" ref="AB134">IF(PART_NUMBER_GENERATOR_TABLE[[#This Row],[Work Role]:[Work Role]]&lt;&gt;AB$1,0,
IF(PART_NUMBER_GENERATOR_TABLE[[#This Row],[Work Type]:[Work Type]]&lt;&gt;"BH",0,
SUMIFS(AB$9:AB$24,$M$9:$M$24,PART_NUMBER_GENERATOR_TABLE[[#This Row],[Tech]:[Tech]])))</f>
        <v>0</v>
      </c>
      <c r="AC134" cm="1">
        <f t="array" ref="AC134">IF(PART_NUMBER_GENERATOR_TABLE[[#This Row],[Work Role]:[Work Role]]&lt;&gt;AC$1,0,
IF(PART_NUMBER_GENERATOR_TABLE[[#This Row],[Work Type]:[Work Type]]&lt;&gt;"BH",0,
SUMIFS(AC$9:AC$24,$M$9:$M$24,PART_NUMBER_GENERATOR_TABLE[[#This Row],[Tech]:[Tech]])))</f>
        <v>0</v>
      </c>
      <c r="AD134" cm="1">
        <f t="array" ref="AD134">IF(PART_NUMBER_GENERATOR_TABLE[[#This Row],[Work Role]:[Work Role]]&lt;&gt;AD$1,0,
IF(PART_NUMBER_GENERATOR_TABLE[[#This Row],[Work Type]:[Work Type]]&lt;&gt;"BH",0,
SUMIFS(AD$9:AD$24,$M$9:$M$24,PART_NUMBER_GENERATOR_TABLE[[#This Row],[Tech]:[Tech]])))</f>
        <v>0</v>
      </c>
      <c r="AE134" cm="1">
        <f t="array" ref="AE134">IF(PART_NUMBER_GENERATOR_TABLE[[#This Row],[Work Role]:[Work Role]]&lt;&gt;AE$1,0,
IF(PART_NUMBER_GENERATOR_TABLE[[#This Row],[Work Type]:[Work Type]]&lt;&gt;"BH",0,
SUMIFS(AE$9:AE$24,$M$9:$M$24,PART_NUMBER_GENERATOR_TABLE[[#This Row],[Tech]:[Tech]])))</f>
        <v>0</v>
      </c>
      <c r="AF134" cm="1">
        <f t="array" ref="AF134">IF(PART_NUMBER_GENERATOR_TABLE[[#This Row],[Work Role]:[Work Role]]&lt;&gt;AF$1,0,
IF(PART_NUMBER_GENERATOR_TABLE[[#This Row],[Work Type]:[Work Type]]&lt;&gt;"BH",0,
SUMIFS(AF$9:AF$24,$M$9:$M$24,PART_NUMBER_GENERATOR_TABLE[[#This Row],[Tech]:[Tech]])))</f>
        <v>0</v>
      </c>
      <c r="AG134" cm="1">
        <f t="array" ref="AG134">IF(PART_NUMBER_GENERATOR_TABLE[[#This Row],[Work Role]:[Work Role]]&lt;&gt;AG$1,0,
IF(PART_NUMBER_GENERATOR_TABLE[[#This Row],[Work Type]:[Work Type]]&lt;&gt;"AH",0,
SUMIFS(AG$9:AG$24,$M$9:$M$24,PART_NUMBER_GENERATOR_TABLE[[#This Row],[Tech]:[Tech]])))</f>
        <v>0</v>
      </c>
      <c r="AH134" cm="1">
        <f t="array" ref="AH134">IF(PART_NUMBER_GENERATOR_TABLE[[#This Row],[Work Role]:[Work Role]]&lt;&gt;AH$1,0,
IF(PART_NUMBER_GENERATOR_TABLE[[#This Row],[Work Type]:[Work Type]]&lt;&gt;"BH",0,
SUMIFS(AH$9:AH$24,$M$9:$M$24,PART_NUMBER_GENERATOR_TABLE[[#This Row],[Tech]:[Tech]])))</f>
        <v>0</v>
      </c>
      <c r="AI134" cm="1">
        <f t="array" ref="AI134">IF(PART_NUMBER_GENERATOR_TABLE[[#This Row],[Work Role]:[Work Role]]&lt;&gt;AI$1,0,
IF(PART_NUMBER_GENERATOR_TABLE[[#This Row],[Work Type]:[Work Type]]&lt;&gt;"BH",0,
SUMIFS(AI$9:AI$24,$M$9:$M$24,PART_NUMBER_GENERATOR_TABLE[[#This Row],[Tech]:[Tech]])))</f>
        <v>0</v>
      </c>
      <c r="AJ134" cm="1">
        <f t="array" ref="AJ134">IF(PART_NUMBER_GENERATOR_TABLE[[#This Row],[Work Role]:[Work Role]]&lt;&gt;AJ$1,0,
IF(PART_NUMBER_GENERATOR_TABLE[[#This Row],[Work Type]:[Work Type]]&lt;&gt;"BH",0,
SUMIFS(AJ$9:AJ$24,$M$9:$M$24,PART_NUMBER_GENERATOR_TABLE[[#This Row],[Tech]:[Tech]])))</f>
        <v>0</v>
      </c>
      <c r="AK134" cm="1">
        <f t="array" ref="AK134">IF(PART_NUMBER_GENERATOR_TABLE[[#This Row],[Work Role]:[Work Role]]&lt;&gt;AK$1,0,
IF(PART_NUMBER_GENERATOR_TABLE[[#This Row],[Work Type]:[Work Type]]&lt;&gt;"AH",0,
SUMIFS(AK$9:AK$24,$M$9:$M$24,PART_NUMBER_GENERATOR_TABLE[[#This Row],[Tech]:[Tech]])))</f>
        <v>0</v>
      </c>
      <c r="AL134" cm="1">
        <f t="array" ref="AL134">IF(PART_NUMBER_GENERATOR_TABLE[[#This Row],[Work Role]:[Work Role]]&lt;&gt;AL$1,0,
IF(PART_NUMBER_GENERATOR_TABLE[[#This Row],[Work Type]:[Work Type]]&lt;&gt;"BH",0,
SUMIFS(AL$9:AL$24,$M$9:$M$24,PART_NUMBER_GENERATOR_TABLE[[#This Row],[Tech]:[Tech]])))</f>
        <v>0</v>
      </c>
      <c r="AM134">
        <f>0</f>
        <v>0</v>
      </c>
      <c r="AN134" cm="1">
        <f t="array" ref="AN134">IF(PART_NUMBER_GENERATOR_TABLE[[#This Row],[Work Role]:[Work Role]]&lt;&gt;AN$1,0,
IF(PART_NUMBER_GENERATOR_TABLE[[#This Row],[Work Type]:[Work Type]]&lt;&gt;"BH",0,
SUMIFS(AN$24,$AM$24,PART_NUMBER_GENERATOR_TABLE[[#This Row],[Tech]:[Tech]])))</f>
        <v>0</v>
      </c>
      <c r="AO134" cm="1">
        <f t="array" ref="AO134">IF(PART_NUMBER_GENERATOR_TABLE[[#This Row],[Work Role]:[Work Role]]&lt;&gt;AO$1,0,
IF(PART_NUMBER_GENERATOR_TABLE[[#This Row],[Work Type]:[Work Type]]&lt;&gt;"BH",0,
SUMIFS(AO$24,$AM$24,PART_NUMBER_GENERATOR_TABLE[[#This Row],[Tech]:[Tech]])))</f>
        <v>0</v>
      </c>
      <c r="AP134" cm="1">
        <f t="array" ref="AP134">IF(PART_NUMBER_GENERATOR_TABLE[[#This Row],[Work Role]:[Work Role]]&lt;&gt;AP$1,0,
IF(PART_NUMBER_GENERATOR_TABLE[[#This Row],[Work Type]:[Work Type]]&lt;&gt;"BH",0,
SUMIFS(AP$24,$AM$24,PART_NUMBER_GENERATOR_TABLE[[#This Row],[Tech]:[Tech]])))</f>
        <v>0</v>
      </c>
      <c r="AQ134" cm="1">
        <f t="array" ref="AQ134">IF(PART_NUMBER_GENERATOR_TABLE[[#This Row],[Work Role]:[Work Role]]&lt;&gt;AQ$1,0,
IF(PART_NUMBER_GENERATOR_TABLE[[#This Row],[Work Type]:[Work Type]]&lt;&gt;"BH",0,
SUMIFS(AQ$24,$AM$24,PART_NUMBER_GENERATOR_TABLE[[#This Row],[Tech]:[Tech]])))</f>
        <v>0</v>
      </c>
      <c r="AR134" cm="1">
        <f t="array" ref="AR134">IF(PART_NUMBER_GENERATOR_TABLE[[#This Row],[Work Role]:[Work Role]]&lt;&gt;AR$1,0,
IF(PART_NUMBER_GENERATOR_TABLE[[#This Row],[Work Type]:[Work Type]]&lt;&gt;"BH",0,
SUMIFS(AR$24,$AM$24,PART_NUMBER_GENERATOR_TABLE[[#This Row],[Tech]:[Tech]])))</f>
        <v>0</v>
      </c>
      <c r="AS134" cm="1">
        <f t="array" ref="AS134">IF(PART_NUMBER_GENERATOR_TABLE[[#This Row],[Work Role]:[Work Role]]&lt;&gt;AS$1,0,
IF(PART_NUMBER_GENERATOR_TABLE[[#This Row],[Work Type]:[Work Type]]&lt;&gt;"BH",0,
SUMIFS(AS$24,$AM$24,PART_NUMBER_GENERATOR_TABLE[[#This Row],[Tech]:[Tech]])))</f>
        <v>0</v>
      </c>
      <c r="AT134" cm="1">
        <f t="array" ref="AT134">IF(PART_NUMBER_GENERATOR_TABLE[[#This Row],[Work Role]:[Work Role]]&lt;&gt;AS$1,0,
IF(PART_NUMBER_GENERATOR_TABLE[[#This Row],[Work Type]:[Work Type]]&lt;&gt;"BH",0,
SUMIFS(AT$24,$AM$24,PART_NUMBER_GENERATOR_TABLE[[#This Row],[Tech]:[Tech]])))</f>
        <v>0</v>
      </c>
      <c r="AU134">
        <f>SUM(PART_NUMBER_GENERATOR_TABLE[[#This Row],[Resource 1 BH]:[Resource 5 AH]],PART_NUMBER_GENERATOR_TABLE[[#This Row],[R1 Mandatory Tasks]:[R5 Mandatory Tasks]],PART_NUMBER_GENERATOR_TABLE[[#This Row],[R1 Remainder]:[R5 Remainder]])</f>
        <v>0</v>
      </c>
      <c r="AV134">
        <f>PART_NUMBER_GENERATOR_TABLE[[#This Row],[Professional Engineering Hours]]*PART_NUMBER_GENERATOR_TABLE[[#This Row],[Sell Rate]]</f>
        <v>0</v>
      </c>
      <c r="AW134">
        <f>PART_NUMBER_GENERATOR_TABLE[[#This Row],[Professional Engineering Hours]]*PART_NUMBER_GENERATOR_TABLE[[#This Row],[Cost Rate]]</f>
        <v>0</v>
      </c>
      <c r="AX134">
        <f>SUM(PART_NUMBER_GENERATOR_TABLE[[#This Row],[PM Trips]:[R5 Trips]])</f>
        <v>0</v>
      </c>
      <c r="AY134">
        <f>PART_NUMBER_GENERATOR_TABLE[[#This Row],[Travel &amp; Accommodation Hours]]*PART_NUMBER_GENERATOR_TABLE[[#This Row],[Sell Rate]]</f>
        <v>0</v>
      </c>
      <c r="AZ134">
        <f>PART_NUMBER_GENERATOR_TABLE[[#This Row],[Travel &amp; Accommodation Hours]]*PART_NUMBER_GENERATOR_TABLE[[#This Row],[Cost Rate]]</f>
        <v>0</v>
      </c>
      <c r="BA134">
        <f>PART_NUMBER_GENERATOR_TABLE[[#This Row],[PM Hours]]+PART_NUMBER_GENERATOR_TABLE[[#This Row],[PM Remainder]]</f>
        <v>0</v>
      </c>
      <c r="BB134">
        <f>PART_NUMBER_GENERATOR_TABLE[[#This Row],[Project Management Hours]]*PART_NUMBER_GENERATOR_TABLE[[#This Row],[Sell Rate]]</f>
        <v>0</v>
      </c>
      <c r="BC134">
        <f>PART_NUMBER_GENERATOR_TABLE[[#This Row],[Project Management Hours]]*PART_NUMBER_GENERATOR_TABLE[[#This Row],[Cost Rate]]</f>
        <v>0</v>
      </c>
      <c r="BD134">
        <f>SUM(PART_NUMBER_GENERATOR_TABLE[[#This Row],[SSE RISK BH]:[PM RISK]],PART_NUMBER_GENERATOR_TABLE[[#This Row],[SSE Remainder RISK BH]:[PM Remainder RISK]])</f>
        <v>0</v>
      </c>
      <c r="BE134">
        <f>PART_NUMBER_GENERATOR_TABLE[[#This Row],[Project Risk Service Hours]]*PART_NUMBER_GENERATOR_TABLE[[#This Row],[Sell Rate]]</f>
        <v>0</v>
      </c>
      <c r="BF134">
        <f>PART_NUMBER_GENERATOR_TABLE[[#This Row],[Project Risk Service Hours]]*PART_NUMBER_GENERATOR_TABLE[[#This Row],[Cost Rate]]</f>
        <v>0</v>
      </c>
      <c r="BG134">
        <f>PART_NUMBER_GENERATOR_TABLE[[#This Row],[SSE RISK TRAVEL]]</f>
        <v>0</v>
      </c>
      <c r="BH134">
        <f>PART_NUMBER_GENERATOR_TABLE[[#This Row],[Sell Rate]]*PART_NUMBER_GENERATOR_TABLE[[#This Row],[Project Risk Travel Hours]]</f>
        <v>0</v>
      </c>
      <c r="BI134">
        <f>PART_NUMBER_GENERATOR_TABLE[[#This Row],[Project Risk Travel Hours]]*PART_NUMBER_GENERATOR_TABLE[[#This Row],[Cost Rate]]</f>
        <v>0</v>
      </c>
      <c r="BJ13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3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34">
        <f>IFERROR(-VLOOKUP(INDEX(ENGINEER_ROLES,MATCH(PART_NUMBER_GENERATOR_TABLE[[#This Row],[Work Role]],settings.Table_Engineer.Roles[ID],0),1),Settings_Hidden!$H$359:$K$366,4,FALSE),0)</f>
        <v>0</v>
      </c>
      <c r="BM134" s="680">
        <f>-Summary!$C$66</f>
        <v>0</v>
      </c>
      <c r="BN134" s="465">
        <f>PART_NUMBER_GENERATOR_TABLE[[#This Row],[Total Base Price]]*MIN(PART_NUMBER_GENERATOR_TABLE[[#This Row],[Rate Service Discount]:[Flat Service Discount]])</f>
        <v>0</v>
      </c>
      <c r="BO134" s="451" t="str">
        <f>IF(PART_NUMBER_GENERATOR_TABLE[[#This Row],[Quantity]]&lt;&gt;0,MAX($BO$30:BO133)+1,"")</f>
        <v/>
      </c>
      <c r="BP134" t="str">
        <f>PART_NUMBER_GENERATOR_TABLE[[#This Row],[Part Number]]</f>
        <v>A-PS-C-OPPTEC-SC-BH</v>
      </c>
      <c r="BQ134">
        <f>PART_NUMBER_GENERATOR_TABLE[[#This Row],[Total Hours]]</f>
        <v>0</v>
      </c>
      <c r="BR134">
        <f>PART_NUMBER_GENERATOR_TABLE[[#This Row],[Cost Rate]]</f>
        <v>167.61034913968996</v>
      </c>
      <c r="BS134" s="465">
        <f>PART_NUMBER_GENERATOR_TABLE[[#This Row],[Sell Rate]]+(PART_NUMBER_GENERATOR_TABLE[[#This Row],[Sell Rate]]*MIN(PART_NUMBER_GENERATOR_TABLE[[#This Row],[Rate Service Discount]:[Flat Service Discount]]))</f>
        <v>315</v>
      </c>
    </row>
    <row r="135" spans="1:71">
      <c r="A135">
        <v>105</v>
      </c>
      <c r="C135" t="s">
        <v>993</v>
      </c>
      <c r="D135" t="str" cm="1">
        <f t="array" ref="D135">INDEX(Table.Settings_Skill.List[Skill Name],MATCH(INDEX(_xlfn.TEXTSPLIT(C135,"-",,TRUE),4),Table.Settings_Skill.List[Skill Code],0),1)</f>
        <v>Operational Technology</v>
      </c>
      <c r="E135" t="str" cm="1">
        <f t="array" ref="E135">INDEX(_xlfn.TEXTSPLIT(C135,"-",,TRUE),5)</f>
        <v>AC</v>
      </c>
      <c r="F135" t="str">
        <f>IFERROR(INDEX(settings.Table_Engineer.Roles[Department Code],MATCH(PART_NUMBER_GENERATOR_TABLE[[#This Row],[Work Role]],settings.Table_Engineer.Roles[ID],0),1),"PMO")</f>
        <v>CON</v>
      </c>
      <c r="G135" t="str" cm="1">
        <f t="array" ref="G135">INDEX(_xlfn.TEXTSPLIT(C135,"-",,TRUE),6)</f>
        <v>BH</v>
      </c>
      <c r="H13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3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35" cm="1">
        <f t="array" ref="J135">IF(J$1&lt;&gt;PART_NUMBER_GENERATOR_TABLE[[#This Row],[Work Role]:[Work Role]],0,
IF(RIGHT(J$30,2)&lt;&gt;PART_NUMBER_GENERATOR_TABLE[[#This Row],[Work Type]:[Work Type]],0,
SUMIFS(Input_Tasks[R1 Business Hours],Input_Tasks[[Skill Required]:[Skill Required]],PART_NUMBER_GENERATOR_TABLE[[#This Row],[Tech]:[Tech]])))</f>
        <v>0</v>
      </c>
      <c r="K135" cm="1">
        <f t="array" ref="K135">IF(K$1&lt;&gt;PART_NUMBER_GENERATOR_TABLE[[#This Row],[Work Role]:[Work Role]],0,
IF(RIGHT(K$30,2)&lt;&gt;PART_NUMBER_GENERATOR_TABLE[[#This Row],[Work Type]:[Work Type]],0,
SUMIFS(Input_Tasks[R1 After Hours],Input_Tasks[[Skill Required]:[Skill Required]],PART_NUMBER_GENERATOR_TABLE[[#This Row],[Tech]:[Tech]])))</f>
        <v>0</v>
      </c>
      <c r="L135" cm="1">
        <f t="array" ref="L135">IF(L$1&lt;&gt;PART_NUMBER_GENERATOR_TABLE[[#This Row],[Work Role]:[Work Role]],0,
IF(RIGHT(L$30,2)&lt;&gt;PART_NUMBER_GENERATOR_TABLE[[#This Row],[Work Type]:[Work Type]],0,
SUMIFS(Input_Tasks[R2 Business Hours],Input_Tasks[[Skill Required]:[Skill Required]],PART_NUMBER_GENERATOR_TABLE[[#This Row],[Tech]:[Tech]])))</f>
        <v>0</v>
      </c>
      <c r="M135" cm="1">
        <f t="array" ref="M135">IF(M$1&lt;&gt;PART_NUMBER_GENERATOR_TABLE[[#This Row],[Work Role]:[Work Role]],0,
IF(RIGHT(M$30,2)&lt;&gt;PART_NUMBER_GENERATOR_TABLE[[#This Row],[Work Type]:[Work Type]],0,
SUMIFS(Input_Tasks[R2 After Hours],Input_Tasks[[Skill Required]:[Skill Required]],PART_NUMBER_GENERATOR_TABLE[[#This Row],[Tech]:[Tech]])))</f>
        <v>0</v>
      </c>
      <c r="N135" cm="1">
        <f t="array" ref="N135">IF(N$1&lt;&gt;PART_NUMBER_GENERATOR_TABLE[[#This Row],[Work Role]:[Work Role]],0,
IF(RIGHT(N$30,2)&lt;&gt;PART_NUMBER_GENERATOR_TABLE[[#This Row],[Work Type]:[Work Type]],0,
SUMIFS(Input_Tasks[R3 Business Hours],Input_Tasks[[Skill Required]:[Skill Required]],PART_NUMBER_GENERATOR_TABLE[[#This Row],[Tech]:[Tech]])))</f>
        <v>0</v>
      </c>
      <c r="O135" cm="1">
        <f t="array" ref="O135">IF(O$1&lt;&gt;PART_NUMBER_GENERATOR_TABLE[[#This Row],[Work Role]:[Work Role]],0,
IF(RIGHT(O$30,2)&lt;&gt;PART_NUMBER_GENERATOR_TABLE[[#This Row],[Work Type]:[Work Type]],0,
SUMIFS(Input_Tasks[R3 After Hours],Input_Tasks[[Skill Required]:[Skill Required]],PART_NUMBER_GENERATOR_TABLE[[#This Row],[Tech]:[Tech]])))</f>
        <v>0</v>
      </c>
      <c r="P135" cm="1">
        <f t="array" ref="P135">IF(P$1&lt;&gt;PART_NUMBER_GENERATOR_TABLE[[#This Row],[Work Role]:[Work Role]],0,
IF(RIGHT(P$30,2)&lt;&gt;PART_NUMBER_GENERATOR_TABLE[[#This Row],[Work Type]:[Work Type]],0,
SUMIFS(Input_Tasks[R4 Business Hours],Input_Tasks[[Skill Required]:[Skill Required]],PART_NUMBER_GENERATOR_TABLE[[#This Row],[Tech]:[Tech]])))</f>
        <v>0</v>
      </c>
      <c r="Q135" cm="1">
        <f t="array" ref="Q135">IF(Q$1&lt;&gt;PART_NUMBER_GENERATOR_TABLE[[#This Row],[Work Role]:[Work Role]],0,
IF(RIGHT(Q$30,2)&lt;&gt;PART_NUMBER_GENERATOR_TABLE[[#This Row],[Work Type]:[Work Type]],0,
SUMIFS(Input_Tasks[R4 After Hours],Input_Tasks[[Skill Required]:[Skill Required]],PART_NUMBER_GENERATOR_TABLE[[#This Row],[Tech]:[Tech]])))</f>
        <v>0</v>
      </c>
      <c r="R135" cm="1">
        <f t="array" ref="R135">IF(R$1&lt;&gt;PART_NUMBER_GENERATOR_TABLE[[#This Row],[Work Role]:[Work Role]],0,
IF(RIGHT(R$30,2)&lt;&gt;PART_NUMBER_GENERATOR_TABLE[[#This Row],[Work Type]:[Work Type]],0,
SUMIFS(Input_Tasks[R5 Business Hours],Input_Tasks[[Skill Required]:[Skill Required]],PART_NUMBER_GENERATOR_TABLE[[#This Row],[Tech]:[Tech]])))</f>
        <v>0</v>
      </c>
      <c r="S135" cm="1">
        <f t="array" ref="S135">IF(S$1&lt;&gt;PART_NUMBER_GENERATOR_TABLE[[#This Row],[Work Role]:[Work Role]],0,
IF(RIGHT(S$30,2)&lt;&gt;PART_NUMBER_GENERATOR_TABLE[[#This Row],[Work Type]:[Work Type]],0,
SUMIFS(Input_Tasks[R5 After Hours],Input_Tasks[[Skill Required]:[Skill Required]],PART_NUMBER_GENERATOR_TABLE[[#This Row],[Tech]:[Tech]])))</f>
        <v>0</v>
      </c>
      <c r="T135" cm="1">
        <f t="array" ref="T135">IF(PART_NUMBER_GENERATOR_TABLE[[#This Row],[Work Role]:[Work Role]]&lt;&gt;T$1,0,
IF(PART_NUMBER_GENERATOR_TABLE[[#This Row],[Work Type]:[Work Type]]&lt;&gt;"BH",0,
SUMIFS(T$9:T$24,$M$9:$M$24,PART_NUMBER_GENERATOR_TABLE[[#This Row],[Tech]:[Tech]])))</f>
        <v>0</v>
      </c>
      <c r="U135" cm="1">
        <f t="array" ref="U135">IF(PART_NUMBER_GENERATOR_TABLE[[#This Row],[Work Role]:[Work Role]]&lt;&gt;U$1,0,
IF(PART_NUMBER_GENERATOR_TABLE[[#This Row],[Work Type]:[Work Type]]&lt;&gt;"BH",0,
SUMIFS(U$9:U$24,$M$9:$M$24,PART_NUMBER_GENERATOR_TABLE[[#This Row],[Tech]:[Tech]])))</f>
        <v>0</v>
      </c>
      <c r="V135" cm="1">
        <f t="array" ref="V135">IF(PART_NUMBER_GENERATOR_TABLE[[#This Row],[Work Role]:[Work Role]]&lt;&gt;V$1,0,
IF(PART_NUMBER_GENERATOR_TABLE[[#This Row],[Work Type]:[Work Type]]&lt;&gt;"BH",0,
SUMIFS(V$9:V$24,$M$9:$M$24,PART_NUMBER_GENERATOR_TABLE[[#This Row],[Tech]:[Tech]])))</f>
        <v>0</v>
      </c>
      <c r="W135" cm="1">
        <f t="array" ref="W135">IF(PART_NUMBER_GENERATOR_TABLE[[#This Row],[Work Role]:[Work Role]]&lt;&gt;W$1,0,
IF(PART_NUMBER_GENERATOR_TABLE[[#This Row],[Work Type]:[Work Type]]&lt;&gt;"BH",0,
SUMIFS(W$9:W$24,$M$9:$M$24,PART_NUMBER_GENERATOR_TABLE[[#This Row],[Tech]:[Tech]])))</f>
        <v>0</v>
      </c>
      <c r="X135" cm="1">
        <f t="array" ref="X135">IF(PART_NUMBER_GENERATOR_TABLE[[#This Row],[Work Role]:[Work Role]]&lt;&gt;X$1,0,
IF(PART_NUMBER_GENERATOR_TABLE[[#This Row],[Work Type]:[Work Type]]&lt;&gt;"BH",0,
SUMIFS(X$9:X$24,$M$9:$M$24,PART_NUMBER_GENERATOR_TABLE[[#This Row],[Tech]:[Tech]])))</f>
        <v>0</v>
      </c>
      <c r="Y135" cm="1">
        <f t="array" ref="Y135">IF(PART_NUMBER_GENERATOR_TABLE[[#This Row],[Work Role]:[Work Role]]&lt;&gt;Y$1,0,
IF(PART_NUMBER_GENERATOR_TABLE[[#This Row],[Work Type]:[Work Type]]&lt;&gt;"BH",0,
SUMIFS(Y$9:Y$24,$M$9:$M$24,PART_NUMBER_GENERATOR_TABLE[[#This Row],[Tech]:[Tech]])))</f>
        <v>0</v>
      </c>
      <c r="Z135" cm="1">
        <f t="array" ref="Z135">IF(PART_NUMBER_GENERATOR_TABLE[[#This Row],[Work Role]:[Work Role]]&lt;&gt;Z$1,0,
IF(PART_NUMBER_GENERATOR_TABLE[[#This Row],[Work Type]:[Work Type]]&lt;&gt;"BH",0,
SUMIFS(Z$9:Z$24,$M$9:$M$24,PART_NUMBER_GENERATOR_TABLE[[#This Row],[Tech]:[Tech]])))</f>
        <v>0</v>
      </c>
      <c r="AA135" cm="1">
        <f t="array" ref="AA135">IF(PART_NUMBER_GENERATOR_TABLE[[#This Row],[Work Role]:[Work Role]]&lt;&gt;AA$1,0,
IF(PART_NUMBER_GENERATOR_TABLE[[#This Row],[Work Type]:[Work Type]]&lt;&gt;"BH",0,
SUMIFS(AA$9:AA$24,$M$9:$M$24,PART_NUMBER_GENERATOR_TABLE[[#This Row],[Tech]:[Tech]])))</f>
        <v>0</v>
      </c>
      <c r="AB135" cm="1">
        <f t="array" ref="AB135">IF(PART_NUMBER_GENERATOR_TABLE[[#This Row],[Work Role]:[Work Role]]&lt;&gt;AB$1,0,
IF(PART_NUMBER_GENERATOR_TABLE[[#This Row],[Work Type]:[Work Type]]&lt;&gt;"BH",0,
SUMIFS(AB$9:AB$24,$M$9:$M$24,PART_NUMBER_GENERATOR_TABLE[[#This Row],[Tech]:[Tech]])))</f>
        <v>0</v>
      </c>
      <c r="AC135" cm="1">
        <f t="array" ref="AC135">IF(PART_NUMBER_GENERATOR_TABLE[[#This Row],[Work Role]:[Work Role]]&lt;&gt;AC$1,0,
IF(PART_NUMBER_GENERATOR_TABLE[[#This Row],[Work Type]:[Work Type]]&lt;&gt;"BH",0,
SUMIFS(AC$9:AC$24,$M$9:$M$24,PART_NUMBER_GENERATOR_TABLE[[#This Row],[Tech]:[Tech]])))</f>
        <v>0</v>
      </c>
      <c r="AD135" cm="1">
        <f t="array" ref="AD135">IF(PART_NUMBER_GENERATOR_TABLE[[#This Row],[Work Role]:[Work Role]]&lt;&gt;AD$1,0,
IF(PART_NUMBER_GENERATOR_TABLE[[#This Row],[Work Type]:[Work Type]]&lt;&gt;"BH",0,
SUMIFS(AD$9:AD$24,$M$9:$M$24,PART_NUMBER_GENERATOR_TABLE[[#This Row],[Tech]:[Tech]])))</f>
        <v>0</v>
      </c>
      <c r="AE135" cm="1">
        <f t="array" ref="AE135">IF(PART_NUMBER_GENERATOR_TABLE[[#This Row],[Work Role]:[Work Role]]&lt;&gt;AE$1,0,
IF(PART_NUMBER_GENERATOR_TABLE[[#This Row],[Work Type]:[Work Type]]&lt;&gt;"BH",0,
SUMIFS(AE$9:AE$24,$M$9:$M$24,PART_NUMBER_GENERATOR_TABLE[[#This Row],[Tech]:[Tech]])))</f>
        <v>0</v>
      </c>
      <c r="AF135" cm="1">
        <f t="array" ref="AF135">IF(PART_NUMBER_GENERATOR_TABLE[[#This Row],[Work Role]:[Work Role]]&lt;&gt;AF$1,0,
IF(PART_NUMBER_GENERATOR_TABLE[[#This Row],[Work Type]:[Work Type]]&lt;&gt;"BH",0,
SUMIFS(AF$9:AF$24,$M$9:$M$24,PART_NUMBER_GENERATOR_TABLE[[#This Row],[Tech]:[Tech]])))</f>
        <v>0</v>
      </c>
      <c r="AG135" cm="1">
        <f t="array" ref="AG135">IF(PART_NUMBER_GENERATOR_TABLE[[#This Row],[Work Role]:[Work Role]]&lt;&gt;AG$1,0,
IF(PART_NUMBER_GENERATOR_TABLE[[#This Row],[Work Type]:[Work Type]]&lt;&gt;"AH",0,
SUMIFS(AG$9:AG$24,$M$9:$M$24,PART_NUMBER_GENERATOR_TABLE[[#This Row],[Tech]:[Tech]])))</f>
        <v>0</v>
      </c>
      <c r="AH135" cm="1">
        <f t="array" ref="AH135">IF(PART_NUMBER_GENERATOR_TABLE[[#This Row],[Work Role]:[Work Role]]&lt;&gt;AH$1,0,
IF(PART_NUMBER_GENERATOR_TABLE[[#This Row],[Work Type]:[Work Type]]&lt;&gt;"BH",0,
SUMIFS(AH$9:AH$24,$M$9:$M$24,PART_NUMBER_GENERATOR_TABLE[[#This Row],[Tech]:[Tech]])))</f>
        <v>0</v>
      </c>
      <c r="AI135" cm="1">
        <f t="array" ref="AI135">IF(PART_NUMBER_GENERATOR_TABLE[[#This Row],[Work Role]:[Work Role]]&lt;&gt;AI$1,0,
IF(PART_NUMBER_GENERATOR_TABLE[[#This Row],[Work Type]:[Work Type]]&lt;&gt;"BH",0,
SUMIFS(AI$9:AI$24,$M$9:$M$24,PART_NUMBER_GENERATOR_TABLE[[#This Row],[Tech]:[Tech]])))</f>
        <v>0</v>
      </c>
      <c r="AJ135" cm="1">
        <f t="array" ref="AJ135">IF(PART_NUMBER_GENERATOR_TABLE[[#This Row],[Work Role]:[Work Role]]&lt;&gt;AJ$1,0,
IF(PART_NUMBER_GENERATOR_TABLE[[#This Row],[Work Type]:[Work Type]]&lt;&gt;"BH",0,
SUMIFS(AJ$9:AJ$24,$M$9:$M$24,PART_NUMBER_GENERATOR_TABLE[[#This Row],[Tech]:[Tech]])))</f>
        <v>0</v>
      </c>
      <c r="AK135" cm="1">
        <f t="array" ref="AK135">IF(PART_NUMBER_GENERATOR_TABLE[[#This Row],[Work Role]:[Work Role]]&lt;&gt;AK$1,0,
IF(PART_NUMBER_GENERATOR_TABLE[[#This Row],[Work Type]:[Work Type]]&lt;&gt;"AH",0,
SUMIFS(AK$9:AK$24,$M$9:$M$24,PART_NUMBER_GENERATOR_TABLE[[#This Row],[Tech]:[Tech]])))</f>
        <v>0</v>
      </c>
      <c r="AL135" cm="1">
        <f t="array" ref="AL135">IF(PART_NUMBER_GENERATOR_TABLE[[#This Row],[Work Role]:[Work Role]]&lt;&gt;AL$1,0,
IF(PART_NUMBER_GENERATOR_TABLE[[#This Row],[Work Type]:[Work Type]]&lt;&gt;"BH",0,
SUMIFS(AL$9:AL$24,$M$9:$M$24,PART_NUMBER_GENERATOR_TABLE[[#This Row],[Tech]:[Tech]])))</f>
        <v>0</v>
      </c>
      <c r="AM135">
        <f>0</f>
        <v>0</v>
      </c>
      <c r="AN135" cm="1">
        <f t="array" ref="AN135">IF(PART_NUMBER_GENERATOR_TABLE[[#This Row],[Work Role]:[Work Role]]&lt;&gt;AN$1,0,
IF(PART_NUMBER_GENERATOR_TABLE[[#This Row],[Work Type]:[Work Type]]&lt;&gt;"BH",0,
SUMIFS(AN$24,$AM$24,PART_NUMBER_GENERATOR_TABLE[[#This Row],[Tech]:[Tech]])))</f>
        <v>0</v>
      </c>
      <c r="AO135" cm="1">
        <f t="array" ref="AO135">IF(PART_NUMBER_GENERATOR_TABLE[[#This Row],[Work Role]:[Work Role]]&lt;&gt;AO$1,0,
IF(PART_NUMBER_GENERATOR_TABLE[[#This Row],[Work Type]:[Work Type]]&lt;&gt;"BH",0,
SUMIFS(AO$24,$AM$24,PART_NUMBER_GENERATOR_TABLE[[#This Row],[Tech]:[Tech]])))</f>
        <v>0</v>
      </c>
      <c r="AP135" cm="1">
        <f t="array" ref="AP135">IF(PART_NUMBER_GENERATOR_TABLE[[#This Row],[Work Role]:[Work Role]]&lt;&gt;AP$1,0,
IF(PART_NUMBER_GENERATOR_TABLE[[#This Row],[Work Type]:[Work Type]]&lt;&gt;"BH",0,
SUMIFS(AP$24,$AM$24,PART_NUMBER_GENERATOR_TABLE[[#This Row],[Tech]:[Tech]])))</f>
        <v>0</v>
      </c>
      <c r="AQ135" cm="1">
        <f t="array" ref="AQ135">IF(PART_NUMBER_GENERATOR_TABLE[[#This Row],[Work Role]:[Work Role]]&lt;&gt;AQ$1,0,
IF(PART_NUMBER_GENERATOR_TABLE[[#This Row],[Work Type]:[Work Type]]&lt;&gt;"BH",0,
SUMIFS(AQ$24,$AM$24,PART_NUMBER_GENERATOR_TABLE[[#This Row],[Tech]:[Tech]])))</f>
        <v>0</v>
      </c>
      <c r="AR135" cm="1">
        <f t="array" ref="AR135">IF(PART_NUMBER_GENERATOR_TABLE[[#This Row],[Work Role]:[Work Role]]&lt;&gt;AR$1,0,
IF(PART_NUMBER_GENERATOR_TABLE[[#This Row],[Work Type]:[Work Type]]&lt;&gt;"BH",0,
SUMIFS(AR$24,$AM$24,PART_NUMBER_GENERATOR_TABLE[[#This Row],[Tech]:[Tech]])))</f>
        <v>0</v>
      </c>
      <c r="AS135" cm="1">
        <f t="array" ref="AS135">IF(PART_NUMBER_GENERATOR_TABLE[[#This Row],[Work Role]:[Work Role]]&lt;&gt;AS$1,0,
IF(PART_NUMBER_GENERATOR_TABLE[[#This Row],[Work Type]:[Work Type]]&lt;&gt;"BH",0,
SUMIFS(AS$24,$AM$24,PART_NUMBER_GENERATOR_TABLE[[#This Row],[Tech]:[Tech]])))</f>
        <v>0</v>
      </c>
      <c r="AT135" cm="1">
        <f t="array" ref="AT135">IF(PART_NUMBER_GENERATOR_TABLE[[#This Row],[Work Role]:[Work Role]]&lt;&gt;AS$1,0,
IF(PART_NUMBER_GENERATOR_TABLE[[#This Row],[Work Type]:[Work Type]]&lt;&gt;"BH",0,
SUMIFS(AT$24,$AM$24,PART_NUMBER_GENERATOR_TABLE[[#This Row],[Tech]:[Tech]])))</f>
        <v>0</v>
      </c>
      <c r="AU135">
        <f>SUM(PART_NUMBER_GENERATOR_TABLE[[#This Row],[Resource 1 BH]:[Resource 5 AH]],PART_NUMBER_GENERATOR_TABLE[[#This Row],[R1 Mandatory Tasks]:[R5 Mandatory Tasks]],PART_NUMBER_GENERATOR_TABLE[[#This Row],[R1 Remainder]:[R5 Remainder]])</f>
        <v>0</v>
      </c>
      <c r="AV135">
        <f>PART_NUMBER_GENERATOR_TABLE[[#This Row],[Professional Engineering Hours]]*PART_NUMBER_GENERATOR_TABLE[[#This Row],[Sell Rate]]</f>
        <v>0</v>
      </c>
      <c r="AW135">
        <f>PART_NUMBER_GENERATOR_TABLE[[#This Row],[Professional Engineering Hours]]*PART_NUMBER_GENERATOR_TABLE[[#This Row],[Cost Rate]]</f>
        <v>0</v>
      </c>
      <c r="AX135">
        <f>SUM(PART_NUMBER_GENERATOR_TABLE[[#This Row],[PM Trips]:[R5 Trips]])</f>
        <v>0</v>
      </c>
      <c r="AY135">
        <f>PART_NUMBER_GENERATOR_TABLE[[#This Row],[Travel &amp; Accommodation Hours]]*PART_NUMBER_GENERATOR_TABLE[[#This Row],[Sell Rate]]</f>
        <v>0</v>
      </c>
      <c r="AZ135">
        <f>PART_NUMBER_GENERATOR_TABLE[[#This Row],[Travel &amp; Accommodation Hours]]*PART_NUMBER_GENERATOR_TABLE[[#This Row],[Cost Rate]]</f>
        <v>0</v>
      </c>
      <c r="BA135">
        <f>PART_NUMBER_GENERATOR_TABLE[[#This Row],[PM Hours]]+PART_NUMBER_GENERATOR_TABLE[[#This Row],[PM Remainder]]</f>
        <v>0</v>
      </c>
      <c r="BB135">
        <f>PART_NUMBER_GENERATOR_TABLE[[#This Row],[Project Management Hours]]*PART_NUMBER_GENERATOR_TABLE[[#This Row],[Sell Rate]]</f>
        <v>0</v>
      </c>
      <c r="BC135">
        <f>PART_NUMBER_GENERATOR_TABLE[[#This Row],[Project Management Hours]]*PART_NUMBER_GENERATOR_TABLE[[#This Row],[Cost Rate]]</f>
        <v>0</v>
      </c>
      <c r="BD135">
        <f>SUM(PART_NUMBER_GENERATOR_TABLE[[#This Row],[SSE RISK BH]:[PM RISK]],PART_NUMBER_GENERATOR_TABLE[[#This Row],[SSE Remainder RISK BH]:[PM Remainder RISK]])</f>
        <v>0</v>
      </c>
      <c r="BE135">
        <f>PART_NUMBER_GENERATOR_TABLE[[#This Row],[Project Risk Service Hours]]*PART_NUMBER_GENERATOR_TABLE[[#This Row],[Sell Rate]]</f>
        <v>0</v>
      </c>
      <c r="BF135">
        <f>PART_NUMBER_GENERATOR_TABLE[[#This Row],[Project Risk Service Hours]]*PART_NUMBER_GENERATOR_TABLE[[#This Row],[Cost Rate]]</f>
        <v>0</v>
      </c>
      <c r="BG135">
        <f>PART_NUMBER_GENERATOR_TABLE[[#This Row],[SSE RISK TRAVEL]]</f>
        <v>0</v>
      </c>
      <c r="BH135">
        <f>PART_NUMBER_GENERATOR_TABLE[[#This Row],[Sell Rate]]*PART_NUMBER_GENERATOR_TABLE[[#This Row],[Project Risk Travel Hours]]</f>
        <v>0</v>
      </c>
      <c r="BI135">
        <f>PART_NUMBER_GENERATOR_TABLE[[#This Row],[Project Risk Travel Hours]]*PART_NUMBER_GENERATOR_TABLE[[#This Row],[Cost Rate]]</f>
        <v>0</v>
      </c>
      <c r="BJ13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3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35">
        <f>IFERROR(-VLOOKUP(INDEX(ENGINEER_ROLES,MATCH(PART_NUMBER_GENERATOR_TABLE[[#This Row],[Work Role]],settings.Table_Engineer.Roles[ID],0),1),Settings_Hidden!$H$359:$K$366,4,FALSE),0)</f>
        <v>0</v>
      </c>
      <c r="BM135" s="680">
        <f>-Summary!$C$66</f>
        <v>0</v>
      </c>
      <c r="BN135" s="465">
        <f>PART_NUMBER_GENERATOR_TABLE[[#This Row],[Total Base Price]]*MIN(PART_NUMBER_GENERATOR_TABLE[[#This Row],[Rate Service Discount]:[Flat Service Discount]])</f>
        <v>0</v>
      </c>
      <c r="BO135" s="451" t="str">
        <f>IF(PART_NUMBER_GENERATOR_TABLE[[#This Row],[Quantity]]&lt;&gt;0,MAX($BO$30:BO134)+1,"")</f>
        <v/>
      </c>
      <c r="BP135" t="str">
        <f>PART_NUMBER_GENERATOR_TABLE[[#This Row],[Part Number]]</f>
        <v>A-PS-C-OPPTEC-AC-BH</v>
      </c>
      <c r="BQ135">
        <f>PART_NUMBER_GENERATOR_TABLE[[#This Row],[Total Hours]]</f>
        <v>0</v>
      </c>
      <c r="BR135">
        <f>PART_NUMBER_GENERATOR_TABLE[[#This Row],[Cost Rate]]</f>
        <v>167.61034913968996</v>
      </c>
      <c r="BS135" s="465">
        <f>PART_NUMBER_GENERATOR_TABLE[[#This Row],[Sell Rate]]+(PART_NUMBER_GENERATOR_TABLE[[#This Row],[Sell Rate]]*MIN(PART_NUMBER_GENERATOR_TABLE[[#This Row],[Rate Service Discount]:[Flat Service Discount]]))</f>
        <v>315</v>
      </c>
    </row>
    <row r="136" spans="1:71">
      <c r="A136">
        <v>106</v>
      </c>
      <c r="C136" t="s">
        <v>1121</v>
      </c>
      <c r="D136" t="str" cm="1">
        <f t="array" ref="D136">INDEX(Table.Settings_Skill.List[Skill Name],MATCH(INDEX(_xlfn.TEXTSPLIT(C136,"-",,TRUE),4),Table.Settings_Skill.List[Skill Code],0),1)</f>
        <v>Secure Networking</v>
      </c>
      <c r="E136" t="str" cm="1">
        <f t="array" ref="E136">INDEX(_xlfn.TEXTSPLIT(C136,"-",,TRUE),5)</f>
        <v>SA</v>
      </c>
      <c r="F136" t="str">
        <f>IFERROR(INDEX(settings.Table_Engineer.Roles[Department Code],MATCH(PART_NUMBER_GENERATOR_TABLE[[#This Row],[Work Role]],settings.Table_Engineer.Roles[ID],0),1),"PMO")</f>
        <v>CON</v>
      </c>
      <c r="G136" t="str" cm="1">
        <f t="array" ref="G136">INDEX(_xlfn.TEXTSPLIT(C136,"-",,TRUE),6)</f>
        <v>BH</v>
      </c>
      <c r="H13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3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36" cm="1">
        <f t="array" ref="J136">IF(J$1&lt;&gt;PART_NUMBER_GENERATOR_TABLE[[#This Row],[Work Role]:[Work Role]],0,
IF(RIGHT(J$30,2)&lt;&gt;PART_NUMBER_GENERATOR_TABLE[[#This Row],[Work Type]:[Work Type]],0,
SUMIFS(Input_Tasks[R1 Business Hours],Input_Tasks[[Skill Required]:[Skill Required]],PART_NUMBER_GENERATOR_TABLE[[#This Row],[Tech]:[Tech]])))</f>
        <v>0</v>
      </c>
      <c r="K136" cm="1">
        <f t="array" ref="K136">IF(K$1&lt;&gt;PART_NUMBER_GENERATOR_TABLE[[#This Row],[Work Role]:[Work Role]],0,
IF(RIGHT(K$30,2)&lt;&gt;PART_NUMBER_GENERATOR_TABLE[[#This Row],[Work Type]:[Work Type]],0,
SUMIFS(Input_Tasks[R1 After Hours],Input_Tasks[[Skill Required]:[Skill Required]],PART_NUMBER_GENERATOR_TABLE[[#This Row],[Tech]:[Tech]])))</f>
        <v>0</v>
      </c>
      <c r="L136" cm="1">
        <f t="array" ref="L136">IF(L$1&lt;&gt;PART_NUMBER_GENERATOR_TABLE[[#This Row],[Work Role]:[Work Role]],0,
IF(RIGHT(L$30,2)&lt;&gt;PART_NUMBER_GENERATOR_TABLE[[#This Row],[Work Type]:[Work Type]],0,
SUMIFS(Input_Tasks[R2 Business Hours],Input_Tasks[[Skill Required]:[Skill Required]],PART_NUMBER_GENERATOR_TABLE[[#This Row],[Tech]:[Tech]])))</f>
        <v>0</v>
      </c>
      <c r="M136" cm="1">
        <f t="array" ref="M136">IF(M$1&lt;&gt;PART_NUMBER_GENERATOR_TABLE[[#This Row],[Work Role]:[Work Role]],0,
IF(RIGHT(M$30,2)&lt;&gt;PART_NUMBER_GENERATOR_TABLE[[#This Row],[Work Type]:[Work Type]],0,
SUMIFS(Input_Tasks[R2 After Hours],Input_Tasks[[Skill Required]:[Skill Required]],PART_NUMBER_GENERATOR_TABLE[[#This Row],[Tech]:[Tech]])))</f>
        <v>0</v>
      </c>
      <c r="N136" cm="1">
        <f t="array" ref="N136">IF(N$1&lt;&gt;PART_NUMBER_GENERATOR_TABLE[[#This Row],[Work Role]:[Work Role]],0,
IF(RIGHT(N$30,2)&lt;&gt;PART_NUMBER_GENERATOR_TABLE[[#This Row],[Work Type]:[Work Type]],0,
SUMIFS(Input_Tasks[R3 Business Hours],Input_Tasks[[Skill Required]:[Skill Required]],PART_NUMBER_GENERATOR_TABLE[[#This Row],[Tech]:[Tech]])))</f>
        <v>0</v>
      </c>
      <c r="O136" cm="1">
        <f t="array" ref="O136">IF(O$1&lt;&gt;PART_NUMBER_GENERATOR_TABLE[[#This Row],[Work Role]:[Work Role]],0,
IF(RIGHT(O$30,2)&lt;&gt;PART_NUMBER_GENERATOR_TABLE[[#This Row],[Work Type]:[Work Type]],0,
SUMIFS(Input_Tasks[R3 After Hours],Input_Tasks[[Skill Required]:[Skill Required]],PART_NUMBER_GENERATOR_TABLE[[#This Row],[Tech]:[Tech]])))</f>
        <v>0</v>
      </c>
      <c r="P136" cm="1">
        <f t="array" ref="P136">IF(P$1&lt;&gt;PART_NUMBER_GENERATOR_TABLE[[#This Row],[Work Role]:[Work Role]],0,
IF(RIGHT(P$30,2)&lt;&gt;PART_NUMBER_GENERATOR_TABLE[[#This Row],[Work Type]:[Work Type]],0,
SUMIFS(Input_Tasks[R4 Business Hours],Input_Tasks[[Skill Required]:[Skill Required]],PART_NUMBER_GENERATOR_TABLE[[#This Row],[Tech]:[Tech]])))</f>
        <v>0</v>
      </c>
      <c r="Q136" cm="1">
        <f t="array" ref="Q136">IF(Q$1&lt;&gt;PART_NUMBER_GENERATOR_TABLE[[#This Row],[Work Role]:[Work Role]],0,
IF(RIGHT(Q$30,2)&lt;&gt;PART_NUMBER_GENERATOR_TABLE[[#This Row],[Work Type]:[Work Type]],0,
SUMIFS(Input_Tasks[R4 After Hours],Input_Tasks[[Skill Required]:[Skill Required]],PART_NUMBER_GENERATOR_TABLE[[#This Row],[Tech]:[Tech]])))</f>
        <v>0</v>
      </c>
      <c r="R136" cm="1">
        <f t="array" ref="R136">IF(R$1&lt;&gt;PART_NUMBER_GENERATOR_TABLE[[#This Row],[Work Role]:[Work Role]],0,
IF(RIGHT(R$30,2)&lt;&gt;PART_NUMBER_GENERATOR_TABLE[[#This Row],[Work Type]:[Work Type]],0,
SUMIFS(Input_Tasks[R5 Business Hours],Input_Tasks[[Skill Required]:[Skill Required]],PART_NUMBER_GENERATOR_TABLE[[#This Row],[Tech]:[Tech]])))</f>
        <v>0</v>
      </c>
      <c r="S136" cm="1">
        <f t="array" ref="S136">IF(S$1&lt;&gt;PART_NUMBER_GENERATOR_TABLE[[#This Row],[Work Role]:[Work Role]],0,
IF(RIGHT(S$30,2)&lt;&gt;PART_NUMBER_GENERATOR_TABLE[[#This Row],[Work Type]:[Work Type]],0,
SUMIFS(Input_Tasks[R5 After Hours],Input_Tasks[[Skill Required]:[Skill Required]],PART_NUMBER_GENERATOR_TABLE[[#This Row],[Tech]:[Tech]])))</f>
        <v>0</v>
      </c>
      <c r="T136" cm="1">
        <f t="array" ref="T136">IF(PART_NUMBER_GENERATOR_TABLE[[#This Row],[Work Role]:[Work Role]]&lt;&gt;T$1,0,
IF(PART_NUMBER_GENERATOR_TABLE[[#This Row],[Work Type]:[Work Type]]&lt;&gt;"BH",0,
SUMIFS(T$9:T$24,$M$9:$M$24,PART_NUMBER_GENERATOR_TABLE[[#This Row],[Tech]:[Tech]])))</f>
        <v>0</v>
      </c>
      <c r="U136" cm="1">
        <f t="array" ref="U136">IF(PART_NUMBER_GENERATOR_TABLE[[#This Row],[Work Role]:[Work Role]]&lt;&gt;U$1,0,
IF(PART_NUMBER_GENERATOR_TABLE[[#This Row],[Work Type]:[Work Type]]&lt;&gt;"BH",0,
SUMIFS(U$9:U$24,$M$9:$M$24,PART_NUMBER_GENERATOR_TABLE[[#This Row],[Tech]:[Tech]])))</f>
        <v>0</v>
      </c>
      <c r="V136" cm="1">
        <f t="array" ref="V136">IF(PART_NUMBER_GENERATOR_TABLE[[#This Row],[Work Role]:[Work Role]]&lt;&gt;V$1,0,
IF(PART_NUMBER_GENERATOR_TABLE[[#This Row],[Work Type]:[Work Type]]&lt;&gt;"BH",0,
SUMIFS(V$9:V$24,$M$9:$M$24,PART_NUMBER_GENERATOR_TABLE[[#This Row],[Tech]:[Tech]])))</f>
        <v>0</v>
      </c>
      <c r="W136" cm="1">
        <f t="array" ref="W136">IF(PART_NUMBER_GENERATOR_TABLE[[#This Row],[Work Role]:[Work Role]]&lt;&gt;W$1,0,
IF(PART_NUMBER_GENERATOR_TABLE[[#This Row],[Work Type]:[Work Type]]&lt;&gt;"BH",0,
SUMIFS(W$9:W$24,$M$9:$M$24,PART_NUMBER_GENERATOR_TABLE[[#This Row],[Tech]:[Tech]])))</f>
        <v>0</v>
      </c>
      <c r="X136" cm="1">
        <f t="array" ref="X136">IF(PART_NUMBER_GENERATOR_TABLE[[#This Row],[Work Role]:[Work Role]]&lt;&gt;X$1,0,
IF(PART_NUMBER_GENERATOR_TABLE[[#This Row],[Work Type]:[Work Type]]&lt;&gt;"BH",0,
SUMIFS(X$9:X$24,$M$9:$M$24,PART_NUMBER_GENERATOR_TABLE[[#This Row],[Tech]:[Tech]])))</f>
        <v>0</v>
      </c>
      <c r="Y136" cm="1">
        <f t="array" ref="Y136">IF(PART_NUMBER_GENERATOR_TABLE[[#This Row],[Work Role]:[Work Role]]&lt;&gt;Y$1,0,
IF(PART_NUMBER_GENERATOR_TABLE[[#This Row],[Work Type]:[Work Type]]&lt;&gt;"BH",0,
SUMIFS(Y$9:Y$24,$M$9:$M$24,PART_NUMBER_GENERATOR_TABLE[[#This Row],[Tech]:[Tech]])))</f>
        <v>0</v>
      </c>
      <c r="Z136" cm="1">
        <f t="array" ref="Z136">IF(PART_NUMBER_GENERATOR_TABLE[[#This Row],[Work Role]:[Work Role]]&lt;&gt;Z$1,0,
IF(PART_NUMBER_GENERATOR_TABLE[[#This Row],[Work Type]:[Work Type]]&lt;&gt;"BH",0,
SUMIFS(Z$9:Z$24,$M$9:$M$24,PART_NUMBER_GENERATOR_TABLE[[#This Row],[Tech]:[Tech]])))</f>
        <v>0</v>
      </c>
      <c r="AA136" cm="1">
        <f t="array" ref="AA136">IF(PART_NUMBER_GENERATOR_TABLE[[#This Row],[Work Role]:[Work Role]]&lt;&gt;AA$1,0,
IF(PART_NUMBER_GENERATOR_TABLE[[#This Row],[Work Type]:[Work Type]]&lt;&gt;"BH",0,
SUMIFS(AA$9:AA$24,$M$9:$M$24,PART_NUMBER_GENERATOR_TABLE[[#This Row],[Tech]:[Tech]])))</f>
        <v>0</v>
      </c>
      <c r="AB136" cm="1">
        <f t="array" ref="AB136">IF(PART_NUMBER_GENERATOR_TABLE[[#This Row],[Work Role]:[Work Role]]&lt;&gt;AB$1,0,
IF(PART_NUMBER_GENERATOR_TABLE[[#This Row],[Work Type]:[Work Type]]&lt;&gt;"BH",0,
SUMIFS(AB$9:AB$24,$M$9:$M$24,PART_NUMBER_GENERATOR_TABLE[[#This Row],[Tech]:[Tech]])))</f>
        <v>0</v>
      </c>
      <c r="AC136" cm="1">
        <f t="array" ref="AC136">IF(PART_NUMBER_GENERATOR_TABLE[[#This Row],[Work Role]:[Work Role]]&lt;&gt;AC$1,0,
IF(PART_NUMBER_GENERATOR_TABLE[[#This Row],[Work Type]:[Work Type]]&lt;&gt;"BH",0,
SUMIFS(AC$9:AC$24,$M$9:$M$24,PART_NUMBER_GENERATOR_TABLE[[#This Row],[Tech]:[Tech]])))</f>
        <v>0</v>
      </c>
      <c r="AD136" cm="1">
        <f t="array" ref="AD136">IF(PART_NUMBER_GENERATOR_TABLE[[#This Row],[Work Role]:[Work Role]]&lt;&gt;AD$1,0,
IF(PART_NUMBER_GENERATOR_TABLE[[#This Row],[Work Type]:[Work Type]]&lt;&gt;"BH",0,
SUMIFS(AD$9:AD$24,$M$9:$M$24,PART_NUMBER_GENERATOR_TABLE[[#This Row],[Tech]:[Tech]])))</f>
        <v>0</v>
      </c>
      <c r="AE136" cm="1">
        <f t="array" ref="AE136">IF(PART_NUMBER_GENERATOR_TABLE[[#This Row],[Work Role]:[Work Role]]&lt;&gt;AE$1,0,
IF(PART_NUMBER_GENERATOR_TABLE[[#This Row],[Work Type]:[Work Type]]&lt;&gt;"BH",0,
SUMIFS(AE$9:AE$24,$M$9:$M$24,PART_NUMBER_GENERATOR_TABLE[[#This Row],[Tech]:[Tech]])))</f>
        <v>0</v>
      </c>
      <c r="AF136" cm="1">
        <f t="array" ref="AF136">IF(PART_NUMBER_GENERATOR_TABLE[[#This Row],[Work Role]:[Work Role]]&lt;&gt;AF$1,0,
IF(PART_NUMBER_GENERATOR_TABLE[[#This Row],[Work Type]:[Work Type]]&lt;&gt;"BH",0,
SUMIFS(AF$9:AF$24,$M$9:$M$24,PART_NUMBER_GENERATOR_TABLE[[#This Row],[Tech]:[Tech]])))</f>
        <v>0</v>
      </c>
      <c r="AG136" cm="1">
        <f t="array" ref="AG136">IF(PART_NUMBER_GENERATOR_TABLE[[#This Row],[Work Role]:[Work Role]]&lt;&gt;AG$1,0,
IF(PART_NUMBER_GENERATOR_TABLE[[#This Row],[Work Type]:[Work Type]]&lt;&gt;"AH",0,
SUMIFS(AG$9:AG$24,$M$9:$M$24,PART_NUMBER_GENERATOR_TABLE[[#This Row],[Tech]:[Tech]])))</f>
        <v>0</v>
      </c>
      <c r="AH136" cm="1">
        <f t="array" ref="AH136">IF(PART_NUMBER_GENERATOR_TABLE[[#This Row],[Work Role]:[Work Role]]&lt;&gt;AH$1,0,
IF(PART_NUMBER_GENERATOR_TABLE[[#This Row],[Work Type]:[Work Type]]&lt;&gt;"BH",0,
SUMIFS(AH$9:AH$24,$M$9:$M$24,PART_NUMBER_GENERATOR_TABLE[[#This Row],[Tech]:[Tech]])))</f>
        <v>0</v>
      </c>
      <c r="AI136" cm="1">
        <f t="array" ref="AI136">IF(PART_NUMBER_GENERATOR_TABLE[[#This Row],[Work Role]:[Work Role]]&lt;&gt;AI$1,0,
IF(PART_NUMBER_GENERATOR_TABLE[[#This Row],[Work Type]:[Work Type]]&lt;&gt;"BH",0,
SUMIFS(AI$9:AI$24,$M$9:$M$24,PART_NUMBER_GENERATOR_TABLE[[#This Row],[Tech]:[Tech]])))</f>
        <v>0</v>
      </c>
      <c r="AJ136" cm="1">
        <f t="array" ref="AJ136">IF(PART_NUMBER_GENERATOR_TABLE[[#This Row],[Work Role]:[Work Role]]&lt;&gt;AJ$1,0,
IF(PART_NUMBER_GENERATOR_TABLE[[#This Row],[Work Type]:[Work Type]]&lt;&gt;"BH",0,
SUMIFS(AJ$9:AJ$24,$M$9:$M$24,PART_NUMBER_GENERATOR_TABLE[[#This Row],[Tech]:[Tech]])))</f>
        <v>0</v>
      </c>
      <c r="AK136" cm="1">
        <f t="array" ref="AK136">IF(PART_NUMBER_GENERATOR_TABLE[[#This Row],[Work Role]:[Work Role]]&lt;&gt;AK$1,0,
IF(PART_NUMBER_GENERATOR_TABLE[[#This Row],[Work Type]:[Work Type]]&lt;&gt;"AH",0,
SUMIFS(AK$9:AK$24,$M$9:$M$24,PART_NUMBER_GENERATOR_TABLE[[#This Row],[Tech]:[Tech]])))</f>
        <v>0</v>
      </c>
      <c r="AL136" cm="1">
        <f t="array" ref="AL136">IF(PART_NUMBER_GENERATOR_TABLE[[#This Row],[Work Role]:[Work Role]]&lt;&gt;AL$1,0,
IF(PART_NUMBER_GENERATOR_TABLE[[#This Row],[Work Type]:[Work Type]]&lt;&gt;"BH",0,
SUMIFS(AL$9:AL$24,$M$9:$M$24,PART_NUMBER_GENERATOR_TABLE[[#This Row],[Tech]:[Tech]])))</f>
        <v>0</v>
      </c>
      <c r="AM136">
        <f>0</f>
        <v>0</v>
      </c>
      <c r="AN136" cm="1">
        <f t="array" ref="AN136">IF(PART_NUMBER_GENERATOR_TABLE[[#This Row],[Work Role]:[Work Role]]&lt;&gt;AN$1,0,
IF(PART_NUMBER_GENERATOR_TABLE[[#This Row],[Work Type]:[Work Type]]&lt;&gt;"BH",0,
SUMIFS(AN$24,$AM$24,PART_NUMBER_GENERATOR_TABLE[[#This Row],[Tech]:[Tech]])))</f>
        <v>0</v>
      </c>
      <c r="AO136" cm="1">
        <f t="array" ref="AO136">IF(PART_NUMBER_GENERATOR_TABLE[[#This Row],[Work Role]:[Work Role]]&lt;&gt;AO$1,0,
IF(PART_NUMBER_GENERATOR_TABLE[[#This Row],[Work Type]:[Work Type]]&lt;&gt;"BH",0,
SUMIFS(AO$24,$AM$24,PART_NUMBER_GENERATOR_TABLE[[#This Row],[Tech]:[Tech]])))</f>
        <v>0</v>
      </c>
      <c r="AP136" cm="1">
        <f t="array" ref="AP136">IF(PART_NUMBER_GENERATOR_TABLE[[#This Row],[Work Role]:[Work Role]]&lt;&gt;AP$1,0,
IF(PART_NUMBER_GENERATOR_TABLE[[#This Row],[Work Type]:[Work Type]]&lt;&gt;"BH",0,
SUMIFS(AP$24,$AM$24,PART_NUMBER_GENERATOR_TABLE[[#This Row],[Tech]:[Tech]])))</f>
        <v>0</v>
      </c>
      <c r="AQ136" cm="1">
        <f t="array" ref="AQ136">IF(PART_NUMBER_GENERATOR_TABLE[[#This Row],[Work Role]:[Work Role]]&lt;&gt;AQ$1,0,
IF(PART_NUMBER_GENERATOR_TABLE[[#This Row],[Work Type]:[Work Type]]&lt;&gt;"BH",0,
SUMIFS(AQ$24,$AM$24,PART_NUMBER_GENERATOR_TABLE[[#This Row],[Tech]:[Tech]])))</f>
        <v>0</v>
      </c>
      <c r="AR136" cm="1">
        <f t="array" ref="AR136">IF(PART_NUMBER_GENERATOR_TABLE[[#This Row],[Work Role]:[Work Role]]&lt;&gt;AR$1,0,
IF(PART_NUMBER_GENERATOR_TABLE[[#This Row],[Work Type]:[Work Type]]&lt;&gt;"BH",0,
SUMIFS(AR$24,$AM$24,PART_NUMBER_GENERATOR_TABLE[[#This Row],[Tech]:[Tech]])))</f>
        <v>0</v>
      </c>
      <c r="AS136" cm="1">
        <f t="array" ref="AS136">IF(PART_NUMBER_GENERATOR_TABLE[[#This Row],[Work Role]:[Work Role]]&lt;&gt;AS$1,0,
IF(PART_NUMBER_GENERATOR_TABLE[[#This Row],[Work Type]:[Work Type]]&lt;&gt;"BH",0,
SUMIFS(AS$24,$AM$24,PART_NUMBER_GENERATOR_TABLE[[#This Row],[Tech]:[Tech]])))</f>
        <v>0</v>
      </c>
      <c r="AT136" cm="1">
        <f t="array" ref="AT136">IF(PART_NUMBER_GENERATOR_TABLE[[#This Row],[Work Role]:[Work Role]]&lt;&gt;AS$1,0,
IF(PART_NUMBER_GENERATOR_TABLE[[#This Row],[Work Type]:[Work Type]]&lt;&gt;"BH",0,
SUMIFS(AT$24,$AM$24,PART_NUMBER_GENERATOR_TABLE[[#This Row],[Tech]:[Tech]])))</f>
        <v>0</v>
      </c>
      <c r="AU136">
        <f>SUM(PART_NUMBER_GENERATOR_TABLE[[#This Row],[Resource 1 BH]:[Resource 5 AH]],PART_NUMBER_GENERATOR_TABLE[[#This Row],[R1 Mandatory Tasks]:[R5 Mandatory Tasks]],PART_NUMBER_GENERATOR_TABLE[[#This Row],[R1 Remainder]:[R5 Remainder]])</f>
        <v>0</v>
      </c>
      <c r="AV136">
        <f>PART_NUMBER_GENERATOR_TABLE[[#This Row],[Professional Engineering Hours]]*PART_NUMBER_GENERATOR_TABLE[[#This Row],[Sell Rate]]</f>
        <v>0</v>
      </c>
      <c r="AW136">
        <f>PART_NUMBER_GENERATOR_TABLE[[#This Row],[Professional Engineering Hours]]*PART_NUMBER_GENERATOR_TABLE[[#This Row],[Cost Rate]]</f>
        <v>0</v>
      </c>
      <c r="AX136">
        <f>SUM(PART_NUMBER_GENERATOR_TABLE[[#This Row],[PM Trips]:[R5 Trips]])</f>
        <v>0</v>
      </c>
      <c r="AY136">
        <f>PART_NUMBER_GENERATOR_TABLE[[#This Row],[Travel &amp; Accommodation Hours]]*PART_NUMBER_GENERATOR_TABLE[[#This Row],[Sell Rate]]</f>
        <v>0</v>
      </c>
      <c r="AZ136">
        <f>PART_NUMBER_GENERATOR_TABLE[[#This Row],[Travel &amp; Accommodation Hours]]*PART_NUMBER_GENERATOR_TABLE[[#This Row],[Cost Rate]]</f>
        <v>0</v>
      </c>
      <c r="BA136">
        <f>PART_NUMBER_GENERATOR_TABLE[[#This Row],[PM Hours]]+PART_NUMBER_GENERATOR_TABLE[[#This Row],[PM Remainder]]</f>
        <v>0</v>
      </c>
      <c r="BB136">
        <f>PART_NUMBER_GENERATOR_TABLE[[#This Row],[Project Management Hours]]*PART_NUMBER_GENERATOR_TABLE[[#This Row],[Sell Rate]]</f>
        <v>0</v>
      </c>
      <c r="BC136">
        <f>PART_NUMBER_GENERATOR_TABLE[[#This Row],[Project Management Hours]]*PART_NUMBER_GENERATOR_TABLE[[#This Row],[Cost Rate]]</f>
        <v>0</v>
      </c>
      <c r="BD136">
        <f>SUM(PART_NUMBER_GENERATOR_TABLE[[#This Row],[SSE RISK BH]:[PM RISK]],PART_NUMBER_GENERATOR_TABLE[[#This Row],[SSE Remainder RISK BH]:[PM Remainder RISK]])</f>
        <v>0</v>
      </c>
      <c r="BE136">
        <f>PART_NUMBER_GENERATOR_TABLE[[#This Row],[Project Risk Service Hours]]*PART_NUMBER_GENERATOR_TABLE[[#This Row],[Sell Rate]]</f>
        <v>0</v>
      </c>
      <c r="BF136">
        <f>PART_NUMBER_GENERATOR_TABLE[[#This Row],[Project Risk Service Hours]]*PART_NUMBER_GENERATOR_TABLE[[#This Row],[Cost Rate]]</f>
        <v>0</v>
      </c>
      <c r="BG136">
        <f>PART_NUMBER_GENERATOR_TABLE[[#This Row],[SSE RISK TRAVEL]]</f>
        <v>0</v>
      </c>
      <c r="BH136">
        <f>PART_NUMBER_GENERATOR_TABLE[[#This Row],[Sell Rate]]*PART_NUMBER_GENERATOR_TABLE[[#This Row],[Project Risk Travel Hours]]</f>
        <v>0</v>
      </c>
      <c r="BI136">
        <f>PART_NUMBER_GENERATOR_TABLE[[#This Row],[Project Risk Travel Hours]]*PART_NUMBER_GENERATOR_TABLE[[#This Row],[Cost Rate]]</f>
        <v>0</v>
      </c>
      <c r="BJ13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3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36">
        <f>IFERROR(-VLOOKUP(INDEX(ENGINEER_ROLES,MATCH(PART_NUMBER_GENERATOR_TABLE[[#This Row],[Work Role]],settings.Table_Engineer.Roles[ID],0),1),Settings_Hidden!$H$359:$K$366,4,FALSE),0)</f>
        <v>0</v>
      </c>
      <c r="BM136" s="680">
        <f>-Summary!$C$66</f>
        <v>0</v>
      </c>
      <c r="BN136" s="465">
        <f>PART_NUMBER_GENERATOR_TABLE[[#This Row],[Total Base Price]]*MIN(PART_NUMBER_GENERATOR_TABLE[[#This Row],[Rate Service Discount]:[Flat Service Discount]])</f>
        <v>0</v>
      </c>
      <c r="BO136" s="451" t="str">
        <f>IF(PART_NUMBER_GENERATOR_TABLE[[#This Row],[Quantity]]&lt;&gt;0,MAX($BO$30:BO135)+1,"")</f>
        <v/>
      </c>
      <c r="BP136" t="str">
        <f>PART_NUMBER_GENERATOR_TABLE[[#This Row],[Part Number]]</f>
        <v>A-PS-C-SECURE-SA-BH</v>
      </c>
      <c r="BQ136">
        <f>PART_NUMBER_GENERATOR_TABLE[[#This Row],[Total Hours]]</f>
        <v>0</v>
      </c>
      <c r="BR136">
        <f>PART_NUMBER_GENERATOR_TABLE[[#This Row],[Cost Rate]]</f>
        <v>167.61034913968996</v>
      </c>
      <c r="BS136" s="465">
        <f>PART_NUMBER_GENERATOR_TABLE[[#This Row],[Sell Rate]]+(PART_NUMBER_GENERATOR_TABLE[[#This Row],[Sell Rate]]*MIN(PART_NUMBER_GENERATOR_TABLE[[#This Row],[Rate Service Discount]:[Flat Service Discount]]))</f>
        <v>315</v>
      </c>
    </row>
    <row r="137" spans="1:71">
      <c r="A137">
        <v>107</v>
      </c>
      <c r="C137" t="s">
        <v>1113</v>
      </c>
      <c r="D137" t="str" cm="1">
        <f t="array" ref="D137">INDEX(Table.Settings_Skill.List[Skill Name],MATCH(INDEX(_xlfn.TEXTSPLIT(C137,"-",,TRUE),4),Table.Settings_Skill.List[Skill Code],0),1)</f>
        <v>Secure Networking</v>
      </c>
      <c r="E137" t="str" cm="1">
        <f t="array" ref="E137">INDEX(_xlfn.TEXTSPLIT(C137,"-",,TRUE),5)</f>
        <v>SC</v>
      </c>
      <c r="F137" t="str">
        <f>IFERROR(INDEX(settings.Table_Engineer.Roles[Department Code],MATCH(PART_NUMBER_GENERATOR_TABLE[[#This Row],[Work Role]],settings.Table_Engineer.Roles[ID],0),1),"PMO")</f>
        <v>CON</v>
      </c>
      <c r="G137" t="str" cm="1">
        <f t="array" ref="G137">INDEX(_xlfn.TEXTSPLIT(C137,"-",,TRUE),6)</f>
        <v>BH</v>
      </c>
      <c r="H13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3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37" cm="1">
        <f t="array" ref="J137">IF(J$1&lt;&gt;PART_NUMBER_GENERATOR_TABLE[[#This Row],[Work Role]:[Work Role]],0,
IF(RIGHT(J$30,2)&lt;&gt;PART_NUMBER_GENERATOR_TABLE[[#This Row],[Work Type]:[Work Type]],0,
SUMIFS(Input_Tasks[R1 Business Hours],Input_Tasks[[Skill Required]:[Skill Required]],PART_NUMBER_GENERATOR_TABLE[[#This Row],[Tech]:[Tech]])))</f>
        <v>0</v>
      </c>
      <c r="K137" cm="1">
        <f t="array" ref="K137">IF(K$1&lt;&gt;PART_NUMBER_GENERATOR_TABLE[[#This Row],[Work Role]:[Work Role]],0,
IF(RIGHT(K$30,2)&lt;&gt;PART_NUMBER_GENERATOR_TABLE[[#This Row],[Work Type]:[Work Type]],0,
SUMIFS(Input_Tasks[R1 After Hours],Input_Tasks[[Skill Required]:[Skill Required]],PART_NUMBER_GENERATOR_TABLE[[#This Row],[Tech]:[Tech]])))</f>
        <v>0</v>
      </c>
      <c r="L137" cm="1">
        <f t="array" ref="L137">IF(L$1&lt;&gt;PART_NUMBER_GENERATOR_TABLE[[#This Row],[Work Role]:[Work Role]],0,
IF(RIGHT(L$30,2)&lt;&gt;PART_NUMBER_GENERATOR_TABLE[[#This Row],[Work Type]:[Work Type]],0,
SUMIFS(Input_Tasks[R2 Business Hours],Input_Tasks[[Skill Required]:[Skill Required]],PART_NUMBER_GENERATOR_TABLE[[#This Row],[Tech]:[Tech]])))</f>
        <v>0</v>
      </c>
      <c r="M137" cm="1">
        <f t="array" ref="M137">IF(M$1&lt;&gt;PART_NUMBER_GENERATOR_TABLE[[#This Row],[Work Role]:[Work Role]],0,
IF(RIGHT(M$30,2)&lt;&gt;PART_NUMBER_GENERATOR_TABLE[[#This Row],[Work Type]:[Work Type]],0,
SUMIFS(Input_Tasks[R2 After Hours],Input_Tasks[[Skill Required]:[Skill Required]],PART_NUMBER_GENERATOR_TABLE[[#This Row],[Tech]:[Tech]])))</f>
        <v>0</v>
      </c>
      <c r="N137" cm="1">
        <f t="array" ref="N137">IF(N$1&lt;&gt;PART_NUMBER_GENERATOR_TABLE[[#This Row],[Work Role]:[Work Role]],0,
IF(RIGHT(N$30,2)&lt;&gt;PART_NUMBER_GENERATOR_TABLE[[#This Row],[Work Type]:[Work Type]],0,
SUMIFS(Input_Tasks[R3 Business Hours],Input_Tasks[[Skill Required]:[Skill Required]],PART_NUMBER_GENERATOR_TABLE[[#This Row],[Tech]:[Tech]])))</f>
        <v>0</v>
      </c>
      <c r="O137" cm="1">
        <f t="array" ref="O137">IF(O$1&lt;&gt;PART_NUMBER_GENERATOR_TABLE[[#This Row],[Work Role]:[Work Role]],0,
IF(RIGHT(O$30,2)&lt;&gt;PART_NUMBER_GENERATOR_TABLE[[#This Row],[Work Type]:[Work Type]],0,
SUMIFS(Input_Tasks[R3 After Hours],Input_Tasks[[Skill Required]:[Skill Required]],PART_NUMBER_GENERATOR_TABLE[[#This Row],[Tech]:[Tech]])))</f>
        <v>0</v>
      </c>
      <c r="P137" cm="1">
        <f t="array" ref="P137">IF(P$1&lt;&gt;PART_NUMBER_GENERATOR_TABLE[[#This Row],[Work Role]:[Work Role]],0,
IF(RIGHT(P$30,2)&lt;&gt;PART_NUMBER_GENERATOR_TABLE[[#This Row],[Work Type]:[Work Type]],0,
SUMIFS(Input_Tasks[R4 Business Hours],Input_Tasks[[Skill Required]:[Skill Required]],PART_NUMBER_GENERATOR_TABLE[[#This Row],[Tech]:[Tech]])))</f>
        <v>0</v>
      </c>
      <c r="Q137" cm="1">
        <f t="array" ref="Q137">IF(Q$1&lt;&gt;PART_NUMBER_GENERATOR_TABLE[[#This Row],[Work Role]:[Work Role]],0,
IF(RIGHT(Q$30,2)&lt;&gt;PART_NUMBER_GENERATOR_TABLE[[#This Row],[Work Type]:[Work Type]],0,
SUMIFS(Input_Tasks[R4 After Hours],Input_Tasks[[Skill Required]:[Skill Required]],PART_NUMBER_GENERATOR_TABLE[[#This Row],[Tech]:[Tech]])))</f>
        <v>0</v>
      </c>
      <c r="R137" cm="1">
        <f t="array" ref="R137">IF(R$1&lt;&gt;PART_NUMBER_GENERATOR_TABLE[[#This Row],[Work Role]:[Work Role]],0,
IF(RIGHT(R$30,2)&lt;&gt;PART_NUMBER_GENERATOR_TABLE[[#This Row],[Work Type]:[Work Type]],0,
SUMIFS(Input_Tasks[R5 Business Hours],Input_Tasks[[Skill Required]:[Skill Required]],PART_NUMBER_GENERATOR_TABLE[[#This Row],[Tech]:[Tech]])))</f>
        <v>0</v>
      </c>
      <c r="S137" cm="1">
        <f t="array" ref="S137">IF(S$1&lt;&gt;PART_NUMBER_GENERATOR_TABLE[[#This Row],[Work Role]:[Work Role]],0,
IF(RIGHT(S$30,2)&lt;&gt;PART_NUMBER_GENERATOR_TABLE[[#This Row],[Work Type]:[Work Type]],0,
SUMIFS(Input_Tasks[R5 After Hours],Input_Tasks[[Skill Required]:[Skill Required]],PART_NUMBER_GENERATOR_TABLE[[#This Row],[Tech]:[Tech]])))</f>
        <v>0</v>
      </c>
      <c r="T137" cm="1">
        <f t="array" ref="T137">IF(PART_NUMBER_GENERATOR_TABLE[[#This Row],[Work Role]:[Work Role]]&lt;&gt;T$1,0,
IF(PART_NUMBER_GENERATOR_TABLE[[#This Row],[Work Type]:[Work Type]]&lt;&gt;"BH",0,
SUMIFS(T$9:T$24,$M$9:$M$24,PART_NUMBER_GENERATOR_TABLE[[#This Row],[Tech]:[Tech]])))</f>
        <v>0</v>
      </c>
      <c r="U137" cm="1">
        <f t="array" ref="U137">IF(PART_NUMBER_GENERATOR_TABLE[[#This Row],[Work Role]:[Work Role]]&lt;&gt;U$1,0,
IF(PART_NUMBER_GENERATOR_TABLE[[#This Row],[Work Type]:[Work Type]]&lt;&gt;"BH",0,
SUMIFS(U$9:U$24,$M$9:$M$24,PART_NUMBER_GENERATOR_TABLE[[#This Row],[Tech]:[Tech]])))</f>
        <v>0</v>
      </c>
      <c r="V137" cm="1">
        <f t="array" ref="V137">IF(PART_NUMBER_GENERATOR_TABLE[[#This Row],[Work Role]:[Work Role]]&lt;&gt;V$1,0,
IF(PART_NUMBER_GENERATOR_TABLE[[#This Row],[Work Type]:[Work Type]]&lt;&gt;"BH",0,
SUMIFS(V$9:V$24,$M$9:$M$24,PART_NUMBER_GENERATOR_TABLE[[#This Row],[Tech]:[Tech]])))</f>
        <v>0</v>
      </c>
      <c r="W137" cm="1">
        <f t="array" ref="W137">IF(PART_NUMBER_GENERATOR_TABLE[[#This Row],[Work Role]:[Work Role]]&lt;&gt;W$1,0,
IF(PART_NUMBER_GENERATOR_TABLE[[#This Row],[Work Type]:[Work Type]]&lt;&gt;"BH",0,
SUMIFS(W$9:W$24,$M$9:$M$24,PART_NUMBER_GENERATOR_TABLE[[#This Row],[Tech]:[Tech]])))</f>
        <v>0</v>
      </c>
      <c r="X137" cm="1">
        <f t="array" ref="X137">IF(PART_NUMBER_GENERATOR_TABLE[[#This Row],[Work Role]:[Work Role]]&lt;&gt;X$1,0,
IF(PART_NUMBER_GENERATOR_TABLE[[#This Row],[Work Type]:[Work Type]]&lt;&gt;"BH",0,
SUMIFS(X$9:X$24,$M$9:$M$24,PART_NUMBER_GENERATOR_TABLE[[#This Row],[Tech]:[Tech]])))</f>
        <v>0</v>
      </c>
      <c r="Y137" cm="1">
        <f t="array" ref="Y137">IF(PART_NUMBER_GENERATOR_TABLE[[#This Row],[Work Role]:[Work Role]]&lt;&gt;Y$1,0,
IF(PART_NUMBER_GENERATOR_TABLE[[#This Row],[Work Type]:[Work Type]]&lt;&gt;"BH",0,
SUMIFS(Y$9:Y$24,$M$9:$M$24,PART_NUMBER_GENERATOR_TABLE[[#This Row],[Tech]:[Tech]])))</f>
        <v>0</v>
      </c>
      <c r="Z137" cm="1">
        <f t="array" ref="Z137">IF(PART_NUMBER_GENERATOR_TABLE[[#This Row],[Work Role]:[Work Role]]&lt;&gt;Z$1,0,
IF(PART_NUMBER_GENERATOR_TABLE[[#This Row],[Work Type]:[Work Type]]&lt;&gt;"BH",0,
SUMIFS(Z$9:Z$24,$M$9:$M$24,PART_NUMBER_GENERATOR_TABLE[[#This Row],[Tech]:[Tech]])))</f>
        <v>0</v>
      </c>
      <c r="AA137" cm="1">
        <f t="array" ref="AA137">IF(PART_NUMBER_GENERATOR_TABLE[[#This Row],[Work Role]:[Work Role]]&lt;&gt;AA$1,0,
IF(PART_NUMBER_GENERATOR_TABLE[[#This Row],[Work Type]:[Work Type]]&lt;&gt;"BH",0,
SUMIFS(AA$9:AA$24,$M$9:$M$24,PART_NUMBER_GENERATOR_TABLE[[#This Row],[Tech]:[Tech]])))</f>
        <v>0</v>
      </c>
      <c r="AB137" cm="1">
        <f t="array" ref="AB137">IF(PART_NUMBER_GENERATOR_TABLE[[#This Row],[Work Role]:[Work Role]]&lt;&gt;AB$1,0,
IF(PART_NUMBER_GENERATOR_TABLE[[#This Row],[Work Type]:[Work Type]]&lt;&gt;"BH",0,
SUMIFS(AB$9:AB$24,$M$9:$M$24,PART_NUMBER_GENERATOR_TABLE[[#This Row],[Tech]:[Tech]])))</f>
        <v>0</v>
      </c>
      <c r="AC137" cm="1">
        <f t="array" ref="AC137">IF(PART_NUMBER_GENERATOR_TABLE[[#This Row],[Work Role]:[Work Role]]&lt;&gt;AC$1,0,
IF(PART_NUMBER_GENERATOR_TABLE[[#This Row],[Work Type]:[Work Type]]&lt;&gt;"BH",0,
SUMIFS(AC$9:AC$24,$M$9:$M$24,PART_NUMBER_GENERATOR_TABLE[[#This Row],[Tech]:[Tech]])))</f>
        <v>0</v>
      </c>
      <c r="AD137" cm="1">
        <f t="array" ref="AD137">IF(PART_NUMBER_GENERATOR_TABLE[[#This Row],[Work Role]:[Work Role]]&lt;&gt;AD$1,0,
IF(PART_NUMBER_GENERATOR_TABLE[[#This Row],[Work Type]:[Work Type]]&lt;&gt;"BH",0,
SUMIFS(AD$9:AD$24,$M$9:$M$24,PART_NUMBER_GENERATOR_TABLE[[#This Row],[Tech]:[Tech]])))</f>
        <v>0</v>
      </c>
      <c r="AE137" cm="1">
        <f t="array" ref="AE137">IF(PART_NUMBER_GENERATOR_TABLE[[#This Row],[Work Role]:[Work Role]]&lt;&gt;AE$1,0,
IF(PART_NUMBER_GENERATOR_TABLE[[#This Row],[Work Type]:[Work Type]]&lt;&gt;"BH",0,
SUMIFS(AE$9:AE$24,$M$9:$M$24,PART_NUMBER_GENERATOR_TABLE[[#This Row],[Tech]:[Tech]])))</f>
        <v>0</v>
      </c>
      <c r="AF137" cm="1">
        <f t="array" ref="AF137">IF(PART_NUMBER_GENERATOR_TABLE[[#This Row],[Work Role]:[Work Role]]&lt;&gt;AF$1,0,
IF(PART_NUMBER_GENERATOR_TABLE[[#This Row],[Work Type]:[Work Type]]&lt;&gt;"BH",0,
SUMIFS(AF$9:AF$24,$M$9:$M$24,PART_NUMBER_GENERATOR_TABLE[[#This Row],[Tech]:[Tech]])))</f>
        <v>0</v>
      </c>
      <c r="AG137" cm="1">
        <f t="array" ref="AG137">IF(PART_NUMBER_GENERATOR_TABLE[[#This Row],[Work Role]:[Work Role]]&lt;&gt;AG$1,0,
IF(PART_NUMBER_GENERATOR_TABLE[[#This Row],[Work Type]:[Work Type]]&lt;&gt;"AH",0,
SUMIFS(AG$9:AG$24,$M$9:$M$24,PART_NUMBER_GENERATOR_TABLE[[#This Row],[Tech]:[Tech]])))</f>
        <v>0</v>
      </c>
      <c r="AH137" cm="1">
        <f t="array" ref="AH137">IF(PART_NUMBER_GENERATOR_TABLE[[#This Row],[Work Role]:[Work Role]]&lt;&gt;AH$1,0,
IF(PART_NUMBER_GENERATOR_TABLE[[#This Row],[Work Type]:[Work Type]]&lt;&gt;"BH",0,
SUMIFS(AH$9:AH$24,$M$9:$M$24,PART_NUMBER_GENERATOR_TABLE[[#This Row],[Tech]:[Tech]])))</f>
        <v>0</v>
      </c>
      <c r="AI137" cm="1">
        <f t="array" ref="AI137">IF(PART_NUMBER_GENERATOR_TABLE[[#This Row],[Work Role]:[Work Role]]&lt;&gt;AI$1,0,
IF(PART_NUMBER_GENERATOR_TABLE[[#This Row],[Work Type]:[Work Type]]&lt;&gt;"BH",0,
SUMIFS(AI$9:AI$24,$M$9:$M$24,PART_NUMBER_GENERATOR_TABLE[[#This Row],[Tech]:[Tech]])))</f>
        <v>0</v>
      </c>
      <c r="AJ137" cm="1">
        <f t="array" ref="AJ137">IF(PART_NUMBER_GENERATOR_TABLE[[#This Row],[Work Role]:[Work Role]]&lt;&gt;AJ$1,0,
IF(PART_NUMBER_GENERATOR_TABLE[[#This Row],[Work Type]:[Work Type]]&lt;&gt;"BH",0,
SUMIFS(AJ$9:AJ$24,$M$9:$M$24,PART_NUMBER_GENERATOR_TABLE[[#This Row],[Tech]:[Tech]])))</f>
        <v>0</v>
      </c>
      <c r="AK137" cm="1">
        <f t="array" ref="AK137">IF(PART_NUMBER_GENERATOR_TABLE[[#This Row],[Work Role]:[Work Role]]&lt;&gt;AK$1,0,
IF(PART_NUMBER_GENERATOR_TABLE[[#This Row],[Work Type]:[Work Type]]&lt;&gt;"AH",0,
SUMIFS(AK$9:AK$24,$M$9:$M$24,PART_NUMBER_GENERATOR_TABLE[[#This Row],[Tech]:[Tech]])))</f>
        <v>0</v>
      </c>
      <c r="AL137" cm="1">
        <f t="array" ref="AL137">IF(PART_NUMBER_GENERATOR_TABLE[[#This Row],[Work Role]:[Work Role]]&lt;&gt;AL$1,0,
IF(PART_NUMBER_GENERATOR_TABLE[[#This Row],[Work Type]:[Work Type]]&lt;&gt;"BH",0,
SUMIFS(AL$9:AL$24,$M$9:$M$24,PART_NUMBER_GENERATOR_TABLE[[#This Row],[Tech]:[Tech]])))</f>
        <v>0</v>
      </c>
      <c r="AM137">
        <f>0</f>
        <v>0</v>
      </c>
      <c r="AN137" cm="1">
        <f t="array" ref="AN137">IF(PART_NUMBER_GENERATOR_TABLE[[#This Row],[Work Role]:[Work Role]]&lt;&gt;AN$1,0,
IF(PART_NUMBER_GENERATOR_TABLE[[#This Row],[Work Type]:[Work Type]]&lt;&gt;"BH",0,
SUMIFS(AN$24,$AM$24,PART_NUMBER_GENERATOR_TABLE[[#This Row],[Tech]:[Tech]])))</f>
        <v>0</v>
      </c>
      <c r="AO137" cm="1">
        <f t="array" ref="AO137">IF(PART_NUMBER_GENERATOR_TABLE[[#This Row],[Work Role]:[Work Role]]&lt;&gt;AO$1,0,
IF(PART_NUMBER_GENERATOR_TABLE[[#This Row],[Work Type]:[Work Type]]&lt;&gt;"BH",0,
SUMIFS(AO$24,$AM$24,PART_NUMBER_GENERATOR_TABLE[[#This Row],[Tech]:[Tech]])))</f>
        <v>0</v>
      </c>
      <c r="AP137" cm="1">
        <f t="array" ref="AP137">IF(PART_NUMBER_GENERATOR_TABLE[[#This Row],[Work Role]:[Work Role]]&lt;&gt;AP$1,0,
IF(PART_NUMBER_GENERATOR_TABLE[[#This Row],[Work Type]:[Work Type]]&lt;&gt;"BH",0,
SUMIFS(AP$24,$AM$24,PART_NUMBER_GENERATOR_TABLE[[#This Row],[Tech]:[Tech]])))</f>
        <v>0</v>
      </c>
      <c r="AQ137" cm="1">
        <f t="array" ref="AQ137">IF(PART_NUMBER_GENERATOR_TABLE[[#This Row],[Work Role]:[Work Role]]&lt;&gt;AQ$1,0,
IF(PART_NUMBER_GENERATOR_TABLE[[#This Row],[Work Type]:[Work Type]]&lt;&gt;"BH",0,
SUMIFS(AQ$24,$AM$24,PART_NUMBER_GENERATOR_TABLE[[#This Row],[Tech]:[Tech]])))</f>
        <v>0</v>
      </c>
      <c r="AR137" cm="1">
        <f t="array" ref="AR137">IF(PART_NUMBER_GENERATOR_TABLE[[#This Row],[Work Role]:[Work Role]]&lt;&gt;AR$1,0,
IF(PART_NUMBER_GENERATOR_TABLE[[#This Row],[Work Type]:[Work Type]]&lt;&gt;"BH",0,
SUMIFS(AR$24,$AM$24,PART_NUMBER_GENERATOR_TABLE[[#This Row],[Tech]:[Tech]])))</f>
        <v>0</v>
      </c>
      <c r="AS137" cm="1">
        <f t="array" ref="AS137">IF(PART_NUMBER_GENERATOR_TABLE[[#This Row],[Work Role]:[Work Role]]&lt;&gt;AS$1,0,
IF(PART_NUMBER_GENERATOR_TABLE[[#This Row],[Work Type]:[Work Type]]&lt;&gt;"BH",0,
SUMIFS(AS$24,$AM$24,PART_NUMBER_GENERATOR_TABLE[[#This Row],[Tech]:[Tech]])))</f>
        <v>0</v>
      </c>
      <c r="AT137" cm="1">
        <f t="array" ref="AT137">IF(PART_NUMBER_GENERATOR_TABLE[[#This Row],[Work Role]:[Work Role]]&lt;&gt;AS$1,0,
IF(PART_NUMBER_GENERATOR_TABLE[[#This Row],[Work Type]:[Work Type]]&lt;&gt;"BH",0,
SUMIFS(AT$24,$AM$24,PART_NUMBER_GENERATOR_TABLE[[#This Row],[Tech]:[Tech]])))</f>
        <v>0</v>
      </c>
      <c r="AU137">
        <f>SUM(PART_NUMBER_GENERATOR_TABLE[[#This Row],[Resource 1 BH]:[Resource 5 AH]],PART_NUMBER_GENERATOR_TABLE[[#This Row],[R1 Mandatory Tasks]:[R5 Mandatory Tasks]],PART_NUMBER_GENERATOR_TABLE[[#This Row],[R1 Remainder]:[R5 Remainder]])</f>
        <v>0</v>
      </c>
      <c r="AV137">
        <f>PART_NUMBER_GENERATOR_TABLE[[#This Row],[Professional Engineering Hours]]*PART_NUMBER_GENERATOR_TABLE[[#This Row],[Sell Rate]]</f>
        <v>0</v>
      </c>
      <c r="AW137">
        <f>PART_NUMBER_GENERATOR_TABLE[[#This Row],[Professional Engineering Hours]]*PART_NUMBER_GENERATOR_TABLE[[#This Row],[Cost Rate]]</f>
        <v>0</v>
      </c>
      <c r="AX137">
        <f>SUM(PART_NUMBER_GENERATOR_TABLE[[#This Row],[PM Trips]:[R5 Trips]])</f>
        <v>0</v>
      </c>
      <c r="AY137">
        <f>PART_NUMBER_GENERATOR_TABLE[[#This Row],[Travel &amp; Accommodation Hours]]*PART_NUMBER_GENERATOR_TABLE[[#This Row],[Sell Rate]]</f>
        <v>0</v>
      </c>
      <c r="AZ137">
        <f>PART_NUMBER_GENERATOR_TABLE[[#This Row],[Travel &amp; Accommodation Hours]]*PART_NUMBER_GENERATOR_TABLE[[#This Row],[Cost Rate]]</f>
        <v>0</v>
      </c>
      <c r="BA137">
        <f>PART_NUMBER_GENERATOR_TABLE[[#This Row],[PM Hours]]+PART_NUMBER_GENERATOR_TABLE[[#This Row],[PM Remainder]]</f>
        <v>0</v>
      </c>
      <c r="BB137">
        <f>PART_NUMBER_GENERATOR_TABLE[[#This Row],[Project Management Hours]]*PART_NUMBER_GENERATOR_TABLE[[#This Row],[Sell Rate]]</f>
        <v>0</v>
      </c>
      <c r="BC137">
        <f>PART_NUMBER_GENERATOR_TABLE[[#This Row],[Project Management Hours]]*PART_NUMBER_GENERATOR_TABLE[[#This Row],[Cost Rate]]</f>
        <v>0</v>
      </c>
      <c r="BD137">
        <f>SUM(PART_NUMBER_GENERATOR_TABLE[[#This Row],[SSE RISK BH]:[PM RISK]],PART_NUMBER_GENERATOR_TABLE[[#This Row],[SSE Remainder RISK BH]:[PM Remainder RISK]])</f>
        <v>0</v>
      </c>
      <c r="BE137">
        <f>PART_NUMBER_GENERATOR_TABLE[[#This Row],[Project Risk Service Hours]]*PART_NUMBER_GENERATOR_TABLE[[#This Row],[Sell Rate]]</f>
        <v>0</v>
      </c>
      <c r="BF137">
        <f>PART_NUMBER_GENERATOR_TABLE[[#This Row],[Project Risk Service Hours]]*PART_NUMBER_GENERATOR_TABLE[[#This Row],[Cost Rate]]</f>
        <v>0</v>
      </c>
      <c r="BG137">
        <f>PART_NUMBER_GENERATOR_TABLE[[#This Row],[SSE RISK TRAVEL]]</f>
        <v>0</v>
      </c>
      <c r="BH137">
        <f>PART_NUMBER_GENERATOR_TABLE[[#This Row],[Sell Rate]]*PART_NUMBER_GENERATOR_TABLE[[#This Row],[Project Risk Travel Hours]]</f>
        <v>0</v>
      </c>
      <c r="BI137">
        <f>PART_NUMBER_GENERATOR_TABLE[[#This Row],[Project Risk Travel Hours]]*PART_NUMBER_GENERATOR_TABLE[[#This Row],[Cost Rate]]</f>
        <v>0</v>
      </c>
      <c r="BJ13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3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37">
        <f>IFERROR(-VLOOKUP(INDEX(ENGINEER_ROLES,MATCH(PART_NUMBER_GENERATOR_TABLE[[#This Row],[Work Role]],settings.Table_Engineer.Roles[ID],0),1),Settings_Hidden!$H$359:$K$366,4,FALSE),0)</f>
        <v>0</v>
      </c>
      <c r="BM137" s="680">
        <f>-Summary!$C$66</f>
        <v>0</v>
      </c>
      <c r="BN137" s="465">
        <f>PART_NUMBER_GENERATOR_TABLE[[#This Row],[Total Base Price]]*MIN(PART_NUMBER_GENERATOR_TABLE[[#This Row],[Rate Service Discount]:[Flat Service Discount]])</f>
        <v>0</v>
      </c>
      <c r="BO137" s="451" t="str">
        <f>IF(PART_NUMBER_GENERATOR_TABLE[[#This Row],[Quantity]]&lt;&gt;0,MAX($BO$30:BO136)+1,"")</f>
        <v/>
      </c>
      <c r="BP137" t="str">
        <f>PART_NUMBER_GENERATOR_TABLE[[#This Row],[Part Number]]</f>
        <v>A-PS-C-SECURE-SC-BH</v>
      </c>
      <c r="BQ137">
        <f>PART_NUMBER_GENERATOR_TABLE[[#This Row],[Total Hours]]</f>
        <v>0</v>
      </c>
      <c r="BR137">
        <f>PART_NUMBER_GENERATOR_TABLE[[#This Row],[Cost Rate]]</f>
        <v>167.61034913968996</v>
      </c>
      <c r="BS137" s="465">
        <f>PART_NUMBER_GENERATOR_TABLE[[#This Row],[Sell Rate]]+(PART_NUMBER_GENERATOR_TABLE[[#This Row],[Sell Rate]]*MIN(PART_NUMBER_GENERATOR_TABLE[[#This Row],[Rate Service Discount]:[Flat Service Discount]]))</f>
        <v>315</v>
      </c>
    </row>
    <row r="138" spans="1:71">
      <c r="A138">
        <v>108</v>
      </c>
      <c r="C138" t="s">
        <v>1105</v>
      </c>
      <c r="D138" t="str" cm="1">
        <f t="array" ref="D138">INDEX(Table.Settings_Skill.List[Skill Name],MATCH(INDEX(_xlfn.TEXTSPLIT(C138,"-",,TRUE),4),Table.Settings_Skill.List[Skill Code],0),1)</f>
        <v>Secure Networking</v>
      </c>
      <c r="E138" t="str" cm="1">
        <f t="array" ref="E138">INDEX(_xlfn.TEXTSPLIT(C138,"-",,TRUE),5)</f>
        <v>AC</v>
      </c>
      <c r="F138" t="str">
        <f>IFERROR(INDEX(settings.Table_Engineer.Roles[Department Code],MATCH(PART_NUMBER_GENERATOR_TABLE[[#This Row],[Work Role]],settings.Table_Engineer.Roles[ID],0),1),"PMO")</f>
        <v>CON</v>
      </c>
      <c r="G138" t="str" cm="1">
        <f t="array" ref="G138">INDEX(_xlfn.TEXTSPLIT(C138,"-",,TRUE),6)</f>
        <v>BH</v>
      </c>
      <c r="H13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3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38" cm="1">
        <f t="array" ref="J138">IF(J$1&lt;&gt;PART_NUMBER_GENERATOR_TABLE[[#This Row],[Work Role]:[Work Role]],0,
IF(RIGHT(J$30,2)&lt;&gt;PART_NUMBER_GENERATOR_TABLE[[#This Row],[Work Type]:[Work Type]],0,
SUMIFS(Input_Tasks[R1 Business Hours],Input_Tasks[[Skill Required]:[Skill Required]],PART_NUMBER_GENERATOR_TABLE[[#This Row],[Tech]:[Tech]])))</f>
        <v>0</v>
      </c>
      <c r="K138" cm="1">
        <f t="array" ref="K138">IF(K$1&lt;&gt;PART_NUMBER_GENERATOR_TABLE[[#This Row],[Work Role]:[Work Role]],0,
IF(RIGHT(K$30,2)&lt;&gt;PART_NUMBER_GENERATOR_TABLE[[#This Row],[Work Type]:[Work Type]],0,
SUMIFS(Input_Tasks[R1 After Hours],Input_Tasks[[Skill Required]:[Skill Required]],PART_NUMBER_GENERATOR_TABLE[[#This Row],[Tech]:[Tech]])))</f>
        <v>0</v>
      </c>
      <c r="L138" cm="1">
        <f t="array" ref="L138">IF(L$1&lt;&gt;PART_NUMBER_GENERATOR_TABLE[[#This Row],[Work Role]:[Work Role]],0,
IF(RIGHT(L$30,2)&lt;&gt;PART_NUMBER_GENERATOR_TABLE[[#This Row],[Work Type]:[Work Type]],0,
SUMIFS(Input_Tasks[R2 Business Hours],Input_Tasks[[Skill Required]:[Skill Required]],PART_NUMBER_GENERATOR_TABLE[[#This Row],[Tech]:[Tech]])))</f>
        <v>0</v>
      </c>
      <c r="M138" cm="1">
        <f t="array" ref="M138">IF(M$1&lt;&gt;PART_NUMBER_GENERATOR_TABLE[[#This Row],[Work Role]:[Work Role]],0,
IF(RIGHT(M$30,2)&lt;&gt;PART_NUMBER_GENERATOR_TABLE[[#This Row],[Work Type]:[Work Type]],0,
SUMIFS(Input_Tasks[R2 After Hours],Input_Tasks[[Skill Required]:[Skill Required]],PART_NUMBER_GENERATOR_TABLE[[#This Row],[Tech]:[Tech]])))</f>
        <v>0</v>
      </c>
      <c r="N138" cm="1">
        <f t="array" ref="N138">IF(N$1&lt;&gt;PART_NUMBER_GENERATOR_TABLE[[#This Row],[Work Role]:[Work Role]],0,
IF(RIGHT(N$30,2)&lt;&gt;PART_NUMBER_GENERATOR_TABLE[[#This Row],[Work Type]:[Work Type]],0,
SUMIFS(Input_Tasks[R3 Business Hours],Input_Tasks[[Skill Required]:[Skill Required]],PART_NUMBER_GENERATOR_TABLE[[#This Row],[Tech]:[Tech]])))</f>
        <v>0</v>
      </c>
      <c r="O138" cm="1">
        <f t="array" ref="O138">IF(O$1&lt;&gt;PART_NUMBER_GENERATOR_TABLE[[#This Row],[Work Role]:[Work Role]],0,
IF(RIGHT(O$30,2)&lt;&gt;PART_NUMBER_GENERATOR_TABLE[[#This Row],[Work Type]:[Work Type]],0,
SUMIFS(Input_Tasks[R3 After Hours],Input_Tasks[[Skill Required]:[Skill Required]],PART_NUMBER_GENERATOR_TABLE[[#This Row],[Tech]:[Tech]])))</f>
        <v>0</v>
      </c>
      <c r="P138" cm="1">
        <f t="array" ref="P138">IF(P$1&lt;&gt;PART_NUMBER_GENERATOR_TABLE[[#This Row],[Work Role]:[Work Role]],0,
IF(RIGHT(P$30,2)&lt;&gt;PART_NUMBER_GENERATOR_TABLE[[#This Row],[Work Type]:[Work Type]],0,
SUMIFS(Input_Tasks[R4 Business Hours],Input_Tasks[[Skill Required]:[Skill Required]],PART_NUMBER_GENERATOR_TABLE[[#This Row],[Tech]:[Tech]])))</f>
        <v>0</v>
      </c>
      <c r="Q138" cm="1">
        <f t="array" ref="Q138">IF(Q$1&lt;&gt;PART_NUMBER_GENERATOR_TABLE[[#This Row],[Work Role]:[Work Role]],0,
IF(RIGHT(Q$30,2)&lt;&gt;PART_NUMBER_GENERATOR_TABLE[[#This Row],[Work Type]:[Work Type]],0,
SUMIFS(Input_Tasks[R4 After Hours],Input_Tasks[[Skill Required]:[Skill Required]],PART_NUMBER_GENERATOR_TABLE[[#This Row],[Tech]:[Tech]])))</f>
        <v>0</v>
      </c>
      <c r="R138" cm="1">
        <f t="array" ref="R138">IF(R$1&lt;&gt;PART_NUMBER_GENERATOR_TABLE[[#This Row],[Work Role]:[Work Role]],0,
IF(RIGHT(R$30,2)&lt;&gt;PART_NUMBER_GENERATOR_TABLE[[#This Row],[Work Type]:[Work Type]],0,
SUMIFS(Input_Tasks[R5 Business Hours],Input_Tasks[[Skill Required]:[Skill Required]],PART_NUMBER_GENERATOR_TABLE[[#This Row],[Tech]:[Tech]])))</f>
        <v>0</v>
      </c>
      <c r="S138" cm="1">
        <f t="array" ref="S138">IF(S$1&lt;&gt;PART_NUMBER_GENERATOR_TABLE[[#This Row],[Work Role]:[Work Role]],0,
IF(RIGHT(S$30,2)&lt;&gt;PART_NUMBER_GENERATOR_TABLE[[#This Row],[Work Type]:[Work Type]],0,
SUMIFS(Input_Tasks[R5 After Hours],Input_Tasks[[Skill Required]:[Skill Required]],PART_NUMBER_GENERATOR_TABLE[[#This Row],[Tech]:[Tech]])))</f>
        <v>0</v>
      </c>
      <c r="T138" cm="1">
        <f t="array" ref="T138">IF(PART_NUMBER_GENERATOR_TABLE[[#This Row],[Work Role]:[Work Role]]&lt;&gt;T$1,0,
IF(PART_NUMBER_GENERATOR_TABLE[[#This Row],[Work Type]:[Work Type]]&lt;&gt;"BH",0,
SUMIFS(T$9:T$24,$M$9:$M$24,PART_NUMBER_GENERATOR_TABLE[[#This Row],[Tech]:[Tech]])))</f>
        <v>0</v>
      </c>
      <c r="U138" cm="1">
        <f t="array" ref="U138">IF(PART_NUMBER_GENERATOR_TABLE[[#This Row],[Work Role]:[Work Role]]&lt;&gt;U$1,0,
IF(PART_NUMBER_GENERATOR_TABLE[[#This Row],[Work Type]:[Work Type]]&lt;&gt;"BH",0,
SUMIFS(U$9:U$24,$M$9:$M$24,PART_NUMBER_GENERATOR_TABLE[[#This Row],[Tech]:[Tech]])))</f>
        <v>0</v>
      </c>
      <c r="V138" cm="1">
        <f t="array" ref="V138">IF(PART_NUMBER_GENERATOR_TABLE[[#This Row],[Work Role]:[Work Role]]&lt;&gt;V$1,0,
IF(PART_NUMBER_GENERATOR_TABLE[[#This Row],[Work Type]:[Work Type]]&lt;&gt;"BH",0,
SUMIFS(V$9:V$24,$M$9:$M$24,PART_NUMBER_GENERATOR_TABLE[[#This Row],[Tech]:[Tech]])))</f>
        <v>0</v>
      </c>
      <c r="W138" cm="1">
        <f t="array" ref="W138">IF(PART_NUMBER_GENERATOR_TABLE[[#This Row],[Work Role]:[Work Role]]&lt;&gt;W$1,0,
IF(PART_NUMBER_GENERATOR_TABLE[[#This Row],[Work Type]:[Work Type]]&lt;&gt;"BH",0,
SUMIFS(W$9:W$24,$M$9:$M$24,PART_NUMBER_GENERATOR_TABLE[[#This Row],[Tech]:[Tech]])))</f>
        <v>0</v>
      </c>
      <c r="X138" cm="1">
        <f t="array" ref="X138">IF(PART_NUMBER_GENERATOR_TABLE[[#This Row],[Work Role]:[Work Role]]&lt;&gt;X$1,0,
IF(PART_NUMBER_GENERATOR_TABLE[[#This Row],[Work Type]:[Work Type]]&lt;&gt;"BH",0,
SUMIFS(X$9:X$24,$M$9:$M$24,PART_NUMBER_GENERATOR_TABLE[[#This Row],[Tech]:[Tech]])))</f>
        <v>0</v>
      </c>
      <c r="Y138" cm="1">
        <f t="array" ref="Y138">IF(PART_NUMBER_GENERATOR_TABLE[[#This Row],[Work Role]:[Work Role]]&lt;&gt;Y$1,0,
IF(PART_NUMBER_GENERATOR_TABLE[[#This Row],[Work Type]:[Work Type]]&lt;&gt;"BH",0,
SUMIFS(Y$9:Y$24,$M$9:$M$24,PART_NUMBER_GENERATOR_TABLE[[#This Row],[Tech]:[Tech]])))</f>
        <v>0</v>
      </c>
      <c r="Z138" cm="1">
        <f t="array" ref="Z138">IF(PART_NUMBER_GENERATOR_TABLE[[#This Row],[Work Role]:[Work Role]]&lt;&gt;Z$1,0,
IF(PART_NUMBER_GENERATOR_TABLE[[#This Row],[Work Type]:[Work Type]]&lt;&gt;"BH",0,
SUMIFS(Z$9:Z$24,$M$9:$M$24,PART_NUMBER_GENERATOR_TABLE[[#This Row],[Tech]:[Tech]])))</f>
        <v>0</v>
      </c>
      <c r="AA138" cm="1">
        <f t="array" ref="AA138">IF(PART_NUMBER_GENERATOR_TABLE[[#This Row],[Work Role]:[Work Role]]&lt;&gt;AA$1,0,
IF(PART_NUMBER_GENERATOR_TABLE[[#This Row],[Work Type]:[Work Type]]&lt;&gt;"BH",0,
SUMIFS(AA$9:AA$24,$M$9:$M$24,PART_NUMBER_GENERATOR_TABLE[[#This Row],[Tech]:[Tech]])))</f>
        <v>0</v>
      </c>
      <c r="AB138" cm="1">
        <f t="array" ref="AB138">IF(PART_NUMBER_GENERATOR_TABLE[[#This Row],[Work Role]:[Work Role]]&lt;&gt;AB$1,0,
IF(PART_NUMBER_GENERATOR_TABLE[[#This Row],[Work Type]:[Work Type]]&lt;&gt;"BH",0,
SUMIFS(AB$9:AB$24,$M$9:$M$24,PART_NUMBER_GENERATOR_TABLE[[#This Row],[Tech]:[Tech]])))</f>
        <v>0</v>
      </c>
      <c r="AC138" cm="1">
        <f t="array" ref="AC138">IF(PART_NUMBER_GENERATOR_TABLE[[#This Row],[Work Role]:[Work Role]]&lt;&gt;AC$1,0,
IF(PART_NUMBER_GENERATOR_TABLE[[#This Row],[Work Type]:[Work Type]]&lt;&gt;"BH",0,
SUMIFS(AC$9:AC$24,$M$9:$M$24,PART_NUMBER_GENERATOR_TABLE[[#This Row],[Tech]:[Tech]])))</f>
        <v>0</v>
      </c>
      <c r="AD138" cm="1">
        <f t="array" ref="AD138">IF(PART_NUMBER_GENERATOR_TABLE[[#This Row],[Work Role]:[Work Role]]&lt;&gt;AD$1,0,
IF(PART_NUMBER_GENERATOR_TABLE[[#This Row],[Work Type]:[Work Type]]&lt;&gt;"BH",0,
SUMIFS(AD$9:AD$24,$M$9:$M$24,PART_NUMBER_GENERATOR_TABLE[[#This Row],[Tech]:[Tech]])))</f>
        <v>0</v>
      </c>
      <c r="AE138" cm="1">
        <f t="array" ref="AE138">IF(PART_NUMBER_GENERATOR_TABLE[[#This Row],[Work Role]:[Work Role]]&lt;&gt;AE$1,0,
IF(PART_NUMBER_GENERATOR_TABLE[[#This Row],[Work Type]:[Work Type]]&lt;&gt;"BH",0,
SUMIFS(AE$9:AE$24,$M$9:$M$24,PART_NUMBER_GENERATOR_TABLE[[#This Row],[Tech]:[Tech]])))</f>
        <v>0</v>
      </c>
      <c r="AF138" cm="1">
        <f t="array" ref="AF138">IF(PART_NUMBER_GENERATOR_TABLE[[#This Row],[Work Role]:[Work Role]]&lt;&gt;AF$1,0,
IF(PART_NUMBER_GENERATOR_TABLE[[#This Row],[Work Type]:[Work Type]]&lt;&gt;"BH",0,
SUMIFS(AF$9:AF$24,$M$9:$M$24,PART_NUMBER_GENERATOR_TABLE[[#This Row],[Tech]:[Tech]])))</f>
        <v>0</v>
      </c>
      <c r="AG138" cm="1">
        <f t="array" ref="AG138">IF(PART_NUMBER_GENERATOR_TABLE[[#This Row],[Work Role]:[Work Role]]&lt;&gt;AG$1,0,
IF(PART_NUMBER_GENERATOR_TABLE[[#This Row],[Work Type]:[Work Type]]&lt;&gt;"AH",0,
SUMIFS(AG$9:AG$24,$M$9:$M$24,PART_NUMBER_GENERATOR_TABLE[[#This Row],[Tech]:[Tech]])))</f>
        <v>0</v>
      </c>
      <c r="AH138" cm="1">
        <f t="array" ref="AH138">IF(PART_NUMBER_GENERATOR_TABLE[[#This Row],[Work Role]:[Work Role]]&lt;&gt;AH$1,0,
IF(PART_NUMBER_GENERATOR_TABLE[[#This Row],[Work Type]:[Work Type]]&lt;&gt;"BH",0,
SUMIFS(AH$9:AH$24,$M$9:$M$24,PART_NUMBER_GENERATOR_TABLE[[#This Row],[Tech]:[Tech]])))</f>
        <v>0</v>
      </c>
      <c r="AI138" cm="1">
        <f t="array" ref="AI138">IF(PART_NUMBER_GENERATOR_TABLE[[#This Row],[Work Role]:[Work Role]]&lt;&gt;AI$1,0,
IF(PART_NUMBER_GENERATOR_TABLE[[#This Row],[Work Type]:[Work Type]]&lt;&gt;"BH",0,
SUMIFS(AI$9:AI$24,$M$9:$M$24,PART_NUMBER_GENERATOR_TABLE[[#This Row],[Tech]:[Tech]])))</f>
        <v>0</v>
      </c>
      <c r="AJ138" cm="1">
        <f t="array" ref="AJ138">IF(PART_NUMBER_GENERATOR_TABLE[[#This Row],[Work Role]:[Work Role]]&lt;&gt;AJ$1,0,
IF(PART_NUMBER_GENERATOR_TABLE[[#This Row],[Work Type]:[Work Type]]&lt;&gt;"BH",0,
SUMIFS(AJ$9:AJ$24,$M$9:$M$24,PART_NUMBER_GENERATOR_TABLE[[#This Row],[Tech]:[Tech]])))</f>
        <v>0</v>
      </c>
      <c r="AK138" cm="1">
        <f t="array" ref="AK138">IF(PART_NUMBER_GENERATOR_TABLE[[#This Row],[Work Role]:[Work Role]]&lt;&gt;AK$1,0,
IF(PART_NUMBER_GENERATOR_TABLE[[#This Row],[Work Type]:[Work Type]]&lt;&gt;"AH",0,
SUMIFS(AK$9:AK$24,$M$9:$M$24,PART_NUMBER_GENERATOR_TABLE[[#This Row],[Tech]:[Tech]])))</f>
        <v>0</v>
      </c>
      <c r="AL138" cm="1">
        <f t="array" ref="AL138">IF(PART_NUMBER_GENERATOR_TABLE[[#This Row],[Work Role]:[Work Role]]&lt;&gt;AL$1,0,
IF(PART_NUMBER_GENERATOR_TABLE[[#This Row],[Work Type]:[Work Type]]&lt;&gt;"BH",0,
SUMIFS(AL$9:AL$24,$M$9:$M$24,PART_NUMBER_GENERATOR_TABLE[[#This Row],[Tech]:[Tech]])))</f>
        <v>0</v>
      </c>
      <c r="AM138">
        <f>0</f>
        <v>0</v>
      </c>
      <c r="AN138" cm="1">
        <f t="array" ref="AN138">IF(PART_NUMBER_GENERATOR_TABLE[[#This Row],[Work Role]:[Work Role]]&lt;&gt;AN$1,0,
IF(PART_NUMBER_GENERATOR_TABLE[[#This Row],[Work Type]:[Work Type]]&lt;&gt;"BH",0,
SUMIFS(AN$24,$AM$24,PART_NUMBER_GENERATOR_TABLE[[#This Row],[Tech]:[Tech]])))</f>
        <v>0</v>
      </c>
      <c r="AO138" cm="1">
        <f t="array" ref="AO138">IF(PART_NUMBER_GENERATOR_TABLE[[#This Row],[Work Role]:[Work Role]]&lt;&gt;AO$1,0,
IF(PART_NUMBER_GENERATOR_TABLE[[#This Row],[Work Type]:[Work Type]]&lt;&gt;"BH",0,
SUMIFS(AO$24,$AM$24,PART_NUMBER_GENERATOR_TABLE[[#This Row],[Tech]:[Tech]])))</f>
        <v>0</v>
      </c>
      <c r="AP138" cm="1">
        <f t="array" ref="AP138">IF(PART_NUMBER_GENERATOR_TABLE[[#This Row],[Work Role]:[Work Role]]&lt;&gt;AP$1,0,
IF(PART_NUMBER_GENERATOR_TABLE[[#This Row],[Work Type]:[Work Type]]&lt;&gt;"BH",0,
SUMIFS(AP$24,$AM$24,PART_NUMBER_GENERATOR_TABLE[[#This Row],[Tech]:[Tech]])))</f>
        <v>0</v>
      </c>
      <c r="AQ138" cm="1">
        <f t="array" ref="AQ138">IF(PART_NUMBER_GENERATOR_TABLE[[#This Row],[Work Role]:[Work Role]]&lt;&gt;AQ$1,0,
IF(PART_NUMBER_GENERATOR_TABLE[[#This Row],[Work Type]:[Work Type]]&lt;&gt;"BH",0,
SUMIFS(AQ$24,$AM$24,PART_NUMBER_GENERATOR_TABLE[[#This Row],[Tech]:[Tech]])))</f>
        <v>0</v>
      </c>
      <c r="AR138" cm="1">
        <f t="array" ref="AR138">IF(PART_NUMBER_GENERATOR_TABLE[[#This Row],[Work Role]:[Work Role]]&lt;&gt;AR$1,0,
IF(PART_NUMBER_GENERATOR_TABLE[[#This Row],[Work Type]:[Work Type]]&lt;&gt;"BH",0,
SUMIFS(AR$24,$AM$24,PART_NUMBER_GENERATOR_TABLE[[#This Row],[Tech]:[Tech]])))</f>
        <v>0</v>
      </c>
      <c r="AS138" cm="1">
        <f t="array" ref="AS138">IF(PART_NUMBER_GENERATOR_TABLE[[#This Row],[Work Role]:[Work Role]]&lt;&gt;AS$1,0,
IF(PART_NUMBER_GENERATOR_TABLE[[#This Row],[Work Type]:[Work Type]]&lt;&gt;"BH",0,
SUMIFS(AS$24,$AM$24,PART_NUMBER_GENERATOR_TABLE[[#This Row],[Tech]:[Tech]])))</f>
        <v>0</v>
      </c>
      <c r="AT138" cm="1">
        <f t="array" ref="AT138">IF(PART_NUMBER_GENERATOR_TABLE[[#This Row],[Work Role]:[Work Role]]&lt;&gt;AS$1,0,
IF(PART_NUMBER_GENERATOR_TABLE[[#This Row],[Work Type]:[Work Type]]&lt;&gt;"BH",0,
SUMIFS(AT$24,$AM$24,PART_NUMBER_GENERATOR_TABLE[[#This Row],[Tech]:[Tech]])))</f>
        <v>0</v>
      </c>
      <c r="AU138">
        <f>SUM(PART_NUMBER_GENERATOR_TABLE[[#This Row],[Resource 1 BH]:[Resource 5 AH]],PART_NUMBER_GENERATOR_TABLE[[#This Row],[R1 Mandatory Tasks]:[R5 Mandatory Tasks]],PART_NUMBER_GENERATOR_TABLE[[#This Row],[R1 Remainder]:[R5 Remainder]])</f>
        <v>0</v>
      </c>
      <c r="AV138">
        <f>PART_NUMBER_GENERATOR_TABLE[[#This Row],[Professional Engineering Hours]]*PART_NUMBER_GENERATOR_TABLE[[#This Row],[Sell Rate]]</f>
        <v>0</v>
      </c>
      <c r="AW138">
        <f>PART_NUMBER_GENERATOR_TABLE[[#This Row],[Professional Engineering Hours]]*PART_NUMBER_GENERATOR_TABLE[[#This Row],[Cost Rate]]</f>
        <v>0</v>
      </c>
      <c r="AX138">
        <f>SUM(PART_NUMBER_GENERATOR_TABLE[[#This Row],[PM Trips]:[R5 Trips]])</f>
        <v>0</v>
      </c>
      <c r="AY138">
        <f>PART_NUMBER_GENERATOR_TABLE[[#This Row],[Travel &amp; Accommodation Hours]]*PART_NUMBER_GENERATOR_TABLE[[#This Row],[Sell Rate]]</f>
        <v>0</v>
      </c>
      <c r="AZ138">
        <f>PART_NUMBER_GENERATOR_TABLE[[#This Row],[Travel &amp; Accommodation Hours]]*PART_NUMBER_GENERATOR_TABLE[[#This Row],[Cost Rate]]</f>
        <v>0</v>
      </c>
      <c r="BA138">
        <f>PART_NUMBER_GENERATOR_TABLE[[#This Row],[PM Hours]]+PART_NUMBER_GENERATOR_TABLE[[#This Row],[PM Remainder]]</f>
        <v>0</v>
      </c>
      <c r="BB138">
        <f>PART_NUMBER_GENERATOR_TABLE[[#This Row],[Project Management Hours]]*PART_NUMBER_GENERATOR_TABLE[[#This Row],[Sell Rate]]</f>
        <v>0</v>
      </c>
      <c r="BC138">
        <f>PART_NUMBER_GENERATOR_TABLE[[#This Row],[Project Management Hours]]*PART_NUMBER_GENERATOR_TABLE[[#This Row],[Cost Rate]]</f>
        <v>0</v>
      </c>
      <c r="BD138">
        <f>SUM(PART_NUMBER_GENERATOR_TABLE[[#This Row],[SSE RISK BH]:[PM RISK]],PART_NUMBER_GENERATOR_TABLE[[#This Row],[SSE Remainder RISK BH]:[PM Remainder RISK]])</f>
        <v>0</v>
      </c>
      <c r="BE138">
        <f>PART_NUMBER_GENERATOR_TABLE[[#This Row],[Project Risk Service Hours]]*PART_NUMBER_GENERATOR_TABLE[[#This Row],[Sell Rate]]</f>
        <v>0</v>
      </c>
      <c r="BF138">
        <f>PART_NUMBER_GENERATOR_TABLE[[#This Row],[Project Risk Service Hours]]*PART_NUMBER_GENERATOR_TABLE[[#This Row],[Cost Rate]]</f>
        <v>0</v>
      </c>
      <c r="BG138">
        <f>PART_NUMBER_GENERATOR_TABLE[[#This Row],[SSE RISK TRAVEL]]</f>
        <v>0</v>
      </c>
      <c r="BH138">
        <f>PART_NUMBER_GENERATOR_TABLE[[#This Row],[Sell Rate]]*PART_NUMBER_GENERATOR_TABLE[[#This Row],[Project Risk Travel Hours]]</f>
        <v>0</v>
      </c>
      <c r="BI138">
        <f>PART_NUMBER_GENERATOR_TABLE[[#This Row],[Project Risk Travel Hours]]*PART_NUMBER_GENERATOR_TABLE[[#This Row],[Cost Rate]]</f>
        <v>0</v>
      </c>
      <c r="BJ13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3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38">
        <f>IFERROR(-VLOOKUP(INDEX(ENGINEER_ROLES,MATCH(PART_NUMBER_GENERATOR_TABLE[[#This Row],[Work Role]],settings.Table_Engineer.Roles[ID],0),1),Settings_Hidden!$H$359:$K$366,4,FALSE),0)</f>
        <v>0</v>
      </c>
      <c r="BM138" s="680">
        <f>-Summary!$C$66</f>
        <v>0</v>
      </c>
      <c r="BN138" s="465">
        <f>PART_NUMBER_GENERATOR_TABLE[[#This Row],[Total Base Price]]*MIN(PART_NUMBER_GENERATOR_TABLE[[#This Row],[Rate Service Discount]:[Flat Service Discount]])</f>
        <v>0</v>
      </c>
      <c r="BO138" s="451" t="str">
        <f>IF(PART_NUMBER_GENERATOR_TABLE[[#This Row],[Quantity]]&lt;&gt;0,MAX($BO$30:BO137)+1,"")</f>
        <v/>
      </c>
      <c r="BP138" t="str">
        <f>PART_NUMBER_GENERATOR_TABLE[[#This Row],[Part Number]]</f>
        <v>A-PS-C-SECURE-AC-BH</v>
      </c>
      <c r="BQ138">
        <f>PART_NUMBER_GENERATOR_TABLE[[#This Row],[Total Hours]]</f>
        <v>0</v>
      </c>
      <c r="BR138">
        <f>PART_NUMBER_GENERATOR_TABLE[[#This Row],[Cost Rate]]</f>
        <v>167.61034913968996</v>
      </c>
      <c r="BS138" s="465">
        <f>PART_NUMBER_GENERATOR_TABLE[[#This Row],[Sell Rate]]+(PART_NUMBER_GENERATOR_TABLE[[#This Row],[Sell Rate]]*MIN(PART_NUMBER_GENERATOR_TABLE[[#This Row],[Rate Service Discount]:[Flat Service Discount]]))</f>
        <v>315</v>
      </c>
    </row>
    <row r="139" spans="1:71">
      <c r="A139">
        <v>109</v>
      </c>
      <c r="C139" t="s">
        <v>1095</v>
      </c>
      <c r="D139" t="str" cm="1">
        <f t="array" ref="D139">INDEX(Table.Settings_Skill.List[Skill Name],MATCH(INDEX(_xlfn.TEXTSPLIT(C139,"-",,TRUE),4),Table.Settings_Skill.List[Skill Code],0),1)</f>
        <v>Security</v>
      </c>
      <c r="E139" t="str" cm="1">
        <f t="array" ref="E139">INDEX(_xlfn.TEXTSPLIT(C139,"-",,TRUE),5)</f>
        <v>SA</v>
      </c>
      <c r="F139" t="str">
        <f>IFERROR(INDEX(settings.Table_Engineer.Roles[Department Code],MATCH(PART_NUMBER_GENERATOR_TABLE[[#This Row],[Work Role]],settings.Table_Engineer.Roles[ID],0),1),"PMO")</f>
        <v>CON</v>
      </c>
      <c r="G139" t="str" cm="1">
        <f t="array" ref="G139">INDEX(_xlfn.TEXTSPLIT(C139,"-",,TRUE),6)</f>
        <v>BH</v>
      </c>
      <c r="H13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3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39" cm="1">
        <f t="array" ref="J139">IF(J$1&lt;&gt;PART_NUMBER_GENERATOR_TABLE[[#This Row],[Work Role]:[Work Role]],0,
IF(RIGHT(J$30,2)&lt;&gt;PART_NUMBER_GENERATOR_TABLE[[#This Row],[Work Type]:[Work Type]],0,
SUMIFS(Input_Tasks[R1 Business Hours],Input_Tasks[[Skill Required]:[Skill Required]],PART_NUMBER_GENERATOR_TABLE[[#This Row],[Tech]:[Tech]])))</f>
        <v>0</v>
      </c>
      <c r="K139" cm="1">
        <f t="array" ref="K139">IF(K$1&lt;&gt;PART_NUMBER_GENERATOR_TABLE[[#This Row],[Work Role]:[Work Role]],0,
IF(RIGHT(K$30,2)&lt;&gt;PART_NUMBER_GENERATOR_TABLE[[#This Row],[Work Type]:[Work Type]],0,
SUMIFS(Input_Tasks[R1 After Hours],Input_Tasks[[Skill Required]:[Skill Required]],PART_NUMBER_GENERATOR_TABLE[[#This Row],[Tech]:[Tech]])))</f>
        <v>0</v>
      </c>
      <c r="L139" cm="1">
        <f t="array" ref="L139">IF(L$1&lt;&gt;PART_NUMBER_GENERATOR_TABLE[[#This Row],[Work Role]:[Work Role]],0,
IF(RIGHT(L$30,2)&lt;&gt;PART_NUMBER_GENERATOR_TABLE[[#This Row],[Work Type]:[Work Type]],0,
SUMIFS(Input_Tasks[R2 Business Hours],Input_Tasks[[Skill Required]:[Skill Required]],PART_NUMBER_GENERATOR_TABLE[[#This Row],[Tech]:[Tech]])))</f>
        <v>0</v>
      </c>
      <c r="M139" cm="1">
        <f t="array" ref="M139">IF(M$1&lt;&gt;PART_NUMBER_GENERATOR_TABLE[[#This Row],[Work Role]:[Work Role]],0,
IF(RIGHT(M$30,2)&lt;&gt;PART_NUMBER_GENERATOR_TABLE[[#This Row],[Work Type]:[Work Type]],0,
SUMIFS(Input_Tasks[R2 After Hours],Input_Tasks[[Skill Required]:[Skill Required]],PART_NUMBER_GENERATOR_TABLE[[#This Row],[Tech]:[Tech]])))</f>
        <v>0</v>
      </c>
      <c r="N139" cm="1">
        <f t="array" ref="N139">IF(N$1&lt;&gt;PART_NUMBER_GENERATOR_TABLE[[#This Row],[Work Role]:[Work Role]],0,
IF(RIGHT(N$30,2)&lt;&gt;PART_NUMBER_GENERATOR_TABLE[[#This Row],[Work Type]:[Work Type]],0,
SUMIFS(Input_Tasks[R3 Business Hours],Input_Tasks[[Skill Required]:[Skill Required]],PART_NUMBER_GENERATOR_TABLE[[#This Row],[Tech]:[Tech]])))</f>
        <v>0</v>
      </c>
      <c r="O139" cm="1">
        <f t="array" ref="O139">IF(O$1&lt;&gt;PART_NUMBER_GENERATOR_TABLE[[#This Row],[Work Role]:[Work Role]],0,
IF(RIGHT(O$30,2)&lt;&gt;PART_NUMBER_GENERATOR_TABLE[[#This Row],[Work Type]:[Work Type]],0,
SUMIFS(Input_Tasks[R3 After Hours],Input_Tasks[[Skill Required]:[Skill Required]],PART_NUMBER_GENERATOR_TABLE[[#This Row],[Tech]:[Tech]])))</f>
        <v>0</v>
      </c>
      <c r="P139" cm="1">
        <f t="array" ref="P139">IF(P$1&lt;&gt;PART_NUMBER_GENERATOR_TABLE[[#This Row],[Work Role]:[Work Role]],0,
IF(RIGHT(P$30,2)&lt;&gt;PART_NUMBER_GENERATOR_TABLE[[#This Row],[Work Type]:[Work Type]],0,
SUMIFS(Input_Tasks[R4 Business Hours],Input_Tasks[[Skill Required]:[Skill Required]],PART_NUMBER_GENERATOR_TABLE[[#This Row],[Tech]:[Tech]])))</f>
        <v>0</v>
      </c>
      <c r="Q139" cm="1">
        <f t="array" ref="Q139">IF(Q$1&lt;&gt;PART_NUMBER_GENERATOR_TABLE[[#This Row],[Work Role]:[Work Role]],0,
IF(RIGHT(Q$30,2)&lt;&gt;PART_NUMBER_GENERATOR_TABLE[[#This Row],[Work Type]:[Work Type]],0,
SUMIFS(Input_Tasks[R4 After Hours],Input_Tasks[[Skill Required]:[Skill Required]],PART_NUMBER_GENERATOR_TABLE[[#This Row],[Tech]:[Tech]])))</f>
        <v>0</v>
      </c>
      <c r="R139" cm="1">
        <f t="array" ref="R139">IF(R$1&lt;&gt;PART_NUMBER_GENERATOR_TABLE[[#This Row],[Work Role]:[Work Role]],0,
IF(RIGHT(R$30,2)&lt;&gt;PART_NUMBER_GENERATOR_TABLE[[#This Row],[Work Type]:[Work Type]],0,
SUMIFS(Input_Tasks[R5 Business Hours],Input_Tasks[[Skill Required]:[Skill Required]],PART_NUMBER_GENERATOR_TABLE[[#This Row],[Tech]:[Tech]])))</f>
        <v>0</v>
      </c>
      <c r="S139" cm="1">
        <f t="array" ref="S139">IF(S$1&lt;&gt;PART_NUMBER_GENERATOR_TABLE[[#This Row],[Work Role]:[Work Role]],0,
IF(RIGHT(S$30,2)&lt;&gt;PART_NUMBER_GENERATOR_TABLE[[#This Row],[Work Type]:[Work Type]],0,
SUMIFS(Input_Tasks[R5 After Hours],Input_Tasks[[Skill Required]:[Skill Required]],PART_NUMBER_GENERATOR_TABLE[[#This Row],[Tech]:[Tech]])))</f>
        <v>0</v>
      </c>
      <c r="T139" cm="1">
        <f t="array" ref="T139">IF(PART_NUMBER_GENERATOR_TABLE[[#This Row],[Work Role]:[Work Role]]&lt;&gt;T$1,0,
IF(PART_NUMBER_GENERATOR_TABLE[[#This Row],[Work Type]:[Work Type]]&lt;&gt;"BH",0,
SUMIFS(T$9:T$24,$M$9:$M$24,PART_NUMBER_GENERATOR_TABLE[[#This Row],[Tech]:[Tech]])))</f>
        <v>0</v>
      </c>
      <c r="U139" cm="1">
        <f t="array" ref="U139">IF(PART_NUMBER_GENERATOR_TABLE[[#This Row],[Work Role]:[Work Role]]&lt;&gt;U$1,0,
IF(PART_NUMBER_GENERATOR_TABLE[[#This Row],[Work Type]:[Work Type]]&lt;&gt;"BH",0,
SUMIFS(U$9:U$24,$M$9:$M$24,PART_NUMBER_GENERATOR_TABLE[[#This Row],[Tech]:[Tech]])))</f>
        <v>0</v>
      </c>
      <c r="V139" cm="1">
        <f t="array" ref="V139">IF(PART_NUMBER_GENERATOR_TABLE[[#This Row],[Work Role]:[Work Role]]&lt;&gt;V$1,0,
IF(PART_NUMBER_GENERATOR_TABLE[[#This Row],[Work Type]:[Work Type]]&lt;&gt;"BH",0,
SUMIFS(V$9:V$24,$M$9:$M$24,PART_NUMBER_GENERATOR_TABLE[[#This Row],[Tech]:[Tech]])))</f>
        <v>0</v>
      </c>
      <c r="W139" cm="1">
        <f t="array" ref="W139">IF(PART_NUMBER_GENERATOR_TABLE[[#This Row],[Work Role]:[Work Role]]&lt;&gt;W$1,0,
IF(PART_NUMBER_GENERATOR_TABLE[[#This Row],[Work Type]:[Work Type]]&lt;&gt;"BH",0,
SUMIFS(W$9:W$24,$M$9:$M$24,PART_NUMBER_GENERATOR_TABLE[[#This Row],[Tech]:[Tech]])))</f>
        <v>0</v>
      </c>
      <c r="X139" cm="1">
        <f t="array" ref="X139">IF(PART_NUMBER_GENERATOR_TABLE[[#This Row],[Work Role]:[Work Role]]&lt;&gt;X$1,0,
IF(PART_NUMBER_GENERATOR_TABLE[[#This Row],[Work Type]:[Work Type]]&lt;&gt;"BH",0,
SUMIFS(X$9:X$24,$M$9:$M$24,PART_NUMBER_GENERATOR_TABLE[[#This Row],[Tech]:[Tech]])))</f>
        <v>0</v>
      </c>
      <c r="Y139" cm="1">
        <f t="array" ref="Y139">IF(PART_NUMBER_GENERATOR_TABLE[[#This Row],[Work Role]:[Work Role]]&lt;&gt;Y$1,0,
IF(PART_NUMBER_GENERATOR_TABLE[[#This Row],[Work Type]:[Work Type]]&lt;&gt;"BH",0,
SUMIFS(Y$9:Y$24,$M$9:$M$24,PART_NUMBER_GENERATOR_TABLE[[#This Row],[Tech]:[Tech]])))</f>
        <v>0</v>
      </c>
      <c r="Z139" cm="1">
        <f t="array" ref="Z139">IF(PART_NUMBER_GENERATOR_TABLE[[#This Row],[Work Role]:[Work Role]]&lt;&gt;Z$1,0,
IF(PART_NUMBER_GENERATOR_TABLE[[#This Row],[Work Type]:[Work Type]]&lt;&gt;"BH",0,
SUMIFS(Z$9:Z$24,$M$9:$M$24,PART_NUMBER_GENERATOR_TABLE[[#This Row],[Tech]:[Tech]])))</f>
        <v>0</v>
      </c>
      <c r="AA139" cm="1">
        <f t="array" ref="AA139">IF(PART_NUMBER_GENERATOR_TABLE[[#This Row],[Work Role]:[Work Role]]&lt;&gt;AA$1,0,
IF(PART_NUMBER_GENERATOR_TABLE[[#This Row],[Work Type]:[Work Type]]&lt;&gt;"BH",0,
SUMIFS(AA$9:AA$24,$M$9:$M$24,PART_NUMBER_GENERATOR_TABLE[[#This Row],[Tech]:[Tech]])))</f>
        <v>0</v>
      </c>
      <c r="AB139" cm="1">
        <f t="array" ref="AB139">IF(PART_NUMBER_GENERATOR_TABLE[[#This Row],[Work Role]:[Work Role]]&lt;&gt;AB$1,0,
IF(PART_NUMBER_GENERATOR_TABLE[[#This Row],[Work Type]:[Work Type]]&lt;&gt;"BH",0,
SUMIFS(AB$9:AB$24,$M$9:$M$24,PART_NUMBER_GENERATOR_TABLE[[#This Row],[Tech]:[Tech]])))</f>
        <v>0</v>
      </c>
      <c r="AC139" cm="1">
        <f t="array" ref="AC139">IF(PART_NUMBER_GENERATOR_TABLE[[#This Row],[Work Role]:[Work Role]]&lt;&gt;AC$1,0,
IF(PART_NUMBER_GENERATOR_TABLE[[#This Row],[Work Type]:[Work Type]]&lt;&gt;"BH",0,
SUMIFS(AC$9:AC$24,$M$9:$M$24,PART_NUMBER_GENERATOR_TABLE[[#This Row],[Tech]:[Tech]])))</f>
        <v>0</v>
      </c>
      <c r="AD139" cm="1">
        <f t="array" ref="AD139">IF(PART_NUMBER_GENERATOR_TABLE[[#This Row],[Work Role]:[Work Role]]&lt;&gt;AD$1,0,
IF(PART_NUMBER_GENERATOR_TABLE[[#This Row],[Work Type]:[Work Type]]&lt;&gt;"BH",0,
SUMIFS(AD$9:AD$24,$M$9:$M$24,PART_NUMBER_GENERATOR_TABLE[[#This Row],[Tech]:[Tech]])))</f>
        <v>0</v>
      </c>
      <c r="AE139" cm="1">
        <f t="array" ref="AE139">IF(PART_NUMBER_GENERATOR_TABLE[[#This Row],[Work Role]:[Work Role]]&lt;&gt;AE$1,0,
IF(PART_NUMBER_GENERATOR_TABLE[[#This Row],[Work Type]:[Work Type]]&lt;&gt;"BH",0,
SUMIFS(AE$9:AE$24,$M$9:$M$24,PART_NUMBER_GENERATOR_TABLE[[#This Row],[Tech]:[Tech]])))</f>
        <v>0</v>
      </c>
      <c r="AF139" cm="1">
        <f t="array" ref="AF139">IF(PART_NUMBER_GENERATOR_TABLE[[#This Row],[Work Role]:[Work Role]]&lt;&gt;AF$1,0,
IF(PART_NUMBER_GENERATOR_TABLE[[#This Row],[Work Type]:[Work Type]]&lt;&gt;"BH",0,
SUMIFS(AF$9:AF$24,$M$9:$M$24,PART_NUMBER_GENERATOR_TABLE[[#This Row],[Tech]:[Tech]])))</f>
        <v>0</v>
      </c>
      <c r="AG139" cm="1">
        <f t="array" ref="AG139">IF(PART_NUMBER_GENERATOR_TABLE[[#This Row],[Work Role]:[Work Role]]&lt;&gt;AG$1,0,
IF(PART_NUMBER_GENERATOR_TABLE[[#This Row],[Work Type]:[Work Type]]&lt;&gt;"AH",0,
SUMIFS(AG$9:AG$24,$M$9:$M$24,PART_NUMBER_GENERATOR_TABLE[[#This Row],[Tech]:[Tech]])))</f>
        <v>0</v>
      </c>
      <c r="AH139" cm="1">
        <f t="array" ref="AH139">IF(PART_NUMBER_GENERATOR_TABLE[[#This Row],[Work Role]:[Work Role]]&lt;&gt;AH$1,0,
IF(PART_NUMBER_GENERATOR_TABLE[[#This Row],[Work Type]:[Work Type]]&lt;&gt;"BH",0,
SUMIFS(AH$9:AH$24,$M$9:$M$24,PART_NUMBER_GENERATOR_TABLE[[#This Row],[Tech]:[Tech]])))</f>
        <v>0</v>
      </c>
      <c r="AI139" cm="1">
        <f t="array" ref="AI139">IF(PART_NUMBER_GENERATOR_TABLE[[#This Row],[Work Role]:[Work Role]]&lt;&gt;AI$1,0,
IF(PART_NUMBER_GENERATOR_TABLE[[#This Row],[Work Type]:[Work Type]]&lt;&gt;"BH",0,
SUMIFS(AI$9:AI$24,$M$9:$M$24,PART_NUMBER_GENERATOR_TABLE[[#This Row],[Tech]:[Tech]])))</f>
        <v>0</v>
      </c>
      <c r="AJ139" cm="1">
        <f t="array" ref="AJ139">IF(PART_NUMBER_GENERATOR_TABLE[[#This Row],[Work Role]:[Work Role]]&lt;&gt;AJ$1,0,
IF(PART_NUMBER_GENERATOR_TABLE[[#This Row],[Work Type]:[Work Type]]&lt;&gt;"BH",0,
SUMIFS(AJ$9:AJ$24,$M$9:$M$24,PART_NUMBER_GENERATOR_TABLE[[#This Row],[Tech]:[Tech]])))</f>
        <v>0</v>
      </c>
      <c r="AK139" cm="1">
        <f t="array" ref="AK139">IF(PART_NUMBER_GENERATOR_TABLE[[#This Row],[Work Role]:[Work Role]]&lt;&gt;AK$1,0,
IF(PART_NUMBER_GENERATOR_TABLE[[#This Row],[Work Type]:[Work Type]]&lt;&gt;"AH",0,
SUMIFS(AK$9:AK$24,$M$9:$M$24,PART_NUMBER_GENERATOR_TABLE[[#This Row],[Tech]:[Tech]])))</f>
        <v>0</v>
      </c>
      <c r="AL139" cm="1">
        <f t="array" ref="AL139">IF(PART_NUMBER_GENERATOR_TABLE[[#This Row],[Work Role]:[Work Role]]&lt;&gt;AL$1,0,
IF(PART_NUMBER_GENERATOR_TABLE[[#This Row],[Work Type]:[Work Type]]&lt;&gt;"BH",0,
SUMIFS(AL$9:AL$24,$M$9:$M$24,PART_NUMBER_GENERATOR_TABLE[[#This Row],[Tech]:[Tech]])))</f>
        <v>0</v>
      </c>
      <c r="AM139">
        <f>0</f>
        <v>0</v>
      </c>
      <c r="AN139" cm="1">
        <f t="array" ref="AN139">IF(PART_NUMBER_GENERATOR_TABLE[[#This Row],[Work Role]:[Work Role]]&lt;&gt;AN$1,0,
IF(PART_NUMBER_GENERATOR_TABLE[[#This Row],[Work Type]:[Work Type]]&lt;&gt;"BH",0,
SUMIFS(AN$24,$AM$24,PART_NUMBER_GENERATOR_TABLE[[#This Row],[Tech]:[Tech]])))</f>
        <v>0</v>
      </c>
      <c r="AO139" cm="1">
        <f t="array" ref="AO139">IF(PART_NUMBER_GENERATOR_TABLE[[#This Row],[Work Role]:[Work Role]]&lt;&gt;AO$1,0,
IF(PART_NUMBER_GENERATOR_TABLE[[#This Row],[Work Type]:[Work Type]]&lt;&gt;"BH",0,
SUMIFS(AO$24,$AM$24,PART_NUMBER_GENERATOR_TABLE[[#This Row],[Tech]:[Tech]])))</f>
        <v>0</v>
      </c>
      <c r="AP139" cm="1">
        <f t="array" ref="AP139">IF(PART_NUMBER_GENERATOR_TABLE[[#This Row],[Work Role]:[Work Role]]&lt;&gt;AP$1,0,
IF(PART_NUMBER_GENERATOR_TABLE[[#This Row],[Work Type]:[Work Type]]&lt;&gt;"BH",0,
SUMIFS(AP$24,$AM$24,PART_NUMBER_GENERATOR_TABLE[[#This Row],[Tech]:[Tech]])))</f>
        <v>0</v>
      </c>
      <c r="AQ139" cm="1">
        <f t="array" ref="AQ139">IF(PART_NUMBER_GENERATOR_TABLE[[#This Row],[Work Role]:[Work Role]]&lt;&gt;AQ$1,0,
IF(PART_NUMBER_GENERATOR_TABLE[[#This Row],[Work Type]:[Work Type]]&lt;&gt;"BH",0,
SUMIFS(AQ$24,$AM$24,PART_NUMBER_GENERATOR_TABLE[[#This Row],[Tech]:[Tech]])))</f>
        <v>0</v>
      </c>
      <c r="AR139" cm="1">
        <f t="array" ref="AR139">IF(PART_NUMBER_GENERATOR_TABLE[[#This Row],[Work Role]:[Work Role]]&lt;&gt;AR$1,0,
IF(PART_NUMBER_GENERATOR_TABLE[[#This Row],[Work Type]:[Work Type]]&lt;&gt;"BH",0,
SUMIFS(AR$24,$AM$24,PART_NUMBER_GENERATOR_TABLE[[#This Row],[Tech]:[Tech]])))</f>
        <v>0</v>
      </c>
      <c r="AS139" cm="1">
        <f t="array" ref="AS139">IF(PART_NUMBER_GENERATOR_TABLE[[#This Row],[Work Role]:[Work Role]]&lt;&gt;AS$1,0,
IF(PART_NUMBER_GENERATOR_TABLE[[#This Row],[Work Type]:[Work Type]]&lt;&gt;"BH",0,
SUMIFS(AS$24,$AM$24,PART_NUMBER_GENERATOR_TABLE[[#This Row],[Tech]:[Tech]])))</f>
        <v>0</v>
      </c>
      <c r="AT139" cm="1">
        <f t="array" ref="AT139">IF(PART_NUMBER_GENERATOR_TABLE[[#This Row],[Work Role]:[Work Role]]&lt;&gt;AS$1,0,
IF(PART_NUMBER_GENERATOR_TABLE[[#This Row],[Work Type]:[Work Type]]&lt;&gt;"BH",0,
SUMIFS(AT$24,$AM$24,PART_NUMBER_GENERATOR_TABLE[[#This Row],[Tech]:[Tech]])))</f>
        <v>0</v>
      </c>
      <c r="AU139">
        <f>SUM(PART_NUMBER_GENERATOR_TABLE[[#This Row],[Resource 1 BH]:[Resource 5 AH]],PART_NUMBER_GENERATOR_TABLE[[#This Row],[R1 Mandatory Tasks]:[R5 Mandatory Tasks]],PART_NUMBER_GENERATOR_TABLE[[#This Row],[R1 Remainder]:[R5 Remainder]])</f>
        <v>0</v>
      </c>
      <c r="AV139">
        <f>PART_NUMBER_GENERATOR_TABLE[[#This Row],[Professional Engineering Hours]]*PART_NUMBER_GENERATOR_TABLE[[#This Row],[Sell Rate]]</f>
        <v>0</v>
      </c>
      <c r="AW139">
        <f>PART_NUMBER_GENERATOR_TABLE[[#This Row],[Professional Engineering Hours]]*PART_NUMBER_GENERATOR_TABLE[[#This Row],[Cost Rate]]</f>
        <v>0</v>
      </c>
      <c r="AX139">
        <f>SUM(PART_NUMBER_GENERATOR_TABLE[[#This Row],[PM Trips]:[R5 Trips]])</f>
        <v>0</v>
      </c>
      <c r="AY139">
        <f>PART_NUMBER_GENERATOR_TABLE[[#This Row],[Travel &amp; Accommodation Hours]]*PART_NUMBER_GENERATOR_TABLE[[#This Row],[Sell Rate]]</f>
        <v>0</v>
      </c>
      <c r="AZ139">
        <f>PART_NUMBER_GENERATOR_TABLE[[#This Row],[Travel &amp; Accommodation Hours]]*PART_NUMBER_GENERATOR_TABLE[[#This Row],[Cost Rate]]</f>
        <v>0</v>
      </c>
      <c r="BA139">
        <f>PART_NUMBER_GENERATOR_TABLE[[#This Row],[PM Hours]]+PART_NUMBER_GENERATOR_TABLE[[#This Row],[PM Remainder]]</f>
        <v>0</v>
      </c>
      <c r="BB139">
        <f>PART_NUMBER_GENERATOR_TABLE[[#This Row],[Project Management Hours]]*PART_NUMBER_GENERATOR_TABLE[[#This Row],[Sell Rate]]</f>
        <v>0</v>
      </c>
      <c r="BC139">
        <f>PART_NUMBER_GENERATOR_TABLE[[#This Row],[Project Management Hours]]*PART_NUMBER_GENERATOR_TABLE[[#This Row],[Cost Rate]]</f>
        <v>0</v>
      </c>
      <c r="BD139">
        <f>SUM(PART_NUMBER_GENERATOR_TABLE[[#This Row],[SSE RISK BH]:[PM RISK]],PART_NUMBER_GENERATOR_TABLE[[#This Row],[SSE Remainder RISK BH]:[PM Remainder RISK]])</f>
        <v>0</v>
      </c>
      <c r="BE139">
        <f>PART_NUMBER_GENERATOR_TABLE[[#This Row],[Project Risk Service Hours]]*PART_NUMBER_GENERATOR_TABLE[[#This Row],[Sell Rate]]</f>
        <v>0</v>
      </c>
      <c r="BF139">
        <f>PART_NUMBER_GENERATOR_TABLE[[#This Row],[Project Risk Service Hours]]*PART_NUMBER_GENERATOR_TABLE[[#This Row],[Cost Rate]]</f>
        <v>0</v>
      </c>
      <c r="BG139">
        <f>PART_NUMBER_GENERATOR_TABLE[[#This Row],[SSE RISK TRAVEL]]</f>
        <v>0</v>
      </c>
      <c r="BH139">
        <f>PART_NUMBER_GENERATOR_TABLE[[#This Row],[Sell Rate]]*PART_NUMBER_GENERATOR_TABLE[[#This Row],[Project Risk Travel Hours]]</f>
        <v>0</v>
      </c>
      <c r="BI139">
        <f>PART_NUMBER_GENERATOR_TABLE[[#This Row],[Project Risk Travel Hours]]*PART_NUMBER_GENERATOR_TABLE[[#This Row],[Cost Rate]]</f>
        <v>0</v>
      </c>
      <c r="BJ13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3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39">
        <f>IFERROR(-VLOOKUP(INDEX(ENGINEER_ROLES,MATCH(PART_NUMBER_GENERATOR_TABLE[[#This Row],[Work Role]],settings.Table_Engineer.Roles[ID],0),1),Settings_Hidden!$H$359:$K$366,4,FALSE),0)</f>
        <v>0</v>
      </c>
      <c r="BM139" s="680">
        <f>-Summary!$C$66</f>
        <v>0</v>
      </c>
      <c r="BN139" s="465">
        <f>PART_NUMBER_GENERATOR_TABLE[[#This Row],[Total Base Price]]*MIN(PART_NUMBER_GENERATOR_TABLE[[#This Row],[Rate Service Discount]:[Flat Service Discount]])</f>
        <v>0</v>
      </c>
      <c r="BO139" s="451" t="str">
        <f>IF(PART_NUMBER_GENERATOR_TABLE[[#This Row],[Quantity]]&lt;&gt;0,MAX($BO$30:BO138)+1,"")</f>
        <v/>
      </c>
      <c r="BP139" t="str">
        <f>PART_NUMBER_GENERATOR_TABLE[[#This Row],[Part Number]]</f>
        <v>A-PS-C-SECNET-SA-BH</v>
      </c>
      <c r="BQ139">
        <f>PART_NUMBER_GENERATOR_TABLE[[#This Row],[Total Hours]]</f>
        <v>0</v>
      </c>
      <c r="BR139">
        <f>PART_NUMBER_GENERATOR_TABLE[[#This Row],[Cost Rate]]</f>
        <v>167.61034913968996</v>
      </c>
      <c r="BS139" s="465">
        <f>PART_NUMBER_GENERATOR_TABLE[[#This Row],[Sell Rate]]+(PART_NUMBER_GENERATOR_TABLE[[#This Row],[Sell Rate]]*MIN(PART_NUMBER_GENERATOR_TABLE[[#This Row],[Rate Service Discount]:[Flat Service Discount]]))</f>
        <v>315</v>
      </c>
    </row>
    <row r="140" spans="1:71">
      <c r="A140">
        <v>110</v>
      </c>
      <c r="C140" t="s">
        <v>1087</v>
      </c>
      <c r="D140" t="str" cm="1">
        <f t="array" ref="D140">INDEX(Table.Settings_Skill.List[Skill Name],MATCH(INDEX(_xlfn.TEXTSPLIT(C140,"-",,TRUE),4),Table.Settings_Skill.List[Skill Code],0),1)</f>
        <v>Security</v>
      </c>
      <c r="E140" t="str" cm="1">
        <f t="array" ref="E140">INDEX(_xlfn.TEXTSPLIT(C140,"-",,TRUE),5)</f>
        <v>SC</v>
      </c>
      <c r="F140" t="str">
        <f>IFERROR(INDEX(settings.Table_Engineer.Roles[Department Code],MATCH(PART_NUMBER_GENERATOR_TABLE[[#This Row],[Work Role]],settings.Table_Engineer.Roles[ID],0),1),"PMO")</f>
        <v>CON</v>
      </c>
      <c r="G140" t="str" cm="1">
        <f t="array" ref="G140">INDEX(_xlfn.TEXTSPLIT(C140,"-",,TRUE),6)</f>
        <v>BH</v>
      </c>
      <c r="H14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4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40" cm="1">
        <f t="array" ref="J140">IF(J$1&lt;&gt;PART_NUMBER_GENERATOR_TABLE[[#This Row],[Work Role]:[Work Role]],0,
IF(RIGHT(J$30,2)&lt;&gt;PART_NUMBER_GENERATOR_TABLE[[#This Row],[Work Type]:[Work Type]],0,
SUMIFS(Input_Tasks[R1 Business Hours],Input_Tasks[[Skill Required]:[Skill Required]],PART_NUMBER_GENERATOR_TABLE[[#This Row],[Tech]:[Tech]])))</f>
        <v>0</v>
      </c>
      <c r="K140" cm="1">
        <f t="array" ref="K140">IF(K$1&lt;&gt;PART_NUMBER_GENERATOR_TABLE[[#This Row],[Work Role]:[Work Role]],0,
IF(RIGHT(K$30,2)&lt;&gt;PART_NUMBER_GENERATOR_TABLE[[#This Row],[Work Type]:[Work Type]],0,
SUMIFS(Input_Tasks[R1 After Hours],Input_Tasks[[Skill Required]:[Skill Required]],PART_NUMBER_GENERATOR_TABLE[[#This Row],[Tech]:[Tech]])))</f>
        <v>0</v>
      </c>
      <c r="L140" cm="1">
        <f t="array" ref="L140">IF(L$1&lt;&gt;PART_NUMBER_GENERATOR_TABLE[[#This Row],[Work Role]:[Work Role]],0,
IF(RIGHT(L$30,2)&lt;&gt;PART_NUMBER_GENERATOR_TABLE[[#This Row],[Work Type]:[Work Type]],0,
SUMIFS(Input_Tasks[R2 Business Hours],Input_Tasks[[Skill Required]:[Skill Required]],PART_NUMBER_GENERATOR_TABLE[[#This Row],[Tech]:[Tech]])))</f>
        <v>0</v>
      </c>
      <c r="M140" cm="1">
        <f t="array" ref="M140">IF(M$1&lt;&gt;PART_NUMBER_GENERATOR_TABLE[[#This Row],[Work Role]:[Work Role]],0,
IF(RIGHT(M$30,2)&lt;&gt;PART_NUMBER_GENERATOR_TABLE[[#This Row],[Work Type]:[Work Type]],0,
SUMIFS(Input_Tasks[R2 After Hours],Input_Tasks[[Skill Required]:[Skill Required]],PART_NUMBER_GENERATOR_TABLE[[#This Row],[Tech]:[Tech]])))</f>
        <v>0</v>
      </c>
      <c r="N140" cm="1">
        <f t="array" ref="N140">IF(N$1&lt;&gt;PART_NUMBER_GENERATOR_TABLE[[#This Row],[Work Role]:[Work Role]],0,
IF(RIGHT(N$30,2)&lt;&gt;PART_NUMBER_GENERATOR_TABLE[[#This Row],[Work Type]:[Work Type]],0,
SUMIFS(Input_Tasks[R3 Business Hours],Input_Tasks[[Skill Required]:[Skill Required]],PART_NUMBER_GENERATOR_TABLE[[#This Row],[Tech]:[Tech]])))</f>
        <v>0</v>
      </c>
      <c r="O140" cm="1">
        <f t="array" ref="O140">IF(O$1&lt;&gt;PART_NUMBER_GENERATOR_TABLE[[#This Row],[Work Role]:[Work Role]],0,
IF(RIGHT(O$30,2)&lt;&gt;PART_NUMBER_GENERATOR_TABLE[[#This Row],[Work Type]:[Work Type]],0,
SUMIFS(Input_Tasks[R3 After Hours],Input_Tasks[[Skill Required]:[Skill Required]],PART_NUMBER_GENERATOR_TABLE[[#This Row],[Tech]:[Tech]])))</f>
        <v>0</v>
      </c>
      <c r="P140" cm="1">
        <f t="array" ref="P140">IF(P$1&lt;&gt;PART_NUMBER_GENERATOR_TABLE[[#This Row],[Work Role]:[Work Role]],0,
IF(RIGHT(P$30,2)&lt;&gt;PART_NUMBER_GENERATOR_TABLE[[#This Row],[Work Type]:[Work Type]],0,
SUMIFS(Input_Tasks[R4 Business Hours],Input_Tasks[[Skill Required]:[Skill Required]],PART_NUMBER_GENERATOR_TABLE[[#This Row],[Tech]:[Tech]])))</f>
        <v>0</v>
      </c>
      <c r="Q140" cm="1">
        <f t="array" ref="Q140">IF(Q$1&lt;&gt;PART_NUMBER_GENERATOR_TABLE[[#This Row],[Work Role]:[Work Role]],0,
IF(RIGHT(Q$30,2)&lt;&gt;PART_NUMBER_GENERATOR_TABLE[[#This Row],[Work Type]:[Work Type]],0,
SUMIFS(Input_Tasks[R4 After Hours],Input_Tasks[[Skill Required]:[Skill Required]],PART_NUMBER_GENERATOR_TABLE[[#This Row],[Tech]:[Tech]])))</f>
        <v>0</v>
      </c>
      <c r="R140" cm="1">
        <f t="array" ref="R140">IF(R$1&lt;&gt;PART_NUMBER_GENERATOR_TABLE[[#This Row],[Work Role]:[Work Role]],0,
IF(RIGHT(R$30,2)&lt;&gt;PART_NUMBER_GENERATOR_TABLE[[#This Row],[Work Type]:[Work Type]],0,
SUMIFS(Input_Tasks[R5 Business Hours],Input_Tasks[[Skill Required]:[Skill Required]],PART_NUMBER_GENERATOR_TABLE[[#This Row],[Tech]:[Tech]])))</f>
        <v>0</v>
      </c>
      <c r="S140" cm="1">
        <f t="array" ref="S140">IF(S$1&lt;&gt;PART_NUMBER_GENERATOR_TABLE[[#This Row],[Work Role]:[Work Role]],0,
IF(RIGHT(S$30,2)&lt;&gt;PART_NUMBER_GENERATOR_TABLE[[#This Row],[Work Type]:[Work Type]],0,
SUMIFS(Input_Tasks[R5 After Hours],Input_Tasks[[Skill Required]:[Skill Required]],PART_NUMBER_GENERATOR_TABLE[[#This Row],[Tech]:[Tech]])))</f>
        <v>0</v>
      </c>
      <c r="T140" cm="1">
        <f t="array" ref="T140">IF(PART_NUMBER_GENERATOR_TABLE[[#This Row],[Work Role]:[Work Role]]&lt;&gt;T$1,0,
IF(PART_NUMBER_GENERATOR_TABLE[[#This Row],[Work Type]:[Work Type]]&lt;&gt;"BH",0,
SUMIFS(T$9:T$24,$M$9:$M$24,PART_NUMBER_GENERATOR_TABLE[[#This Row],[Tech]:[Tech]])))</f>
        <v>0</v>
      </c>
      <c r="U140" cm="1">
        <f t="array" ref="U140">IF(PART_NUMBER_GENERATOR_TABLE[[#This Row],[Work Role]:[Work Role]]&lt;&gt;U$1,0,
IF(PART_NUMBER_GENERATOR_TABLE[[#This Row],[Work Type]:[Work Type]]&lt;&gt;"BH",0,
SUMIFS(U$9:U$24,$M$9:$M$24,PART_NUMBER_GENERATOR_TABLE[[#This Row],[Tech]:[Tech]])))</f>
        <v>0</v>
      </c>
      <c r="V140" cm="1">
        <f t="array" ref="V140">IF(PART_NUMBER_GENERATOR_TABLE[[#This Row],[Work Role]:[Work Role]]&lt;&gt;V$1,0,
IF(PART_NUMBER_GENERATOR_TABLE[[#This Row],[Work Type]:[Work Type]]&lt;&gt;"BH",0,
SUMIFS(V$9:V$24,$M$9:$M$24,PART_NUMBER_GENERATOR_TABLE[[#This Row],[Tech]:[Tech]])))</f>
        <v>0</v>
      </c>
      <c r="W140" cm="1">
        <f t="array" ref="W140">IF(PART_NUMBER_GENERATOR_TABLE[[#This Row],[Work Role]:[Work Role]]&lt;&gt;W$1,0,
IF(PART_NUMBER_GENERATOR_TABLE[[#This Row],[Work Type]:[Work Type]]&lt;&gt;"BH",0,
SUMIFS(W$9:W$24,$M$9:$M$24,PART_NUMBER_GENERATOR_TABLE[[#This Row],[Tech]:[Tech]])))</f>
        <v>0</v>
      </c>
      <c r="X140" cm="1">
        <f t="array" ref="X140">IF(PART_NUMBER_GENERATOR_TABLE[[#This Row],[Work Role]:[Work Role]]&lt;&gt;X$1,0,
IF(PART_NUMBER_GENERATOR_TABLE[[#This Row],[Work Type]:[Work Type]]&lt;&gt;"BH",0,
SUMIFS(X$9:X$24,$M$9:$M$24,PART_NUMBER_GENERATOR_TABLE[[#This Row],[Tech]:[Tech]])))</f>
        <v>0</v>
      </c>
      <c r="Y140" cm="1">
        <f t="array" ref="Y140">IF(PART_NUMBER_GENERATOR_TABLE[[#This Row],[Work Role]:[Work Role]]&lt;&gt;Y$1,0,
IF(PART_NUMBER_GENERATOR_TABLE[[#This Row],[Work Type]:[Work Type]]&lt;&gt;"BH",0,
SUMIFS(Y$9:Y$24,$M$9:$M$24,PART_NUMBER_GENERATOR_TABLE[[#This Row],[Tech]:[Tech]])))</f>
        <v>0</v>
      </c>
      <c r="Z140" cm="1">
        <f t="array" ref="Z140">IF(PART_NUMBER_GENERATOR_TABLE[[#This Row],[Work Role]:[Work Role]]&lt;&gt;Z$1,0,
IF(PART_NUMBER_GENERATOR_TABLE[[#This Row],[Work Type]:[Work Type]]&lt;&gt;"BH",0,
SUMIFS(Z$9:Z$24,$M$9:$M$24,PART_NUMBER_GENERATOR_TABLE[[#This Row],[Tech]:[Tech]])))</f>
        <v>0</v>
      </c>
      <c r="AA140" cm="1">
        <f t="array" ref="AA140">IF(PART_NUMBER_GENERATOR_TABLE[[#This Row],[Work Role]:[Work Role]]&lt;&gt;AA$1,0,
IF(PART_NUMBER_GENERATOR_TABLE[[#This Row],[Work Type]:[Work Type]]&lt;&gt;"BH",0,
SUMIFS(AA$9:AA$24,$M$9:$M$24,PART_NUMBER_GENERATOR_TABLE[[#This Row],[Tech]:[Tech]])))</f>
        <v>0</v>
      </c>
      <c r="AB140" cm="1">
        <f t="array" ref="AB140">IF(PART_NUMBER_GENERATOR_TABLE[[#This Row],[Work Role]:[Work Role]]&lt;&gt;AB$1,0,
IF(PART_NUMBER_GENERATOR_TABLE[[#This Row],[Work Type]:[Work Type]]&lt;&gt;"BH",0,
SUMIFS(AB$9:AB$24,$M$9:$M$24,PART_NUMBER_GENERATOR_TABLE[[#This Row],[Tech]:[Tech]])))</f>
        <v>0</v>
      </c>
      <c r="AC140" cm="1">
        <f t="array" ref="AC140">IF(PART_NUMBER_GENERATOR_TABLE[[#This Row],[Work Role]:[Work Role]]&lt;&gt;AC$1,0,
IF(PART_NUMBER_GENERATOR_TABLE[[#This Row],[Work Type]:[Work Type]]&lt;&gt;"BH",0,
SUMIFS(AC$9:AC$24,$M$9:$M$24,PART_NUMBER_GENERATOR_TABLE[[#This Row],[Tech]:[Tech]])))</f>
        <v>0</v>
      </c>
      <c r="AD140" cm="1">
        <f t="array" ref="AD140">IF(PART_NUMBER_GENERATOR_TABLE[[#This Row],[Work Role]:[Work Role]]&lt;&gt;AD$1,0,
IF(PART_NUMBER_GENERATOR_TABLE[[#This Row],[Work Type]:[Work Type]]&lt;&gt;"BH",0,
SUMIFS(AD$9:AD$24,$M$9:$M$24,PART_NUMBER_GENERATOR_TABLE[[#This Row],[Tech]:[Tech]])))</f>
        <v>0</v>
      </c>
      <c r="AE140" cm="1">
        <f t="array" ref="AE140">IF(PART_NUMBER_GENERATOR_TABLE[[#This Row],[Work Role]:[Work Role]]&lt;&gt;AE$1,0,
IF(PART_NUMBER_GENERATOR_TABLE[[#This Row],[Work Type]:[Work Type]]&lt;&gt;"BH",0,
SUMIFS(AE$9:AE$24,$M$9:$M$24,PART_NUMBER_GENERATOR_TABLE[[#This Row],[Tech]:[Tech]])))</f>
        <v>0</v>
      </c>
      <c r="AF140" cm="1">
        <f t="array" ref="AF140">IF(PART_NUMBER_GENERATOR_TABLE[[#This Row],[Work Role]:[Work Role]]&lt;&gt;AF$1,0,
IF(PART_NUMBER_GENERATOR_TABLE[[#This Row],[Work Type]:[Work Type]]&lt;&gt;"BH",0,
SUMIFS(AF$9:AF$24,$M$9:$M$24,PART_NUMBER_GENERATOR_TABLE[[#This Row],[Tech]:[Tech]])))</f>
        <v>0</v>
      </c>
      <c r="AG140" cm="1">
        <f t="array" ref="AG140">IF(PART_NUMBER_GENERATOR_TABLE[[#This Row],[Work Role]:[Work Role]]&lt;&gt;AG$1,0,
IF(PART_NUMBER_GENERATOR_TABLE[[#This Row],[Work Type]:[Work Type]]&lt;&gt;"AH",0,
SUMIFS(AG$9:AG$24,$M$9:$M$24,PART_NUMBER_GENERATOR_TABLE[[#This Row],[Tech]:[Tech]])))</f>
        <v>0</v>
      </c>
      <c r="AH140" cm="1">
        <f t="array" ref="AH140">IF(PART_NUMBER_GENERATOR_TABLE[[#This Row],[Work Role]:[Work Role]]&lt;&gt;AH$1,0,
IF(PART_NUMBER_GENERATOR_TABLE[[#This Row],[Work Type]:[Work Type]]&lt;&gt;"BH",0,
SUMIFS(AH$9:AH$24,$M$9:$M$24,PART_NUMBER_GENERATOR_TABLE[[#This Row],[Tech]:[Tech]])))</f>
        <v>0</v>
      </c>
      <c r="AI140" cm="1">
        <f t="array" ref="AI140">IF(PART_NUMBER_GENERATOR_TABLE[[#This Row],[Work Role]:[Work Role]]&lt;&gt;AI$1,0,
IF(PART_NUMBER_GENERATOR_TABLE[[#This Row],[Work Type]:[Work Type]]&lt;&gt;"BH",0,
SUMIFS(AI$9:AI$24,$M$9:$M$24,PART_NUMBER_GENERATOR_TABLE[[#This Row],[Tech]:[Tech]])))</f>
        <v>0</v>
      </c>
      <c r="AJ140" cm="1">
        <f t="array" ref="AJ140">IF(PART_NUMBER_GENERATOR_TABLE[[#This Row],[Work Role]:[Work Role]]&lt;&gt;AJ$1,0,
IF(PART_NUMBER_GENERATOR_TABLE[[#This Row],[Work Type]:[Work Type]]&lt;&gt;"BH",0,
SUMIFS(AJ$9:AJ$24,$M$9:$M$24,PART_NUMBER_GENERATOR_TABLE[[#This Row],[Tech]:[Tech]])))</f>
        <v>0</v>
      </c>
      <c r="AK140" cm="1">
        <f t="array" ref="AK140">IF(PART_NUMBER_GENERATOR_TABLE[[#This Row],[Work Role]:[Work Role]]&lt;&gt;AK$1,0,
IF(PART_NUMBER_GENERATOR_TABLE[[#This Row],[Work Type]:[Work Type]]&lt;&gt;"AH",0,
SUMIFS(AK$9:AK$24,$M$9:$M$24,PART_NUMBER_GENERATOR_TABLE[[#This Row],[Tech]:[Tech]])))</f>
        <v>0</v>
      </c>
      <c r="AL140" cm="1">
        <f t="array" ref="AL140">IF(PART_NUMBER_GENERATOR_TABLE[[#This Row],[Work Role]:[Work Role]]&lt;&gt;AL$1,0,
IF(PART_NUMBER_GENERATOR_TABLE[[#This Row],[Work Type]:[Work Type]]&lt;&gt;"BH",0,
SUMIFS(AL$9:AL$24,$M$9:$M$24,PART_NUMBER_GENERATOR_TABLE[[#This Row],[Tech]:[Tech]])))</f>
        <v>0</v>
      </c>
      <c r="AM140">
        <f>0</f>
        <v>0</v>
      </c>
      <c r="AN140" cm="1">
        <f t="array" ref="AN140">IF(PART_NUMBER_GENERATOR_TABLE[[#This Row],[Work Role]:[Work Role]]&lt;&gt;AN$1,0,
IF(PART_NUMBER_GENERATOR_TABLE[[#This Row],[Work Type]:[Work Type]]&lt;&gt;"BH",0,
SUMIFS(AN$24,$AM$24,PART_NUMBER_GENERATOR_TABLE[[#This Row],[Tech]:[Tech]])))</f>
        <v>0</v>
      </c>
      <c r="AO140" cm="1">
        <f t="array" ref="AO140">IF(PART_NUMBER_GENERATOR_TABLE[[#This Row],[Work Role]:[Work Role]]&lt;&gt;AO$1,0,
IF(PART_NUMBER_GENERATOR_TABLE[[#This Row],[Work Type]:[Work Type]]&lt;&gt;"BH",0,
SUMIFS(AO$24,$AM$24,PART_NUMBER_GENERATOR_TABLE[[#This Row],[Tech]:[Tech]])))</f>
        <v>0</v>
      </c>
      <c r="AP140" cm="1">
        <f t="array" ref="AP140">IF(PART_NUMBER_GENERATOR_TABLE[[#This Row],[Work Role]:[Work Role]]&lt;&gt;AP$1,0,
IF(PART_NUMBER_GENERATOR_TABLE[[#This Row],[Work Type]:[Work Type]]&lt;&gt;"BH",0,
SUMIFS(AP$24,$AM$24,PART_NUMBER_GENERATOR_TABLE[[#This Row],[Tech]:[Tech]])))</f>
        <v>0</v>
      </c>
      <c r="AQ140" cm="1">
        <f t="array" ref="AQ140">IF(PART_NUMBER_GENERATOR_TABLE[[#This Row],[Work Role]:[Work Role]]&lt;&gt;AQ$1,0,
IF(PART_NUMBER_GENERATOR_TABLE[[#This Row],[Work Type]:[Work Type]]&lt;&gt;"BH",0,
SUMIFS(AQ$24,$AM$24,PART_NUMBER_GENERATOR_TABLE[[#This Row],[Tech]:[Tech]])))</f>
        <v>0</v>
      </c>
      <c r="AR140" cm="1">
        <f t="array" ref="AR140">IF(PART_NUMBER_GENERATOR_TABLE[[#This Row],[Work Role]:[Work Role]]&lt;&gt;AR$1,0,
IF(PART_NUMBER_GENERATOR_TABLE[[#This Row],[Work Type]:[Work Type]]&lt;&gt;"BH",0,
SUMIFS(AR$24,$AM$24,PART_NUMBER_GENERATOR_TABLE[[#This Row],[Tech]:[Tech]])))</f>
        <v>0</v>
      </c>
      <c r="AS140" cm="1">
        <f t="array" ref="AS140">IF(PART_NUMBER_GENERATOR_TABLE[[#This Row],[Work Role]:[Work Role]]&lt;&gt;AS$1,0,
IF(PART_NUMBER_GENERATOR_TABLE[[#This Row],[Work Type]:[Work Type]]&lt;&gt;"BH",0,
SUMIFS(AS$24,$AM$24,PART_NUMBER_GENERATOR_TABLE[[#This Row],[Tech]:[Tech]])))</f>
        <v>0</v>
      </c>
      <c r="AT140" cm="1">
        <f t="array" ref="AT140">IF(PART_NUMBER_GENERATOR_TABLE[[#This Row],[Work Role]:[Work Role]]&lt;&gt;AS$1,0,
IF(PART_NUMBER_GENERATOR_TABLE[[#This Row],[Work Type]:[Work Type]]&lt;&gt;"BH",0,
SUMIFS(AT$24,$AM$24,PART_NUMBER_GENERATOR_TABLE[[#This Row],[Tech]:[Tech]])))</f>
        <v>0</v>
      </c>
      <c r="AU140">
        <f>SUM(PART_NUMBER_GENERATOR_TABLE[[#This Row],[Resource 1 BH]:[Resource 5 AH]],PART_NUMBER_GENERATOR_TABLE[[#This Row],[R1 Mandatory Tasks]:[R5 Mandatory Tasks]],PART_NUMBER_GENERATOR_TABLE[[#This Row],[R1 Remainder]:[R5 Remainder]])</f>
        <v>0</v>
      </c>
      <c r="AV140">
        <f>PART_NUMBER_GENERATOR_TABLE[[#This Row],[Professional Engineering Hours]]*PART_NUMBER_GENERATOR_TABLE[[#This Row],[Sell Rate]]</f>
        <v>0</v>
      </c>
      <c r="AW140">
        <f>PART_NUMBER_GENERATOR_TABLE[[#This Row],[Professional Engineering Hours]]*PART_NUMBER_GENERATOR_TABLE[[#This Row],[Cost Rate]]</f>
        <v>0</v>
      </c>
      <c r="AX140">
        <f>SUM(PART_NUMBER_GENERATOR_TABLE[[#This Row],[PM Trips]:[R5 Trips]])</f>
        <v>0</v>
      </c>
      <c r="AY140">
        <f>PART_NUMBER_GENERATOR_TABLE[[#This Row],[Travel &amp; Accommodation Hours]]*PART_NUMBER_GENERATOR_TABLE[[#This Row],[Sell Rate]]</f>
        <v>0</v>
      </c>
      <c r="AZ140">
        <f>PART_NUMBER_GENERATOR_TABLE[[#This Row],[Travel &amp; Accommodation Hours]]*PART_NUMBER_GENERATOR_TABLE[[#This Row],[Cost Rate]]</f>
        <v>0</v>
      </c>
      <c r="BA140">
        <f>PART_NUMBER_GENERATOR_TABLE[[#This Row],[PM Hours]]+PART_NUMBER_GENERATOR_TABLE[[#This Row],[PM Remainder]]</f>
        <v>0</v>
      </c>
      <c r="BB140">
        <f>PART_NUMBER_GENERATOR_TABLE[[#This Row],[Project Management Hours]]*PART_NUMBER_GENERATOR_TABLE[[#This Row],[Sell Rate]]</f>
        <v>0</v>
      </c>
      <c r="BC140">
        <f>PART_NUMBER_GENERATOR_TABLE[[#This Row],[Project Management Hours]]*PART_NUMBER_GENERATOR_TABLE[[#This Row],[Cost Rate]]</f>
        <v>0</v>
      </c>
      <c r="BD140">
        <f>SUM(PART_NUMBER_GENERATOR_TABLE[[#This Row],[SSE RISK BH]:[PM RISK]],PART_NUMBER_GENERATOR_TABLE[[#This Row],[SSE Remainder RISK BH]:[PM Remainder RISK]])</f>
        <v>0</v>
      </c>
      <c r="BE140">
        <f>PART_NUMBER_GENERATOR_TABLE[[#This Row],[Project Risk Service Hours]]*PART_NUMBER_GENERATOR_TABLE[[#This Row],[Sell Rate]]</f>
        <v>0</v>
      </c>
      <c r="BF140">
        <f>PART_NUMBER_GENERATOR_TABLE[[#This Row],[Project Risk Service Hours]]*PART_NUMBER_GENERATOR_TABLE[[#This Row],[Cost Rate]]</f>
        <v>0</v>
      </c>
      <c r="BG140">
        <f>PART_NUMBER_GENERATOR_TABLE[[#This Row],[SSE RISK TRAVEL]]</f>
        <v>0</v>
      </c>
      <c r="BH140">
        <f>PART_NUMBER_GENERATOR_TABLE[[#This Row],[Sell Rate]]*PART_NUMBER_GENERATOR_TABLE[[#This Row],[Project Risk Travel Hours]]</f>
        <v>0</v>
      </c>
      <c r="BI140">
        <f>PART_NUMBER_GENERATOR_TABLE[[#This Row],[Project Risk Travel Hours]]*PART_NUMBER_GENERATOR_TABLE[[#This Row],[Cost Rate]]</f>
        <v>0</v>
      </c>
      <c r="BJ14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4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40">
        <f>IFERROR(-VLOOKUP(INDEX(ENGINEER_ROLES,MATCH(PART_NUMBER_GENERATOR_TABLE[[#This Row],[Work Role]],settings.Table_Engineer.Roles[ID],0),1),Settings_Hidden!$H$359:$K$366,4,FALSE),0)</f>
        <v>0</v>
      </c>
      <c r="BM140" s="680">
        <f>-Summary!$C$66</f>
        <v>0</v>
      </c>
      <c r="BN140" s="465">
        <f>PART_NUMBER_GENERATOR_TABLE[[#This Row],[Total Base Price]]*MIN(PART_NUMBER_GENERATOR_TABLE[[#This Row],[Rate Service Discount]:[Flat Service Discount]])</f>
        <v>0</v>
      </c>
      <c r="BO140" s="451" t="str">
        <f>IF(PART_NUMBER_GENERATOR_TABLE[[#This Row],[Quantity]]&lt;&gt;0,MAX($BO$30:BO139)+1,"")</f>
        <v/>
      </c>
      <c r="BP140" t="str">
        <f>PART_NUMBER_GENERATOR_TABLE[[#This Row],[Part Number]]</f>
        <v>A-PS-C-SECNET-SC-BH</v>
      </c>
      <c r="BQ140">
        <f>PART_NUMBER_GENERATOR_TABLE[[#This Row],[Total Hours]]</f>
        <v>0</v>
      </c>
      <c r="BR140">
        <f>PART_NUMBER_GENERATOR_TABLE[[#This Row],[Cost Rate]]</f>
        <v>167.61034913968996</v>
      </c>
      <c r="BS140" s="465">
        <f>PART_NUMBER_GENERATOR_TABLE[[#This Row],[Sell Rate]]+(PART_NUMBER_GENERATOR_TABLE[[#This Row],[Sell Rate]]*MIN(PART_NUMBER_GENERATOR_TABLE[[#This Row],[Rate Service Discount]:[Flat Service Discount]]))</f>
        <v>315</v>
      </c>
    </row>
    <row r="141" spans="1:71">
      <c r="A141">
        <v>111</v>
      </c>
      <c r="C141" t="s">
        <v>1079</v>
      </c>
      <c r="D141" t="str" cm="1">
        <f t="array" ref="D141">INDEX(Table.Settings_Skill.List[Skill Name],MATCH(INDEX(_xlfn.TEXTSPLIT(C141,"-",,TRUE),4),Table.Settings_Skill.List[Skill Code],0),1)</f>
        <v>Security</v>
      </c>
      <c r="E141" t="str" cm="1">
        <f t="array" ref="E141">INDEX(_xlfn.TEXTSPLIT(C141,"-",,TRUE),5)</f>
        <v>AC</v>
      </c>
      <c r="F141" t="str">
        <f>IFERROR(INDEX(settings.Table_Engineer.Roles[Department Code],MATCH(PART_NUMBER_GENERATOR_TABLE[[#This Row],[Work Role]],settings.Table_Engineer.Roles[ID],0),1),"PMO")</f>
        <v>CON</v>
      </c>
      <c r="G141" t="str" cm="1">
        <f t="array" ref="G141">INDEX(_xlfn.TEXTSPLIT(C141,"-",,TRUE),6)</f>
        <v>BH</v>
      </c>
      <c r="H14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315</v>
      </c>
      <c r="I14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167.61034913968996</v>
      </c>
      <c r="J141" cm="1">
        <f t="array" ref="J141">IF(J$1&lt;&gt;PART_NUMBER_GENERATOR_TABLE[[#This Row],[Work Role]:[Work Role]],0,
IF(RIGHT(J$30,2)&lt;&gt;PART_NUMBER_GENERATOR_TABLE[[#This Row],[Work Type]:[Work Type]],0,
SUMIFS(Input_Tasks[R1 Business Hours],Input_Tasks[[Skill Required]:[Skill Required]],PART_NUMBER_GENERATOR_TABLE[[#This Row],[Tech]:[Tech]])))</f>
        <v>0</v>
      </c>
      <c r="K141" cm="1">
        <f t="array" ref="K141">IF(K$1&lt;&gt;PART_NUMBER_GENERATOR_TABLE[[#This Row],[Work Role]:[Work Role]],0,
IF(RIGHT(K$30,2)&lt;&gt;PART_NUMBER_GENERATOR_TABLE[[#This Row],[Work Type]:[Work Type]],0,
SUMIFS(Input_Tasks[R1 After Hours],Input_Tasks[[Skill Required]:[Skill Required]],PART_NUMBER_GENERATOR_TABLE[[#This Row],[Tech]:[Tech]])))</f>
        <v>0</v>
      </c>
      <c r="L141" cm="1">
        <f t="array" ref="L141">IF(L$1&lt;&gt;PART_NUMBER_GENERATOR_TABLE[[#This Row],[Work Role]:[Work Role]],0,
IF(RIGHT(L$30,2)&lt;&gt;PART_NUMBER_GENERATOR_TABLE[[#This Row],[Work Type]:[Work Type]],0,
SUMIFS(Input_Tasks[R2 Business Hours],Input_Tasks[[Skill Required]:[Skill Required]],PART_NUMBER_GENERATOR_TABLE[[#This Row],[Tech]:[Tech]])))</f>
        <v>0</v>
      </c>
      <c r="M141" cm="1">
        <f t="array" ref="M141">IF(M$1&lt;&gt;PART_NUMBER_GENERATOR_TABLE[[#This Row],[Work Role]:[Work Role]],0,
IF(RIGHT(M$30,2)&lt;&gt;PART_NUMBER_GENERATOR_TABLE[[#This Row],[Work Type]:[Work Type]],0,
SUMIFS(Input_Tasks[R2 After Hours],Input_Tasks[[Skill Required]:[Skill Required]],PART_NUMBER_GENERATOR_TABLE[[#This Row],[Tech]:[Tech]])))</f>
        <v>0</v>
      </c>
      <c r="N141" cm="1">
        <f t="array" ref="N141">IF(N$1&lt;&gt;PART_NUMBER_GENERATOR_TABLE[[#This Row],[Work Role]:[Work Role]],0,
IF(RIGHT(N$30,2)&lt;&gt;PART_NUMBER_GENERATOR_TABLE[[#This Row],[Work Type]:[Work Type]],0,
SUMIFS(Input_Tasks[R3 Business Hours],Input_Tasks[[Skill Required]:[Skill Required]],PART_NUMBER_GENERATOR_TABLE[[#This Row],[Tech]:[Tech]])))</f>
        <v>0</v>
      </c>
      <c r="O141" cm="1">
        <f t="array" ref="O141">IF(O$1&lt;&gt;PART_NUMBER_GENERATOR_TABLE[[#This Row],[Work Role]:[Work Role]],0,
IF(RIGHT(O$30,2)&lt;&gt;PART_NUMBER_GENERATOR_TABLE[[#This Row],[Work Type]:[Work Type]],0,
SUMIFS(Input_Tasks[R3 After Hours],Input_Tasks[[Skill Required]:[Skill Required]],PART_NUMBER_GENERATOR_TABLE[[#This Row],[Tech]:[Tech]])))</f>
        <v>0</v>
      </c>
      <c r="P141" cm="1">
        <f t="array" ref="P141">IF(P$1&lt;&gt;PART_NUMBER_GENERATOR_TABLE[[#This Row],[Work Role]:[Work Role]],0,
IF(RIGHT(P$30,2)&lt;&gt;PART_NUMBER_GENERATOR_TABLE[[#This Row],[Work Type]:[Work Type]],0,
SUMIFS(Input_Tasks[R4 Business Hours],Input_Tasks[[Skill Required]:[Skill Required]],PART_NUMBER_GENERATOR_TABLE[[#This Row],[Tech]:[Tech]])))</f>
        <v>0</v>
      </c>
      <c r="Q141" cm="1">
        <f t="array" ref="Q141">IF(Q$1&lt;&gt;PART_NUMBER_GENERATOR_TABLE[[#This Row],[Work Role]:[Work Role]],0,
IF(RIGHT(Q$30,2)&lt;&gt;PART_NUMBER_GENERATOR_TABLE[[#This Row],[Work Type]:[Work Type]],0,
SUMIFS(Input_Tasks[R4 After Hours],Input_Tasks[[Skill Required]:[Skill Required]],PART_NUMBER_GENERATOR_TABLE[[#This Row],[Tech]:[Tech]])))</f>
        <v>0</v>
      </c>
      <c r="R141" cm="1">
        <f t="array" ref="R141">IF(R$1&lt;&gt;PART_NUMBER_GENERATOR_TABLE[[#This Row],[Work Role]:[Work Role]],0,
IF(RIGHT(R$30,2)&lt;&gt;PART_NUMBER_GENERATOR_TABLE[[#This Row],[Work Type]:[Work Type]],0,
SUMIFS(Input_Tasks[R5 Business Hours],Input_Tasks[[Skill Required]:[Skill Required]],PART_NUMBER_GENERATOR_TABLE[[#This Row],[Tech]:[Tech]])))</f>
        <v>0</v>
      </c>
      <c r="S141" cm="1">
        <f t="array" ref="S141">IF(S$1&lt;&gt;PART_NUMBER_GENERATOR_TABLE[[#This Row],[Work Role]:[Work Role]],0,
IF(RIGHT(S$30,2)&lt;&gt;PART_NUMBER_GENERATOR_TABLE[[#This Row],[Work Type]:[Work Type]],0,
SUMIFS(Input_Tasks[R5 After Hours],Input_Tasks[[Skill Required]:[Skill Required]],PART_NUMBER_GENERATOR_TABLE[[#This Row],[Tech]:[Tech]])))</f>
        <v>0</v>
      </c>
      <c r="T141" cm="1">
        <f t="array" ref="T141">IF(PART_NUMBER_GENERATOR_TABLE[[#This Row],[Work Role]:[Work Role]]&lt;&gt;T$1,0,
IF(PART_NUMBER_GENERATOR_TABLE[[#This Row],[Work Type]:[Work Type]]&lt;&gt;"BH",0,
SUMIFS(T$9:T$24,$M$9:$M$24,PART_NUMBER_GENERATOR_TABLE[[#This Row],[Tech]:[Tech]])))</f>
        <v>0</v>
      </c>
      <c r="U141" cm="1">
        <f t="array" ref="U141">IF(PART_NUMBER_GENERATOR_TABLE[[#This Row],[Work Role]:[Work Role]]&lt;&gt;U$1,0,
IF(PART_NUMBER_GENERATOR_TABLE[[#This Row],[Work Type]:[Work Type]]&lt;&gt;"BH",0,
SUMIFS(U$9:U$24,$M$9:$M$24,PART_NUMBER_GENERATOR_TABLE[[#This Row],[Tech]:[Tech]])))</f>
        <v>0</v>
      </c>
      <c r="V141" cm="1">
        <f t="array" ref="V141">IF(PART_NUMBER_GENERATOR_TABLE[[#This Row],[Work Role]:[Work Role]]&lt;&gt;V$1,0,
IF(PART_NUMBER_GENERATOR_TABLE[[#This Row],[Work Type]:[Work Type]]&lt;&gt;"BH",0,
SUMIFS(V$9:V$24,$M$9:$M$24,PART_NUMBER_GENERATOR_TABLE[[#This Row],[Tech]:[Tech]])))</f>
        <v>0</v>
      </c>
      <c r="W141" cm="1">
        <f t="array" ref="W141">IF(PART_NUMBER_GENERATOR_TABLE[[#This Row],[Work Role]:[Work Role]]&lt;&gt;W$1,0,
IF(PART_NUMBER_GENERATOR_TABLE[[#This Row],[Work Type]:[Work Type]]&lt;&gt;"BH",0,
SUMIFS(W$9:W$24,$M$9:$M$24,PART_NUMBER_GENERATOR_TABLE[[#This Row],[Tech]:[Tech]])))</f>
        <v>0</v>
      </c>
      <c r="X141" cm="1">
        <f t="array" ref="X141">IF(PART_NUMBER_GENERATOR_TABLE[[#This Row],[Work Role]:[Work Role]]&lt;&gt;X$1,0,
IF(PART_NUMBER_GENERATOR_TABLE[[#This Row],[Work Type]:[Work Type]]&lt;&gt;"BH",0,
SUMIFS(X$9:X$24,$M$9:$M$24,PART_NUMBER_GENERATOR_TABLE[[#This Row],[Tech]:[Tech]])))</f>
        <v>0</v>
      </c>
      <c r="Y141" cm="1">
        <f t="array" ref="Y141">IF(PART_NUMBER_GENERATOR_TABLE[[#This Row],[Work Role]:[Work Role]]&lt;&gt;Y$1,0,
IF(PART_NUMBER_GENERATOR_TABLE[[#This Row],[Work Type]:[Work Type]]&lt;&gt;"BH",0,
SUMIFS(Y$9:Y$24,$M$9:$M$24,PART_NUMBER_GENERATOR_TABLE[[#This Row],[Tech]:[Tech]])))</f>
        <v>0</v>
      </c>
      <c r="Z141" cm="1">
        <f t="array" ref="Z141">IF(PART_NUMBER_GENERATOR_TABLE[[#This Row],[Work Role]:[Work Role]]&lt;&gt;Z$1,0,
IF(PART_NUMBER_GENERATOR_TABLE[[#This Row],[Work Type]:[Work Type]]&lt;&gt;"BH",0,
SUMIFS(Z$9:Z$24,$M$9:$M$24,PART_NUMBER_GENERATOR_TABLE[[#This Row],[Tech]:[Tech]])))</f>
        <v>0</v>
      </c>
      <c r="AA141" cm="1">
        <f t="array" ref="AA141">IF(PART_NUMBER_GENERATOR_TABLE[[#This Row],[Work Role]:[Work Role]]&lt;&gt;AA$1,0,
IF(PART_NUMBER_GENERATOR_TABLE[[#This Row],[Work Type]:[Work Type]]&lt;&gt;"BH",0,
SUMIFS(AA$9:AA$24,$M$9:$M$24,PART_NUMBER_GENERATOR_TABLE[[#This Row],[Tech]:[Tech]])))</f>
        <v>0</v>
      </c>
      <c r="AB141" cm="1">
        <f t="array" ref="AB141">IF(PART_NUMBER_GENERATOR_TABLE[[#This Row],[Work Role]:[Work Role]]&lt;&gt;AB$1,0,
IF(PART_NUMBER_GENERATOR_TABLE[[#This Row],[Work Type]:[Work Type]]&lt;&gt;"BH",0,
SUMIFS(AB$9:AB$24,$M$9:$M$24,PART_NUMBER_GENERATOR_TABLE[[#This Row],[Tech]:[Tech]])))</f>
        <v>0</v>
      </c>
      <c r="AC141" cm="1">
        <f t="array" ref="AC141">IF(PART_NUMBER_GENERATOR_TABLE[[#This Row],[Work Role]:[Work Role]]&lt;&gt;AC$1,0,
IF(PART_NUMBER_GENERATOR_TABLE[[#This Row],[Work Type]:[Work Type]]&lt;&gt;"BH",0,
SUMIFS(AC$9:AC$24,$M$9:$M$24,PART_NUMBER_GENERATOR_TABLE[[#This Row],[Tech]:[Tech]])))</f>
        <v>0</v>
      </c>
      <c r="AD141" cm="1">
        <f t="array" ref="AD141">IF(PART_NUMBER_GENERATOR_TABLE[[#This Row],[Work Role]:[Work Role]]&lt;&gt;AD$1,0,
IF(PART_NUMBER_GENERATOR_TABLE[[#This Row],[Work Type]:[Work Type]]&lt;&gt;"BH",0,
SUMIFS(AD$9:AD$24,$M$9:$M$24,PART_NUMBER_GENERATOR_TABLE[[#This Row],[Tech]:[Tech]])))</f>
        <v>0</v>
      </c>
      <c r="AE141" cm="1">
        <f t="array" ref="AE141">IF(PART_NUMBER_GENERATOR_TABLE[[#This Row],[Work Role]:[Work Role]]&lt;&gt;AE$1,0,
IF(PART_NUMBER_GENERATOR_TABLE[[#This Row],[Work Type]:[Work Type]]&lt;&gt;"BH",0,
SUMIFS(AE$9:AE$24,$M$9:$M$24,PART_NUMBER_GENERATOR_TABLE[[#This Row],[Tech]:[Tech]])))</f>
        <v>0</v>
      </c>
      <c r="AF141" cm="1">
        <f t="array" ref="AF141">IF(PART_NUMBER_GENERATOR_TABLE[[#This Row],[Work Role]:[Work Role]]&lt;&gt;AF$1,0,
IF(PART_NUMBER_GENERATOR_TABLE[[#This Row],[Work Type]:[Work Type]]&lt;&gt;"BH",0,
SUMIFS(AF$9:AF$24,$M$9:$M$24,PART_NUMBER_GENERATOR_TABLE[[#This Row],[Tech]:[Tech]])))</f>
        <v>0</v>
      </c>
      <c r="AG141" cm="1">
        <f t="array" ref="AG141">IF(PART_NUMBER_GENERATOR_TABLE[[#This Row],[Work Role]:[Work Role]]&lt;&gt;AG$1,0,
IF(PART_NUMBER_GENERATOR_TABLE[[#This Row],[Work Type]:[Work Type]]&lt;&gt;"AH",0,
SUMIFS(AG$9:AG$24,$M$9:$M$24,PART_NUMBER_GENERATOR_TABLE[[#This Row],[Tech]:[Tech]])))</f>
        <v>0</v>
      </c>
      <c r="AH141" cm="1">
        <f t="array" ref="AH141">IF(PART_NUMBER_GENERATOR_TABLE[[#This Row],[Work Role]:[Work Role]]&lt;&gt;AH$1,0,
IF(PART_NUMBER_GENERATOR_TABLE[[#This Row],[Work Type]:[Work Type]]&lt;&gt;"BH",0,
SUMIFS(AH$9:AH$24,$M$9:$M$24,PART_NUMBER_GENERATOR_TABLE[[#This Row],[Tech]:[Tech]])))</f>
        <v>0</v>
      </c>
      <c r="AI141" cm="1">
        <f t="array" ref="AI141">IF(PART_NUMBER_GENERATOR_TABLE[[#This Row],[Work Role]:[Work Role]]&lt;&gt;AI$1,0,
IF(PART_NUMBER_GENERATOR_TABLE[[#This Row],[Work Type]:[Work Type]]&lt;&gt;"BH",0,
SUMIFS(AI$9:AI$24,$M$9:$M$24,PART_NUMBER_GENERATOR_TABLE[[#This Row],[Tech]:[Tech]])))</f>
        <v>0</v>
      </c>
      <c r="AJ141" cm="1">
        <f t="array" ref="AJ141">IF(PART_NUMBER_GENERATOR_TABLE[[#This Row],[Work Role]:[Work Role]]&lt;&gt;AJ$1,0,
IF(PART_NUMBER_GENERATOR_TABLE[[#This Row],[Work Type]:[Work Type]]&lt;&gt;"BH",0,
SUMIFS(AJ$9:AJ$24,$M$9:$M$24,PART_NUMBER_GENERATOR_TABLE[[#This Row],[Tech]:[Tech]])))</f>
        <v>0</v>
      </c>
      <c r="AK141" cm="1">
        <f t="array" ref="AK141">IF(PART_NUMBER_GENERATOR_TABLE[[#This Row],[Work Role]:[Work Role]]&lt;&gt;AK$1,0,
IF(PART_NUMBER_GENERATOR_TABLE[[#This Row],[Work Type]:[Work Type]]&lt;&gt;"AH",0,
SUMIFS(AK$9:AK$24,$M$9:$M$24,PART_NUMBER_GENERATOR_TABLE[[#This Row],[Tech]:[Tech]])))</f>
        <v>0</v>
      </c>
      <c r="AL141" cm="1">
        <f t="array" ref="AL141">IF(PART_NUMBER_GENERATOR_TABLE[[#This Row],[Work Role]:[Work Role]]&lt;&gt;AL$1,0,
IF(PART_NUMBER_GENERATOR_TABLE[[#This Row],[Work Type]:[Work Type]]&lt;&gt;"BH",0,
SUMIFS(AL$9:AL$24,$M$9:$M$24,PART_NUMBER_GENERATOR_TABLE[[#This Row],[Tech]:[Tech]])))</f>
        <v>0</v>
      </c>
      <c r="AM141">
        <f>0</f>
        <v>0</v>
      </c>
      <c r="AN141" cm="1">
        <f t="array" ref="AN141">IF(PART_NUMBER_GENERATOR_TABLE[[#This Row],[Work Role]:[Work Role]]&lt;&gt;AN$1,0,
IF(PART_NUMBER_GENERATOR_TABLE[[#This Row],[Work Type]:[Work Type]]&lt;&gt;"BH",0,
SUMIFS(AN$24,$AM$24,PART_NUMBER_GENERATOR_TABLE[[#This Row],[Tech]:[Tech]])))</f>
        <v>0</v>
      </c>
      <c r="AO141" cm="1">
        <f t="array" ref="AO141">IF(PART_NUMBER_GENERATOR_TABLE[[#This Row],[Work Role]:[Work Role]]&lt;&gt;AO$1,0,
IF(PART_NUMBER_GENERATOR_TABLE[[#This Row],[Work Type]:[Work Type]]&lt;&gt;"BH",0,
SUMIFS(AO$24,$AM$24,PART_NUMBER_GENERATOR_TABLE[[#This Row],[Tech]:[Tech]])))</f>
        <v>0</v>
      </c>
      <c r="AP141" cm="1">
        <f t="array" ref="AP141">IF(PART_NUMBER_GENERATOR_TABLE[[#This Row],[Work Role]:[Work Role]]&lt;&gt;AP$1,0,
IF(PART_NUMBER_GENERATOR_TABLE[[#This Row],[Work Type]:[Work Type]]&lt;&gt;"BH",0,
SUMIFS(AP$24,$AM$24,PART_NUMBER_GENERATOR_TABLE[[#This Row],[Tech]:[Tech]])))</f>
        <v>0</v>
      </c>
      <c r="AQ141" cm="1">
        <f t="array" ref="AQ141">IF(PART_NUMBER_GENERATOR_TABLE[[#This Row],[Work Role]:[Work Role]]&lt;&gt;AQ$1,0,
IF(PART_NUMBER_GENERATOR_TABLE[[#This Row],[Work Type]:[Work Type]]&lt;&gt;"BH",0,
SUMIFS(AQ$24,$AM$24,PART_NUMBER_GENERATOR_TABLE[[#This Row],[Tech]:[Tech]])))</f>
        <v>0</v>
      </c>
      <c r="AR141" cm="1">
        <f t="array" ref="AR141">IF(PART_NUMBER_GENERATOR_TABLE[[#This Row],[Work Role]:[Work Role]]&lt;&gt;AR$1,0,
IF(PART_NUMBER_GENERATOR_TABLE[[#This Row],[Work Type]:[Work Type]]&lt;&gt;"BH",0,
SUMIFS(AR$24,$AM$24,PART_NUMBER_GENERATOR_TABLE[[#This Row],[Tech]:[Tech]])))</f>
        <v>0</v>
      </c>
      <c r="AS141" cm="1">
        <f t="array" ref="AS141">IF(PART_NUMBER_GENERATOR_TABLE[[#This Row],[Work Role]:[Work Role]]&lt;&gt;AS$1,0,
IF(PART_NUMBER_GENERATOR_TABLE[[#This Row],[Work Type]:[Work Type]]&lt;&gt;"BH",0,
SUMIFS(AS$24,$AM$24,PART_NUMBER_GENERATOR_TABLE[[#This Row],[Tech]:[Tech]])))</f>
        <v>0</v>
      </c>
      <c r="AT141" cm="1">
        <f t="array" ref="AT141">IF(PART_NUMBER_GENERATOR_TABLE[[#This Row],[Work Role]:[Work Role]]&lt;&gt;AS$1,0,
IF(PART_NUMBER_GENERATOR_TABLE[[#This Row],[Work Type]:[Work Type]]&lt;&gt;"BH",0,
SUMIFS(AT$24,$AM$24,PART_NUMBER_GENERATOR_TABLE[[#This Row],[Tech]:[Tech]])))</f>
        <v>0</v>
      </c>
      <c r="AU141">
        <f>SUM(PART_NUMBER_GENERATOR_TABLE[[#This Row],[Resource 1 BH]:[Resource 5 AH]],PART_NUMBER_GENERATOR_TABLE[[#This Row],[R1 Mandatory Tasks]:[R5 Mandatory Tasks]],PART_NUMBER_GENERATOR_TABLE[[#This Row],[R1 Remainder]:[R5 Remainder]])</f>
        <v>0</v>
      </c>
      <c r="AV141">
        <f>PART_NUMBER_GENERATOR_TABLE[[#This Row],[Professional Engineering Hours]]*PART_NUMBER_GENERATOR_TABLE[[#This Row],[Sell Rate]]</f>
        <v>0</v>
      </c>
      <c r="AW141">
        <f>PART_NUMBER_GENERATOR_TABLE[[#This Row],[Professional Engineering Hours]]*PART_NUMBER_GENERATOR_TABLE[[#This Row],[Cost Rate]]</f>
        <v>0</v>
      </c>
      <c r="AX141">
        <f>SUM(PART_NUMBER_GENERATOR_TABLE[[#This Row],[PM Trips]:[R5 Trips]])</f>
        <v>0</v>
      </c>
      <c r="AY141">
        <f>PART_NUMBER_GENERATOR_TABLE[[#This Row],[Travel &amp; Accommodation Hours]]*PART_NUMBER_GENERATOR_TABLE[[#This Row],[Sell Rate]]</f>
        <v>0</v>
      </c>
      <c r="AZ141">
        <f>PART_NUMBER_GENERATOR_TABLE[[#This Row],[Travel &amp; Accommodation Hours]]*PART_NUMBER_GENERATOR_TABLE[[#This Row],[Cost Rate]]</f>
        <v>0</v>
      </c>
      <c r="BA141">
        <f>PART_NUMBER_GENERATOR_TABLE[[#This Row],[PM Hours]]+PART_NUMBER_GENERATOR_TABLE[[#This Row],[PM Remainder]]</f>
        <v>0</v>
      </c>
      <c r="BB141">
        <f>PART_NUMBER_GENERATOR_TABLE[[#This Row],[Project Management Hours]]*PART_NUMBER_GENERATOR_TABLE[[#This Row],[Sell Rate]]</f>
        <v>0</v>
      </c>
      <c r="BC141">
        <f>PART_NUMBER_GENERATOR_TABLE[[#This Row],[Project Management Hours]]*PART_NUMBER_GENERATOR_TABLE[[#This Row],[Cost Rate]]</f>
        <v>0</v>
      </c>
      <c r="BD141">
        <f>SUM(PART_NUMBER_GENERATOR_TABLE[[#This Row],[SSE RISK BH]:[PM RISK]],PART_NUMBER_GENERATOR_TABLE[[#This Row],[SSE Remainder RISK BH]:[PM Remainder RISK]])</f>
        <v>0</v>
      </c>
      <c r="BE141">
        <f>PART_NUMBER_GENERATOR_TABLE[[#This Row],[Project Risk Service Hours]]*PART_NUMBER_GENERATOR_TABLE[[#This Row],[Sell Rate]]</f>
        <v>0</v>
      </c>
      <c r="BF141">
        <f>PART_NUMBER_GENERATOR_TABLE[[#This Row],[Project Risk Service Hours]]*PART_NUMBER_GENERATOR_TABLE[[#This Row],[Cost Rate]]</f>
        <v>0</v>
      </c>
      <c r="BG141">
        <f>PART_NUMBER_GENERATOR_TABLE[[#This Row],[SSE RISK TRAVEL]]</f>
        <v>0</v>
      </c>
      <c r="BH141">
        <f>PART_NUMBER_GENERATOR_TABLE[[#This Row],[Sell Rate]]*PART_NUMBER_GENERATOR_TABLE[[#This Row],[Project Risk Travel Hours]]</f>
        <v>0</v>
      </c>
      <c r="BI141">
        <f>PART_NUMBER_GENERATOR_TABLE[[#This Row],[Project Risk Travel Hours]]*PART_NUMBER_GENERATOR_TABLE[[#This Row],[Cost Rate]]</f>
        <v>0</v>
      </c>
      <c r="BJ14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4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41">
        <f>IFERROR(-VLOOKUP(INDEX(ENGINEER_ROLES,MATCH(PART_NUMBER_GENERATOR_TABLE[[#This Row],[Work Role]],settings.Table_Engineer.Roles[ID],0),1),Settings_Hidden!$H$359:$K$366,4,FALSE),0)</f>
        <v>0</v>
      </c>
      <c r="BM141" s="680">
        <f>-Summary!$C$66</f>
        <v>0</v>
      </c>
      <c r="BN141" s="465">
        <f>PART_NUMBER_GENERATOR_TABLE[[#This Row],[Total Base Price]]*MIN(PART_NUMBER_GENERATOR_TABLE[[#This Row],[Rate Service Discount]:[Flat Service Discount]])</f>
        <v>0</v>
      </c>
      <c r="BO141" s="451" t="str">
        <f>IF(PART_NUMBER_GENERATOR_TABLE[[#This Row],[Quantity]]&lt;&gt;0,MAX($BO$30:BO140)+1,"")</f>
        <v/>
      </c>
      <c r="BP141" t="str">
        <f>PART_NUMBER_GENERATOR_TABLE[[#This Row],[Part Number]]</f>
        <v>A-PS-C-SECNET-AC-BH</v>
      </c>
      <c r="BQ141">
        <f>PART_NUMBER_GENERATOR_TABLE[[#This Row],[Total Hours]]</f>
        <v>0</v>
      </c>
      <c r="BR141">
        <f>PART_NUMBER_GENERATOR_TABLE[[#This Row],[Cost Rate]]</f>
        <v>167.61034913968996</v>
      </c>
      <c r="BS141" s="465">
        <f>PART_NUMBER_GENERATOR_TABLE[[#This Row],[Sell Rate]]+(PART_NUMBER_GENERATOR_TABLE[[#This Row],[Sell Rate]]*MIN(PART_NUMBER_GENERATOR_TABLE[[#This Row],[Rate Service Discount]:[Flat Service Discount]]))</f>
        <v>315</v>
      </c>
    </row>
    <row r="142" spans="1:71">
      <c r="A142">
        <v>112</v>
      </c>
      <c r="C142" t="s">
        <v>1130</v>
      </c>
      <c r="D142" t="str" cm="1">
        <f t="array" ref="D142">INDEX(Table.Settings_Skill.List[Skill Name],MATCH(INDEX(_xlfn.TEXTSPLIT(C142,"-",,TRUE),4),Table.Settings_Skill.List[Skill Code],0),1)</f>
        <v>Travel</v>
      </c>
      <c r="E142" t="str" cm="1">
        <f t="array" ref="E142">INDEX(_xlfn.TEXTSPLIT(C142,"-",,TRUE),5)</f>
        <v>AC</v>
      </c>
      <c r="F142" t="str">
        <f>IFERROR(INDEX(settings.Table_Engineer.Roles[Department Code],MATCH(PART_NUMBER_GENERATOR_TABLE[[#This Row],[Work Role]],settings.Table_Engineer.Roles[ID],0),1),"PMO")</f>
        <v>CON</v>
      </c>
      <c r="G142" t="str" cm="1">
        <f t="array" ref="G142">INDEX(_xlfn.TEXTSPLIT(C142,"-",,TRUE),6)</f>
        <v>BH</v>
      </c>
      <c r="H14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14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142" cm="1">
        <f t="array" ref="J142">IF(J$1&lt;&gt;PART_NUMBER_GENERATOR_TABLE[[#This Row],[Work Role]:[Work Role]],0,
IF(RIGHT(J$30,2)&lt;&gt;PART_NUMBER_GENERATOR_TABLE[[#This Row],[Work Type]:[Work Type]],0,
SUMIFS(Input_Tasks[R1 Business Hours],Input_Tasks[[Skill Required]:[Skill Required]],PART_NUMBER_GENERATOR_TABLE[[#This Row],[Tech]:[Tech]])))</f>
        <v>0</v>
      </c>
      <c r="K142" cm="1">
        <f t="array" ref="K142">IF(K$1&lt;&gt;PART_NUMBER_GENERATOR_TABLE[[#This Row],[Work Role]:[Work Role]],0,
IF(RIGHT(K$30,2)&lt;&gt;PART_NUMBER_GENERATOR_TABLE[[#This Row],[Work Type]:[Work Type]],0,
SUMIFS(Input_Tasks[R1 After Hours],Input_Tasks[[Skill Required]:[Skill Required]],PART_NUMBER_GENERATOR_TABLE[[#This Row],[Tech]:[Tech]])))</f>
        <v>0</v>
      </c>
      <c r="L142" cm="1">
        <f t="array" ref="L142">IF(L$1&lt;&gt;PART_NUMBER_GENERATOR_TABLE[[#This Row],[Work Role]:[Work Role]],0,
IF(RIGHT(L$30,2)&lt;&gt;PART_NUMBER_GENERATOR_TABLE[[#This Row],[Work Type]:[Work Type]],0,
SUMIFS(Input_Tasks[R2 Business Hours],Input_Tasks[[Skill Required]:[Skill Required]],PART_NUMBER_GENERATOR_TABLE[[#This Row],[Tech]:[Tech]])))</f>
        <v>0</v>
      </c>
      <c r="M142" cm="1">
        <f t="array" ref="M142">IF(M$1&lt;&gt;PART_NUMBER_GENERATOR_TABLE[[#This Row],[Work Role]:[Work Role]],0,
IF(RIGHT(M$30,2)&lt;&gt;PART_NUMBER_GENERATOR_TABLE[[#This Row],[Work Type]:[Work Type]],0,
SUMIFS(Input_Tasks[R2 After Hours],Input_Tasks[[Skill Required]:[Skill Required]],PART_NUMBER_GENERATOR_TABLE[[#This Row],[Tech]:[Tech]])))</f>
        <v>0</v>
      </c>
      <c r="N142" cm="1">
        <f t="array" ref="N142">IF(N$1&lt;&gt;PART_NUMBER_GENERATOR_TABLE[[#This Row],[Work Role]:[Work Role]],0,
IF(RIGHT(N$30,2)&lt;&gt;PART_NUMBER_GENERATOR_TABLE[[#This Row],[Work Type]:[Work Type]],0,
SUMIFS(Input_Tasks[R3 Business Hours],Input_Tasks[[Skill Required]:[Skill Required]],PART_NUMBER_GENERATOR_TABLE[[#This Row],[Tech]:[Tech]])))</f>
        <v>0</v>
      </c>
      <c r="O142" cm="1">
        <f t="array" ref="O142">IF(O$1&lt;&gt;PART_NUMBER_GENERATOR_TABLE[[#This Row],[Work Role]:[Work Role]],0,
IF(RIGHT(O$30,2)&lt;&gt;PART_NUMBER_GENERATOR_TABLE[[#This Row],[Work Type]:[Work Type]],0,
SUMIFS(Input_Tasks[R3 After Hours],Input_Tasks[[Skill Required]:[Skill Required]],PART_NUMBER_GENERATOR_TABLE[[#This Row],[Tech]:[Tech]])))</f>
        <v>0</v>
      </c>
      <c r="P142" cm="1">
        <f t="array" ref="P142">IF(P$1&lt;&gt;PART_NUMBER_GENERATOR_TABLE[[#This Row],[Work Role]:[Work Role]],0,
IF(RIGHT(P$30,2)&lt;&gt;PART_NUMBER_GENERATOR_TABLE[[#This Row],[Work Type]:[Work Type]],0,
SUMIFS(Input_Tasks[R4 Business Hours],Input_Tasks[[Skill Required]:[Skill Required]],PART_NUMBER_GENERATOR_TABLE[[#This Row],[Tech]:[Tech]])))</f>
        <v>0</v>
      </c>
      <c r="Q142" cm="1">
        <f t="array" ref="Q142">IF(Q$1&lt;&gt;PART_NUMBER_GENERATOR_TABLE[[#This Row],[Work Role]:[Work Role]],0,
IF(RIGHT(Q$30,2)&lt;&gt;PART_NUMBER_GENERATOR_TABLE[[#This Row],[Work Type]:[Work Type]],0,
SUMIFS(Input_Tasks[R4 After Hours],Input_Tasks[[Skill Required]:[Skill Required]],PART_NUMBER_GENERATOR_TABLE[[#This Row],[Tech]:[Tech]])))</f>
        <v>0</v>
      </c>
      <c r="R142" cm="1">
        <f t="array" ref="R142">IF(R$1&lt;&gt;PART_NUMBER_GENERATOR_TABLE[[#This Row],[Work Role]:[Work Role]],0,
IF(RIGHT(R$30,2)&lt;&gt;PART_NUMBER_GENERATOR_TABLE[[#This Row],[Work Type]:[Work Type]],0,
SUMIFS(Input_Tasks[R5 Business Hours],Input_Tasks[[Skill Required]:[Skill Required]],PART_NUMBER_GENERATOR_TABLE[[#This Row],[Tech]:[Tech]])))</f>
        <v>0</v>
      </c>
      <c r="S142" cm="1">
        <f t="array" ref="S142">IF(S$1&lt;&gt;PART_NUMBER_GENERATOR_TABLE[[#This Row],[Work Role]:[Work Role]],0,
IF(RIGHT(S$30,2)&lt;&gt;PART_NUMBER_GENERATOR_TABLE[[#This Row],[Work Type]:[Work Type]],0,
SUMIFS(Input_Tasks[R5 After Hours],Input_Tasks[[Skill Required]:[Skill Required]],PART_NUMBER_GENERATOR_TABLE[[#This Row],[Tech]:[Tech]])))</f>
        <v>0</v>
      </c>
      <c r="T142" cm="1">
        <f t="array" ref="T142">IF(PART_NUMBER_GENERATOR_TABLE[[#This Row],[Work Role]:[Work Role]]&lt;&gt;T$1,0,
IF(PART_NUMBER_GENERATOR_TABLE[[#This Row],[Work Type]:[Work Type]]&lt;&gt;"BH",0,
SUMIFS(T$9:T$24,$M$9:$M$24,PART_NUMBER_GENERATOR_TABLE[[#This Row],[Tech]:[Tech]])))</f>
        <v>0</v>
      </c>
      <c r="U142" cm="1">
        <f t="array" ref="U142">IF(PART_NUMBER_GENERATOR_TABLE[[#This Row],[Work Role]:[Work Role]]&lt;&gt;U$1,0,
IF(PART_NUMBER_GENERATOR_TABLE[[#This Row],[Work Type]:[Work Type]]&lt;&gt;"BH",0,
SUMIFS(U$9:U$24,$M$9:$M$24,PART_NUMBER_GENERATOR_TABLE[[#This Row],[Tech]:[Tech]])))</f>
        <v>0</v>
      </c>
      <c r="V142" cm="1">
        <f t="array" ref="V142">IF(PART_NUMBER_GENERATOR_TABLE[[#This Row],[Work Role]:[Work Role]]&lt;&gt;V$1,0,
IF(PART_NUMBER_GENERATOR_TABLE[[#This Row],[Work Type]:[Work Type]]&lt;&gt;"BH",0,
SUMIFS(V$9:V$24,$M$9:$M$24,PART_NUMBER_GENERATOR_TABLE[[#This Row],[Tech]:[Tech]])))</f>
        <v>0</v>
      </c>
      <c r="W142" cm="1">
        <f t="array" ref="W142">IF(PART_NUMBER_GENERATOR_TABLE[[#This Row],[Work Role]:[Work Role]]&lt;&gt;W$1,0,
IF(PART_NUMBER_GENERATOR_TABLE[[#This Row],[Work Type]:[Work Type]]&lt;&gt;"BH",0,
SUMIFS(W$9:W$24,$M$9:$M$24,PART_NUMBER_GENERATOR_TABLE[[#This Row],[Tech]:[Tech]])))</f>
        <v>0</v>
      </c>
      <c r="X142" cm="1">
        <f t="array" ref="X142">IF(PART_NUMBER_GENERATOR_TABLE[[#This Row],[Work Role]:[Work Role]]&lt;&gt;X$1,0,
IF(PART_NUMBER_GENERATOR_TABLE[[#This Row],[Work Type]:[Work Type]]&lt;&gt;"BH",0,
SUMIFS(X$9:X$24,$M$9:$M$24,PART_NUMBER_GENERATOR_TABLE[[#This Row],[Tech]:[Tech]])))</f>
        <v>0</v>
      </c>
      <c r="Y142" cm="1">
        <f t="array" ref="Y142">IF(PART_NUMBER_GENERATOR_TABLE[[#This Row],[Work Role]:[Work Role]]&lt;&gt;Y$1,0,
IF(PART_NUMBER_GENERATOR_TABLE[[#This Row],[Work Type]:[Work Type]]&lt;&gt;"BH",0,
SUMIFS(Y$9:Y$24,$M$9:$M$24,PART_NUMBER_GENERATOR_TABLE[[#This Row],[Tech]:[Tech]])))</f>
        <v>0</v>
      </c>
      <c r="Z142" cm="1">
        <f t="array" ref="Z142">IF(PART_NUMBER_GENERATOR_TABLE[[#This Row],[Work Role]:[Work Role]]&lt;&gt;Z$1,0,
IF(PART_NUMBER_GENERATOR_TABLE[[#This Row],[Work Type]:[Work Type]]&lt;&gt;"BH",0,
SUMIFS(Z$9:Z$24,$M$9:$M$24,PART_NUMBER_GENERATOR_TABLE[[#This Row],[Tech]:[Tech]])))</f>
        <v>0</v>
      </c>
      <c r="AA142" cm="1">
        <f t="array" ref="AA142">IF(PART_NUMBER_GENERATOR_TABLE[[#This Row],[Work Role]:[Work Role]]&lt;&gt;AA$1,0,
IF(PART_NUMBER_GENERATOR_TABLE[[#This Row],[Work Type]:[Work Type]]&lt;&gt;"BH",0,
SUMIFS(AA$9:AA$24,$M$9:$M$24,PART_NUMBER_GENERATOR_TABLE[[#This Row],[Tech]:[Tech]])))</f>
        <v>0</v>
      </c>
      <c r="AB142" cm="1">
        <f t="array" ref="AB142">IF(PART_NUMBER_GENERATOR_TABLE[[#This Row],[Work Role]:[Work Role]]&lt;&gt;AB$1,0,
IF(PART_NUMBER_GENERATOR_TABLE[[#This Row],[Work Type]:[Work Type]]&lt;&gt;"BH",0,
SUMIFS(AB$9:AB$24,$M$9:$M$24,PART_NUMBER_GENERATOR_TABLE[[#This Row],[Tech]:[Tech]])))</f>
        <v>0</v>
      </c>
      <c r="AC142" cm="1">
        <f t="array" ref="AC142">IF(PART_NUMBER_GENERATOR_TABLE[[#This Row],[Work Role]:[Work Role]]&lt;&gt;AC$1,0,
IF(PART_NUMBER_GENERATOR_TABLE[[#This Row],[Work Type]:[Work Type]]&lt;&gt;"BH",0,
SUMIFS(AC$9:AC$24,$M$9:$M$24,PART_NUMBER_GENERATOR_TABLE[[#This Row],[Tech]:[Tech]])))</f>
        <v>0</v>
      </c>
      <c r="AD142" cm="1">
        <f t="array" ref="AD142">IF(PART_NUMBER_GENERATOR_TABLE[[#This Row],[Work Role]:[Work Role]]&lt;&gt;AD$1,0,
IF(PART_NUMBER_GENERATOR_TABLE[[#This Row],[Work Type]:[Work Type]]&lt;&gt;"BH",0,
SUMIFS(AD$9:AD$24,$M$9:$M$24,PART_NUMBER_GENERATOR_TABLE[[#This Row],[Tech]:[Tech]])))</f>
        <v>0</v>
      </c>
      <c r="AE142" cm="1">
        <f t="array" ref="AE142">IF(PART_NUMBER_GENERATOR_TABLE[[#This Row],[Work Role]:[Work Role]]&lt;&gt;AE$1,0,
IF(PART_NUMBER_GENERATOR_TABLE[[#This Row],[Work Type]:[Work Type]]&lt;&gt;"BH",0,
SUMIFS(AE$9:AE$24,$M$9:$M$24,PART_NUMBER_GENERATOR_TABLE[[#This Row],[Tech]:[Tech]])))</f>
        <v>0</v>
      </c>
      <c r="AF142" cm="1">
        <f t="array" ref="AF142">IF(PART_NUMBER_GENERATOR_TABLE[[#This Row],[Work Role]:[Work Role]]&lt;&gt;AF$1,0,
IF(PART_NUMBER_GENERATOR_TABLE[[#This Row],[Work Type]:[Work Type]]&lt;&gt;"BH",0,
SUMIFS(AF$9:AF$24,$M$9:$M$24,PART_NUMBER_GENERATOR_TABLE[[#This Row],[Tech]:[Tech]])))</f>
        <v>0</v>
      </c>
      <c r="AG142" cm="1">
        <f t="array" ref="AG142">IF(PART_NUMBER_GENERATOR_TABLE[[#This Row],[Work Role]:[Work Role]]&lt;&gt;AG$1,0,
IF(PART_NUMBER_GENERATOR_TABLE[[#This Row],[Work Type]:[Work Type]]&lt;&gt;"AH",0,
SUMIFS(AG$9:AG$24,$M$9:$M$24,PART_NUMBER_GENERATOR_TABLE[[#This Row],[Tech]:[Tech]])))</f>
        <v>0</v>
      </c>
      <c r="AH142" cm="1">
        <f t="array" ref="AH142">IF(PART_NUMBER_GENERATOR_TABLE[[#This Row],[Work Role]:[Work Role]]&lt;&gt;AH$1,0,
IF(PART_NUMBER_GENERATOR_TABLE[[#This Row],[Work Type]:[Work Type]]&lt;&gt;"BH",0,
SUMIFS(AH$9:AH$24,$M$9:$M$24,PART_NUMBER_GENERATOR_TABLE[[#This Row],[Tech]:[Tech]])))</f>
        <v>0</v>
      </c>
      <c r="AI142" cm="1">
        <f t="array" ref="AI142">IF(PART_NUMBER_GENERATOR_TABLE[[#This Row],[Work Role]:[Work Role]]&lt;&gt;AI$1,0,
IF(PART_NUMBER_GENERATOR_TABLE[[#This Row],[Work Type]:[Work Type]]&lt;&gt;"BH",0,
SUMIFS(AI$9:AI$24,$M$9:$M$24,PART_NUMBER_GENERATOR_TABLE[[#This Row],[Tech]:[Tech]])))</f>
        <v>0</v>
      </c>
      <c r="AJ142" cm="1">
        <f t="array" ref="AJ142">IF(PART_NUMBER_GENERATOR_TABLE[[#This Row],[Work Role]:[Work Role]]&lt;&gt;AJ$1,0,
IF(PART_NUMBER_GENERATOR_TABLE[[#This Row],[Work Type]:[Work Type]]&lt;&gt;"BH",0,
SUMIFS(AJ$9:AJ$24,$M$9:$M$24,PART_NUMBER_GENERATOR_TABLE[[#This Row],[Tech]:[Tech]])))</f>
        <v>0</v>
      </c>
      <c r="AK142" cm="1">
        <f t="array" ref="AK142">IF(PART_NUMBER_GENERATOR_TABLE[[#This Row],[Work Role]:[Work Role]]&lt;&gt;AK$1,0,
IF(PART_NUMBER_GENERATOR_TABLE[[#This Row],[Work Type]:[Work Type]]&lt;&gt;"AH",0,
SUMIFS(AK$9:AK$24,$M$9:$M$24,PART_NUMBER_GENERATOR_TABLE[[#This Row],[Tech]:[Tech]])))</f>
        <v>0</v>
      </c>
      <c r="AL142" cm="1">
        <f t="array" ref="AL142">IF(PART_NUMBER_GENERATOR_TABLE[[#This Row],[Work Role]:[Work Role]]&lt;&gt;AL$1,0,
IF(PART_NUMBER_GENERATOR_TABLE[[#This Row],[Work Type]:[Work Type]]&lt;&gt;"BH",0,
SUMIFS(AL$9:AL$24,$M$9:$M$24,PART_NUMBER_GENERATOR_TABLE[[#This Row],[Tech]:[Tech]])))</f>
        <v>0</v>
      </c>
      <c r="AM142">
        <f>0</f>
        <v>0</v>
      </c>
      <c r="AN142" cm="1">
        <f t="array" ref="AN142">IF(PART_NUMBER_GENERATOR_TABLE[[#This Row],[Work Role]:[Work Role]]&lt;&gt;AN$1,0,
IF(PART_NUMBER_GENERATOR_TABLE[[#This Row],[Work Type]:[Work Type]]&lt;&gt;"BH",0,
SUMIFS(AN$24,$AM$24,PART_NUMBER_GENERATOR_TABLE[[#This Row],[Tech]:[Tech]])))</f>
        <v>0</v>
      </c>
      <c r="AO142" cm="1">
        <f t="array" ref="AO142">IF(PART_NUMBER_GENERATOR_TABLE[[#This Row],[Work Role]:[Work Role]]&lt;&gt;AO$1,0,
IF(PART_NUMBER_GENERATOR_TABLE[[#This Row],[Work Type]:[Work Type]]&lt;&gt;"BH",0,
SUMIFS(AO$24,$AM$24,PART_NUMBER_GENERATOR_TABLE[[#This Row],[Tech]:[Tech]])))</f>
        <v>0</v>
      </c>
      <c r="AP142" cm="1">
        <f t="array" ref="AP142">IF(PART_NUMBER_GENERATOR_TABLE[[#This Row],[Work Role]:[Work Role]]&lt;&gt;AP$1,0,
IF(PART_NUMBER_GENERATOR_TABLE[[#This Row],[Work Type]:[Work Type]]&lt;&gt;"BH",0,
SUMIFS(AP$24,$AM$24,PART_NUMBER_GENERATOR_TABLE[[#This Row],[Tech]:[Tech]])))</f>
        <v>0</v>
      </c>
      <c r="AQ142" cm="1">
        <f t="array" ref="AQ142">IF(PART_NUMBER_GENERATOR_TABLE[[#This Row],[Work Role]:[Work Role]]&lt;&gt;AQ$1,0,
IF(PART_NUMBER_GENERATOR_TABLE[[#This Row],[Work Type]:[Work Type]]&lt;&gt;"BH",0,
SUMIFS(AQ$24,$AM$24,PART_NUMBER_GENERATOR_TABLE[[#This Row],[Tech]:[Tech]])))</f>
        <v>0</v>
      </c>
      <c r="AR142" cm="1">
        <f t="array" ref="AR142">IF(PART_NUMBER_GENERATOR_TABLE[[#This Row],[Work Role]:[Work Role]]&lt;&gt;AR$1,0,
IF(PART_NUMBER_GENERATOR_TABLE[[#This Row],[Work Type]:[Work Type]]&lt;&gt;"BH",0,
SUMIFS(AR$24,$AM$24,PART_NUMBER_GENERATOR_TABLE[[#This Row],[Tech]:[Tech]])))</f>
        <v>0</v>
      </c>
      <c r="AS142" cm="1">
        <f t="array" ref="AS142">IF(PART_NUMBER_GENERATOR_TABLE[[#This Row],[Work Role]:[Work Role]]&lt;&gt;AS$1,0,
IF(PART_NUMBER_GENERATOR_TABLE[[#This Row],[Work Type]:[Work Type]]&lt;&gt;"BH",0,
SUMIFS(AS$24,$AM$24,PART_NUMBER_GENERATOR_TABLE[[#This Row],[Tech]:[Tech]])))</f>
        <v>0</v>
      </c>
      <c r="AT142" cm="1">
        <f t="array" ref="AT142">IF(PART_NUMBER_GENERATOR_TABLE[[#This Row],[Work Role]:[Work Role]]&lt;&gt;AS$1,0,
IF(PART_NUMBER_GENERATOR_TABLE[[#This Row],[Work Type]:[Work Type]]&lt;&gt;"BH",0,
SUMIFS(AT$24,$AM$24,PART_NUMBER_GENERATOR_TABLE[[#This Row],[Tech]:[Tech]])))</f>
        <v>0</v>
      </c>
      <c r="AU142">
        <f>SUM(PART_NUMBER_GENERATOR_TABLE[[#This Row],[Resource 1 BH]:[Resource 5 AH]],PART_NUMBER_GENERATOR_TABLE[[#This Row],[R1 Mandatory Tasks]:[R5 Mandatory Tasks]],PART_NUMBER_GENERATOR_TABLE[[#This Row],[R1 Remainder]:[R5 Remainder]])</f>
        <v>0</v>
      </c>
      <c r="AV142">
        <f>PART_NUMBER_GENERATOR_TABLE[[#This Row],[Professional Engineering Hours]]*PART_NUMBER_GENERATOR_TABLE[[#This Row],[Sell Rate]]</f>
        <v>0</v>
      </c>
      <c r="AW142">
        <f>PART_NUMBER_GENERATOR_TABLE[[#This Row],[Professional Engineering Hours]]*PART_NUMBER_GENERATOR_TABLE[[#This Row],[Cost Rate]]</f>
        <v>0</v>
      </c>
      <c r="AX142">
        <f>SUM(PART_NUMBER_GENERATOR_TABLE[[#This Row],[PM Trips]:[R5 Trips]])</f>
        <v>0</v>
      </c>
      <c r="AY142">
        <f>PART_NUMBER_GENERATOR_TABLE[[#This Row],[Travel &amp; Accommodation Hours]]*PART_NUMBER_GENERATOR_TABLE[[#This Row],[Sell Rate]]</f>
        <v>0</v>
      </c>
      <c r="AZ142">
        <f>PART_NUMBER_GENERATOR_TABLE[[#This Row],[Travel &amp; Accommodation Hours]]*PART_NUMBER_GENERATOR_TABLE[[#This Row],[Cost Rate]]</f>
        <v>0</v>
      </c>
      <c r="BA142">
        <f>PART_NUMBER_GENERATOR_TABLE[[#This Row],[PM Hours]]+PART_NUMBER_GENERATOR_TABLE[[#This Row],[PM Remainder]]</f>
        <v>0</v>
      </c>
      <c r="BB142">
        <f>PART_NUMBER_GENERATOR_TABLE[[#This Row],[Project Management Hours]]*PART_NUMBER_GENERATOR_TABLE[[#This Row],[Sell Rate]]</f>
        <v>0</v>
      </c>
      <c r="BC142">
        <f>PART_NUMBER_GENERATOR_TABLE[[#This Row],[Project Management Hours]]*PART_NUMBER_GENERATOR_TABLE[[#This Row],[Cost Rate]]</f>
        <v>0</v>
      </c>
      <c r="BD142">
        <f>SUM(PART_NUMBER_GENERATOR_TABLE[[#This Row],[SSE RISK BH]:[PM RISK]],PART_NUMBER_GENERATOR_TABLE[[#This Row],[SSE Remainder RISK BH]:[PM Remainder RISK]])</f>
        <v>0</v>
      </c>
      <c r="BE142">
        <f>PART_NUMBER_GENERATOR_TABLE[[#This Row],[Project Risk Service Hours]]*PART_NUMBER_GENERATOR_TABLE[[#This Row],[Sell Rate]]</f>
        <v>0</v>
      </c>
      <c r="BF142">
        <f>PART_NUMBER_GENERATOR_TABLE[[#This Row],[Project Risk Service Hours]]*PART_NUMBER_GENERATOR_TABLE[[#This Row],[Cost Rate]]</f>
        <v>0</v>
      </c>
      <c r="BG142">
        <f>PART_NUMBER_GENERATOR_TABLE[[#This Row],[SSE RISK TRAVEL]]</f>
        <v>0</v>
      </c>
      <c r="BH142">
        <f>PART_NUMBER_GENERATOR_TABLE[[#This Row],[Sell Rate]]*PART_NUMBER_GENERATOR_TABLE[[#This Row],[Project Risk Travel Hours]]</f>
        <v>0</v>
      </c>
      <c r="BI142">
        <f>PART_NUMBER_GENERATOR_TABLE[[#This Row],[Project Risk Travel Hours]]*PART_NUMBER_GENERATOR_TABLE[[#This Row],[Cost Rate]]</f>
        <v>0</v>
      </c>
      <c r="BJ14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4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42">
        <f>IFERROR(-VLOOKUP(INDEX(ENGINEER_ROLES,MATCH(PART_NUMBER_GENERATOR_TABLE[[#This Row],[Work Role]],settings.Table_Engineer.Roles[ID],0),1),Settings_Hidden!$H$359:$K$366,4,FALSE),0)</f>
        <v>0</v>
      </c>
      <c r="BM142" s="680">
        <f>-Summary!$C$66</f>
        <v>0</v>
      </c>
      <c r="BN142" s="465">
        <f>PART_NUMBER_GENERATOR_TABLE[[#This Row],[Total Base Price]]*MIN(PART_NUMBER_GENERATOR_TABLE[[#This Row],[Rate Service Discount]:[Flat Service Discount]])</f>
        <v>0</v>
      </c>
      <c r="BO142" s="451" t="str">
        <f>IF(PART_NUMBER_GENERATOR_TABLE[[#This Row],[Quantity]]&lt;&gt;0,MAX($BO$30:BO141)+1,"")</f>
        <v/>
      </c>
      <c r="BP142" t="str">
        <f>PART_NUMBER_GENERATOR_TABLE[[#This Row],[Part Number]]</f>
        <v>A-PS-C-TRAVEL-AC-BH</v>
      </c>
      <c r="BQ142">
        <f>PART_NUMBER_GENERATOR_TABLE[[#This Row],[Total Hours]]</f>
        <v>0</v>
      </c>
      <c r="BR142">
        <f>PART_NUMBER_GENERATOR_TABLE[[#This Row],[Cost Rate]]</f>
        <v>126.11855927829811</v>
      </c>
      <c r="BS142" s="465">
        <f>PART_NUMBER_GENERATOR_TABLE[[#This Row],[Sell Rate]]+(PART_NUMBER_GENERATOR_TABLE[[#This Row],[Sell Rate]]*MIN(PART_NUMBER_GENERATOR_TABLE[[#This Row],[Rate Service Discount]:[Flat Service Discount]]))</f>
        <v>235</v>
      </c>
    </row>
    <row r="143" spans="1:71">
      <c r="A143">
        <v>113</v>
      </c>
      <c r="C143" t="s">
        <v>1136</v>
      </c>
      <c r="D143" t="str" cm="1">
        <f t="array" ref="D143">INDEX(Table.Settings_Skill.List[Skill Name],MATCH(INDEX(_xlfn.TEXTSPLIT(C143,"-",,TRUE),4),Table.Settings_Skill.List[Skill Code],0),1)</f>
        <v>Travel</v>
      </c>
      <c r="E143" t="str" cm="1">
        <f t="array" ref="E143">INDEX(_xlfn.TEXTSPLIT(C143,"-",,TRUE),5)</f>
        <v>SA</v>
      </c>
      <c r="F143" t="str">
        <f>IFERROR(INDEX(settings.Table_Engineer.Roles[Department Code],MATCH(PART_NUMBER_GENERATOR_TABLE[[#This Row],[Work Role]],settings.Table_Engineer.Roles[ID],0),1),"PMO")</f>
        <v>CON</v>
      </c>
      <c r="G143" t="str" cm="1">
        <f t="array" ref="G143">INDEX(_xlfn.TEXTSPLIT(C143,"-",,TRUE),6)</f>
        <v>BH</v>
      </c>
      <c r="H14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14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143" cm="1">
        <f t="array" ref="J143">IF(J$1&lt;&gt;PART_NUMBER_GENERATOR_TABLE[[#This Row],[Work Role]:[Work Role]],0,
IF(RIGHT(J$30,2)&lt;&gt;PART_NUMBER_GENERATOR_TABLE[[#This Row],[Work Type]:[Work Type]],0,
SUMIFS(Input_Tasks[R1 Business Hours],Input_Tasks[[Skill Required]:[Skill Required]],PART_NUMBER_GENERATOR_TABLE[[#This Row],[Tech]:[Tech]])))</f>
        <v>0</v>
      </c>
      <c r="K143" cm="1">
        <f t="array" ref="K143">IF(K$1&lt;&gt;PART_NUMBER_GENERATOR_TABLE[[#This Row],[Work Role]:[Work Role]],0,
IF(RIGHT(K$30,2)&lt;&gt;PART_NUMBER_GENERATOR_TABLE[[#This Row],[Work Type]:[Work Type]],0,
SUMIFS(Input_Tasks[R1 After Hours],Input_Tasks[[Skill Required]:[Skill Required]],PART_NUMBER_GENERATOR_TABLE[[#This Row],[Tech]:[Tech]])))</f>
        <v>0</v>
      </c>
      <c r="L143" cm="1">
        <f t="array" ref="L143">IF(L$1&lt;&gt;PART_NUMBER_GENERATOR_TABLE[[#This Row],[Work Role]:[Work Role]],0,
IF(RIGHT(L$30,2)&lt;&gt;PART_NUMBER_GENERATOR_TABLE[[#This Row],[Work Type]:[Work Type]],0,
SUMIFS(Input_Tasks[R2 Business Hours],Input_Tasks[[Skill Required]:[Skill Required]],PART_NUMBER_GENERATOR_TABLE[[#This Row],[Tech]:[Tech]])))</f>
        <v>0</v>
      </c>
      <c r="M143" cm="1">
        <f t="array" ref="M143">IF(M$1&lt;&gt;PART_NUMBER_GENERATOR_TABLE[[#This Row],[Work Role]:[Work Role]],0,
IF(RIGHT(M$30,2)&lt;&gt;PART_NUMBER_GENERATOR_TABLE[[#This Row],[Work Type]:[Work Type]],0,
SUMIFS(Input_Tasks[R2 After Hours],Input_Tasks[[Skill Required]:[Skill Required]],PART_NUMBER_GENERATOR_TABLE[[#This Row],[Tech]:[Tech]])))</f>
        <v>0</v>
      </c>
      <c r="N143" cm="1">
        <f t="array" ref="N143">IF(N$1&lt;&gt;PART_NUMBER_GENERATOR_TABLE[[#This Row],[Work Role]:[Work Role]],0,
IF(RIGHT(N$30,2)&lt;&gt;PART_NUMBER_GENERATOR_TABLE[[#This Row],[Work Type]:[Work Type]],0,
SUMIFS(Input_Tasks[R3 Business Hours],Input_Tasks[[Skill Required]:[Skill Required]],PART_NUMBER_GENERATOR_TABLE[[#This Row],[Tech]:[Tech]])))</f>
        <v>0</v>
      </c>
      <c r="O143" cm="1">
        <f t="array" ref="O143">IF(O$1&lt;&gt;PART_NUMBER_GENERATOR_TABLE[[#This Row],[Work Role]:[Work Role]],0,
IF(RIGHT(O$30,2)&lt;&gt;PART_NUMBER_GENERATOR_TABLE[[#This Row],[Work Type]:[Work Type]],0,
SUMIFS(Input_Tasks[R3 After Hours],Input_Tasks[[Skill Required]:[Skill Required]],PART_NUMBER_GENERATOR_TABLE[[#This Row],[Tech]:[Tech]])))</f>
        <v>0</v>
      </c>
      <c r="P143" cm="1">
        <f t="array" ref="P143">IF(P$1&lt;&gt;PART_NUMBER_GENERATOR_TABLE[[#This Row],[Work Role]:[Work Role]],0,
IF(RIGHT(P$30,2)&lt;&gt;PART_NUMBER_GENERATOR_TABLE[[#This Row],[Work Type]:[Work Type]],0,
SUMIFS(Input_Tasks[R4 Business Hours],Input_Tasks[[Skill Required]:[Skill Required]],PART_NUMBER_GENERATOR_TABLE[[#This Row],[Tech]:[Tech]])))</f>
        <v>0</v>
      </c>
      <c r="Q143" cm="1">
        <f t="array" ref="Q143">IF(Q$1&lt;&gt;PART_NUMBER_GENERATOR_TABLE[[#This Row],[Work Role]:[Work Role]],0,
IF(RIGHT(Q$30,2)&lt;&gt;PART_NUMBER_GENERATOR_TABLE[[#This Row],[Work Type]:[Work Type]],0,
SUMIFS(Input_Tasks[R4 After Hours],Input_Tasks[[Skill Required]:[Skill Required]],PART_NUMBER_GENERATOR_TABLE[[#This Row],[Tech]:[Tech]])))</f>
        <v>0</v>
      </c>
      <c r="R143" cm="1">
        <f t="array" ref="R143">IF(R$1&lt;&gt;PART_NUMBER_GENERATOR_TABLE[[#This Row],[Work Role]:[Work Role]],0,
IF(RIGHT(R$30,2)&lt;&gt;PART_NUMBER_GENERATOR_TABLE[[#This Row],[Work Type]:[Work Type]],0,
SUMIFS(Input_Tasks[R5 Business Hours],Input_Tasks[[Skill Required]:[Skill Required]],PART_NUMBER_GENERATOR_TABLE[[#This Row],[Tech]:[Tech]])))</f>
        <v>0</v>
      </c>
      <c r="S143" cm="1">
        <f t="array" ref="S143">IF(S$1&lt;&gt;PART_NUMBER_GENERATOR_TABLE[[#This Row],[Work Role]:[Work Role]],0,
IF(RIGHT(S$30,2)&lt;&gt;PART_NUMBER_GENERATOR_TABLE[[#This Row],[Work Type]:[Work Type]],0,
SUMIFS(Input_Tasks[R5 After Hours],Input_Tasks[[Skill Required]:[Skill Required]],PART_NUMBER_GENERATOR_TABLE[[#This Row],[Tech]:[Tech]])))</f>
        <v>0</v>
      </c>
      <c r="T143" cm="1">
        <f t="array" ref="T143">IF(PART_NUMBER_GENERATOR_TABLE[[#This Row],[Work Role]:[Work Role]]&lt;&gt;T$1,0,
IF(PART_NUMBER_GENERATOR_TABLE[[#This Row],[Work Type]:[Work Type]]&lt;&gt;"BH",0,
SUMIFS(T$9:T$24,$M$9:$M$24,PART_NUMBER_GENERATOR_TABLE[[#This Row],[Tech]:[Tech]])))</f>
        <v>0</v>
      </c>
      <c r="U143" cm="1">
        <f t="array" ref="U143">IF(PART_NUMBER_GENERATOR_TABLE[[#This Row],[Work Role]:[Work Role]]&lt;&gt;U$1,0,
IF(PART_NUMBER_GENERATOR_TABLE[[#This Row],[Work Type]:[Work Type]]&lt;&gt;"BH",0,
SUMIFS(U$9:U$24,$M$9:$M$24,PART_NUMBER_GENERATOR_TABLE[[#This Row],[Tech]:[Tech]])))</f>
        <v>0</v>
      </c>
      <c r="V143" cm="1">
        <f t="array" ref="V143">IF(PART_NUMBER_GENERATOR_TABLE[[#This Row],[Work Role]:[Work Role]]&lt;&gt;V$1,0,
IF(PART_NUMBER_GENERATOR_TABLE[[#This Row],[Work Type]:[Work Type]]&lt;&gt;"BH",0,
SUMIFS(V$9:V$24,$M$9:$M$24,PART_NUMBER_GENERATOR_TABLE[[#This Row],[Tech]:[Tech]])))</f>
        <v>0</v>
      </c>
      <c r="W143" cm="1">
        <f t="array" ref="W143">IF(PART_NUMBER_GENERATOR_TABLE[[#This Row],[Work Role]:[Work Role]]&lt;&gt;W$1,0,
IF(PART_NUMBER_GENERATOR_TABLE[[#This Row],[Work Type]:[Work Type]]&lt;&gt;"BH",0,
SUMIFS(W$9:W$24,$M$9:$M$24,PART_NUMBER_GENERATOR_TABLE[[#This Row],[Tech]:[Tech]])))</f>
        <v>0</v>
      </c>
      <c r="X143" cm="1">
        <f t="array" ref="X143">IF(PART_NUMBER_GENERATOR_TABLE[[#This Row],[Work Role]:[Work Role]]&lt;&gt;X$1,0,
IF(PART_NUMBER_GENERATOR_TABLE[[#This Row],[Work Type]:[Work Type]]&lt;&gt;"BH",0,
SUMIFS(X$9:X$24,$M$9:$M$24,PART_NUMBER_GENERATOR_TABLE[[#This Row],[Tech]:[Tech]])))</f>
        <v>0</v>
      </c>
      <c r="Y143" cm="1">
        <f t="array" ref="Y143">IF(PART_NUMBER_GENERATOR_TABLE[[#This Row],[Work Role]:[Work Role]]&lt;&gt;Y$1,0,
IF(PART_NUMBER_GENERATOR_TABLE[[#This Row],[Work Type]:[Work Type]]&lt;&gt;"BH",0,
SUMIFS(Y$9:Y$24,$M$9:$M$24,PART_NUMBER_GENERATOR_TABLE[[#This Row],[Tech]:[Tech]])))</f>
        <v>0</v>
      </c>
      <c r="Z143" cm="1">
        <f t="array" ref="Z143">IF(PART_NUMBER_GENERATOR_TABLE[[#This Row],[Work Role]:[Work Role]]&lt;&gt;Z$1,0,
IF(PART_NUMBER_GENERATOR_TABLE[[#This Row],[Work Type]:[Work Type]]&lt;&gt;"BH",0,
SUMIFS(Z$9:Z$24,$M$9:$M$24,PART_NUMBER_GENERATOR_TABLE[[#This Row],[Tech]:[Tech]])))</f>
        <v>0</v>
      </c>
      <c r="AA143" cm="1">
        <f t="array" ref="AA143">IF(PART_NUMBER_GENERATOR_TABLE[[#This Row],[Work Role]:[Work Role]]&lt;&gt;AA$1,0,
IF(PART_NUMBER_GENERATOR_TABLE[[#This Row],[Work Type]:[Work Type]]&lt;&gt;"BH",0,
SUMIFS(AA$9:AA$24,$M$9:$M$24,PART_NUMBER_GENERATOR_TABLE[[#This Row],[Tech]:[Tech]])))</f>
        <v>0</v>
      </c>
      <c r="AB143" cm="1">
        <f t="array" ref="AB143">IF(PART_NUMBER_GENERATOR_TABLE[[#This Row],[Work Role]:[Work Role]]&lt;&gt;AB$1,0,
IF(PART_NUMBER_GENERATOR_TABLE[[#This Row],[Work Type]:[Work Type]]&lt;&gt;"BH",0,
SUMIFS(AB$9:AB$24,$M$9:$M$24,PART_NUMBER_GENERATOR_TABLE[[#This Row],[Tech]:[Tech]])))</f>
        <v>0</v>
      </c>
      <c r="AC143" cm="1">
        <f t="array" ref="AC143">IF(PART_NUMBER_GENERATOR_TABLE[[#This Row],[Work Role]:[Work Role]]&lt;&gt;AC$1,0,
IF(PART_NUMBER_GENERATOR_TABLE[[#This Row],[Work Type]:[Work Type]]&lt;&gt;"BH",0,
SUMIFS(AC$9:AC$24,$M$9:$M$24,PART_NUMBER_GENERATOR_TABLE[[#This Row],[Tech]:[Tech]])))</f>
        <v>0</v>
      </c>
      <c r="AD143" cm="1">
        <f t="array" ref="AD143">IF(PART_NUMBER_GENERATOR_TABLE[[#This Row],[Work Role]:[Work Role]]&lt;&gt;AD$1,0,
IF(PART_NUMBER_GENERATOR_TABLE[[#This Row],[Work Type]:[Work Type]]&lt;&gt;"BH",0,
SUMIFS(AD$9:AD$24,$M$9:$M$24,PART_NUMBER_GENERATOR_TABLE[[#This Row],[Tech]:[Tech]])))</f>
        <v>0</v>
      </c>
      <c r="AE143" cm="1">
        <f t="array" ref="AE143">IF(PART_NUMBER_GENERATOR_TABLE[[#This Row],[Work Role]:[Work Role]]&lt;&gt;AE$1,0,
IF(PART_NUMBER_GENERATOR_TABLE[[#This Row],[Work Type]:[Work Type]]&lt;&gt;"BH",0,
SUMIFS(AE$9:AE$24,$M$9:$M$24,PART_NUMBER_GENERATOR_TABLE[[#This Row],[Tech]:[Tech]])))</f>
        <v>0</v>
      </c>
      <c r="AF143" cm="1">
        <f t="array" ref="AF143">IF(PART_NUMBER_GENERATOR_TABLE[[#This Row],[Work Role]:[Work Role]]&lt;&gt;AF$1,0,
IF(PART_NUMBER_GENERATOR_TABLE[[#This Row],[Work Type]:[Work Type]]&lt;&gt;"BH",0,
SUMIFS(AF$9:AF$24,$M$9:$M$24,PART_NUMBER_GENERATOR_TABLE[[#This Row],[Tech]:[Tech]])))</f>
        <v>0</v>
      </c>
      <c r="AG143" cm="1">
        <f t="array" ref="AG143">IF(PART_NUMBER_GENERATOR_TABLE[[#This Row],[Work Role]:[Work Role]]&lt;&gt;AG$1,0,
IF(PART_NUMBER_GENERATOR_TABLE[[#This Row],[Work Type]:[Work Type]]&lt;&gt;"AH",0,
SUMIFS(AG$9:AG$24,$M$9:$M$24,PART_NUMBER_GENERATOR_TABLE[[#This Row],[Tech]:[Tech]])))</f>
        <v>0</v>
      </c>
      <c r="AH143" cm="1">
        <f t="array" ref="AH143">IF(PART_NUMBER_GENERATOR_TABLE[[#This Row],[Work Role]:[Work Role]]&lt;&gt;AH$1,0,
IF(PART_NUMBER_GENERATOR_TABLE[[#This Row],[Work Type]:[Work Type]]&lt;&gt;"BH",0,
SUMIFS(AH$9:AH$24,$M$9:$M$24,PART_NUMBER_GENERATOR_TABLE[[#This Row],[Tech]:[Tech]])))</f>
        <v>0</v>
      </c>
      <c r="AI143" cm="1">
        <f t="array" ref="AI143">IF(PART_NUMBER_GENERATOR_TABLE[[#This Row],[Work Role]:[Work Role]]&lt;&gt;AI$1,0,
IF(PART_NUMBER_GENERATOR_TABLE[[#This Row],[Work Type]:[Work Type]]&lt;&gt;"BH",0,
SUMIFS(AI$9:AI$24,$M$9:$M$24,PART_NUMBER_GENERATOR_TABLE[[#This Row],[Tech]:[Tech]])))</f>
        <v>0</v>
      </c>
      <c r="AJ143" cm="1">
        <f t="array" ref="AJ143">IF(PART_NUMBER_GENERATOR_TABLE[[#This Row],[Work Role]:[Work Role]]&lt;&gt;AJ$1,0,
IF(PART_NUMBER_GENERATOR_TABLE[[#This Row],[Work Type]:[Work Type]]&lt;&gt;"BH",0,
SUMIFS(AJ$9:AJ$24,$M$9:$M$24,PART_NUMBER_GENERATOR_TABLE[[#This Row],[Tech]:[Tech]])))</f>
        <v>0</v>
      </c>
      <c r="AK143" cm="1">
        <f t="array" ref="AK143">IF(PART_NUMBER_GENERATOR_TABLE[[#This Row],[Work Role]:[Work Role]]&lt;&gt;AK$1,0,
IF(PART_NUMBER_GENERATOR_TABLE[[#This Row],[Work Type]:[Work Type]]&lt;&gt;"AH",0,
SUMIFS(AK$9:AK$24,$M$9:$M$24,PART_NUMBER_GENERATOR_TABLE[[#This Row],[Tech]:[Tech]])))</f>
        <v>0</v>
      </c>
      <c r="AL143" cm="1">
        <f t="array" ref="AL143">IF(PART_NUMBER_GENERATOR_TABLE[[#This Row],[Work Role]:[Work Role]]&lt;&gt;AL$1,0,
IF(PART_NUMBER_GENERATOR_TABLE[[#This Row],[Work Type]:[Work Type]]&lt;&gt;"BH",0,
SUMIFS(AL$9:AL$24,$M$9:$M$24,PART_NUMBER_GENERATOR_TABLE[[#This Row],[Tech]:[Tech]])))</f>
        <v>0</v>
      </c>
      <c r="AM143">
        <f>0</f>
        <v>0</v>
      </c>
      <c r="AN143" cm="1">
        <f t="array" ref="AN143">IF(PART_NUMBER_GENERATOR_TABLE[[#This Row],[Work Role]:[Work Role]]&lt;&gt;AN$1,0,
IF(PART_NUMBER_GENERATOR_TABLE[[#This Row],[Work Type]:[Work Type]]&lt;&gt;"BH",0,
SUMIFS(AN$24,$AM$24,PART_NUMBER_GENERATOR_TABLE[[#This Row],[Tech]:[Tech]])))</f>
        <v>0</v>
      </c>
      <c r="AO143" cm="1">
        <f t="array" ref="AO143">IF(PART_NUMBER_GENERATOR_TABLE[[#This Row],[Work Role]:[Work Role]]&lt;&gt;AO$1,0,
IF(PART_NUMBER_GENERATOR_TABLE[[#This Row],[Work Type]:[Work Type]]&lt;&gt;"BH",0,
SUMIFS(AO$24,$AM$24,PART_NUMBER_GENERATOR_TABLE[[#This Row],[Tech]:[Tech]])))</f>
        <v>0</v>
      </c>
      <c r="AP143" cm="1">
        <f t="array" ref="AP143">IF(PART_NUMBER_GENERATOR_TABLE[[#This Row],[Work Role]:[Work Role]]&lt;&gt;AP$1,0,
IF(PART_NUMBER_GENERATOR_TABLE[[#This Row],[Work Type]:[Work Type]]&lt;&gt;"BH",0,
SUMIFS(AP$24,$AM$24,PART_NUMBER_GENERATOR_TABLE[[#This Row],[Tech]:[Tech]])))</f>
        <v>0</v>
      </c>
      <c r="AQ143" cm="1">
        <f t="array" ref="AQ143">IF(PART_NUMBER_GENERATOR_TABLE[[#This Row],[Work Role]:[Work Role]]&lt;&gt;AQ$1,0,
IF(PART_NUMBER_GENERATOR_TABLE[[#This Row],[Work Type]:[Work Type]]&lt;&gt;"BH",0,
SUMIFS(AQ$24,$AM$24,PART_NUMBER_GENERATOR_TABLE[[#This Row],[Tech]:[Tech]])))</f>
        <v>0</v>
      </c>
      <c r="AR143" cm="1">
        <f t="array" ref="AR143">IF(PART_NUMBER_GENERATOR_TABLE[[#This Row],[Work Role]:[Work Role]]&lt;&gt;AR$1,0,
IF(PART_NUMBER_GENERATOR_TABLE[[#This Row],[Work Type]:[Work Type]]&lt;&gt;"BH",0,
SUMIFS(AR$24,$AM$24,PART_NUMBER_GENERATOR_TABLE[[#This Row],[Tech]:[Tech]])))</f>
        <v>0</v>
      </c>
      <c r="AS143" cm="1">
        <f t="array" ref="AS143">IF(PART_NUMBER_GENERATOR_TABLE[[#This Row],[Work Role]:[Work Role]]&lt;&gt;AS$1,0,
IF(PART_NUMBER_GENERATOR_TABLE[[#This Row],[Work Type]:[Work Type]]&lt;&gt;"BH",0,
SUMIFS(AS$24,$AM$24,PART_NUMBER_GENERATOR_TABLE[[#This Row],[Tech]:[Tech]])))</f>
        <v>0</v>
      </c>
      <c r="AT143" cm="1">
        <f t="array" ref="AT143">IF(PART_NUMBER_GENERATOR_TABLE[[#This Row],[Work Role]:[Work Role]]&lt;&gt;AS$1,0,
IF(PART_NUMBER_GENERATOR_TABLE[[#This Row],[Work Type]:[Work Type]]&lt;&gt;"BH",0,
SUMIFS(AT$24,$AM$24,PART_NUMBER_GENERATOR_TABLE[[#This Row],[Tech]:[Tech]])))</f>
        <v>0</v>
      </c>
      <c r="AU143">
        <f>SUM(PART_NUMBER_GENERATOR_TABLE[[#This Row],[Resource 1 BH]:[Resource 5 AH]],PART_NUMBER_GENERATOR_TABLE[[#This Row],[R1 Mandatory Tasks]:[R5 Mandatory Tasks]],PART_NUMBER_GENERATOR_TABLE[[#This Row],[R1 Remainder]:[R5 Remainder]])</f>
        <v>0</v>
      </c>
      <c r="AV143">
        <f>PART_NUMBER_GENERATOR_TABLE[[#This Row],[Professional Engineering Hours]]*PART_NUMBER_GENERATOR_TABLE[[#This Row],[Sell Rate]]</f>
        <v>0</v>
      </c>
      <c r="AW143">
        <f>PART_NUMBER_GENERATOR_TABLE[[#This Row],[Professional Engineering Hours]]*PART_NUMBER_GENERATOR_TABLE[[#This Row],[Cost Rate]]</f>
        <v>0</v>
      </c>
      <c r="AX143">
        <f>SUM(PART_NUMBER_GENERATOR_TABLE[[#This Row],[PM Trips]:[R5 Trips]])</f>
        <v>0</v>
      </c>
      <c r="AY143">
        <f>PART_NUMBER_GENERATOR_TABLE[[#This Row],[Travel &amp; Accommodation Hours]]*PART_NUMBER_GENERATOR_TABLE[[#This Row],[Sell Rate]]</f>
        <v>0</v>
      </c>
      <c r="AZ143">
        <f>PART_NUMBER_GENERATOR_TABLE[[#This Row],[Travel &amp; Accommodation Hours]]*PART_NUMBER_GENERATOR_TABLE[[#This Row],[Cost Rate]]</f>
        <v>0</v>
      </c>
      <c r="BA143">
        <f>PART_NUMBER_GENERATOR_TABLE[[#This Row],[PM Hours]]+PART_NUMBER_GENERATOR_TABLE[[#This Row],[PM Remainder]]</f>
        <v>0</v>
      </c>
      <c r="BB143">
        <f>PART_NUMBER_GENERATOR_TABLE[[#This Row],[Project Management Hours]]*PART_NUMBER_GENERATOR_TABLE[[#This Row],[Sell Rate]]</f>
        <v>0</v>
      </c>
      <c r="BC143">
        <f>PART_NUMBER_GENERATOR_TABLE[[#This Row],[Project Management Hours]]*PART_NUMBER_GENERATOR_TABLE[[#This Row],[Cost Rate]]</f>
        <v>0</v>
      </c>
      <c r="BD143">
        <f>SUM(PART_NUMBER_GENERATOR_TABLE[[#This Row],[SSE RISK BH]:[PM RISK]],PART_NUMBER_GENERATOR_TABLE[[#This Row],[SSE Remainder RISK BH]:[PM Remainder RISK]])</f>
        <v>0</v>
      </c>
      <c r="BE143">
        <f>PART_NUMBER_GENERATOR_TABLE[[#This Row],[Project Risk Service Hours]]*PART_NUMBER_GENERATOR_TABLE[[#This Row],[Sell Rate]]</f>
        <v>0</v>
      </c>
      <c r="BF143">
        <f>PART_NUMBER_GENERATOR_TABLE[[#This Row],[Project Risk Service Hours]]*PART_NUMBER_GENERATOR_TABLE[[#This Row],[Cost Rate]]</f>
        <v>0</v>
      </c>
      <c r="BG143">
        <f>PART_NUMBER_GENERATOR_TABLE[[#This Row],[SSE RISK TRAVEL]]</f>
        <v>0</v>
      </c>
      <c r="BH143">
        <f>PART_NUMBER_GENERATOR_TABLE[[#This Row],[Sell Rate]]*PART_NUMBER_GENERATOR_TABLE[[#This Row],[Project Risk Travel Hours]]</f>
        <v>0</v>
      </c>
      <c r="BI143">
        <f>PART_NUMBER_GENERATOR_TABLE[[#This Row],[Project Risk Travel Hours]]*PART_NUMBER_GENERATOR_TABLE[[#This Row],[Cost Rate]]</f>
        <v>0</v>
      </c>
      <c r="BJ14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4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43">
        <f>IFERROR(-VLOOKUP(INDEX(ENGINEER_ROLES,MATCH(PART_NUMBER_GENERATOR_TABLE[[#This Row],[Work Role]],settings.Table_Engineer.Roles[ID],0),1),Settings_Hidden!$H$359:$K$366,4,FALSE),0)</f>
        <v>0</v>
      </c>
      <c r="BM143" s="680">
        <f>-Summary!$C$66</f>
        <v>0</v>
      </c>
      <c r="BN143" s="465">
        <f>PART_NUMBER_GENERATOR_TABLE[[#This Row],[Total Base Price]]*MIN(PART_NUMBER_GENERATOR_TABLE[[#This Row],[Rate Service Discount]:[Flat Service Discount]])</f>
        <v>0</v>
      </c>
      <c r="BO143" s="451" t="str">
        <f>IF(PART_NUMBER_GENERATOR_TABLE[[#This Row],[Quantity]]&lt;&gt;0,MAX($BO$30:BO142)+1,"")</f>
        <v/>
      </c>
      <c r="BP143" t="str">
        <f>PART_NUMBER_GENERATOR_TABLE[[#This Row],[Part Number]]</f>
        <v>A-PS-C-TRAVEL-SA-BH</v>
      </c>
      <c r="BQ143">
        <f>PART_NUMBER_GENERATOR_TABLE[[#This Row],[Total Hours]]</f>
        <v>0</v>
      </c>
      <c r="BR143">
        <f>PART_NUMBER_GENERATOR_TABLE[[#This Row],[Cost Rate]]</f>
        <v>126.11855927829811</v>
      </c>
      <c r="BS143" s="465">
        <f>PART_NUMBER_GENERATOR_TABLE[[#This Row],[Sell Rate]]+(PART_NUMBER_GENERATOR_TABLE[[#This Row],[Sell Rate]]*MIN(PART_NUMBER_GENERATOR_TABLE[[#This Row],[Rate Service Discount]:[Flat Service Discount]]))</f>
        <v>235</v>
      </c>
    </row>
    <row r="144" spans="1:71">
      <c r="A144">
        <v>114</v>
      </c>
      <c r="C144" t="s">
        <v>1133</v>
      </c>
      <c r="D144" t="str" cm="1">
        <f t="array" ref="D144">INDEX(Table.Settings_Skill.List[Skill Name],MATCH(INDEX(_xlfn.TEXTSPLIT(C144,"-",,TRUE),4),Table.Settings_Skill.List[Skill Code],0),1)</f>
        <v>Travel</v>
      </c>
      <c r="E144" t="str" cm="1">
        <f t="array" ref="E144">INDEX(_xlfn.TEXTSPLIT(C144,"-",,TRUE),5)</f>
        <v>SC</v>
      </c>
      <c r="F144" t="str">
        <f>IFERROR(INDEX(settings.Table_Engineer.Roles[Department Code],MATCH(PART_NUMBER_GENERATOR_TABLE[[#This Row],[Work Role]],settings.Table_Engineer.Roles[ID],0),1),"PMO")</f>
        <v>CON</v>
      </c>
      <c r="G144" t="str" cm="1">
        <f t="array" ref="G144">INDEX(_xlfn.TEXTSPLIT(C144,"-",,TRUE),6)</f>
        <v>BH</v>
      </c>
      <c r="H14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235</v>
      </c>
      <c r="I14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126.11855927829811</v>
      </c>
      <c r="J144" cm="1">
        <f t="array" ref="J144">IF(J$1&lt;&gt;PART_NUMBER_GENERATOR_TABLE[[#This Row],[Work Role]:[Work Role]],0,
IF(RIGHT(J$30,2)&lt;&gt;PART_NUMBER_GENERATOR_TABLE[[#This Row],[Work Type]:[Work Type]],0,
SUMIFS(Input_Tasks[R1 Business Hours],Input_Tasks[[Skill Required]:[Skill Required]],PART_NUMBER_GENERATOR_TABLE[[#This Row],[Tech]:[Tech]])))</f>
        <v>0</v>
      </c>
      <c r="K144" cm="1">
        <f t="array" ref="K144">IF(K$1&lt;&gt;PART_NUMBER_GENERATOR_TABLE[[#This Row],[Work Role]:[Work Role]],0,
IF(RIGHT(K$30,2)&lt;&gt;PART_NUMBER_GENERATOR_TABLE[[#This Row],[Work Type]:[Work Type]],0,
SUMIFS(Input_Tasks[R1 After Hours],Input_Tasks[[Skill Required]:[Skill Required]],PART_NUMBER_GENERATOR_TABLE[[#This Row],[Tech]:[Tech]])))</f>
        <v>0</v>
      </c>
      <c r="L144" cm="1">
        <f t="array" ref="L144">IF(L$1&lt;&gt;PART_NUMBER_GENERATOR_TABLE[[#This Row],[Work Role]:[Work Role]],0,
IF(RIGHT(L$30,2)&lt;&gt;PART_NUMBER_GENERATOR_TABLE[[#This Row],[Work Type]:[Work Type]],0,
SUMIFS(Input_Tasks[R2 Business Hours],Input_Tasks[[Skill Required]:[Skill Required]],PART_NUMBER_GENERATOR_TABLE[[#This Row],[Tech]:[Tech]])))</f>
        <v>0</v>
      </c>
      <c r="M144" cm="1">
        <f t="array" ref="M144">IF(M$1&lt;&gt;PART_NUMBER_GENERATOR_TABLE[[#This Row],[Work Role]:[Work Role]],0,
IF(RIGHT(M$30,2)&lt;&gt;PART_NUMBER_GENERATOR_TABLE[[#This Row],[Work Type]:[Work Type]],0,
SUMIFS(Input_Tasks[R2 After Hours],Input_Tasks[[Skill Required]:[Skill Required]],PART_NUMBER_GENERATOR_TABLE[[#This Row],[Tech]:[Tech]])))</f>
        <v>0</v>
      </c>
      <c r="N144" cm="1">
        <f t="array" ref="N144">IF(N$1&lt;&gt;PART_NUMBER_GENERATOR_TABLE[[#This Row],[Work Role]:[Work Role]],0,
IF(RIGHT(N$30,2)&lt;&gt;PART_NUMBER_GENERATOR_TABLE[[#This Row],[Work Type]:[Work Type]],0,
SUMIFS(Input_Tasks[R3 Business Hours],Input_Tasks[[Skill Required]:[Skill Required]],PART_NUMBER_GENERATOR_TABLE[[#This Row],[Tech]:[Tech]])))</f>
        <v>0</v>
      </c>
      <c r="O144" cm="1">
        <f t="array" ref="O144">IF(O$1&lt;&gt;PART_NUMBER_GENERATOR_TABLE[[#This Row],[Work Role]:[Work Role]],0,
IF(RIGHT(O$30,2)&lt;&gt;PART_NUMBER_GENERATOR_TABLE[[#This Row],[Work Type]:[Work Type]],0,
SUMIFS(Input_Tasks[R3 After Hours],Input_Tasks[[Skill Required]:[Skill Required]],PART_NUMBER_GENERATOR_TABLE[[#This Row],[Tech]:[Tech]])))</f>
        <v>0</v>
      </c>
      <c r="P144" cm="1">
        <f t="array" ref="P144">IF(P$1&lt;&gt;PART_NUMBER_GENERATOR_TABLE[[#This Row],[Work Role]:[Work Role]],0,
IF(RIGHT(P$30,2)&lt;&gt;PART_NUMBER_GENERATOR_TABLE[[#This Row],[Work Type]:[Work Type]],0,
SUMIFS(Input_Tasks[R4 Business Hours],Input_Tasks[[Skill Required]:[Skill Required]],PART_NUMBER_GENERATOR_TABLE[[#This Row],[Tech]:[Tech]])))</f>
        <v>0</v>
      </c>
      <c r="Q144" cm="1">
        <f t="array" ref="Q144">IF(Q$1&lt;&gt;PART_NUMBER_GENERATOR_TABLE[[#This Row],[Work Role]:[Work Role]],0,
IF(RIGHT(Q$30,2)&lt;&gt;PART_NUMBER_GENERATOR_TABLE[[#This Row],[Work Type]:[Work Type]],0,
SUMIFS(Input_Tasks[R4 After Hours],Input_Tasks[[Skill Required]:[Skill Required]],PART_NUMBER_GENERATOR_TABLE[[#This Row],[Tech]:[Tech]])))</f>
        <v>0</v>
      </c>
      <c r="R144" cm="1">
        <f t="array" ref="R144">IF(R$1&lt;&gt;PART_NUMBER_GENERATOR_TABLE[[#This Row],[Work Role]:[Work Role]],0,
IF(RIGHT(R$30,2)&lt;&gt;PART_NUMBER_GENERATOR_TABLE[[#This Row],[Work Type]:[Work Type]],0,
SUMIFS(Input_Tasks[R5 Business Hours],Input_Tasks[[Skill Required]:[Skill Required]],PART_NUMBER_GENERATOR_TABLE[[#This Row],[Tech]:[Tech]])))</f>
        <v>0</v>
      </c>
      <c r="S144" cm="1">
        <f t="array" ref="S144">IF(S$1&lt;&gt;PART_NUMBER_GENERATOR_TABLE[[#This Row],[Work Role]:[Work Role]],0,
IF(RIGHT(S$30,2)&lt;&gt;PART_NUMBER_GENERATOR_TABLE[[#This Row],[Work Type]:[Work Type]],0,
SUMIFS(Input_Tasks[R5 After Hours],Input_Tasks[[Skill Required]:[Skill Required]],PART_NUMBER_GENERATOR_TABLE[[#This Row],[Tech]:[Tech]])))</f>
        <v>0</v>
      </c>
      <c r="T144" cm="1">
        <f t="array" ref="T144">IF(PART_NUMBER_GENERATOR_TABLE[[#This Row],[Work Role]:[Work Role]]&lt;&gt;T$1,0,
IF(PART_NUMBER_GENERATOR_TABLE[[#This Row],[Work Type]:[Work Type]]&lt;&gt;"BH",0,
SUMIFS(T$9:T$24,$M$9:$M$24,PART_NUMBER_GENERATOR_TABLE[[#This Row],[Tech]:[Tech]])))</f>
        <v>0</v>
      </c>
      <c r="U144" cm="1">
        <f t="array" ref="U144">IF(PART_NUMBER_GENERATOR_TABLE[[#This Row],[Work Role]:[Work Role]]&lt;&gt;U$1,0,
IF(PART_NUMBER_GENERATOR_TABLE[[#This Row],[Work Type]:[Work Type]]&lt;&gt;"BH",0,
SUMIFS(U$9:U$24,$M$9:$M$24,PART_NUMBER_GENERATOR_TABLE[[#This Row],[Tech]:[Tech]])))</f>
        <v>0</v>
      </c>
      <c r="V144" cm="1">
        <f t="array" ref="V144">IF(PART_NUMBER_GENERATOR_TABLE[[#This Row],[Work Role]:[Work Role]]&lt;&gt;V$1,0,
IF(PART_NUMBER_GENERATOR_TABLE[[#This Row],[Work Type]:[Work Type]]&lt;&gt;"BH",0,
SUMIFS(V$9:V$24,$M$9:$M$24,PART_NUMBER_GENERATOR_TABLE[[#This Row],[Tech]:[Tech]])))</f>
        <v>0</v>
      </c>
      <c r="W144" cm="1">
        <f t="array" ref="W144">IF(PART_NUMBER_GENERATOR_TABLE[[#This Row],[Work Role]:[Work Role]]&lt;&gt;W$1,0,
IF(PART_NUMBER_GENERATOR_TABLE[[#This Row],[Work Type]:[Work Type]]&lt;&gt;"BH",0,
SUMIFS(W$9:W$24,$M$9:$M$24,PART_NUMBER_GENERATOR_TABLE[[#This Row],[Tech]:[Tech]])))</f>
        <v>0</v>
      </c>
      <c r="X144" cm="1">
        <f t="array" ref="X144">IF(PART_NUMBER_GENERATOR_TABLE[[#This Row],[Work Role]:[Work Role]]&lt;&gt;X$1,0,
IF(PART_NUMBER_GENERATOR_TABLE[[#This Row],[Work Type]:[Work Type]]&lt;&gt;"BH",0,
SUMIFS(X$9:X$24,$M$9:$M$24,PART_NUMBER_GENERATOR_TABLE[[#This Row],[Tech]:[Tech]])))</f>
        <v>0</v>
      </c>
      <c r="Y144" cm="1">
        <f t="array" ref="Y144">IF(PART_NUMBER_GENERATOR_TABLE[[#This Row],[Work Role]:[Work Role]]&lt;&gt;Y$1,0,
IF(PART_NUMBER_GENERATOR_TABLE[[#This Row],[Work Type]:[Work Type]]&lt;&gt;"BH",0,
SUMIFS(Y$9:Y$24,$M$9:$M$24,PART_NUMBER_GENERATOR_TABLE[[#This Row],[Tech]:[Tech]])))</f>
        <v>0</v>
      </c>
      <c r="Z144" cm="1">
        <f t="array" ref="Z144">IF(PART_NUMBER_GENERATOR_TABLE[[#This Row],[Work Role]:[Work Role]]&lt;&gt;Z$1,0,
IF(PART_NUMBER_GENERATOR_TABLE[[#This Row],[Work Type]:[Work Type]]&lt;&gt;"BH",0,
SUMIFS(Z$9:Z$24,$M$9:$M$24,PART_NUMBER_GENERATOR_TABLE[[#This Row],[Tech]:[Tech]])))</f>
        <v>0</v>
      </c>
      <c r="AA144" cm="1">
        <f t="array" ref="AA144">IF(PART_NUMBER_GENERATOR_TABLE[[#This Row],[Work Role]:[Work Role]]&lt;&gt;AA$1,0,
IF(PART_NUMBER_GENERATOR_TABLE[[#This Row],[Work Type]:[Work Type]]&lt;&gt;"BH",0,
SUMIFS(AA$9:AA$24,$M$9:$M$24,PART_NUMBER_GENERATOR_TABLE[[#This Row],[Tech]:[Tech]])))</f>
        <v>0</v>
      </c>
      <c r="AB144" cm="1">
        <f t="array" ref="AB144">IF(PART_NUMBER_GENERATOR_TABLE[[#This Row],[Work Role]:[Work Role]]&lt;&gt;AB$1,0,
IF(PART_NUMBER_GENERATOR_TABLE[[#This Row],[Work Type]:[Work Type]]&lt;&gt;"BH",0,
SUMIFS(AB$9:AB$24,$M$9:$M$24,PART_NUMBER_GENERATOR_TABLE[[#This Row],[Tech]:[Tech]])))</f>
        <v>0</v>
      </c>
      <c r="AC144" cm="1">
        <f t="array" ref="AC144">IF(PART_NUMBER_GENERATOR_TABLE[[#This Row],[Work Role]:[Work Role]]&lt;&gt;AC$1,0,
IF(PART_NUMBER_GENERATOR_TABLE[[#This Row],[Work Type]:[Work Type]]&lt;&gt;"BH",0,
SUMIFS(AC$9:AC$24,$M$9:$M$24,PART_NUMBER_GENERATOR_TABLE[[#This Row],[Tech]:[Tech]])))</f>
        <v>0</v>
      </c>
      <c r="AD144" cm="1">
        <f t="array" ref="AD144">IF(PART_NUMBER_GENERATOR_TABLE[[#This Row],[Work Role]:[Work Role]]&lt;&gt;AD$1,0,
IF(PART_NUMBER_GENERATOR_TABLE[[#This Row],[Work Type]:[Work Type]]&lt;&gt;"BH",0,
SUMIFS(AD$9:AD$24,$M$9:$M$24,PART_NUMBER_GENERATOR_TABLE[[#This Row],[Tech]:[Tech]])))</f>
        <v>0</v>
      </c>
      <c r="AE144" cm="1">
        <f t="array" ref="AE144">IF(PART_NUMBER_GENERATOR_TABLE[[#This Row],[Work Role]:[Work Role]]&lt;&gt;AE$1,0,
IF(PART_NUMBER_GENERATOR_TABLE[[#This Row],[Work Type]:[Work Type]]&lt;&gt;"BH",0,
SUMIFS(AE$9:AE$24,$M$9:$M$24,PART_NUMBER_GENERATOR_TABLE[[#This Row],[Tech]:[Tech]])))</f>
        <v>0</v>
      </c>
      <c r="AF144" cm="1">
        <f t="array" ref="AF144">IF(PART_NUMBER_GENERATOR_TABLE[[#This Row],[Work Role]:[Work Role]]&lt;&gt;AF$1,0,
IF(PART_NUMBER_GENERATOR_TABLE[[#This Row],[Work Type]:[Work Type]]&lt;&gt;"BH",0,
SUMIFS(AF$9:AF$24,$M$9:$M$24,PART_NUMBER_GENERATOR_TABLE[[#This Row],[Tech]:[Tech]])))</f>
        <v>0</v>
      </c>
      <c r="AG144" cm="1">
        <f t="array" ref="AG144">IF(PART_NUMBER_GENERATOR_TABLE[[#This Row],[Work Role]:[Work Role]]&lt;&gt;AG$1,0,
IF(PART_NUMBER_GENERATOR_TABLE[[#This Row],[Work Type]:[Work Type]]&lt;&gt;"AH",0,
SUMIFS(AG$9:AG$24,$M$9:$M$24,PART_NUMBER_GENERATOR_TABLE[[#This Row],[Tech]:[Tech]])))</f>
        <v>0</v>
      </c>
      <c r="AH144" cm="1">
        <f t="array" ref="AH144">IF(PART_NUMBER_GENERATOR_TABLE[[#This Row],[Work Role]:[Work Role]]&lt;&gt;AH$1,0,
IF(PART_NUMBER_GENERATOR_TABLE[[#This Row],[Work Type]:[Work Type]]&lt;&gt;"BH",0,
SUMIFS(AH$9:AH$24,$M$9:$M$24,PART_NUMBER_GENERATOR_TABLE[[#This Row],[Tech]:[Tech]])))</f>
        <v>0</v>
      </c>
      <c r="AI144" cm="1">
        <f t="array" ref="AI144">IF(PART_NUMBER_GENERATOR_TABLE[[#This Row],[Work Role]:[Work Role]]&lt;&gt;AI$1,0,
IF(PART_NUMBER_GENERATOR_TABLE[[#This Row],[Work Type]:[Work Type]]&lt;&gt;"BH",0,
SUMIFS(AI$9:AI$24,$M$9:$M$24,PART_NUMBER_GENERATOR_TABLE[[#This Row],[Tech]:[Tech]])))</f>
        <v>0</v>
      </c>
      <c r="AJ144" cm="1">
        <f t="array" ref="AJ144">IF(PART_NUMBER_GENERATOR_TABLE[[#This Row],[Work Role]:[Work Role]]&lt;&gt;AJ$1,0,
IF(PART_NUMBER_GENERATOR_TABLE[[#This Row],[Work Type]:[Work Type]]&lt;&gt;"BH",0,
SUMIFS(AJ$9:AJ$24,$M$9:$M$24,PART_NUMBER_GENERATOR_TABLE[[#This Row],[Tech]:[Tech]])))</f>
        <v>0</v>
      </c>
      <c r="AK144" cm="1">
        <f t="array" ref="AK144">IF(PART_NUMBER_GENERATOR_TABLE[[#This Row],[Work Role]:[Work Role]]&lt;&gt;AK$1,0,
IF(PART_NUMBER_GENERATOR_TABLE[[#This Row],[Work Type]:[Work Type]]&lt;&gt;"AH",0,
SUMIFS(AK$9:AK$24,$M$9:$M$24,PART_NUMBER_GENERATOR_TABLE[[#This Row],[Tech]:[Tech]])))</f>
        <v>0</v>
      </c>
      <c r="AL144" cm="1">
        <f t="array" ref="AL144">IF(PART_NUMBER_GENERATOR_TABLE[[#This Row],[Work Role]:[Work Role]]&lt;&gt;AL$1,0,
IF(PART_NUMBER_GENERATOR_TABLE[[#This Row],[Work Type]:[Work Type]]&lt;&gt;"BH",0,
SUMIFS(AL$9:AL$24,$M$9:$M$24,PART_NUMBER_GENERATOR_TABLE[[#This Row],[Tech]:[Tech]])))</f>
        <v>0</v>
      </c>
      <c r="AM144">
        <f>0</f>
        <v>0</v>
      </c>
      <c r="AN144" cm="1">
        <f t="array" ref="AN144">IF(PART_NUMBER_GENERATOR_TABLE[[#This Row],[Work Role]:[Work Role]]&lt;&gt;AN$1,0,
IF(PART_NUMBER_GENERATOR_TABLE[[#This Row],[Work Type]:[Work Type]]&lt;&gt;"BH",0,
SUMIFS(AN$24,$AM$24,PART_NUMBER_GENERATOR_TABLE[[#This Row],[Tech]:[Tech]])))</f>
        <v>0</v>
      </c>
      <c r="AO144" cm="1">
        <f t="array" ref="AO144">IF(PART_NUMBER_GENERATOR_TABLE[[#This Row],[Work Role]:[Work Role]]&lt;&gt;AO$1,0,
IF(PART_NUMBER_GENERATOR_TABLE[[#This Row],[Work Type]:[Work Type]]&lt;&gt;"BH",0,
SUMIFS(AO$24,$AM$24,PART_NUMBER_GENERATOR_TABLE[[#This Row],[Tech]:[Tech]])))</f>
        <v>0</v>
      </c>
      <c r="AP144" cm="1">
        <f t="array" ref="AP144">IF(PART_NUMBER_GENERATOR_TABLE[[#This Row],[Work Role]:[Work Role]]&lt;&gt;AP$1,0,
IF(PART_NUMBER_GENERATOR_TABLE[[#This Row],[Work Type]:[Work Type]]&lt;&gt;"BH",0,
SUMIFS(AP$24,$AM$24,PART_NUMBER_GENERATOR_TABLE[[#This Row],[Tech]:[Tech]])))</f>
        <v>0</v>
      </c>
      <c r="AQ144" cm="1">
        <f t="array" ref="AQ144">IF(PART_NUMBER_GENERATOR_TABLE[[#This Row],[Work Role]:[Work Role]]&lt;&gt;AQ$1,0,
IF(PART_NUMBER_GENERATOR_TABLE[[#This Row],[Work Type]:[Work Type]]&lt;&gt;"BH",0,
SUMIFS(AQ$24,$AM$24,PART_NUMBER_GENERATOR_TABLE[[#This Row],[Tech]:[Tech]])))</f>
        <v>0</v>
      </c>
      <c r="AR144" cm="1">
        <f t="array" ref="AR144">IF(PART_NUMBER_GENERATOR_TABLE[[#This Row],[Work Role]:[Work Role]]&lt;&gt;AR$1,0,
IF(PART_NUMBER_GENERATOR_TABLE[[#This Row],[Work Type]:[Work Type]]&lt;&gt;"BH",0,
SUMIFS(AR$24,$AM$24,PART_NUMBER_GENERATOR_TABLE[[#This Row],[Tech]:[Tech]])))</f>
        <v>0</v>
      </c>
      <c r="AS144" cm="1">
        <f t="array" ref="AS144">IF(PART_NUMBER_GENERATOR_TABLE[[#This Row],[Work Role]:[Work Role]]&lt;&gt;AS$1,0,
IF(PART_NUMBER_GENERATOR_TABLE[[#This Row],[Work Type]:[Work Type]]&lt;&gt;"BH",0,
SUMIFS(AS$24,$AM$24,PART_NUMBER_GENERATOR_TABLE[[#This Row],[Tech]:[Tech]])))</f>
        <v>0</v>
      </c>
      <c r="AT144" cm="1">
        <f t="array" ref="AT144">IF(PART_NUMBER_GENERATOR_TABLE[[#This Row],[Work Role]:[Work Role]]&lt;&gt;AS$1,0,
IF(PART_NUMBER_GENERATOR_TABLE[[#This Row],[Work Type]:[Work Type]]&lt;&gt;"BH",0,
SUMIFS(AT$24,$AM$24,PART_NUMBER_GENERATOR_TABLE[[#This Row],[Tech]:[Tech]])))</f>
        <v>0</v>
      </c>
      <c r="AU144">
        <f>SUM(PART_NUMBER_GENERATOR_TABLE[[#This Row],[Resource 1 BH]:[Resource 5 AH]],PART_NUMBER_GENERATOR_TABLE[[#This Row],[R1 Mandatory Tasks]:[R5 Mandatory Tasks]],PART_NUMBER_GENERATOR_TABLE[[#This Row],[R1 Remainder]:[R5 Remainder]])</f>
        <v>0</v>
      </c>
      <c r="AV144">
        <f>PART_NUMBER_GENERATOR_TABLE[[#This Row],[Professional Engineering Hours]]*PART_NUMBER_GENERATOR_TABLE[[#This Row],[Sell Rate]]</f>
        <v>0</v>
      </c>
      <c r="AW144">
        <f>PART_NUMBER_GENERATOR_TABLE[[#This Row],[Professional Engineering Hours]]*PART_NUMBER_GENERATOR_TABLE[[#This Row],[Cost Rate]]</f>
        <v>0</v>
      </c>
      <c r="AX144">
        <f>SUM(PART_NUMBER_GENERATOR_TABLE[[#This Row],[PM Trips]:[R5 Trips]])</f>
        <v>0</v>
      </c>
      <c r="AY144">
        <f>PART_NUMBER_GENERATOR_TABLE[[#This Row],[Travel &amp; Accommodation Hours]]*PART_NUMBER_GENERATOR_TABLE[[#This Row],[Sell Rate]]</f>
        <v>0</v>
      </c>
      <c r="AZ144">
        <f>PART_NUMBER_GENERATOR_TABLE[[#This Row],[Travel &amp; Accommodation Hours]]*PART_NUMBER_GENERATOR_TABLE[[#This Row],[Cost Rate]]</f>
        <v>0</v>
      </c>
      <c r="BA144">
        <f>PART_NUMBER_GENERATOR_TABLE[[#This Row],[PM Hours]]+PART_NUMBER_GENERATOR_TABLE[[#This Row],[PM Remainder]]</f>
        <v>0</v>
      </c>
      <c r="BB144">
        <f>PART_NUMBER_GENERATOR_TABLE[[#This Row],[Project Management Hours]]*PART_NUMBER_GENERATOR_TABLE[[#This Row],[Sell Rate]]</f>
        <v>0</v>
      </c>
      <c r="BC144">
        <f>PART_NUMBER_GENERATOR_TABLE[[#This Row],[Project Management Hours]]*PART_NUMBER_GENERATOR_TABLE[[#This Row],[Cost Rate]]</f>
        <v>0</v>
      </c>
      <c r="BD144">
        <f>SUM(PART_NUMBER_GENERATOR_TABLE[[#This Row],[SSE RISK BH]:[PM RISK]],PART_NUMBER_GENERATOR_TABLE[[#This Row],[SSE Remainder RISK BH]:[PM Remainder RISK]])</f>
        <v>0</v>
      </c>
      <c r="BE144">
        <f>PART_NUMBER_GENERATOR_TABLE[[#This Row],[Project Risk Service Hours]]*PART_NUMBER_GENERATOR_TABLE[[#This Row],[Sell Rate]]</f>
        <v>0</v>
      </c>
      <c r="BF144">
        <f>PART_NUMBER_GENERATOR_TABLE[[#This Row],[Project Risk Service Hours]]*PART_NUMBER_GENERATOR_TABLE[[#This Row],[Cost Rate]]</f>
        <v>0</v>
      </c>
      <c r="BG144">
        <f>PART_NUMBER_GENERATOR_TABLE[[#This Row],[SSE RISK TRAVEL]]</f>
        <v>0</v>
      </c>
      <c r="BH144">
        <f>PART_NUMBER_GENERATOR_TABLE[[#This Row],[Sell Rate]]*PART_NUMBER_GENERATOR_TABLE[[#This Row],[Project Risk Travel Hours]]</f>
        <v>0</v>
      </c>
      <c r="BI144">
        <f>PART_NUMBER_GENERATOR_TABLE[[#This Row],[Project Risk Travel Hours]]*PART_NUMBER_GENERATOR_TABLE[[#This Row],[Cost Rate]]</f>
        <v>0</v>
      </c>
      <c r="BJ14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4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44">
        <f>IFERROR(-VLOOKUP(INDEX(ENGINEER_ROLES,MATCH(PART_NUMBER_GENERATOR_TABLE[[#This Row],[Work Role]],settings.Table_Engineer.Roles[ID],0),1),Settings_Hidden!$H$359:$K$366,4,FALSE),0)</f>
        <v>0</v>
      </c>
      <c r="BM144" s="680">
        <f>-Summary!$C$66</f>
        <v>0</v>
      </c>
      <c r="BN144" s="465">
        <f>PART_NUMBER_GENERATOR_TABLE[[#This Row],[Total Base Price]]*MIN(PART_NUMBER_GENERATOR_TABLE[[#This Row],[Rate Service Discount]:[Flat Service Discount]])</f>
        <v>0</v>
      </c>
      <c r="BO144" s="451" t="str">
        <f>IF(PART_NUMBER_GENERATOR_TABLE[[#This Row],[Quantity]]&lt;&gt;0,MAX($BO$30:BO143)+1,"")</f>
        <v/>
      </c>
      <c r="BP144" t="str">
        <f>PART_NUMBER_GENERATOR_TABLE[[#This Row],[Part Number]]</f>
        <v>A-PS-C-TRAVEL-SC-BH</v>
      </c>
      <c r="BQ144">
        <f>PART_NUMBER_GENERATOR_TABLE[[#This Row],[Total Hours]]</f>
        <v>0</v>
      </c>
      <c r="BR144">
        <f>PART_NUMBER_GENERATOR_TABLE[[#This Row],[Cost Rate]]</f>
        <v>126.11855927829811</v>
      </c>
      <c r="BS144" s="465">
        <f>PART_NUMBER_GENERATOR_TABLE[[#This Row],[Sell Rate]]+(PART_NUMBER_GENERATOR_TABLE[[#This Row],[Sell Rate]]*MIN(PART_NUMBER_GENERATOR_TABLE[[#This Row],[Rate Service Discount]:[Flat Service Discount]]))</f>
        <v>235</v>
      </c>
    </row>
    <row r="145" spans="1:71">
      <c r="A145">
        <v>115</v>
      </c>
      <c r="C145" t="s">
        <v>904</v>
      </c>
      <c r="D145" t="str" cm="1">
        <f t="array" ref="D145">INDEX(Table.Settings_Skill.List[Skill Name],MATCH(INDEX(_xlfn.TEXTSPLIT(C145,"-",,TRUE),4),Table.Settings_Skill.List[Skill Code],0),1)</f>
        <v>Collaboration</v>
      </c>
      <c r="E145" t="str" cm="1">
        <f t="array" ref="E145">INDEX(_xlfn.TEXTSPLIT(C145,"-",,TRUE),5)</f>
        <v>SA</v>
      </c>
      <c r="F145" t="str">
        <f>IFERROR(INDEX(settings.Table_Engineer.Roles[Department Code],MATCH(PART_NUMBER_GENERATOR_TABLE[[#This Row],[Work Role]],settings.Table_Engineer.Roles[ID],0),1),"PMO")</f>
        <v>CON</v>
      </c>
      <c r="G145" t="str" cm="1">
        <f t="array" ref="G145">INDEX(_xlfn.TEXTSPLIT(C145,"-",,TRUE),6)</f>
        <v>AH</v>
      </c>
      <c r="H14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4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45" cm="1">
        <f t="array" ref="J145">IF(J$1&lt;&gt;PART_NUMBER_GENERATOR_TABLE[[#This Row],[Work Role]:[Work Role]],0,
IF(RIGHT(J$30,2)&lt;&gt;PART_NUMBER_GENERATOR_TABLE[[#This Row],[Work Type]:[Work Type]],0,
SUMIFS(Input_Tasks[R1 Business Hours],Input_Tasks[[Skill Required]:[Skill Required]],PART_NUMBER_GENERATOR_TABLE[[#This Row],[Tech]:[Tech]])))</f>
        <v>0</v>
      </c>
      <c r="K145" cm="1">
        <f t="array" ref="K145">IF(K$1&lt;&gt;PART_NUMBER_GENERATOR_TABLE[[#This Row],[Work Role]:[Work Role]],0,
IF(RIGHT(K$30,2)&lt;&gt;PART_NUMBER_GENERATOR_TABLE[[#This Row],[Work Type]:[Work Type]],0,
SUMIFS(Input_Tasks[R1 After Hours],Input_Tasks[[Skill Required]:[Skill Required]],PART_NUMBER_GENERATOR_TABLE[[#This Row],[Tech]:[Tech]])))</f>
        <v>0</v>
      </c>
      <c r="L145" cm="1">
        <f t="array" ref="L145">IF(L$1&lt;&gt;PART_NUMBER_GENERATOR_TABLE[[#This Row],[Work Role]:[Work Role]],0,
IF(RIGHT(L$30,2)&lt;&gt;PART_NUMBER_GENERATOR_TABLE[[#This Row],[Work Type]:[Work Type]],0,
SUMIFS(Input_Tasks[R2 Business Hours],Input_Tasks[[Skill Required]:[Skill Required]],PART_NUMBER_GENERATOR_TABLE[[#This Row],[Tech]:[Tech]])))</f>
        <v>0</v>
      </c>
      <c r="M145" cm="1">
        <f t="array" ref="M145">IF(M$1&lt;&gt;PART_NUMBER_GENERATOR_TABLE[[#This Row],[Work Role]:[Work Role]],0,
IF(RIGHT(M$30,2)&lt;&gt;PART_NUMBER_GENERATOR_TABLE[[#This Row],[Work Type]:[Work Type]],0,
SUMIFS(Input_Tasks[R2 After Hours],Input_Tasks[[Skill Required]:[Skill Required]],PART_NUMBER_GENERATOR_TABLE[[#This Row],[Tech]:[Tech]])))</f>
        <v>0</v>
      </c>
      <c r="N145" cm="1">
        <f t="array" ref="N145">IF(N$1&lt;&gt;PART_NUMBER_GENERATOR_TABLE[[#This Row],[Work Role]:[Work Role]],0,
IF(RIGHT(N$30,2)&lt;&gt;PART_NUMBER_GENERATOR_TABLE[[#This Row],[Work Type]:[Work Type]],0,
SUMIFS(Input_Tasks[R3 Business Hours],Input_Tasks[[Skill Required]:[Skill Required]],PART_NUMBER_GENERATOR_TABLE[[#This Row],[Tech]:[Tech]])))</f>
        <v>0</v>
      </c>
      <c r="O145" cm="1">
        <f t="array" ref="O145">IF(O$1&lt;&gt;PART_NUMBER_GENERATOR_TABLE[[#This Row],[Work Role]:[Work Role]],0,
IF(RIGHT(O$30,2)&lt;&gt;PART_NUMBER_GENERATOR_TABLE[[#This Row],[Work Type]:[Work Type]],0,
SUMIFS(Input_Tasks[R3 After Hours],Input_Tasks[[Skill Required]:[Skill Required]],PART_NUMBER_GENERATOR_TABLE[[#This Row],[Tech]:[Tech]])))</f>
        <v>0</v>
      </c>
      <c r="P145" cm="1">
        <f t="array" ref="P145">IF(P$1&lt;&gt;PART_NUMBER_GENERATOR_TABLE[[#This Row],[Work Role]:[Work Role]],0,
IF(RIGHT(P$30,2)&lt;&gt;PART_NUMBER_GENERATOR_TABLE[[#This Row],[Work Type]:[Work Type]],0,
SUMIFS(Input_Tasks[R4 Business Hours],Input_Tasks[[Skill Required]:[Skill Required]],PART_NUMBER_GENERATOR_TABLE[[#This Row],[Tech]:[Tech]])))</f>
        <v>0</v>
      </c>
      <c r="Q145" cm="1">
        <f t="array" ref="Q145">IF(Q$1&lt;&gt;PART_NUMBER_GENERATOR_TABLE[[#This Row],[Work Role]:[Work Role]],0,
IF(RIGHT(Q$30,2)&lt;&gt;PART_NUMBER_GENERATOR_TABLE[[#This Row],[Work Type]:[Work Type]],0,
SUMIFS(Input_Tasks[R4 After Hours],Input_Tasks[[Skill Required]:[Skill Required]],PART_NUMBER_GENERATOR_TABLE[[#This Row],[Tech]:[Tech]])))</f>
        <v>0</v>
      </c>
      <c r="R145" cm="1">
        <f t="array" ref="R145">IF(R$1&lt;&gt;PART_NUMBER_GENERATOR_TABLE[[#This Row],[Work Role]:[Work Role]],0,
IF(RIGHT(R$30,2)&lt;&gt;PART_NUMBER_GENERATOR_TABLE[[#This Row],[Work Type]:[Work Type]],0,
SUMIFS(Input_Tasks[R5 Business Hours],Input_Tasks[[Skill Required]:[Skill Required]],PART_NUMBER_GENERATOR_TABLE[[#This Row],[Tech]:[Tech]])))</f>
        <v>0</v>
      </c>
      <c r="S145" cm="1">
        <f t="array" ref="S145">IF(S$1&lt;&gt;PART_NUMBER_GENERATOR_TABLE[[#This Row],[Work Role]:[Work Role]],0,
IF(RIGHT(S$30,2)&lt;&gt;PART_NUMBER_GENERATOR_TABLE[[#This Row],[Work Type]:[Work Type]],0,
SUMIFS(Input_Tasks[R5 After Hours],Input_Tasks[[Skill Required]:[Skill Required]],PART_NUMBER_GENERATOR_TABLE[[#This Row],[Tech]:[Tech]])))</f>
        <v>0</v>
      </c>
      <c r="T145" cm="1">
        <f t="array" ref="T145">IF(PART_NUMBER_GENERATOR_TABLE[[#This Row],[Work Role]:[Work Role]]&lt;&gt;T$1,0,
IF(PART_NUMBER_GENERATOR_TABLE[[#This Row],[Work Type]:[Work Type]]&lt;&gt;"BH",0,
SUMIFS(T$9:T$24,$M$9:$M$24,PART_NUMBER_GENERATOR_TABLE[[#This Row],[Tech]:[Tech]])))</f>
        <v>0</v>
      </c>
      <c r="U145" cm="1">
        <f t="array" ref="U145">IF(PART_NUMBER_GENERATOR_TABLE[[#This Row],[Work Role]:[Work Role]]&lt;&gt;U$1,0,
IF(PART_NUMBER_GENERATOR_TABLE[[#This Row],[Work Type]:[Work Type]]&lt;&gt;"BH",0,
SUMIFS(U$9:U$24,$M$9:$M$24,PART_NUMBER_GENERATOR_TABLE[[#This Row],[Tech]:[Tech]])))</f>
        <v>0</v>
      </c>
      <c r="V145" cm="1">
        <f t="array" ref="V145">IF(PART_NUMBER_GENERATOR_TABLE[[#This Row],[Work Role]:[Work Role]]&lt;&gt;V$1,0,
IF(PART_NUMBER_GENERATOR_TABLE[[#This Row],[Work Type]:[Work Type]]&lt;&gt;"BH",0,
SUMIFS(V$9:V$24,$M$9:$M$24,PART_NUMBER_GENERATOR_TABLE[[#This Row],[Tech]:[Tech]])))</f>
        <v>0</v>
      </c>
      <c r="W145" cm="1">
        <f t="array" ref="W145">IF(PART_NUMBER_GENERATOR_TABLE[[#This Row],[Work Role]:[Work Role]]&lt;&gt;W$1,0,
IF(PART_NUMBER_GENERATOR_TABLE[[#This Row],[Work Type]:[Work Type]]&lt;&gt;"BH",0,
SUMIFS(W$9:W$24,$M$9:$M$24,PART_NUMBER_GENERATOR_TABLE[[#This Row],[Tech]:[Tech]])))</f>
        <v>0</v>
      </c>
      <c r="X145" cm="1">
        <f t="array" ref="X145">IF(PART_NUMBER_GENERATOR_TABLE[[#This Row],[Work Role]:[Work Role]]&lt;&gt;X$1,0,
IF(PART_NUMBER_GENERATOR_TABLE[[#This Row],[Work Type]:[Work Type]]&lt;&gt;"BH",0,
SUMIFS(X$9:X$24,$M$9:$M$24,PART_NUMBER_GENERATOR_TABLE[[#This Row],[Tech]:[Tech]])))</f>
        <v>0</v>
      </c>
      <c r="Y145" cm="1">
        <f t="array" ref="Y145">IF(PART_NUMBER_GENERATOR_TABLE[[#This Row],[Work Role]:[Work Role]]&lt;&gt;Y$1,0,
IF(PART_NUMBER_GENERATOR_TABLE[[#This Row],[Work Type]:[Work Type]]&lt;&gt;"BH",0,
SUMIFS(Y$9:Y$24,$M$9:$M$24,PART_NUMBER_GENERATOR_TABLE[[#This Row],[Tech]:[Tech]])))</f>
        <v>0</v>
      </c>
      <c r="Z145" cm="1">
        <f t="array" ref="Z145">IF(PART_NUMBER_GENERATOR_TABLE[[#This Row],[Work Role]:[Work Role]]&lt;&gt;Z$1,0,
IF(PART_NUMBER_GENERATOR_TABLE[[#This Row],[Work Type]:[Work Type]]&lt;&gt;"BH",0,
SUMIFS(Z$9:Z$24,$M$9:$M$24,PART_NUMBER_GENERATOR_TABLE[[#This Row],[Tech]:[Tech]])))</f>
        <v>0</v>
      </c>
      <c r="AA145" cm="1">
        <f t="array" ref="AA145">IF(PART_NUMBER_GENERATOR_TABLE[[#This Row],[Work Role]:[Work Role]]&lt;&gt;AA$1,0,
IF(PART_NUMBER_GENERATOR_TABLE[[#This Row],[Work Type]:[Work Type]]&lt;&gt;"BH",0,
SUMIFS(AA$9:AA$24,$M$9:$M$24,PART_NUMBER_GENERATOR_TABLE[[#This Row],[Tech]:[Tech]])))</f>
        <v>0</v>
      </c>
      <c r="AB145" cm="1">
        <f t="array" ref="AB145">IF(PART_NUMBER_GENERATOR_TABLE[[#This Row],[Work Role]:[Work Role]]&lt;&gt;AB$1,0,
IF(PART_NUMBER_GENERATOR_TABLE[[#This Row],[Work Type]:[Work Type]]&lt;&gt;"BH",0,
SUMIFS(AB$9:AB$24,$M$9:$M$24,PART_NUMBER_GENERATOR_TABLE[[#This Row],[Tech]:[Tech]])))</f>
        <v>0</v>
      </c>
      <c r="AC145" cm="1">
        <f t="array" ref="AC145">IF(PART_NUMBER_GENERATOR_TABLE[[#This Row],[Work Role]:[Work Role]]&lt;&gt;AC$1,0,
IF(PART_NUMBER_GENERATOR_TABLE[[#This Row],[Work Type]:[Work Type]]&lt;&gt;"BH",0,
SUMIFS(AC$9:AC$24,$M$9:$M$24,PART_NUMBER_GENERATOR_TABLE[[#This Row],[Tech]:[Tech]])))</f>
        <v>0</v>
      </c>
      <c r="AD145" cm="1">
        <f t="array" ref="AD145">IF(PART_NUMBER_GENERATOR_TABLE[[#This Row],[Work Role]:[Work Role]]&lt;&gt;AD$1,0,
IF(PART_NUMBER_GENERATOR_TABLE[[#This Row],[Work Type]:[Work Type]]&lt;&gt;"BH",0,
SUMIFS(AD$9:AD$24,$M$9:$M$24,PART_NUMBER_GENERATOR_TABLE[[#This Row],[Tech]:[Tech]])))</f>
        <v>0</v>
      </c>
      <c r="AE145" cm="1">
        <f t="array" ref="AE145">IF(PART_NUMBER_GENERATOR_TABLE[[#This Row],[Work Role]:[Work Role]]&lt;&gt;AE$1,0,
IF(PART_NUMBER_GENERATOR_TABLE[[#This Row],[Work Type]:[Work Type]]&lt;&gt;"BH",0,
SUMIFS(AE$9:AE$24,$M$9:$M$24,PART_NUMBER_GENERATOR_TABLE[[#This Row],[Tech]:[Tech]])))</f>
        <v>0</v>
      </c>
      <c r="AF145" cm="1">
        <f t="array" ref="AF145">IF(PART_NUMBER_GENERATOR_TABLE[[#This Row],[Work Role]:[Work Role]]&lt;&gt;AF$1,0,
IF(PART_NUMBER_GENERATOR_TABLE[[#This Row],[Work Type]:[Work Type]]&lt;&gt;"BH",0,
SUMIFS(AF$9:AF$24,$M$9:$M$24,PART_NUMBER_GENERATOR_TABLE[[#This Row],[Tech]:[Tech]])))</f>
        <v>0</v>
      </c>
      <c r="AG145" cm="1">
        <f t="array" ref="AG145">IF(PART_NUMBER_GENERATOR_TABLE[[#This Row],[Work Role]:[Work Role]]&lt;&gt;AG$1,0,
IF(PART_NUMBER_GENERATOR_TABLE[[#This Row],[Work Type]:[Work Type]]&lt;&gt;"AH",0,
SUMIFS(AG$9:AG$24,$M$9:$M$24,PART_NUMBER_GENERATOR_TABLE[[#This Row],[Tech]:[Tech]])))</f>
        <v>0</v>
      </c>
      <c r="AH145" cm="1">
        <f t="array" ref="AH145">IF(PART_NUMBER_GENERATOR_TABLE[[#This Row],[Work Role]:[Work Role]]&lt;&gt;AH$1,0,
IF(PART_NUMBER_GENERATOR_TABLE[[#This Row],[Work Type]:[Work Type]]&lt;&gt;"BH",0,
SUMIFS(AH$9:AH$24,$M$9:$M$24,PART_NUMBER_GENERATOR_TABLE[[#This Row],[Tech]:[Tech]])))</f>
        <v>0</v>
      </c>
      <c r="AI145" cm="1">
        <f t="array" ref="AI145">IF(PART_NUMBER_GENERATOR_TABLE[[#This Row],[Work Role]:[Work Role]]&lt;&gt;AI$1,0,
IF(PART_NUMBER_GENERATOR_TABLE[[#This Row],[Work Type]:[Work Type]]&lt;&gt;"BH",0,
SUMIFS(AI$9:AI$24,$M$9:$M$24,PART_NUMBER_GENERATOR_TABLE[[#This Row],[Tech]:[Tech]])))</f>
        <v>0</v>
      </c>
      <c r="AJ145" cm="1">
        <f t="array" ref="AJ145">IF(PART_NUMBER_GENERATOR_TABLE[[#This Row],[Work Role]:[Work Role]]&lt;&gt;AJ$1,0,
IF(PART_NUMBER_GENERATOR_TABLE[[#This Row],[Work Type]:[Work Type]]&lt;&gt;"BH",0,
SUMIFS(AJ$9:AJ$24,$M$9:$M$24,PART_NUMBER_GENERATOR_TABLE[[#This Row],[Tech]:[Tech]])))</f>
        <v>0</v>
      </c>
      <c r="AK145" cm="1">
        <f t="array" ref="AK145">IF(PART_NUMBER_GENERATOR_TABLE[[#This Row],[Work Role]:[Work Role]]&lt;&gt;AK$1,0,
IF(PART_NUMBER_GENERATOR_TABLE[[#This Row],[Work Type]:[Work Type]]&lt;&gt;"AH",0,
SUMIFS(AK$9:AK$24,$M$9:$M$24,PART_NUMBER_GENERATOR_TABLE[[#This Row],[Tech]:[Tech]])))</f>
        <v>0</v>
      </c>
      <c r="AL145" cm="1">
        <f t="array" ref="AL145">IF(PART_NUMBER_GENERATOR_TABLE[[#This Row],[Work Role]:[Work Role]]&lt;&gt;AL$1,0,
IF(PART_NUMBER_GENERATOR_TABLE[[#This Row],[Work Type]:[Work Type]]&lt;&gt;"BH",0,
SUMIFS(AL$9:AL$24,$M$9:$M$24,PART_NUMBER_GENERATOR_TABLE[[#This Row],[Tech]:[Tech]])))</f>
        <v>0</v>
      </c>
      <c r="AM145">
        <f>0</f>
        <v>0</v>
      </c>
      <c r="AN145" cm="1">
        <f t="array" ref="AN145">IF(PART_NUMBER_GENERATOR_TABLE[[#This Row],[Work Role]:[Work Role]]&lt;&gt;AN$1,0,
IF(PART_NUMBER_GENERATOR_TABLE[[#This Row],[Work Type]:[Work Type]]&lt;&gt;"BH",0,
SUMIFS(AN$24,$AM$24,PART_NUMBER_GENERATOR_TABLE[[#This Row],[Tech]:[Tech]])))</f>
        <v>0</v>
      </c>
      <c r="AO145" cm="1">
        <f t="array" ref="AO145">IF(PART_NUMBER_GENERATOR_TABLE[[#This Row],[Work Role]:[Work Role]]&lt;&gt;AO$1,0,
IF(PART_NUMBER_GENERATOR_TABLE[[#This Row],[Work Type]:[Work Type]]&lt;&gt;"BH",0,
SUMIFS(AO$24,$AM$24,PART_NUMBER_GENERATOR_TABLE[[#This Row],[Tech]:[Tech]])))</f>
        <v>0</v>
      </c>
      <c r="AP145" cm="1">
        <f t="array" ref="AP145">IF(PART_NUMBER_GENERATOR_TABLE[[#This Row],[Work Role]:[Work Role]]&lt;&gt;AP$1,0,
IF(PART_NUMBER_GENERATOR_TABLE[[#This Row],[Work Type]:[Work Type]]&lt;&gt;"BH",0,
SUMIFS(AP$24,$AM$24,PART_NUMBER_GENERATOR_TABLE[[#This Row],[Tech]:[Tech]])))</f>
        <v>0</v>
      </c>
      <c r="AQ145" cm="1">
        <f t="array" ref="AQ145">IF(PART_NUMBER_GENERATOR_TABLE[[#This Row],[Work Role]:[Work Role]]&lt;&gt;AQ$1,0,
IF(PART_NUMBER_GENERATOR_TABLE[[#This Row],[Work Type]:[Work Type]]&lt;&gt;"BH",0,
SUMIFS(AQ$24,$AM$24,PART_NUMBER_GENERATOR_TABLE[[#This Row],[Tech]:[Tech]])))</f>
        <v>0</v>
      </c>
      <c r="AR145" cm="1">
        <f t="array" ref="AR145">IF(PART_NUMBER_GENERATOR_TABLE[[#This Row],[Work Role]:[Work Role]]&lt;&gt;AR$1,0,
IF(PART_NUMBER_GENERATOR_TABLE[[#This Row],[Work Type]:[Work Type]]&lt;&gt;"BH",0,
SUMIFS(AR$24,$AM$24,PART_NUMBER_GENERATOR_TABLE[[#This Row],[Tech]:[Tech]])))</f>
        <v>0</v>
      </c>
      <c r="AS145" cm="1">
        <f t="array" ref="AS145">IF(PART_NUMBER_GENERATOR_TABLE[[#This Row],[Work Role]:[Work Role]]&lt;&gt;AS$1,0,
IF(PART_NUMBER_GENERATOR_TABLE[[#This Row],[Work Type]:[Work Type]]&lt;&gt;"BH",0,
SUMIFS(AS$24,$AM$24,PART_NUMBER_GENERATOR_TABLE[[#This Row],[Tech]:[Tech]])))</f>
        <v>0</v>
      </c>
      <c r="AT145" cm="1">
        <f t="array" ref="AT145">IF(PART_NUMBER_GENERATOR_TABLE[[#This Row],[Work Role]:[Work Role]]&lt;&gt;AS$1,0,
IF(PART_NUMBER_GENERATOR_TABLE[[#This Row],[Work Type]:[Work Type]]&lt;&gt;"BH",0,
SUMIFS(AT$24,$AM$24,PART_NUMBER_GENERATOR_TABLE[[#This Row],[Tech]:[Tech]])))</f>
        <v>0</v>
      </c>
      <c r="AU145">
        <f>SUM(PART_NUMBER_GENERATOR_TABLE[[#This Row],[Resource 1 BH]:[Resource 5 AH]],PART_NUMBER_GENERATOR_TABLE[[#This Row],[R1 Mandatory Tasks]:[R5 Mandatory Tasks]],PART_NUMBER_GENERATOR_TABLE[[#This Row],[R1 Remainder]:[R5 Remainder]])</f>
        <v>0</v>
      </c>
      <c r="AV145">
        <f>PART_NUMBER_GENERATOR_TABLE[[#This Row],[Professional Engineering Hours]]*PART_NUMBER_GENERATOR_TABLE[[#This Row],[Sell Rate]]</f>
        <v>0</v>
      </c>
      <c r="AW145">
        <f>PART_NUMBER_GENERATOR_TABLE[[#This Row],[Professional Engineering Hours]]*PART_NUMBER_GENERATOR_TABLE[[#This Row],[Cost Rate]]</f>
        <v>0</v>
      </c>
      <c r="AX145">
        <f>SUM(PART_NUMBER_GENERATOR_TABLE[[#This Row],[PM Trips]:[R5 Trips]])</f>
        <v>0</v>
      </c>
      <c r="AY145">
        <f>PART_NUMBER_GENERATOR_TABLE[[#This Row],[Travel &amp; Accommodation Hours]]*PART_NUMBER_GENERATOR_TABLE[[#This Row],[Sell Rate]]</f>
        <v>0</v>
      </c>
      <c r="AZ145">
        <f>PART_NUMBER_GENERATOR_TABLE[[#This Row],[Travel &amp; Accommodation Hours]]*PART_NUMBER_GENERATOR_TABLE[[#This Row],[Cost Rate]]</f>
        <v>0</v>
      </c>
      <c r="BA145">
        <f>PART_NUMBER_GENERATOR_TABLE[[#This Row],[PM Hours]]+PART_NUMBER_GENERATOR_TABLE[[#This Row],[PM Remainder]]</f>
        <v>0</v>
      </c>
      <c r="BB145">
        <f>PART_NUMBER_GENERATOR_TABLE[[#This Row],[Project Management Hours]]*PART_NUMBER_GENERATOR_TABLE[[#This Row],[Sell Rate]]</f>
        <v>0</v>
      </c>
      <c r="BC145">
        <f>PART_NUMBER_GENERATOR_TABLE[[#This Row],[Project Management Hours]]*PART_NUMBER_GENERATOR_TABLE[[#This Row],[Cost Rate]]</f>
        <v>0</v>
      </c>
      <c r="BD145">
        <f>SUM(PART_NUMBER_GENERATOR_TABLE[[#This Row],[SSE RISK BH]:[PM RISK]],PART_NUMBER_GENERATOR_TABLE[[#This Row],[SSE Remainder RISK BH]:[PM Remainder RISK]])</f>
        <v>0</v>
      </c>
      <c r="BE145">
        <f>PART_NUMBER_GENERATOR_TABLE[[#This Row],[Project Risk Service Hours]]*PART_NUMBER_GENERATOR_TABLE[[#This Row],[Sell Rate]]</f>
        <v>0</v>
      </c>
      <c r="BF145">
        <f>PART_NUMBER_GENERATOR_TABLE[[#This Row],[Project Risk Service Hours]]*PART_NUMBER_GENERATOR_TABLE[[#This Row],[Cost Rate]]</f>
        <v>0</v>
      </c>
      <c r="BG145">
        <f>PART_NUMBER_GENERATOR_TABLE[[#This Row],[SSE RISK TRAVEL]]</f>
        <v>0</v>
      </c>
      <c r="BH145">
        <f>PART_NUMBER_GENERATOR_TABLE[[#This Row],[Sell Rate]]*PART_NUMBER_GENERATOR_TABLE[[#This Row],[Project Risk Travel Hours]]</f>
        <v>0</v>
      </c>
      <c r="BI145">
        <f>PART_NUMBER_GENERATOR_TABLE[[#This Row],[Project Risk Travel Hours]]*PART_NUMBER_GENERATOR_TABLE[[#This Row],[Cost Rate]]</f>
        <v>0</v>
      </c>
      <c r="BJ14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4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45">
        <f>IFERROR(-VLOOKUP(INDEX(ENGINEER_ROLES,MATCH(PART_NUMBER_GENERATOR_TABLE[[#This Row],[Work Role]],settings.Table_Engineer.Roles[ID],0),1),Settings_Hidden!$H$359:$K$366,4,FALSE),0)</f>
        <v>0</v>
      </c>
      <c r="BM145" s="680">
        <f>-Summary!$C$66</f>
        <v>0</v>
      </c>
      <c r="BN145" s="465">
        <f>PART_NUMBER_GENERATOR_TABLE[[#This Row],[Total Base Price]]*MIN(PART_NUMBER_GENERATOR_TABLE[[#This Row],[Rate Service Discount]:[Flat Service Discount]])</f>
        <v>0</v>
      </c>
      <c r="BO145" s="451" t="str">
        <f>IF(PART_NUMBER_GENERATOR_TABLE[[#This Row],[Quantity]]&lt;&gt;0,MAX($BO$30:BO144)+1,"")</f>
        <v/>
      </c>
      <c r="BP145" t="str">
        <f>PART_NUMBER_GENERATOR_TABLE[[#This Row],[Part Number]]</f>
        <v>A-PS-C-COLLAB-SA-AH</v>
      </c>
      <c r="BQ145">
        <f>PART_NUMBER_GENERATOR_TABLE[[#This Row],[Total Hours]]</f>
        <v>0</v>
      </c>
      <c r="BR145">
        <f>PART_NUMBER_GENERATOR_TABLE[[#This Row],[Cost Rate]]</f>
        <v>251.41552370953494</v>
      </c>
      <c r="BS145" s="465">
        <f>PART_NUMBER_GENERATOR_TABLE[[#This Row],[Sell Rate]]+(PART_NUMBER_GENERATOR_TABLE[[#This Row],[Sell Rate]]*MIN(PART_NUMBER_GENERATOR_TABLE[[#This Row],[Rate Service Discount]:[Flat Service Discount]]))</f>
        <v>472.5</v>
      </c>
    </row>
    <row r="146" spans="1:71">
      <c r="A146">
        <v>116</v>
      </c>
      <c r="C146" t="s">
        <v>896</v>
      </c>
      <c r="D146" t="str" cm="1">
        <f t="array" ref="D146">INDEX(Table.Settings_Skill.List[Skill Name],MATCH(INDEX(_xlfn.TEXTSPLIT(C146,"-",,TRUE),4),Table.Settings_Skill.List[Skill Code],0),1)</f>
        <v>Collaboration</v>
      </c>
      <c r="E146" t="str" cm="1">
        <f t="array" ref="E146">INDEX(_xlfn.TEXTSPLIT(C146,"-",,TRUE),5)</f>
        <v>SC</v>
      </c>
      <c r="F146" t="str">
        <f>IFERROR(INDEX(settings.Table_Engineer.Roles[Department Code],MATCH(PART_NUMBER_GENERATOR_TABLE[[#This Row],[Work Role]],settings.Table_Engineer.Roles[ID],0),1),"PMO")</f>
        <v>CON</v>
      </c>
      <c r="G146" t="str" cm="1">
        <f t="array" ref="G146">INDEX(_xlfn.TEXTSPLIT(C146,"-",,TRUE),6)</f>
        <v>AH</v>
      </c>
      <c r="H14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4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46" cm="1">
        <f t="array" ref="J146">IF(J$1&lt;&gt;PART_NUMBER_GENERATOR_TABLE[[#This Row],[Work Role]:[Work Role]],0,
IF(RIGHT(J$30,2)&lt;&gt;PART_NUMBER_GENERATOR_TABLE[[#This Row],[Work Type]:[Work Type]],0,
SUMIFS(Input_Tasks[R1 Business Hours],Input_Tasks[[Skill Required]:[Skill Required]],PART_NUMBER_GENERATOR_TABLE[[#This Row],[Tech]:[Tech]])))</f>
        <v>0</v>
      </c>
      <c r="K146" cm="1">
        <f t="array" ref="K146">IF(K$1&lt;&gt;PART_NUMBER_GENERATOR_TABLE[[#This Row],[Work Role]:[Work Role]],0,
IF(RIGHT(K$30,2)&lt;&gt;PART_NUMBER_GENERATOR_TABLE[[#This Row],[Work Type]:[Work Type]],0,
SUMIFS(Input_Tasks[R1 After Hours],Input_Tasks[[Skill Required]:[Skill Required]],PART_NUMBER_GENERATOR_TABLE[[#This Row],[Tech]:[Tech]])))</f>
        <v>0</v>
      </c>
      <c r="L146" cm="1">
        <f t="array" ref="L146">IF(L$1&lt;&gt;PART_NUMBER_GENERATOR_TABLE[[#This Row],[Work Role]:[Work Role]],0,
IF(RIGHT(L$30,2)&lt;&gt;PART_NUMBER_GENERATOR_TABLE[[#This Row],[Work Type]:[Work Type]],0,
SUMIFS(Input_Tasks[R2 Business Hours],Input_Tasks[[Skill Required]:[Skill Required]],PART_NUMBER_GENERATOR_TABLE[[#This Row],[Tech]:[Tech]])))</f>
        <v>0</v>
      </c>
      <c r="M146" cm="1">
        <f t="array" ref="M146">IF(M$1&lt;&gt;PART_NUMBER_GENERATOR_TABLE[[#This Row],[Work Role]:[Work Role]],0,
IF(RIGHT(M$30,2)&lt;&gt;PART_NUMBER_GENERATOR_TABLE[[#This Row],[Work Type]:[Work Type]],0,
SUMIFS(Input_Tasks[R2 After Hours],Input_Tasks[[Skill Required]:[Skill Required]],PART_NUMBER_GENERATOR_TABLE[[#This Row],[Tech]:[Tech]])))</f>
        <v>0</v>
      </c>
      <c r="N146" cm="1">
        <f t="array" ref="N146">IF(N$1&lt;&gt;PART_NUMBER_GENERATOR_TABLE[[#This Row],[Work Role]:[Work Role]],0,
IF(RIGHT(N$30,2)&lt;&gt;PART_NUMBER_GENERATOR_TABLE[[#This Row],[Work Type]:[Work Type]],0,
SUMIFS(Input_Tasks[R3 Business Hours],Input_Tasks[[Skill Required]:[Skill Required]],PART_NUMBER_GENERATOR_TABLE[[#This Row],[Tech]:[Tech]])))</f>
        <v>0</v>
      </c>
      <c r="O146" cm="1">
        <f t="array" ref="O146">IF(O$1&lt;&gt;PART_NUMBER_GENERATOR_TABLE[[#This Row],[Work Role]:[Work Role]],0,
IF(RIGHT(O$30,2)&lt;&gt;PART_NUMBER_GENERATOR_TABLE[[#This Row],[Work Type]:[Work Type]],0,
SUMIFS(Input_Tasks[R3 After Hours],Input_Tasks[[Skill Required]:[Skill Required]],PART_NUMBER_GENERATOR_TABLE[[#This Row],[Tech]:[Tech]])))</f>
        <v>0</v>
      </c>
      <c r="P146" cm="1">
        <f t="array" ref="P146">IF(P$1&lt;&gt;PART_NUMBER_GENERATOR_TABLE[[#This Row],[Work Role]:[Work Role]],0,
IF(RIGHT(P$30,2)&lt;&gt;PART_NUMBER_GENERATOR_TABLE[[#This Row],[Work Type]:[Work Type]],0,
SUMIFS(Input_Tasks[R4 Business Hours],Input_Tasks[[Skill Required]:[Skill Required]],PART_NUMBER_GENERATOR_TABLE[[#This Row],[Tech]:[Tech]])))</f>
        <v>0</v>
      </c>
      <c r="Q146" cm="1">
        <f t="array" ref="Q146">IF(Q$1&lt;&gt;PART_NUMBER_GENERATOR_TABLE[[#This Row],[Work Role]:[Work Role]],0,
IF(RIGHT(Q$30,2)&lt;&gt;PART_NUMBER_GENERATOR_TABLE[[#This Row],[Work Type]:[Work Type]],0,
SUMIFS(Input_Tasks[R4 After Hours],Input_Tasks[[Skill Required]:[Skill Required]],PART_NUMBER_GENERATOR_TABLE[[#This Row],[Tech]:[Tech]])))</f>
        <v>0</v>
      </c>
      <c r="R146" cm="1">
        <f t="array" ref="R146">IF(R$1&lt;&gt;PART_NUMBER_GENERATOR_TABLE[[#This Row],[Work Role]:[Work Role]],0,
IF(RIGHT(R$30,2)&lt;&gt;PART_NUMBER_GENERATOR_TABLE[[#This Row],[Work Type]:[Work Type]],0,
SUMIFS(Input_Tasks[R5 Business Hours],Input_Tasks[[Skill Required]:[Skill Required]],PART_NUMBER_GENERATOR_TABLE[[#This Row],[Tech]:[Tech]])))</f>
        <v>0</v>
      </c>
      <c r="S146" cm="1">
        <f t="array" ref="S146">IF(S$1&lt;&gt;PART_NUMBER_GENERATOR_TABLE[[#This Row],[Work Role]:[Work Role]],0,
IF(RIGHT(S$30,2)&lt;&gt;PART_NUMBER_GENERATOR_TABLE[[#This Row],[Work Type]:[Work Type]],0,
SUMIFS(Input_Tasks[R5 After Hours],Input_Tasks[[Skill Required]:[Skill Required]],PART_NUMBER_GENERATOR_TABLE[[#This Row],[Tech]:[Tech]])))</f>
        <v>0</v>
      </c>
      <c r="T146" cm="1">
        <f t="array" ref="T146">IF(PART_NUMBER_GENERATOR_TABLE[[#This Row],[Work Role]:[Work Role]]&lt;&gt;T$1,0,
IF(PART_NUMBER_GENERATOR_TABLE[[#This Row],[Work Type]:[Work Type]]&lt;&gt;"BH",0,
SUMIFS(T$9:T$24,$M$9:$M$24,PART_NUMBER_GENERATOR_TABLE[[#This Row],[Tech]:[Tech]])))</f>
        <v>0</v>
      </c>
      <c r="U146" cm="1">
        <f t="array" ref="U146">IF(PART_NUMBER_GENERATOR_TABLE[[#This Row],[Work Role]:[Work Role]]&lt;&gt;U$1,0,
IF(PART_NUMBER_GENERATOR_TABLE[[#This Row],[Work Type]:[Work Type]]&lt;&gt;"BH",0,
SUMIFS(U$9:U$24,$M$9:$M$24,PART_NUMBER_GENERATOR_TABLE[[#This Row],[Tech]:[Tech]])))</f>
        <v>0</v>
      </c>
      <c r="V146" cm="1">
        <f t="array" ref="V146">IF(PART_NUMBER_GENERATOR_TABLE[[#This Row],[Work Role]:[Work Role]]&lt;&gt;V$1,0,
IF(PART_NUMBER_GENERATOR_TABLE[[#This Row],[Work Type]:[Work Type]]&lt;&gt;"BH",0,
SUMIFS(V$9:V$24,$M$9:$M$24,PART_NUMBER_GENERATOR_TABLE[[#This Row],[Tech]:[Tech]])))</f>
        <v>0</v>
      </c>
      <c r="W146" cm="1">
        <f t="array" ref="W146">IF(PART_NUMBER_GENERATOR_TABLE[[#This Row],[Work Role]:[Work Role]]&lt;&gt;W$1,0,
IF(PART_NUMBER_GENERATOR_TABLE[[#This Row],[Work Type]:[Work Type]]&lt;&gt;"BH",0,
SUMIFS(W$9:W$24,$M$9:$M$24,PART_NUMBER_GENERATOR_TABLE[[#This Row],[Tech]:[Tech]])))</f>
        <v>0</v>
      </c>
      <c r="X146" cm="1">
        <f t="array" ref="X146">IF(PART_NUMBER_GENERATOR_TABLE[[#This Row],[Work Role]:[Work Role]]&lt;&gt;X$1,0,
IF(PART_NUMBER_GENERATOR_TABLE[[#This Row],[Work Type]:[Work Type]]&lt;&gt;"BH",0,
SUMIFS(X$9:X$24,$M$9:$M$24,PART_NUMBER_GENERATOR_TABLE[[#This Row],[Tech]:[Tech]])))</f>
        <v>0</v>
      </c>
      <c r="Y146" cm="1">
        <f t="array" ref="Y146">IF(PART_NUMBER_GENERATOR_TABLE[[#This Row],[Work Role]:[Work Role]]&lt;&gt;Y$1,0,
IF(PART_NUMBER_GENERATOR_TABLE[[#This Row],[Work Type]:[Work Type]]&lt;&gt;"BH",0,
SUMIFS(Y$9:Y$24,$M$9:$M$24,PART_NUMBER_GENERATOR_TABLE[[#This Row],[Tech]:[Tech]])))</f>
        <v>0</v>
      </c>
      <c r="Z146" cm="1">
        <f t="array" ref="Z146">IF(PART_NUMBER_GENERATOR_TABLE[[#This Row],[Work Role]:[Work Role]]&lt;&gt;Z$1,0,
IF(PART_NUMBER_GENERATOR_TABLE[[#This Row],[Work Type]:[Work Type]]&lt;&gt;"BH",0,
SUMIFS(Z$9:Z$24,$M$9:$M$24,PART_NUMBER_GENERATOR_TABLE[[#This Row],[Tech]:[Tech]])))</f>
        <v>0</v>
      </c>
      <c r="AA146" cm="1">
        <f t="array" ref="AA146">IF(PART_NUMBER_GENERATOR_TABLE[[#This Row],[Work Role]:[Work Role]]&lt;&gt;AA$1,0,
IF(PART_NUMBER_GENERATOR_TABLE[[#This Row],[Work Type]:[Work Type]]&lt;&gt;"BH",0,
SUMIFS(AA$9:AA$24,$M$9:$M$24,PART_NUMBER_GENERATOR_TABLE[[#This Row],[Tech]:[Tech]])))</f>
        <v>0</v>
      </c>
      <c r="AB146" cm="1">
        <f t="array" ref="AB146">IF(PART_NUMBER_GENERATOR_TABLE[[#This Row],[Work Role]:[Work Role]]&lt;&gt;AB$1,0,
IF(PART_NUMBER_GENERATOR_TABLE[[#This Row],[Work Type]:[Work Type]]&lt;&gt;"BH",0,
SUMIFS(AB$9:AB$24,$M$9:$M$24,PART_NUMBER_GENERATOR_TABLE[[#This Row],[Tech]:[Tech]])))</f>
        <v>0</v>
      </c>
      <c r="AC146" cm="1">
        <f t="array" ref="AC146">IF(PART_NUMBER_GENERATOR_TABLE[[#This Row],[Work Role]:[Work Role]]&lt;&gt;AC$1,0,
IF(PART_NUMBER_GENERATOR_TABLE[[#This Row],[Work Type]:[Work Type]]&lt;&gt;"BH",0,
SUMIFS(AC$9:AC$24,$M$9:$M$24,PART_NUMBER_GENERATOR_TABLE[[#This Row],[Tech]:[Tech]])))</f>
        <v>0</v>
      </c>
      <c r="AD146" cm="1">
        <f t="array" ref="AD146">IF(PART_NUMBER_GENERATOR_TABLE[[#This Row],[Work Role]:[Work Role]]&lt;&gt;AD$1,0,
IF(PART_NUMBER_GENERATOR_TABLE[[#This Row],[Work Type]:[Work Type]]&lt;&gt;"BH",0,
SUMIFS(AD$9:AD$24,$M$9:$M$24,PART_NUMBER_GENERATOR_TABLE[[#This Row],[Tech]:[Tech]])))</f>
        <v>0</v>
      </c>
      <c r="AE146" cm="1">
        <f t="array" ref="AE146">IF(PART_NUMBER_GENERATOR_TABLE[[#This Row],[Work Role]:[Work Role]]&lt;&gt;AE$1,0,
IF(PART_NUMBER_GENERATOR_TABLE[[#This Row],[Work Type]:[Work Type]]&lt;&gt;"BH",0,
SUMIFS(AE$9:AE$24,$M$9:$M$24,PART_NUMBER_GENERATOR_TABLE[[#This Row],[Tech]:[Tech]])))</f>
        <v>0</v>
      </c>
      <c r="AF146" cm="1">
        <f t="array" ref="AF146">IF(PART_NUMBER_GENERATOR_TABLE[[#This Row],[Work Role]:[Work Role]]&lt;&gt;AF$1,0,
IF(PART_NUMBER_GENERATOR_TABLE[[#This Row],[Work Type]:[Work Type]]&lt;&gt;"BH",0,
SUMIFS(AF$9:AF$24,$M$9:$M$24,PART_NUMBER_GENERATOR_TABLE[[#This Row],[Tech]:[Tech]])))</f>
        <v>0</v>
      </c>
      <c r="AG146" cm="1">
        <f t="array" ref="AG146">IF(PART_NUMBER_GENERATOR_TABLE[[#This Row],[Work Role]:[Work Role]]&lt;&gt;AG$1,0,
IF(PART_NUMBER_GENERATOR_TABLE[[#This Row],[Work Type]:[Work Type]]&lt;&gt;"AH",0,
SUMIFS(AG$9:AG$24,$M$9:$M$24,PART_NUMBER_GENERATOR_TABLE[[#This Row],[Tech]:[Tech]])))</f>
        <v>0</v>
      </c>
      <c r="AH146" cm="1">
        <f t="array" ref="AH146">IF(PART_NUMBER_GENERATOR_TABLE[[#This Row],[Work Role]:[Work Role]]&lt;&gt;AH$1,0,
IF(PART_NUMBER_GENERATOR_TABLE[[#This Row],[Work Type]:[Work Type]]&lt;&gt;"BH",0,
SUMIFS(AH$9:AH$24,$M$9:$M$24,PART_NUMBER_GENERATOR_TABLE[[#This Row],[Tech]:[Tech]])))</f>
        <v>0</v>
      </c>
      <c r="AI146" cm="1">
        <f t="array" ref="AI146">IF(PART_NUMBER_GENERATOR_TABLE[[#This Row],[Work Role]:[Work Role]]&lt;&gt;AI$1,0,
IF(PART_NUMBER_GENERATOR_TABLE[[#This Row],[Work Type]:[Work Type]]&lt;&gt;"BH",0,
SUMIFS(AI$9:AI$24,$M$9:$M$24,PART_NUMBER_GENERATOR_TABLE[[#This Row],[Tech]:[Tech]])))</f>
        <v>0</v>
      </c>
      <c r="AJ146" cm="1">
        <f t="array" ref="AJ146">IF(PART_NUMBER_GENERATOR_TABLE[[#This Row],[Work Role]:[Work Role]]&lt;&gt;AJ$1,0,
IF(PART_NUMBER_GENERATOR_TABLE[[#This Row],[Work Type]:[Work Type]]&lt;&gt;"BH",0,
SUMIFS(AJ$9:AJ$24,$M$9:$M$24,PART_NUMBER_GENERATOR_TABLE[[#This Row],[Tech]:[Tech]])))</f>
        <v>0</v>
      </c>
      <c r="AK146" cm="1">
        <f t="array" ref="AK146">IF(PART_NUMBER_GENERATOR_TABLE[[#This Row],[Work Role]:[Work Role]]&lt;&gt;AK$1,0,
IF(PART_NUMBER_GENERATOR_TABLE[[#This Row],[Work Type]:[Work Type]]&lt;&gt;"AH",0,
SUMIFS(AK$9:AK$24,$M$9:$M$24,PART_NUMBER_GENERATOR_TABLE[[#This Row],[Tech]:[Tech]])))</f>
        <v>0</v>
      </c>
      <c r="AL146" cm="1">
        <f t="array" ref="AL146">IF(PART_NUMBER_GENERATOR_TABLE[[#This Row],[Work Role]:[Work Role]]&lt;&gt;AL$1,0,
IF(PART_NUMBER_GENERATOR_TABLE[[#This Row],[Work Type]:[Work Type]]&lt;&gt;"BH",0,
SUMIFS(AL$9:AL$24,$M$9:$M$24,PART_NUMBER_GENERATOR_TABLE[[#This Row],[Tech]:[Tech]])))</f>
        <v>0</v>
      </c>
      <c r="AM146">
        <f>0</f>
        <v>0</v>
      </c>
      <c r="AN146" cm="1">
        <f t="array" ref="AN146">IF(PART_NUMBER_GENERATOR_TABLE[[#This Row],[Work Role]:[Work Role]]&lt;&gt;AN$1,0,
IF(PART_NUMBER_GENERATOR_TABLE[[#This Row],[Work Type]:[Work Type]]&lt;&gt;"BH",0,
SUMIFS(AN$24,$AM$24,PART_NUMBER_GENERATOR_TABLE[[#This Row],[Tech]:[Tech]])))</f>
        <v>0</v>
      </c>
      <c r="AO146" cm="1">
        <f t="array" ref="AO146">IF(PART_NUMBER_GENERATOR_TABLE[[#This Row],[Work Role]:[Work Role]]&lt;&gt;AO$1,0,
IF(PART_NUMBER_GENERATOR_TABLE[[#This Row],[Work Type]:[Work Type]]&lt;&gt;"BH",0,
SUMIFS(AO$24,$AM$24,PART_NUMBER_GENERATOR_TABLE[[#This Row],[Tech]:[Tech]])))</f>
        <v>0</v>
      </c>
      <c r="AP146" cm="1">
        <f t="array" ref="AP146">IF(PART_NUMBER_GENERATOR_TABLE[[#This Row],[Work Role]:[Work Role]]&lt;&gt;AP$1,0,
IF(PART_NUMBER_GENERATOR_TABLE[[#This Row],[Work Type]:[Work Type]]&lt;&gt;"BH",0,
SUMIFS(AP$24,$AM$24,PART_NUMBER_GENERATOR_TABLE[[#This Row],[Tech]:[Tech]])))</f>
        <v>0</v>
      </c>
      <c r="AQ146" cm="1">
        <f t="array" ref="AQ146">IF(PART_NUMBER_GENERATOR_TABLE[[#This Row],[Work Role]:[Work Role]]&lt;&gt;AQ$1,0,
IF(PART_NUMBER_GENERATOR_TABLE[[#This Row],[Work Type]:[Work Type]]&lt;&gt;"BH",0,
SUMIFS(AQ$24,$AM$24,PART_NUMBER_GENERATOR_TABLE[[#This Row],[Tech]:[Tech]])))</f>
        <v>0</v>
      </c>
      <c r="AR146" cm="1">
        <f t="array" ref="AR146">IF(PART_NUMBER_GENERATOR_TABLE[[#This Row],[Work Role]:[Work Role]]&lt;&gt;AR$1,0,
IF(PART_NUMBER_GENERATOR_TABLE[[#This Row],[Work Type]:[Work Type]]&lt;&gt;"BH",0,
SUMIFS(AR$24,$AM$24,PART_NUMBER_GENERATOR_TABLE[[#This Row],[Tech]:[Tech]])))</f>
        <v>0</v>
      </c>
      <c r="AS146" cm="1">
        <f t="array" ref="AS146">IF(PART_NUMBER_GENERATOR_TABLE[[#This Row],[Work Role]:[Work Role]]&lt;&gt;AS$1,0,
IF(PART_NUMBER_GENERATOR_TABLE[[#This Row],[Work Type]:[Work Type]]&lt;&gt;"BH",0,
SUMIFS(AS$24,$AM$24,PART_NUMBER_GENERATOR_TABLE[[#This Row],[Tech]:[Tech]])))</f>
        <v>0</v>
      </c>
      <c r="AT146" cm="1">
        <f t="array" ref="AT146">IF(PART_NUMBER_GENERATOR_TABLE[[#This Row],[Work Role]:[Work Role]]&lt;&gt;AS$1,0,
IF(PART_NUMBER_GENERATOR_TABLE[[#This Row],[Work Type]:[Work Type]]&lt;&gt;"BH",0,
SUMIFS(AT$24,$AM$24,PART_NUMBER_GENERATOR_TABLE[[#This Row],[Tech]:[Tech]])))</f>
        <v>0</v>
      </c>
      <c r="AU146">
        <f>SUM(PART_NUMBER_GENERATOR_TABLE[[#This Row],[Resource 1 BH]:[Resource 5 AH]],PART_NUMBER_GENERATOR_TABLE[[#This Row],[R1 Mandatory Tasks]:[R5 Mandatory Tasks]],PART_NUMBER_GENERATOR_TABLE[[#This Row],[R1 Remainder]:[R5 Remainder]])</f>
        <v>0</v>
      </c>
      <c r="AV146">
        <f>PART_NUMBER_GENERATOR_TABLE[[#This Row],[Professional Engineering Hours]]*PART_NUMBER_GENERATOR_TABLE[[#This Row],[Sell Rate]]</f>
        <v>0</v>
      </c>
      <c r="AW146">
        <f>PART_NUMBER_GENERATOR_TABLE[[#This Row],[Professional Engineering Hours]]*PART_NUMBER_GENERATOR_TABLE[[#This Row],[Cost Rate]]</f>
        <v>0</v>
      </c>
      <c r="AX146">
        <f>SUM(PART_NUMBER_GENERATOR_TABLE[[#This Row],[PM Trips]:[R5 Trips]])</f>
        <v>0</v>
      </c>
      <c r="AY146">
        <f>PART_NUMBER_GENERATOR_TABLE[[#This Row],[Travel &amp; Accommodation Hours]]*PART_NUMBER_GENERATOR_TABLE[[#This Row],[Sell Rate]]</f>
        <v>0</v>
      </c>
      <c r="AZ146">
        <f>PART_NUMBER_GENERATOR_TABLE[[#This Row],[Travel &amp; Accommodation Hours]]*PART_NUMBER_GENERATOR_TABLE[[#This Row],[Cost Rate]]</f>
        <v>0</v>
      </c>
      <c r="BA146">
        <f>PART_NUMBER_GENERATOR_TABLE[[#This Row],[PM Hours]]+PART_NUMBER_GENERATOR_TABLE[[#This Row],[PM Remainder]]</f>
        <v>0</v>
      </c>
      <c r="BB146">
        <f>PART_NUMBER_GENERATOR_TABLE[[#This Row],[Project Management Hours]]*PART_NUMBER_GENERATOR_TABLE[[#This Row],[Sell Rate]]</f>
        <v>0</v>
      </c>
      <c r="BC146">
        <f>PART_NUMBER_GENERATOR_TABLE[[#This Row],[Project Management Hours]]*PART_NUMBER_GENERATOR_TABLE[[#This Row],[Cost Rate]]</f>
        <v>0</v>
      </c>
      <c r="BD146">
        <f>SUM(PART_NUMBER_GENERATOR_TABLE[[#This Row],[SSE RISK BH]:[PM RISK]],PART_NUMBER_GENERATOR_TABLE[[#This Row],[SSE Remainder RISK BH]:[PM Remainder RISK]])</f>
        <v>0</v>
      </c>
      <c r="BE146">
        <f>PART_NUMBER_GENERATOR_TABLE[[#This Row],[Project Risk Service Hours]]*PART_NUMBER_GENERATOR_TABLE[[#This Row],[Sell Rate]]</f>
        <v>0</v>
      </c>
      <c r="BF146">
        <f>PART_NUMBER_GENERATOR_TABLE[[#This Row],[Project Risk Service Hours]]*PART_NUMBER_GENERATOR_TABLE[[#This Row],[Cost Rate]]</f>
        <v>0</v>
      </c>
      <c r="BG146">
        <f>PART_NUMBER_GENERATOR_TABLE[[#This Row],[SSE RISK TRAVEL]]</f>
        <v>0</v>
      </c>
      <c r="BH146">
        <f>PART_NUMBER_GENERATOR_TABLE[[#This Row],[Sell Rate]]*PART_NUMBER_GENERATOR_TABLE[[#This Row],[Project Risk Travel Hours]]</f>
        <v>0</v>
      </c>
      <c r="BI146">
        <f>PART_NUMBER_GENERATOR_TABLE[[#This Row],[Project Risk Travel Hours]]*PART_NUMBER_GENERATOR_TABLE[[#This Row],[Cost Rate]]</f>
        <v>0</v>
      </c>
      <c r="BJ14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4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46">
        <f>IFERROR(-VLOOKUP(INDEX(ENGINEER_ROLES,MATCH(PART_NUMBER_GENERATOR_TABLE[[#This Row],[Work Role]],settings.Table_Engineer.Roles[ID],0),1),Settings_Hidden!$H$359:$K$366,4,FALSE),0)</f>
        <v>0</v>
      </c>
      <c r="BM146" s="680">
        <f>-Summary!$C$66</f>
        <v>0</v>
      </c>
      <c r="BN146" s="465">
        <f>PART_NUMBER_GENERATOR_TABLE[[#This Row],[Total Base Price]]*MIN(PART_NUMBER_GENERATOR_TABLE[[#This Row],[Rate Service Discount]:[Flat Service Discount]])</f>
        <v>0</v>
      </c>
      <c r="BO146" s="451" t="str">
        <f>IF(PART_NUMBER_GENERATOR_TABLE[[#This Row],[Quantity]]&lt;&gt;0,MAX($BO$30:BO145)+1,"")</f>
        <v/>
      </c>
      <c r="BP146" t="str">
        <f>PART_NUMBER_GENERATOR_TABLE[[#This Row],[Part Number]]</f>
        <v>A-PS-C-COLLAB-SC-AH</v>
      </c>
      <c r="BQ146">
        <f>PART_NUMBER_GENERATOR_TABLE[[#This Row],[Total Hours]]</f>
        <v>0</v>
      </c>
      <c r="BR146">
        <f>PART_NUMBER_GENERATOR_TABLE[[#This Row],[Cost Rate]]</f>
        <v>251.41552370953494</v>
      </c>
      <c r="BS146" s="465">
        <f>PART_NUMBER_GENERATOR_TABLE[[#This Row],[Sell Rate]]+(PART_NUMBER_GENERATOR_TABLE[[#This Row],[Sell Rate]]*MIN(PART_NUMBER_GENERATOR_TABLE[[#This Row],[Rate Service Discount]:[Flat Service Discount]]))</f>
        <v>472.5</v>
      </c>
    </row>
    <row r="147" spans="1:71">
      <c r="A147">
        <v>117</v>
      </c>
      <c r="C147" t="s">
        <v>888</v>
      </c>
      <c r="D147" t="str" cm="1">
        <f t="array" ref="D147">INDEX(Table.Settings_Skill.List[Skill Name],MATCH(INDEX(_xlfn.TEXTSPLIT(C147,"-",,TRUE),4),Table.Settings_Skill.List[Skill Code],0),1)</f>
        <v>Collaboration</v>
      </c>
      <c r="E147" t="str" cm="1">
        <f t="array" ref="E147">INDEX(_xlfn.TEXTSPLIT(C147,"-",,TRUE),5)</f>
        <v>AC</v>
      </c>
      <c r="F147" t="str">
        <f>IFERROR(INDEX(settings.Table_Engineer.Roles[Department Code],MATCH(PART_NUMBER_GENERATOR_TABLE[[#This Row],[Work Role]],settings.Table_Engineer.Roles[ID],0),1),"PMO")</f>
        <v>CON</v>
      </c>
      <c r="G147" t="str" cm="1">
        <f t="array" ref="G147">INDEX(_xlfn.TEXTSPLIT(C147,"-",,TRUE),6)</f>
        <v>AH</v>
      </c>
      <c r="H14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4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47" cm="1">
        <f t="array" ref="J147">IF(J$1&lt;&gt;PART_NUMBER_GENERATOR_TABLE[[#This Row],[Work Role]:[Work Role]],0,
IF(RIGHT(J$30,2)&lt;&gt;PART_NUMBER_GENERATOR_TABLE[[#This Row],[Work Type]:[Work Type]],0,
SUMIFS(Input_Tasks[R1 Business Hours],Input_Tasks[[Skill Required]:[Skill Required]],PART_NUMBER_GENERATOR_TABLE[[#This Row],[Tech]:[Tech]])))</f>
        <v>0</v>
      </c>
      <c r="K147" cm="1">
        <f t="array" ref="K147">IF(K$1&lt;&gt;PART_NUMBER_GENERATOR_TABLE[[#This Row],[Work Role]:[Work Role]],0,
IF(RIGHT(K$30,2)&lt;&gt;PART_NUMBER_GENERATOR_TABLE[[#This Row],[Work Type]:[Work Type]],0,
SUMIFS(Input_Tasks[R1 After Hours],Input_Tasks[[Skill Required]:[Skill Required]],PART_NUMBER_GENERATOR_TABLE[[#This Row],[Tech]:[Tech]])))</f>
        <v>0</v>
      </c>
      <c r="L147" cm="1">
        <f t="array" ref="L147">IF(L$1&lt;&gt;PART_NUMBER_GENERATOR_TABLE[[#This Row],[Work Role]:[Work Role]],0,
IF(RIGHT(L$30,2)&lt;&gt;PART_NUMBER_GENERATOR_TABLE[[#This Row],[Work Type]:[Work Type]],0,
SUMIFS(Input_Tasks[R2 Business Hours],Input_Tasks[[Skill Required]:[Skill Required]],PART_NUMBER_GENERATOR_TABLE[[#This Row],[Tech]:[Tech]])))</f>
        <v>0</v>
      </c>
      <c r="M147" cm="1">
        <f t="array" ref="M147">IF(M$1&lt;&gt;PART_NUMBER_GENERATOR_TABLE[[#This Row],[Work Role]:[Work Role]],0,
IF(RIGHT(M$30,2)&lt;&gt;PART_NUMBER_GENERATOR_TABLE[[#This Row],[Work Type]:[Work Type]],0,
SUMIFS(Input_Tasks[R2 After Hours],Input_Tasks[[Skill Required]:[Skill Required]],PART_NUMBER_GENERATOR_TABLE[[#This Row],[Tech]:[Tech]])))</f>
        <v>0</v>
      </c>
      <c r="N147" cm="1">
        <f t="array" ref="N147">IF(N$1&lt;&gt;PART_NUMBER_GENERATOR_TABLE[[#This Row],[Work Role]:[Work Role]],0,
IF(RIGHT(N$30,2)&lt;&gt;PART_NUMBER_GENERATOR_TABLE[[#This Row],[Work Type]:[Work Type]],0,
SUMIFS(Input_Tasks[R3 Business Hours],Input_Tasks[[Skill Required]:[Skill Required]],PART_NUMBER_GENERATOR_TABLE[[#This Row],[Tech]:[Tech]])))</f>
        <v>0</v>
      </c>
      <c r="O147" cm="1">
        <f t="array" ref="O147">IF(O$1&lt;&gt;PART_NUMBER_GENERATOR_TABLE[[#This Row],[Work Role]:[Work Role]],0,
IF(RIGHT(O$30,2)&lt;&gt;PART_NUMBER_GENERATOR_TABLE[[#This Row],[Work Type]:[Work Type]],0,
SUMIFS(Input_Tasks[R3 After Hours],Input_Tasks[[Skill Required]:[Skill Required]],PART_NUMBER_GENERATOR_TABLE[[#This Row],[Tech]:[Tech]])))</f>
        <v>0</v>
      </c>
      <c r="P147" cm="1">
        <f t="array" ref="P147">IF(P$1&lt;&gt;PART_NUMBER_GENERATOR_TABLE[[#This Row],[Work Role]:[Work Role]],0,
IF(RIGHT(P$30,2)&lt;&gt;PART_NUMBER_GENERATOR_TABLE[[#This Row],[Work Type]:[Work Type]],0,
SUMIFS(Input_Tasks[R4 Business Hours],Input_Tasks[[Skill Required]:[Skill Required]],PART_NUMBER_GENERATOR_TABLE[[#This Row],[Tech]:[Tech]])))</f>
        <v>0</v>
      </c>
      <c r="Q147" cm="1">
        <f t="array" ref="Q147">IF(Q$1&lt;&gt;PART_NUMBER_GENERATOR_TABLE[[#This Row],[Work Role]:[Work Role]],0,
IF(RIGHT(Q$30,2)&lt;&gt;PART_NUMBER_GENERATOR_TABLE[[#This Row],[Work Type]:[Work Type]],0,
SUMIFS(Input_Tasks[R4 After Hours],Input_Tasks[[Skill Required]:[Skill Required]],PART_NUMBER_GENERATOR_TABLE[[#This Row],[Tech]:[Tech]])))</f>
        <v>0</v>
      </c>
      <c r="R147" cm="1">
        <f t="array" ref="R147">IF(R$1&lt;&gt;PART_NUMBER_GENERATOR_TABLE[[#This Row],[Work Role]:[Work Role]],0,
IF(RIGHT(R$30,2)&lt;&gt;PART_NUMBER_GENERATOR_TABLE[[#This Row],[Work Type]:[Work Type]],0,
SUMIFS(Input_Tasks[R5 Business Hours],Input_Tasks[[Skill Required]:[Skill Required]],PART_NUMBER_GENERATOR_TABLE[[#This Row],[Tech]:[Tech]])))</f>
        <v>0</v>
      </c>
      <c r="S147" cm="1">
        <f t="array" ref="S147">IF(S$1&lt;&gt;PART_NUMBER_GENERATOR_TABLE[[#This Row],[Work Role]:[Work Role]],0,
IF(RIGHT(S$30,2)&lt;&gt;PART_NUMBER_GENERATOR_TABLE[[#This Row],[Work Type]:[Work Type]],0,
SUMIFS(Input_Tasks[R5 After Hours],Input_Tasks[[Skill Required]:[Skill Required]],PART_NUMBER_GENERATOR_TABLE[[#This Row],[Tech]:[Tech]])))</f>
        <v>0</v>
      </c>
      <c r="T147" cm="1">
        <f t="array" ref="T147">IF(PART_NUMBER_GENERATOR_TABLE[[#This Row],[Work Role]:[Work Role]]&lt;&gt;T$1,0,
IF(PART_NUMBER_GENERATOR_TABLE[[#This Row],[Work Type]:[Work Type]]&lt;&gt;"BH",0,
SUMIFS(T$9:T$24,$M$9:$M$24,PART_NUMBER_GENERATOR_TABLE[[#This Row],[Tech]:[Tech]])))</f>
        <v>0</v>
      </c>
      <c r="U147" cm="1">
        <f t="array" ref="U147">IF(PART_NUMBER_GENERATOR_TABLE[[#This Row],[Work Role]:[Work Role]]&lt;&gt;U$1,0,
IF(PART_NUMBER_GENERATOR_TABLE[[#This Row],[Work Type]:[Work Type]]&lt;&gt;"BH",0,
SUMIFS(U$9:U$24,$M$9:$M$24,PART_NUMBER_GENERATOR_TABLE[[#This Row],[Tech]:[Tech]])))</f>
        <v>0</v>
      </c>
      <c r="V147" cm="1">
        <f t="array" ref="V147">IF(PART_NUMBER_GENERATOR_TABLE[[#This Row],[Work Role]:[Work Role]]&lt;&gt;V$1,0,
IF(PART_NUMBER_GENERATOR_TABLE[[#This Row],[Work Type]:[Work Type]]&lt;&gt;"BH",0,
SUMIFS(V$9:V$24,$M$9:$M$24,PART_NUMBER_GENERATOR_TABLE[[#This Row],[Tech]:[Tech]])))</f>
        <v>0</v>
      </c>
      <c r="W147" cm="1">
        <f t="array" ref="W147">IF(PART_NUMBER_GENERATOR_TABLE[[#This Row],[Work Role]:[Work Role]]&lt;&gt;W$1,0,
IF(PART_NUMBER_GENERATOR_TABLE[[#This Row],[Work Type]:[Work Type]]&lt;&gt;"BH",0,
SUMIFS(W$9:W$24,$M$9:$M$24,PART_NUMBER_GENERATOR_TABLE[[#This Row],[Tech]:[Tech]])))</f>
        <v>0</v>
      </c>
      <c r="X147" cm="1">
        <f t="array" ref="X147">IF(PART_NUMBER_GENERATOR_TABLE[[#This Row],[Work Role]:[Work Role]]&lt;&gt;X$1,0,
IF(PART_NUMBER_GENERATOR_TABLE[[#This Row],[Work Type]:[Work Type]]&lt;&gt;"BH",0,
SUMIFS(X$9:X$24,$M$9:$M$24,PART_NUMBER_GENERATOR_TABLE[[#This Row],[Tech]:[Tech]])))</f>
        <v>0</v>
      </c>
      <c r="Y147" cm="1">
        <f t="array" ref="Y147">IF(PART_NUMBER_GENERATOR_TABLE[[#This Row],[Work Role]:[Work Role]]&lt;&gt;Y$1,0,
IF(PART_NUMBER_GENERATOR_TABLE[[#This Row],[Work Type]:[Work Type]]&lt;&gt;"BH",0,
SUMIFS(Y$9:Y$24,$M$9:$M$24,PART_NUMBER_GENERATOR_TABLE[[#This Row],[Tech]:[Tech]])))</f>
        <v>0</v>
      </c>
      <c r="Z147" cm="1">
        <f t="array" ref="Z147">IF(PART_NUMBER_GENERATOR_TABLE[[#This Row],[Work Role]:[Work Role]]&lt;&gt;Z$1,0,
IF(PART_NUMBER_GENERATOR_TABLE[[#This Row],[Work Type]:[Work Type]]&lt;&gt;"BH",0,
SUMIFS(Z$9:Z$24,$M$9:$M$24,PART_NUMBER_GENERATOR_TABLE[[#This Row],[Tech]:[Tech]])))</f>
        <v>0</v>
      </c>
      <c r="AA147" cm="1">
        <f t="array" ref="AA147">IF(PART_NUMBER_GENERATOR_TABLE[[#This Row],[Work Role]:[Work Role]]&lt;&gt;AA$1,0,
IF(PART_NUMBER_GENERATOR_TABLE[[#This Row],[Work Type]:[Work Type]]&lt;&gt;"BH",0,
SUMIFS(AA$9:AA$24,$M$9:$M$24,PART_NUMBER_GENERATOR_TABLE[[#This Row],[Tech]:[Tech]])))</f>
        <v>0</v>
      </c>
      <c r="AB147" cm="1">
        <f t="array" ref="AB147">IF(PART_NUMBER_GENERATOR_TABLE[[#This Row],[Work Role]:[Work Role]]&lt;&gt;AB$1,0,
IF(PART_NUMBER_GENERATOR_TABLE[[#This Row],[Work Type]:[Work Type]]&lt;&gt;"BH",0,
SUMIFS(AB$9:AB$24,$M$9:$M$24,PART_NUMBER_GENERATOR_TABLE[[#This Row],[Tech]:[Tech]])))</f>
        <v>0</v>
      </c>
      <c r="AC147" cm="1">
        <f t="array" ref="AC147">IF(PART_NUMBER_GENERATOR_TABLE[[#This Row],[Work Role]:[Work Role]]&lt;&gt;AC$1,0,
IF(PART_NUMBER_GENERATOR_TABLE[[#This Row],[Work Type]:[Work Type]]&lt;&gt;"BH",0,
SUMIFS(AC$9:AC$24,$M$9:$M$24,PART_NUMBER_GENERATOR_TABLE[[#This Row],[Tech]:[Tech]])))</f>
        <v>0</v>
      </c>
      <c r="AD147" cm="1">
        <f t="array" ref="AD147">IF(PART_NUMBER_GENERATOR_TABLE[[#This Row],[Work Role]:[Work Role]]&lt;&gt;AD$1,0,
IF(PART_NUMBER_GENERATOR_TABLE[[#This Row],[Work Type]:[Work Type]]&lt;&gt;"BH",0,
SUMIFS(AD$9:AD$24,$M$9:$M$24,PART_NUMBER_GENERATOR_TABLE[[#This Row],[Tech]:[Tech]])))</f>
        <v>0</v>
      </c>
      <c r="AE147" cm="1">
        <f t="array" ref="AE147">IF(PART_NUMBER_GENERATOR_TABLE[[#This Row],[Work Role]:[Work Role]]&lt;&gt;AE$1,0,
IF(PART_NUMBER_GENERATOR_TABLE[[#This Row],[Work Type]:[Work Type]]&lt;&gt;"BH",0,
SUMIFS(AE$9:AE$24,$M$9:$M$24,PART_NUMBER_GENERATOR_TABLE[[#This Row],[Tech]:[Tech]])))</f>
        <v>0</v>
      </c>
      <c r="AF147" cm="1">
        <f t="array" ref="AF147">IF(PART_NUMBER_GENERATOR_TABLE[[#This Row],[Work Role]:[Work Role]]&lt;&gt;AF$1,0,
IF(PART_NUMBER_GENERATOR_TABLE[[#This Row],[Work Type]:[Work Type]]&lt;&gt;"BH",0,
SUMIFS(AF$9:AF$24,$M$9:$M$24,PART_NUMBER_GENERATOR_TABLE[[#This Row],[Tech]:[Tech]])))</f>
        <v>0</v>
      </c>
      <c r="AG147" cm="1">
        <f t="array" ref="AG147">IF(PART_NUMBER_GENERATOR_TABLE[[#This Row],[Work Role]:[Work Role]]&lt;&gt;AG$1,0,
IF(PART_NUMBER_GENERATOR_TABLE[[#This Row],[Work Type]:[Work Type]]&lt;&gt;"AH",0,
SUMIFS(AG$9:AG$24,$M$9:$M$24,PART_NUMBER_GENERATOR_TABLE[[#This Row],[Tech]:[Tech]])))</f>
        <v>0</v>
      </c>
      <c r="AH147" cm="1">
        <f t="array" ref="AH147">IF(PART_NUMBER_GENERATOR_TABLE[[#This Row],[Work Role]:[Work Role]]&lt;&gt;AH$1,0,
IF(PART_NUMBER_GENERATOR_TABLE[[#This Row],[Work Type]:[Work Type]]&lt;&gt;"BH",0,
SUMIFS(AH$9:AH$24,$M$9:$M$24,PART_NUMBER_GENERATOR_TABLE[[#This Row],[Tech]:[Tech]])))</f>
        <v>0</v>
      </c>
      <c r="AI147" cm="1">
        <f t="array" ref="AI147">IF(PART_NUMBER_GENERATOR_TABLE[[#This Row],[Work Role]:[Work Role]]&lt;&gt;AI$1,0,
IF(PART_NUMBER_GENERATOR_TABLE[[#This Row],[Work Type]:[Work Type]]&lt;&gt;"BH",0,
SUMIFS(AI$9:AI$24,$M$9:$M$24,PART_NUMBER_GENERATOR_TABLE[[#This Row],[Tech]:[Tech]])))</f>
        <v>0</v>
      </c>
      <c r="AJ147" cm="1">
        <f t="array" ref="AJ147">IF(PART_NUMBER_GENERATOR_TABLE[[#This Row],[Work Role]:[Work Role]]&lt;&gt;AJ$1,0,
IF(PART_NUMBER_GENERATOR_TABLE[[#This Row],[Work Type]:[Work Type]]&lt;&gt;"BH",0,
SUMIFS(AJ$9:AJ$24,$M$9:$M$24,PART_NUMBER_GENERATOR_TABLE[[#This Row],[Tech]:[Tech]])))</f>
        <v>0</v>
      </c>
      <c r="AK147" cm="1">
        <f t="array" ref="AK147">IF(PART_NUMBER_GENERATOR_TABLE[[#This Row],[Work Role]:[Work Role]]&lt;&gt;AK$1,0,
IF(PART_NUMBER_GENERATOR_TABLE[[#This Row],[Work Type]:[Work Type]]&lt;&gt;"AH",0,
SUMIFS(AK$9:AK$24,$M$9:$M$24,PART_NUMBER_GENERATOR_TABLE[[#This Row],[Tech]:[Tech]])))</f>
        <v>0</v>
      </c>
      <c r="AL147" cm="1">
        <f t="array" ref="AL147">IF(PART_NUMBER_GENERATOR_TABLE[[#This Row],[Work Role]:[Work Role]]&lt;&gt;AL$1,0,
IF(PART_NUMBER_GENERATOR_TABLE[[#This Row],[Work Type]:[Work Type]]&lt;&gt;"BH",0,
SUMIFS(AL$9:AL$24,$M$9:$M$24,PART_NUMBER_GENERATOR_TABLE[[#This Row],[Tech]:[Tech]])))</f>
        <v>0</v>
      </c>
      <c r="AM147">
        <f>0</f>
        <v>0</v>
      </c>
      <c r="AN147" cm="1">
        <f t="array" ref="AN147">IF(PART_NUMBER_GENERATOR_TABLE[[#This Row],[Work Role]:[Work Role]]&lt;&gt;AN$1,0,
IF(PART_NUMBER_GENERATOR_TABLE[[#This Row],[Work Type]:[Work Type]]&lt;&gt;"BH",0,
SUMIFS(AN$24,$AM$24,PART_NUMBER_GENERATOR_TABLE[[#This Row],[Tech]:[Tech]])))</f>
        <v>0</v>
      </c>
      <c r="AO147" cm="1">
        <f t="array" ref="AO147">IF(PART_NUMBER_GENERATOR_TABLE[[#This Row],[Work Role]:[Work Role]]&lt;&gt;AO$1,0,
IF(PART_NUMBER_GENERATOR_TABLE[[#This Row],[Work Type]:[Work Type]]&lt;&gt;"BH",0,
SUMIFS(AO$24,$AM$24,PART_NUMBER_GENERATOR_TABLE[[#This Row],[Tech]:[Tech]])))</f>
        <v>0</v>
      </c>
      <c r="AP147" cm="1">
        <f t="array" ref="AP147">IF(PART_NUMBER_GENERATOR_TABLE[[#This Row],[Work Role]:[Work Role]]&lt;&gt;AP$1,0,
IF(PART_NUMBER_GENERATOR_TABLE[[#This Row],[Work Type]:[Work Type]]&lt;&gt;"BH",0,
SUMIFS(AP$24,$AM$24,PART_NUMBER_GENERATOR_TABLE[[#This Row],[Tech]:[Tech]])))</f>
        <v>0</v>
      </c>
      <c r="AQ147" cm="1">
        <f t="array" ref="AQ147">IF(PART_NUMBER_GENERATOR_TABLE[[#This Row],[Work Role]:[Work Role]]&lt;&gt;AQ$1,0,
IF(PART_NUMBER_GENERATOR_TABLE[[#This Row],[Work Type]:[Work Type]]&lt;&gt;"BH",0,
SUMIFS(AQ$24,$AM$24,PART_NUMBER_GENERATOR_TABLE[[#This Row],[Tech]:[Tech]])))</f>
        <v>0</v>
      </c>
      <c r="AR147" cm="1">
        <f t="array" ref="AR147">IF(PART_NUMBER_GENERATOR_TABLE[[#This Row],[Work Role]:[Work Role]]&lt;&gt;AR$1,0,
IF(PART_NUMBER_GENERATOR_TABLE[[#This Row],[Work Type]:[Work Type]]&lt;&gt;"BH",0,
SUMIFS(AR$24,$AM$24,PART_NUMBER_GENERATOR_TABLE[[#This Row],[Tech]:[Tech]])))</f>
        <v>0</v>
      </c>
      <c r="AS147" cm="1">
        <f t="array" ref="AS147">IF(PART_NUMBER_GENERATOR_TABLE[[#This Row],[Work Role]:[Work Role]]&lt;&gt;AS$1,0,
IF(PART_NUMBER_GENERATOR_TABLE[[#This Row],[Work Type]:[Work Type]]&lt;&gt;"BH",0,
SUMIFS(AS$24,$AM$24,PART_NUMBER_GENERATOR_TABLE[[#This Row],[Tech]:[Tech]])))</f>
        <v>0</v>
      </c>
      <c r="AT147" cm="1">
        <f t="array" ref="AT147">IF(PART_NUMBER_GENERATOR_TABLE[[#This Row],[Work Role]:[Work Role]]&lt;&gt;AS$1,0,
IF(PART_NUMBER_GENERATOR_TABLE[[#This Row],[Work Type]:[Work Type]]&lt;&gt;"BH",0,
SUMIFS(AT$24,$AM$24,PART_NUMBER_GENERATOR_TABLE[[#This Row],[Tech]:[Tech]])))</f>
        <v>0</v>
      </c>
      <c r="AU147">
        <f>SUM(PART_NUMBER_GENERATOR_TABLE[[#This Row],[Resource 1 BH]:[Resource 5 AH]],PART_NUMBER_GENERATOR_TABLE[[#This Row],[R1 Mandatory Tasks]:[R5 Mandatory Tasks]],PART_NUMBER_GENERATOR_TABLE[[#This Row],[R1 Remainder]:[R5 Remainder]])</f>
        <v>0</v>
      </c>
      <c r="AV147">
        <f>PART_NUMBER_GENERATOR_TABLE[[#This Row],[Professional Engineering Hours]]*PART_NUMBER_GENERATOR_TABLE[[#This Row],[Sell Rate]]</f>
        <v>0</v>
      </c>
      <c r="AW147">
        <f>PART_NUMBER_GENERATOR_TABLE[[#This Row],[Professional Engineering Hours]]*PART_NUMBER_GENERATOR_TABLE[[#This Row],[Cost Rate]]</f>
        <v>0</v>
      </c>
      <c r="AX147">
        <f>SUM(PART_NUMBER_GENERATOR_TABLE[[#This Row],[PM Trips]:[R5 Trips]])</f>
        <v>0</v>
      </c>
      <c r="AY147">
        <f>PART_NUMBER_GENERATOR_TABLE[[#This Row],[Travel &amp; Accommodation Hours]]*PART_NUMBER_GENERATOR_TABLE[[#This Row],[Sell Rate]]</f>
        <v>0</v>
      </c>
      <c r="AZ147">
        <f>PART_NUMBER_GENERATOR_TABLE[[#This Row],[Travel &amp; Accommodation Hours]]*PART_NUMBER_GENERATOR_TABLE[[#This Row],[Cost Rate]]</f>
        <v>0</v>
      </c>
      <c r="BA147">
        <f>PART_NUMBER_GENERATOR_TABLE[[#This Row],[PM Hours]]+PART_NUMBER_GENERATOR_TABLE[[#This Row],[PM Remainder]]</f>
        <v>0</v>
      </c>
      <c r="BB147">
        <f>PART_NUMBER_GENERATOR_TABLE[[#This Row],[Project Management Hours]]*PART_NUMBER_GENERATOR_TABLE[[#This Row],[Sell Rate]]</f>
        <v>0</v>
      </c>
      <c r="BC147">
        <f>PART_NUMBER_GENERATOR_TABLE[[#This Row],[Project Management Hours]]*PART_NUMBER_GENERATOR_TABLE[[#This Row],[Cost Rate]]</f>
        <v>0</v>
      </c>
      <c r="BD147">
        <f>SUM(PART_NUMBER_GENERATOR_TABLE[[#This Row],[SSE RISK BH]:[PM RISK]],PART_NUMBER_GENERATOR_TABLE[[#This Row],[SSE Remainder RISK BH]:[PM Remainder RISK]])</f>
        <v>0</v>
      </c>
      <c r="BE147">
        <f>PART_NUMBER_GENERATOR_TABLE[[#This Row],[Project Risk Service Hours]]*PART_NUMBER_GENERATOR_TABLE[[#This Row],[Sell Rate]]</f>
        <v>0</v>
      </c>
      <c r="BF147">
        <f>PART_NUMBER_GENERATOR_TABLE[[#This Row],[Project Risk Service Hours]]*PART_NUMBER_GENERATOR_TABLE[[#This Row],[Cost Rate]]</f>
        <v>0</v>
      </c>
      <c r="BG147">
        <f>PART_NUMBER_GENERATOR_TABLE[[#This Row],[SSE RISK TRAVEL]]</f>
        <v>0</v>
      </c>
      <c r="BH147">
        <f>PART_NUMBER_GENERATOR_TABLE[[#This Row],[Sell Rate]]*PART_NUMBER_GENERATOR_TABLE[[#This Row],[Project Risk Travel Hours]]</f>
        <v>0</v>
      </c>
      <c r="BI147">
        <f>PART_NUMBER_GENERATOR_TABLE[[#This Row],[Project Risk Travel Hours]]*PART_NUMBER_GENERATOR_TABLE[[#This Row],[Cost Rate]]</f>
        <v>0</v>
      </c>
      <c r="BJ14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4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47">
        <f>IFERROR(-VLOOKUP(INDEX(ENGINEER_ROLES,MATCH(PART_NUMBER_GENERATOR_TABLE[[#This Row],[Work Role]],settings.Table_Engineer.Roles[ID],0),1),Settings_Hidden!$H$359:$K$366,4,FALSE),0)</f>
        <v>0</v>
      </c>
      <c r="BM147" s="680">
        <f>-Summary!$C$66</f>
        <v>0</v>
      </c>
      <c r="BN147" s="465">
        <f>PART_NUMBER_GENERATOR_TABLE[[#This Row],[Total Base Price]]*MIN(PART_NUMBER_GENERATOR_TABLE[[#This Row],[Rate Service Discount]:[Flat Service Discount]])</f>
        <v>0</v>
      </c>
      <c r="BO147" s="451" t="str">
        <f>IF(PART_NUMBER_GENERATOR_TABLE[[#This Row],[Quantity]]&lt;&gt;0,MAX($BO$30:BO146)+1,"")</f>
        <v/>
      </c>
      <c r="BP147" t="str">
        <f>PART_NUMBER_GENERATOR_TABLE[[#This Row],[Part Number]]</f>
        <v>A-PS-C-COLLAB-AC-AH</v>
      </c>
      <c r="BQ147">
        <f>PART_NUMBER_GENERATOR_TABLE[[#This Row],[Total Hours]]</f>
        <v>0</v>
      </c>
      <c r="BR147">
        <f>PART_NUMBER_GENERATOR_TABLE[[#This Row],[Cost Rate]]</f>
        <v>251.41552370953494</v>
      </c>
      <c r="BS147" s="465">
        <f>PART_NUMBER_GENERATOR_TABLE[[#This Row],[Sell Rate]]+(PART_NUMBER_GENERATOR_TABLE[[#This Row],[Sell Rate]]*MIN(PART_NUMBER_GENERATOR_TABLE[[#This Row],[Rate Service Discount]:[Flat Service Discount]]))</f>
        <v>472.5</v>
      </c>
    </row>
    <row r="148" spans="1:71">
      <c r="A148">
        <v>118</v>
      </c>
      <c r="C148" t="s">
        <v>930</v>
      </c>
      <c r="D148" t="str" cm="1">
        <f t="array" ref="D148">INDEX(Table.Settings_Skill.List[Skill Name],MATCH(INDEX(_xlfn.TEXTSPLIT(C148,"-",,TRUE),4),Table.Settings_Skill.List[Skill Code],0),1)</f>
        <v>Data Centre / Cloud</v>
      </c>
      <c r="E148" t="str" cm="1">
        <f t="array" ref="E148">INDEX(_xlfn.TEXTSPLIT(C148,"-",,TRUE),5)</f>
        <v>SA</v>
      </c>
      <c r="F148" t="str">
        <f>IFERROR(INDEX(settings.Table_Engineer.Roles[Department Code],MATCH(PART_NUMBER_GENERATOR_TABLE[[#This Row],[Work Role]],settings.Table_Engineer.Roles[ID],0),1),"PMO")</f>
        <v>CON</v>
      </c>
      <c r="G148" t="str" cm="1">
        <f t="array" ref="G148">INDEX(_xlfn.TEXTSPLIT(C148,"-",,TRUE),6)</f>
        <v>AH</v>
      </c>
      <c r="H14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4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48" cm="1">
        <f t="array" ref="J148">IF(J$1&lt;&gt;PART_NUMBER_GENERATOR_TABLE[[#This Row],[Work Role]:[Work Role]],0,
IF(RIGHT(J$30,2)&lt;&gt;PART_NUMBER_GENERATOR_TABLE[[#This Row],[Work Type]:[Work Type]],0,
SUMIFS(Input_Tasks[R1 Business Hours],Input_Tasks[[Skill Required]:[Skill Required]],PART_NUMBER_GENERATOR_TABLE[[#This Row],[Tech]:[Tech]])))</f>
        <v>0</v>
      </c>
      <c r="K148" cm="1">
        <f t="array" ref="K148">IF(K$1&lt;&gt;PART_NUMBER_GENERATOR_TABLE[[#This Row],[Work Role]:[Work Role]],0,
IF(RIGHT(K$30,2)&lt;&gt;PART_NUMBER_GENERATOR_TABLE[[#This Row],[Work Type]:[Work Type]],0,
SUMIFS(Input_Tasks[R1 After Hours],Input_Tasks[[Skill Required]:[Skill Required]],PART_NUMBER_GENERATOR_TABLE[[#This Row],[Tech]:[Tech]])))</f>
        <v>0</v>
      </c>
      <c r="L148" cm="1">
        <f t="array" ref="L148">IF(L$1&lt;&gt;PART_NUMBER_GENERATOR_TABLE[[#This Row],[Work Role]:[Work Role]],0,
IF(RIGHT(L$30,2)&lt;&gt;PART_NUMBER_GENERATOR_TABLE[[#This Row],[Work Type]:[Work Type]],0,
SUMIFS(Input_Tasks[R2 Business Hours],Input_Tasks[[Skill Required]:[Skill Required]],PART_NUMBER_GENERATOR_TABLE[[#This Row],[Tech]:[Tech]])))</f>
        <v>0</v>
      </c>
      <c r="M148" cm="1">
        <f t="array" ref="M148">IF(M$1&lt;&gt;PART_NUMBER_GENERATOR_TABLE[[#This Row],[Work Role]:[Work Role]],0,
IF(RIGHT(M$30,2)&lt;&gt;PART_NUMBER_GENERATOR_TABLE[[#This Row],[Work Type]:[Work Type]],0,
SUMIFS(Input_Tasks[R2 After Hours],Input_Tasks[[Skill Required]:[Skill Required]],PART_NUMBER_GENERATOR_TABLE[[#This Row],[Tech]:[Tech]])))</f>
        <v>0</v>
      </c>
      <c r="N148" cm="1">
        <f t="array" ref="N148">IF(N$1&lt;&gt;PART_NUMBER_GENERATOR_TABLE[[#This Row],[Work Role]:[Work Role]],0,
IF(RIGHT(N$30,2)&lt;&gt;PART_NUMBER_GENERATOR_TABLE[[#This Row],[Work Type]:[Work Type]],0,
SUMIFS(Input_Tasks[R3 Business Hours],Input_Tasks[[Skill Required]:[Skill Required]],PART_NUMBER_GENERATOR_TABLE[[#This Row],[Tech]:[Tech]])))</f>
        <v>0</v>
      </c>
      <c r="O148" cm="1">
        <f t="array" ref="O148">IF(O$1&lt;&gt;PART_NUMBER_GENERATOR_TABLE[[#This Row],[Work Role]:[Work Role]],0,
IF(RIGHT(O$30,2)&lt;&gt;PART_NUMBER_GENERATOR_TABLE[[#This Row],[Work Type]:[Work Type]],0,
SUMIFS(Input_Tasks[R3 After Hours],Input_Tasks[[Skill Required]:[Skill Required]],PART_NUMBER_GENERATOR_TABLE[[#This Row],[Tech]:[Tech]])))</f>
        <v>0</v>
      </c>
      <c r="P148" cm="1">
        <f t="array" ref="P148">IF(P$1&lt;&gt;PART_NUMBER_GENERATOR_TABLE[[#This Row],[Work Role]:[Work Role]],0,
IF(RIGHT(P$30,2)&lt;&gt;PART_NUMBER_GENERATOR_TABLE[[#This Row],[Work Type]:[Work Type]],0,
SUMIFS(Input_Tasks[R4 Business Hours],Input_Tasks[[Skill Required]:[Skill Required]],PART_NUMBER_GENERATOR_TABLE[[#This Row],[Tech]:[Tech]])))</f>
        <v>0</v>
      </c>
      <c r="Q148" cm="1">
        <f t="array" ref="Q148">IF(Q$1&lt;&gt;PART_NUMBER_GENERATOR_TABLE[[#This Row],[Work Role]:[Work Role]],0,
IF(RIGHT(Q$30,2)&lt;&gt;PART_NUMBER_GENERATOR_TABLE[[#This Row],[Work Type]:[Work Type]],0,
SUMIFS(Input_Tasks[R4 After Hours],Input_Tasks[[Skill Required]:[Skill Required]],PART_NUMBER_GENERATOR_TABLE[[#This Row],[Tech]:[Tech]])))</f>
        <v>0</v>
      </c>
      <c r="R148" cm="1">
        <f t="array" ref="R148">IF(R$1&lt;&gt;PART_NUMBER_GENERATOR_TABLE[[#This Row],[Work Role]:[Work Role]],0,
IF(RIGHT(R$30,2)&lt;&gt;PART_NUMBER_GENERATOR_TABLE[[#This Row],[Work Type]:[Work Type]],0,
SUMIFS(Input_Tasks[R5 Business Hours],Input_Tasks[[Skill Required]:[Skill Required]],PART_NUMBER_GENERATOR_TABLE[[#This Row],[Tech]:[Tech]])))</f>
        <v>0</v>
      </c>
      <c r="S148" cm="1">
        <f t="array" ref="S148">IF(S$1&lt;&gt;PART_NUMBER_GENERATOR_TABLE[[#This Row],[Work Role]:[Work Role]],0,
IF(RIGHT(S$30,2)&lt;&gt;PART_NUMBER_GENERATOR_TABLE[[#This Row],[Work Type]:[Work Type]],0,
SUMIFS(Input_Tasks[R5 After Hours],Input_Tasks[[Skill Required]:[Skill Required]],PART_NUMBER_GENERATOR_TABLE[[#This Row],[Tech]:[Tech]])))</f>
        <v>0</v>
      </c>
      <c r="T148" cm="1">
        <f t="array" ref="T148">IF(PART_NUMBER_GENERATOR_TABLE[[#This Row],[Work Role]:[Work Role]]&lt;&gt;T$1,0,
IF(PART_NUMBER_GENERATOR_TABLE[[#This Row],[Work Type]:[Work Type]]&lt;&gt;"BH",0,
SUMIFS(T$9:T$24,$M$9:$M$24,PART_NUMBER_GENERATOR_TABLE[[#This Row],[Tech]:[Tech]])))</f>
        <v>0</v>
      </c>
      <c r="U148" cm="1">
        <f t="array" ref="U148">IF(PART_NUMBER_GENERATOR_TABLE[[#This Row],[Work Role]:[Work Role]]&lt;&gt;U$1,0,
IF(PART_NUMBER_GENERATOR_TABLE[[#This Row],[Work Type]:[Work Type]]&lt;&gt;"BH",0,
SUMIFS(U$9:U$24,$M$9:$M$24,PART_NUMBER_GENERATOR_TABLE[[#This Row],[Tech]:[Tech]])))</f>
        <v>0</v>
      </c>
      <c r="V148" cm="1">
        <f t="array" ref="V148">IF(PART_NUMBER_GENERATOR_TABLE[[#This Row],[Work Role]:[Work Role]]&lt;&gt;V$1,0,
IF(PART_NUMBER_GENERATOR_TABLE[[#This Row],[Work Type]:[Work Type]]&lt;&gt;"BH",0,
SUMIFS(V$9:V$24,$M$9:$M$24,PART_NUMBER_GENERATOR_TABLE[[#This Row],[Tech]:[Tech]])))</f>
        <v>0</v>
      </c>
      <c r="W148" cm="1">
        <f t="array" ref="W148">IF(PART_NUMBER_GENERATOR_TABLE[[#This Row],[Work Role]:[Work Role]]&lt;&gt;W$1,0,
IF(PART_NUMBER_GENERATOR_TABLE[[#This Row],[Work Type]:[Work Type]]&lt;&gt;"BH",0,
SUMIFS(W$9:W$24,$M$9:$M$24,PART_NUMBER_GENERATOR_TABLE[[#This Row],[Tech]:[Tech]])))</f>
        <v>0</v>
      </c>
      <c r="X148" cm="1">
        <f t="array" ref="X148">IF(PART_NUMBER_GENERATOR_TABLE[[#This Row],[Work Role]:[Work Role]]&lt;&gt;X$1,0,
IF(PART_NUMBER_GENERATOR_TABLE[[#This Row],[Work Type]:[Work Type]]&lt;&gt;"BH",0,
SUMIFS(X$9:X$24,$M$9:$M$24,PART_NUMBER_GENERATOR_TABLE[[#This Row],[Tech]:[Tech]])))</f>
        <v>0</v>
      </c>
      <c r="Y148" cm="1">
        <f t="array" ref="Y148">IF(PART_NUMBER_GENERATOR_TABLE[[#This Row],[Work Role]:[Work Role]]&lt;&gt;Y$1,0,
IF(PART_NUMBER_GENERATOR_TABLE[[#This Row],[Work Type]:[Work Type]]&lt;&gt;"BH",0,
SUMIFS(Y$9:Y$24,$M$9:$M$24,PART_NUMBER_GENERATOR_TABLE[[#This Row],[Tech]:[Tech]])))</f>
        <v>0</v>
      </c>
      <c r="Z148" cm="1">
        <f t="array" ref="Z148">IF(PART_NUMBER_GENERATOR_TABLE[[#This Row],[Work Role]:[Work Role]]&lt;&gt;Z$1,0,
IF(PART_NUMBER_GENERATOR_TABLE[[#This Row],[Work Type]:[Work Type]]&lt;&gt;"BH",0,
SUMIFS(Z$9:Z$24,$M$9:$M$24,PART_NUMBER_GENERATOR_TABLE[[#This Row],[Tech]:[Tech]])))</f>
        <v>0</v>
      </c>
      <c r="AA148" cm="1">
        <f t="array" ref="AA148">IF(PART_NUMBER_GENERATOR_TABLE[[#This Row],[Work Role]:[Work Role]]&lt;&gt;AA$1,0,
IF(PART_NUMBER_GENERATOR_TABLE[[#This Row],[Work Type]:[Work Type]]&lt;&gt;"BH",0,
SUMIFS(AA$9:AA$24,$M$9:$M$24,PART_NUMBER_GENERATOR_TABLE[[#This Row],[Tech]:[Tech]])))</f>
        <v>0</v>
      </c>
      <c r="AB148" cm="1">
        <f t="array" ref="AB148">IF(PART_NUMBER_GENERATOR_TABLE[[#This Row],[Work Role]:[Work Role]]&lt;&gt;AB$1,0,
IF(PART_NUMBER_GENERATOR_TABLE[[#This Row],[Work Type]:[Work Type]]&lt;&gt;"BH",0,
SUMIFS(AB$9:AB$24,$M$9:$M$24,PART_NUMBER_GENERATOR_TABLE[[#This Row],[Tech]:[Tech]])))</f>
        <v>0</v>
      </c>
      <c r="AC148" cm="1">
        <f t="array" ref="AC148">IF(PART_NUMBER_GENERATOR_TABLE[[#This Row],[Work Role]:[Work Role]]&lt;&gt;AC$1,0,
IF(PART_NUMBER_GENERATOR_TABLE[[#This Row],[Work Type]:[Work Type]]&lt;&gt;"BH",0,
SUMIFS(AC$9:AC$24,$M$9:$M$24,PART_NUMBER_GENERATOR_TABLE[[#This Row],[Tech]:[Tech]])))</f>
        <v>0</v>
      </c>
      <c r="AD148" cm="1">
        <f t="array" ref="AD148">IF(PART_NUMBER_GENERATOR_TABLE[[#This Row],[Work Role]:[Work Role]]&lt;&gt;AD$1,0,
IF(PART_NUMBER_GENERATOR_TABLE[[#This Row],[Work Type]:[Work Type]]&lt;&gt;"BH",0,
SUMIFS(AD$9:AD$24,$M$9:$M$24,PART_NUMBER_GENERATOR_TABLE[[#This Row],[Tech]:[Tech]])))</f>
        <v>0</v>
      </c>
      <c r="AE148" cm="1">
        <f t="array" ref="AE148">IF(PART_NUMBER_GENERATOR_TABLE[[#This Row],[Work Role]:[Work Role]]&lt;&gt;AE$1,0,
IF(PART_NUMBER_GENERATOR_TABLE[[#This Row],[Work Type]:[Work Type]]&lt;&gt;"BH",0,
SUMIFS(AE$9:AE$24,$M$9:$M$24,PART_NUMBER_GENERATOR_TABLE[[#This Row],[Tech]:[Tech]])))</f>
        <v>0</v>
      </c>
      <c r="AF148" cm="1">
        <f t="array" ref="AF148">IF(PART_NUMBER_GENERATOR_TABLE[[#This Row],[Work Role]:[Work Role]]&lt;&gt;AF$1,0,
IF(PART_NUMBER_GENERATOR_TABLE[[#This Row],[Work Type]:[Work Type]]&lt;&gt;"BH",0,
SUMIFS(AF$9:AF$24,$M$9:$M$24,PART_NUMBER_GENERATOR_TABLE[[#This Row],[Tech]:[Tech]])))</f>
        <v>0</v>
      </c>
      <c r="AG148" cm="1">
        <f t="array" ref="AG148">IF(PART_NUMBER_GENERATOR_TABLE[[#This Row],[Work Role]:[Work Role]]&lt;&gt;AG$1,0,
IF(PART_NUMBER_GENERATOR_TABLE[[#This Row],[Work Type]:[Work Type]]&lt;&gt;"AH",0,
SUMIFS(AG$9:AG$24,$M$9:$M$24,PART_NUMBER_GENERATOR_TABLE[[#This Row],[Tech]:[Tech]])))</f>
        <v>0</v>
      </c>
      <c r="AH148" cm="1">
        <f t="array" ref="AH148">IF(PART_NUMBER_GENERATOR_TABLE[[#This Row],[Work Role]:[Work Role]]&lt;&gt;AH$1,0,
IF(PART_NUMBER_GENERATOR_TABLE[[#This Row],[Work Type]:[Work Type]]&lt;&gt;"BH",0,
SUMIFS(AH$9:AH$24,$M$9:$M$24,PART_NUMBER_GENERATOR_TABLE[[#This Row],[Tech]:[Tech]])))</f>
        <v>0</v>
      </c>
      <c r="AI148" cm="1">
        <f t="array" ref="AI148">IF(PART_NUMBER_GENERATOR_TABLE[[#This Row],[Work Role]:[Work Role]]&lt;&gt;AI$1,0,
IF(PART_NUMBER_GENERATOR_TABLE[[#This Row],[Work Type]:[Work Type]]&lt;&gt;"BH",0,
SUMIFS(AI$9:AI$24,$M$9:$M$24,PART_NUMBER_GENERATOR_TABLE[[#This Row],[Tech]:[Tech]])))</f>
        <v>0</v>
      </c>
      <c r="AJ148" cm="1">
        <f t="array" ref="AJ148">IF(PART_NUMBER_GENERATOR_TABLE[[#This Row],[Work Role]:[Work Role]]&lt;&gt;AJ$1,0,
IF(PART_NUMBER_GENERATOR_TABLE[[#This Row],[Work Type]:[Work Type]]&lt;&gt;"BH",0,
SUMIFS(AJ$9:AJ$24,$M$9:$M$24,PART_NUMBER_GENERATOR_TABLE[[#This Row],[Tech]:[Tech]])))</f>
        <v>0</v>
      </c>
      <c r="AK148" cm="1">
        <f t="array" ref="AK148">IF(PART_NUMBER_GENERATOR_TABLE[[#This Row],[Work Role]:[Work Role]]&lt;&gt;AK$1,0,
IF(PART_NUMBER_GENERATOR_TABLE[[#This Row],[Work Type]:[Work Type]]&lt;&gt;"AH",0,
SUMIFS(AK$9:AK$24,$M$9:$M$24,PART_NUMBER_GENERATOR_TABLE[[#This Row],[Tech]:[Tech]])))</f>
        <v>0</v>
      </c>
      <c r="AL148" cm="1">
        <f t="array" ref="AL148">IF(PART_NUMBER_GENERATOR_TABLE[[#This Row],[Work Role]:[Work Role]]&lt;&gt;AL$1,0,
IF(PART_NUMBER_GENERATOR_TABLE[[#This Row],[Work Type]:[Work Type]]&lt;&gt;"BH",0,
SUMIFS(AL$9:AL$24,$M$9:$M$24,PART_NUMBER_GENERATOR_TABLE[[#This Row],[Tech]:[Tech]])))</f>
        <v>0</v>
      </c>
      <c r="AM148">
        <f>0</f>
        <v>0</v>
      </c>
      <c r="AN148" cm="1">
        <f t="array" ref="AN148">IF(PART_NUMBER_GENERATOR_TABLE[[#This Row],[Work Role]:[Work Role]]&lt;&gt;AN$1,0,
IF(PART_NUMBER_GENERATOR_TABLE[[#This Row],[Work Type]:[Work Type]]&lt;&gt;"BH",0,
SUMIFS(AN$24,$AM$24,PART_NUMBER_GENERATOR_TABLE[[#This Row],[Tech]:[Tech]])))</f>
        <v>0</v>
      </c>
      <c r="AO148" cm="1">
        <f t="array" ref="AO148">IF(PART_NUMBER_GENERATOR_TABLE[[#This Row],[Work Role]:[Work Role]]&lt;&gt;AO$1,0,
IF(PART_NUMBER_GENERATOR_TABLE[[#This Row],[Work Type]:[Work Type]]&lt;&gt;"BH",0,
SUMIFS(AO$24,$AM$24,PART_NUMBER_GENERATOR_TABLE[[#This Row],[Tech]:[Tech]])))</f>
        <v>0</v>
      </c>
      <c r="AP148" cm="1">
        <f t="array" ref="AP148">IF(PART_NUMBER_GENERATOR_TABLE[[#This Row],[Work Role]:[Work Role]]&lt;&gt;AP$1,0,
IF(PART_NUMBER_GENERATOR_TABLE[[#This Row],[Work Type]:[Work Type]]&lt;&gt;"BH",0,
SUMIFS(AP$24,$AM$24,PART_NUMBER_GENERATOR_TABLE[[#This Row],[Tech]:[Tech]])))</f>
        <v>0</v>
      </c>
      <c r="AQ148" cm="1">
        <f t="array" ref="AQ148">IF(PART_NUMBER_GENERATOR_TABLE[[#This Row],[Work Role]:[Work Role]]&lt;&gt;AQ$1,0,
IF(PART_NUMBER_GENERATOR_TABLE[[#This Row],[Work Type]:[Work Type]]&lt;&gt;"BH",0,
SUMIFS(AQ$24,$AM$24,PART_NUMBER_GENERATOR_TABLE[[#This Row],[Tech]:[Tech]])))</f>
        <v>0</v>
      </c>
      <c r="AR148" cm="1">
        <f t="array" ref="AR148">IF(PART_NUMBER_GENERATOR_TABLE[[#This Row],[Work Role]:[Work Role]]&lt;&gt;AR$1,0,
IF(PART_NUMBER_GENERATOR_TABLE[[#This Row],[Work Type]:[Work Type]]&lt;&gt;"BH",0,
SUMIFS(AR$24,$AM$24,PART_NUMBER_GENERATOR_TABLE[[#This Row],[Tech]:[Tech]])))</f>
        <v>0</v>
      </c>
      <c r="AS148" cm="1">
        <f t="array" ref="AS148">IF(PART_NUMBER_GENERATOR_TABLE[[#This Row],[Work Role]:[Work Role]]&lt;&gt;AS$1,0,
IF(PART_NUMBER_GENERATOR_TABLE[[#This Row],[Work Type]:[Work Type]]&lt;&gt;"BH",0,
SUMIFS(AS$24,$AM$24,PART_NUMBER_GENERATOR_TABLE[[#This Row],[Tech]:[Tech]])))</f>
        <v>0</v>
      </c>
      <c r="AT148" cm="1">
        <f t="array" ref="AT148">IF(PART_NUMBER_GENERATOR_TABLE[[#This Row],[Work Role]:[Work Role]]&lt;&gt;AS$1,0,
IF(PART_NUMBER_GENERATOR_TABLE[[#This Row],[Work Type]:[Work Type]]&lt;&gt;"BH",0,
SUMIFS(AT$24,$AM$24,PART_NUMBER_GENERATOR_TABLE[[#This Row],[Tech]:[Tech]])))</f>
        <v>0</v>
      </c>
      <c r="AU148">
        <f>SUM(PART_NUMBER_GENERATOR_TABLE[[#This Row],[Resource 1 BH]:[Resource 5 AH]],PART_NUMBER_GENERATOR_TABLE[[#This Row],[R1 Mandatory Tasks]:[R5 Mandatory Tasks]],PART_NUMBER_GENERATOR_TABLE[[#This Row],[R1 Remainder]:[R5 Remainder]])</f>
        <v>0</v>
      </c>
      <c r="AV148">
        <f>PART_NUMBER_GENERATOR_TABLE[[#This Row],[Professional Engineering Hours]]*PART_NUMBER_GENERATOR_TABLE[[#This Row],[Sell Rate]]</f>
        <v>0</v>
      </c>
      <c r="AW148">
        <f>PART_NUMBER_GENERATOR_TABLE[[#This Row],[Professional Engineering Hours]]*PART_NUMBER_GENERATOR_TABLE[[#This Row],[Cost Rate]]</f>
        <v>0</v>
      </c>
      <c r="AX148">
        <f>SUM(PART_NUMBER_GENERATOR_TABLE[[#This Row],[PM Trips]:[R5 Trips]])</f>
        <v>0</v>
      </c>
      <c r="AY148">
        <f>PART_NUMBER_GENERATOR_TABLE[[#This Row],[Travel &amp; Accommodation Hours]]*PART_NUMBER_GENERATOR_TABLE[[#This Row],[Sell Rate]]</f>
        <v>0</v>
      </c>
      <c r="AZ148">
        <f>PART_NUMBER_GENERATOR_TABLE[[#This Row],[Travel &amp; Accommodation Hours]]*PART_NUMBER_GENERATOR_TABLE[[#This Row],[Cost Rate]]</f>
        <v>0</v>
      </c>
      <c r="BA148">
        <f>PART_NUMBER_GENERATOR_TABLE[[#This Row],[PM Hours]]+PART_NUMBER_GENERATOR_TABLE[[#This Row],[PM Remainder]]</f>
        <v>0</v>
      </c>
      <c r="BB148">
        <f>PART_NUMBER_GENERATOR_TABLE[[#This Row],[Project Management Hours]]*PART_NUMBER_GENERATOR_TABLE[[#This Row],[Sell Rate]]</f>
        <v>0</v>
      </c>
      <c r="BC148">
        <f>PART_NUMBER_GENERATOR_TABLE[[#This Row],[Project Management Hours]]*PART_NUMBER_GENERATOR_TABLE[[#This Row],[Cost Rate]]</f>
        <v>0</v>
      </c>
      <c r="BD148">
        <f>SUM(PART_NUMBER_GENERATOR_TABLE[[#This Row],[SSE RISK BH]:[PM RISK]],PART_NUMBER_GENERATOR_TABLE[[#This Row],[SSE Remainder RISK BH]:[PM Remainder RISK]])</f>
        <v>0</v>
      </c>
      <c r="BE148">
        <f>PART_NUMBER_GENERATOR_TABLE[[#This Row],[Project Risk Service Hours]]*PART_NUMBER_GENERATOR_TABLE[[#This Row],[Sell Rate]]</f>
        <v>0</v>
      </c>
      <c r="BF148">
        <f>PART_NUMBER_GENERATOR_TABLE[[#This Row],[Project Risk Service Hours]]*PART_NUMBER_GENERATOR_TABLE[[#This Row],[Cost Rate]]</f>
        <v>0</v>
      </c>
      <c r="BG148">
        <f>PART_NUMBER_GENERATOR_TABLE[[#This Row],[SSE RISK TRAVEL]]</f>
        <v>0</v>
      </c>
      <c r="BH148">
        <f>PART_NUMBER_GENERATOR_TABLE[[#This Row],[Sell Rate]]*PART_NUMBER_GENERATOR_TABLE[[#This Row],[Project Risk Travel Hours]]</f>
        <v>0</v>
      </c>
      <c r="BI148">
        <f>PART_NUMBER_GENERATOR_TABLE[[#This Row],[Project Risk Travel Hours]]*PART_NUMBER_GENERATOR_TABLE[[#This Row],[Cost Rate]]</f>
        <v>0</v>
      </c>
      <c r="BJ14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4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48">
        <f>IFERROR(-VLOOKUP(INDEX(ENGINEER_ROLES,MATCH(PART_NUMBER_GENERATOR_TABLE[[#This Row],[Work Role]],settings.Table_Engineer.Roles[ID],0),1),Settings_Hidden!$H$359:$K$366,4,FALSE),0)</f>
        <v>0</v>
      </c>
      <c r="BM148" s="680">
        <f>-Summary!$C$66</f>
        <v>0</v>
      </c>
      <c r="BN148" s="465">
        <f>PART_NUMBER_GENERATOR_TABLE[[#This Row],[Total Base Price]]*MIN(PART_NUMBER_GENERATOR_TABLE[[#This Row],[Rate Service Discount]:[Flat Service Discount]])</f>
        <v>0</v>
      </c>
      <c r="BO148" s="451" t="str">
        <f>IF(PART_NUMBER_GENERATOR_TABLE[[#This Row],[Quantity]]&lt;&gt;0,MAX($BO$30:BO147)+1,"")</f>
        <v/>
      </c>
      <c r="BP148" t="str">
        <f>PART_NUMBER_GENERATOR_TABLE[[#This Row],[Part Number]]</f>
        <v>A-PS-C-DATACC-SA-AH</v>
      </c>
      <c r="BQ148">
        <f>PART_NUMBER_GENERATOR_TABLE[[#This Row],[Total Hours]]</f>
        <v>0</v>
      </c>
      <c r="BR148">
        <f>PART_NUMBER_GENERATOR_TABLE[[#This Row],[Cost Rate]]</f>
        <v>251.41552370953494</v>
      </c>
      <c r="BS148" s="465">
        <f>PART_NUMBER_GENERATOR_TABLE[[#This Row],[Sell Rate]]+(PART_NUMBER_GENERATOR_TABLE[[#This Row],[Sell Rate]]*MIN(PART_NUMBER_GENERATOR_TABLE[[#This Row],[Rate Service Discount]:[Flat Service Discount]]))</f>
        <v>472.5</v>
      </c>
    </row>
    <row r="149" spans="1:71">
      <c r="A149">
        <v>119</v>
      </c>
      <c r="C149" t="s">
        <v>922</v>
      </c>
      <c r="D149" t="str" cm="1">
        <f t="array" ref="D149">INDEX(Table.Settings_Skill.List[Skill Name],MATCH(INDEX(_xlfn.TEXTSPLIT(C149,"-",,TRUE),4),Table.Settings_Skill.List[Skill Code],0),1)</f>
        <v>Data Centre / Cloud</v>
      </c>
      <c r="E149" t="str" cm="1">
        <f t="array" ref="E149">INDEX(_xlfn.TEXTSPLIT(C149,"-",,TRUE),5)</f>
        <v>SC</v>
      </c>
      <c r="F149" t="str">
        <f>IFERROR(INDEX(settings.Table_Engineer.Roles[Department Code],MATCH(PART_NUMBER_GENERATOR_TABLE[[#This Row],[Work Role]],settings.Table_Engineer.Roles[ID],0),1),"PMO")</f>
        <v>CON</v>
      </c>
      <c r="G149" t="str" cm="1">
        <f t="array" ref="G149">INDEX(_xlfn.TEXTSPLIT(C149,"-",,TRUE),6)</f>
        <v>AH</v>
      </c>
      <c r="H14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4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49" cm="1">
        <f t="array" ref="J149">IF(J$1&lt;&gt;PART_NUMBER_GENERATOR_TABLE[[#This Row],[Work Role]:[Work Role]],0,
IF(RIGHT(J$30,2)&lt;&gt;PART_NUMBER_GENERATOR_TABLE[[#This Row],[Work Type]:[Work Type]],0,
SUMIFS(Input_Tasks[R1 Business Hours],Input_Tasks[[Skill Required]:[Skill Required]],PART_NUMBER_GENERATOR_TABLE[[#This Row],[Tech]:[Tech]])))</f>
        <v>0</v>
      </c>
      <c r="K149" cm="1">
        <f t="array" ref="K149">IF(K$1&lt;&gt;PART_NUMBER_GENERATOR_TABLE[[#This Row],[Work Role]:[Work Role]],0,
IF(RIGHT(K$30,2)&lt;&gt;PART_NUMBER_GENERATOR_TABLE[[#This Row],[Work Type]:[Work Type]],0,
SUMIFS(Input_Tasks[R1 After Hours],Input_Tasks[[Skill Required]:[Skill Required]],PART_NUMBER_GENERATOR_TABLE[[#This Row],[Tech]:[Tech]])))</f>
        <v>0</v>
      </c>
      <c r="L149" cm="1">
        <f t="array" ref="L149">IF(L$1&lt;&gt;PART_NUMBER_GENERATOR_TABLE[[#This Row],[Work Role]:[Work Role]],0,
IF(RIGHT(L$30,2)&lt;&gt;PART_NUMBER_GENERATOR_TABLE[[#This Row],[Work Type]:[Work Type]],0,
SUMIFS(Input_Tasks[R2 Business Hours],Input_Tasks[[Skill Required]:[Skill Required]],PART_NUMBER_GENERATOR_TABLE[[#This Row],[Tech]:[Tech]])))</f>
        <v>0</v>
      </c>
      <c r="M149" cm="1">
        <f t="array" ref="M149">IF(M$1&lt;&gt;PART_NUMBER_GENERATOR_TABLE[[#This Row],[Work Role]:[Work Role]],0,
IF(RIGHT(M$30,2)&lt;&gt;PART_NUMBER_GENERATOR_TABLE[[#This Row],[Work Type]:[Work Type]],0,
SUMIFS(Input_Tasks[R2 After Hours],Input_Tasks[[Skill Required]:[Skill Required]],PART_NUMBER_GENERATOR_TABLE[[#This Row],[Tech]:[Tech]])))</f>
        <v>0</v>
      </c>
      <c r="N149" cm="1">
        <f t="array" ref="N149">IF(N$1&lt;&gt;PART_NUMBER_GENERATOR_TABLE[[#This Row],[Work Role]:[Work Role]],0,
IF(RIGHT(N$30,2)&lt;&gt;PART_NUMBER_GENERATOR_TABLE[[#This Row],[Work Type]:[Work Type]],0,
SUMIFS(Input_Tasks[R3 Business Hours],Input_Tasks[[Skill Required]:[Skill Required]],PART_NUMBER_GENERATOR_TABLE[[#This Row],[Tech]:[Tech]])))</f>
        <v>0</v>
      </c>
      <c r="O149" cm="1">
        <f t="array" ref="O149">IF(O$1&lt;&gt;PART_NUMBER_GENERATOR_TABLE[[#This Row],[Work Role]:[Work Role]],0,
IF(RIGHT(O$30,2)&lt;&gt;PART_NUMBER_GENERATOR_TABLE[[#This Row],[Work Type]:[Work Type]],0,
SUMIFS(Input_Tasks[R3 After Hours],Input_Tasks[[Skill Required]:[Skill Required]],PART_NUMBER_GENERATOR_TABLE[[#This Row],[Tech]:[Tech]])))</f>
        <v>0</v>
      </c>
      <c r="P149" cm="1">
        <f t="array" ref="P149">IF(P$1&lt;&gt;PART_NUMBER_GENERATOR_TABLE[[#This Row],[Work Role]:[Work Role]],0,
IF(RIGHT(P$30,2)&lt;&gt;PART_NUMBER_GENERATOR_TABLE[[#This Row],[Work Type]:[Work Type]],0,
SUMIFS(Input_Tasks[R4 Business Hours],Input_Tasks[[Skill Required]:[Skill Required]],PART_NUMBER_GENERATOR_TABLE[[#This Row],[Tech]:[Tech]])))</f>
        <v>0</v>
      </c>
      <c r="Q149" cm="1">
        <f t="array" ref="Q149">IF(Q$1&lt;&gt;PART_NUMBER_GENERATOR_TABLE[[#This Row],[Work Role]:[Work Role]],0,
IF(RIGHT(Q$30,2)&lt;&gt;PART_NUMBER_GENERATOR_TABLE[[#This Row],[Work Type]:[Work Type]],0,
SUMIFS(Input_Tasks[R4 After Hours],Input_Tasks[[Skill Required]:[Skill Required]],PART_NUMBER_GENERATOR_TABLE[[#This Row],[Tech]:[Tech]])))</f>
        <v>0</v>
      </c>
      <c r="R149" cm="1">
        <f t="array" ref="R149">IF(R$1&lt;&gt;PART_NUMBER_GENERATOR_TABLE[[#This Row],[Work Role]:[Work Role]],0,
IF(RIGHT(R$30,2)&lt;&gt;PART_NUMBER_GENERATOR_TABLE[[#This Row],[Work Type]:[Work Type]],0,
SUMIFS(Input_Tasks[R5 Business Hours],Input_Tasks[[Skill Required]:[Skill Required]],PART_NUMBER_GENERATOR_TABLE[[#This Row],[Tech]:[Tech]])))</f>
        <v>0</v>
      </c>
      <c r="S149" cm="1">
        <f t="array" ref="S149">IF(S$1&lt;&gt;PART_NUMBER_GENERATOR_TABLE[[#This Row],[Work Role]:[Work Role]],0,
IF(RIGHT(S$30,2)&lt;&gt;PART_NUMBER_GENERATOR_TABLE[[#This Row],[Work Type]:[Work Type]],0,
SUMIFS(Input_Tasks[R5 After Hours],Input_Tasks[[Skill Required]:[Skill Required]],PART_NUMBER_GENERATOR_TABLE[[#This Row],[Tech]:[Tech]])))</f>
        <v>0</v>
      </c>
      <c r="T149" cm="1">
        <f t="array" ref="T149">IF(PART_NUMBER_GENERATOR_TABLE[[#This Row],[Work Role]:[Work Role]]&lt;&gt;T$1,0,
IF(PART_NUMBER_GENERATOR_TABLE[[#This Row],[Work Type]:[Work Type]]&lt;&gt;"BH",0,
SUMIFS(T$9:T$24,$M$9:$M$24,PART_NUMBER_GENERATOR_TABLE[[#This Row],[Tech]:[Tech]])))</f>
        <v>0</v>
      </c>
      <c r="U149" cm="1">
        <f t="array" ref="U149">IF(PART_NUMBER_GENERATOR_TABLE[[#This Row],[Work Role]:[Work Role]]&lt;&gt;U$1,0,
IF(PART_NUMBER_GENERATOR_TABLE[[#This Row],[Work Type]:[Work Type]]&lt;&gt;"BH",0,
SUMIFS(U$9:U$24,$M$9:$M$24,PART_NUMBER_GENERATOR_TABLE[[#This Row],[Tech]:[Tech]])))</f>
        <v>0</v>
      </c>
      <c r="V149" cm="1">
        <f t="array" ref="V149">IF(PART_NUMBER_GENERATOR_TABLE[[#This Row],[Work Role]:[Work Role]]&lt;&gt;V$1,0,
IF(PART_NUMBER_GENERATOR_TABLE[[#This Row],[Work Type]:[Work Type]]&lt;&gt;"BH",0,
SUMIFS(V$9:V$24,$M$9:$M$24,PART_NUMBER_GENERATOR_TABLE[[#This Row],[Tech]:[Tech]])))</f>
        <v>0</v>
      </c>
      <c r="W149" cm="1">
        <f t="array" ref="W149">IF(PART_NUMBER_GENERATOR_TABLE[[#This Row],[Work Role]:[Work Role]]&lt;&gt;W$1,0,
IF(PART_NUMBER_GENERATOR_TABLE[[#This Row],[Work Type]:[Work Type]]&lt;&gt;"BH",0,
SUMIFS(W$9:W$24,$M$9:$M$24,PART_NUMBER_GENERATOR_TABLE[[#This Row],[Tech]:[Tech]])))</f>
        <v>0</v>
      </c>
      <c r="X149" cm="1">
        <f t="array" ref="X149">IF(PART_NUMBER_GENERATOR_TABLE[[#This Row],[Work Role]:[Work Role]]&lt;&gt;X$1,0,
IF(PART_NUMBER_GENERATOR_TABLE[[#This Row],[Work Type]:[Work Type]]&lt;&gt;"BH",0,
SUMIFS(X$9:X$24,$M$9:$M$24,PART_NUMBER_GENERATOR_TABLE[[#This Row],[Tech]:[Tech]])))</f>
        <v>0</v>
      </c>
      <c r="Y149" cm="1">
        <f t="array" ref="Y149">IF(PART_NUMBER_GENERATOR_TABLE[[#This Row],[Work Role]:[Work Role]]&lt;&gt;Y$1,0,
IF(PART_NUMBER_GENERATOR_TABLE[[#This Row],[Work Type]:[Work Type]]&lt;&gt;"BH",0,
SUMIFS(Y$9:Y$24,$M$9:$M$24,PART_NUMBER_GENERATOR_TABLE[[#This Row],[Tech]:[Tech]])))</f>
        <v>0</v>
      </c>
      <c r="Z149" cm="1">
        <f t="array" ref="Z149">IF(PART_NUMBER_GENERATOR_TABLE[[#This Row],[Work Role]:[Work Role]]&lt;&gt;Z$1,0,
IF(PART_NUMBER_GENERATOR_TABLE[[#This Row],[Work Type]:[Work Type]]&lt;&gt;"BH",0,
SUMIFS(Z$9:Z$24,$M$9:$M$24,PART_NUMBER_GENERATOR_TABLE[[#This Row],[Tech]:[Tech]])))</f>
        <v>0</v>
      </c>
      <c r="AA149" cm="1">
        <f t="array" ref="AA149">IF(PART_NUMBER_GENERATOR_TABLE[[#This Row],[Work Role]:[Work Role]]&lt;&gt;AA$1,0,
IF(PART_NUMBER_GENERATOR_TABLE[[#This Row],[Work Type]:[Work Type]]&lt;&gt;"BH",0,
SUMIFS(AA$9:AA$24,$M$9:$M$24,PART_NUMBER_GENERATOR_TABLE[[#This Row],[Tech]:[Tech]])))</f>
        <v>0</v>
      </c>
      <c r="AB149" cm="1">
        <f t="array" ref="AB149">IF(PART_NUMBER_GENERATOR_TABLE[[#This Row],[Work Role]:[Work Role]]&lt;&gt;AB$1,0,
IF(PART_NUMBER_GENERATOR_TABLE[[#This Row],[Work Type]:[Work Type]]&lt;&gt;"BH",0,
SUMIFS(AB$9:AB$24,$M$9:$M$24,PART_NUMBER_GENERATOR_TABLE[[#This Row],[Tech]:[Tech]])))</f>
        <v>0</v>
      </c>
      <c r="AC149" cm="1">
        <f t="array" ref="AC149">IF(PART_NUMBER_GENERATOR_TABLE[[#This Row],[Work Role]:[Work Role]]&lt;&gt;AC$1,0,
IF(PART_NUMBER_GENERATOR_TABLE[[#This Row],[Work Type]:[Work Type]]&lt;&gt;"BH",0,
SUMIFS(AC$9:AC$24,$M$9:$M$24,PART_NUMBER_GENERATOR_TABLE[[#This Row],[Tech]:[Tech]])))</f>
        <v>0</v>
      </c>
      <c r="AD149" cm="1">
        <f t="array" ref="AD149">IF(PART_NUMBER_GENERATOR_TABLE[[#This Row],[Work Role]:[Work Role]]&lt;&gt;AD$1,0,
IF(PART_NUMBER_GENERATOR_TABLE[[#This Row],[Work Type]:[Work Type]]&lt;&gt;"BH",0,
SUMIFS(AD$9:AD$24,$M$9:$M$24,PART_NUMBER_GENERATOR_TABLE[[#This Row],[Tech]:[Tech]])))</f>
        <v>0</v>
      </c>
      <c r="AE149" cm="1">
        <f t="array" ref="AE149">IF(PART_NUMBER_GENERATOR_TABLE[[#This Row],[Work Role]:[Work Role]]&lt;&gt;AE$1,0,
IF(PART_NUMBER_GENERATOR_TABLE[[#This Row],[Work Type]:[Work Type]]&lt;&gt;"BH",0,
SUMIFS(AE$9:AE$24,$M$9:$M$24,PART_NUMBER_GENERATOR_TABLE[[#This Row],[Tech]:[Tech]])))</f>
        <v>0</v>
      </c>
      <c r="AF149" cm="1">
        <f t="array" ref="AF149">IF(PART_NUMBER_GENERATOR_TABLE[[#This Row],[Work Role]:[Work Role]]&lt;&gt;AF$1,0,
IF(PART_NUMBER_GENERATOR_TABLE[[#This Row],[Work Type]:[Work Type]]&lt;&gt;"BH",0,
SUMIFS(AF$9:AF$24,$M$9:$M$24,PART_NUMBER_GENERATOR_TABLE[[#This Row],[Tech]:[Tech]])))</f>
        <v>0</v>
      </c>
      <c r="AG149" cm="1">
        <f t="array" ref="AG149">IF(PART_NUMBER_GENERATOR_TABLE[[#This Row],[Work Role]:[Work Role]]&lt;&gt;AG$1,0,
IF(PART_NUMBER_GENERATOR_TABLE[[#This Row],[Work Type]:[Work Type]]&lt;&gt;"AH",0,
SUMIFS(AG$9:AG$24,$M$9:$M$24,PART_NUMBER_GENERATOR_TABLE[[#This Row],[Tech]:[Tech]])))</f>
        <v>0</v>
      </c>
      <c r="AH149" cm="1">
        <f t="array" ref="AH149">IF(PART_NUMBER_GENERATOR_TABLE[[#This Row],[Work Role]:[Work Role]]&lt;&gt;AH$1,0,
IF(PART_NUMBER_GENERATOR_TABLE[[#This Row],[Work Type]:[Work Type]]&lt;&gt;"BH",0,
SUMIFS(AH$9:AH$24,$M$9:$M$24,PART_NUMBER_GENERATOR_TABLE[[#This Row],[Tech]:[Tech]])))</f>
        <v>0</v>
      </c>
      <c r="AI149" cm="1">
        <f t="array" ref="AI149">IF(PART_NUMBER_GENERATOR_TABLE[[#This Row],[Work Role]:[Work Role]]&lt;&gt;AI$1,0,
IF(PART_NUMBER_GENERATOR_TABLE[[#This Row],[Work Type]:[Work Type]]&lt;&gt;"BH",0,
SUMIFS(AI$9:AI$24,$M$9:$M$24,PART_NUMBER_GENERATOR_TABLE[[#This Row],[Tech]:[Tech]])))</f>
        <v>0</v>
      </c>
      <c r="AJ149" cm="1">
        <f t="array" ref="AJ149">IF(PART_NUMBER_GENERATOR_TABLE[[#This Row],[Work Role]:[Work Role]]&lt;&gt;AJ$1,0,
IF(PART_NUMBER_GENERATOR_TABLE[[#This Row],[Work Type]:[Work Type]]&lt;&gt;"BH",0,
SUMIFS(AJ$9:AJ$24,$M$9:$M$24,PART_NUMBER_GENERATOR_TABLE[[#This Row],[Tech]:[Tech]])))</f>
        <v>0</v>
      </c>
      <c r="AK149" cm="1">
        <f t="array" ref="AK149">IF(PART_NUMBER_GENERATOR_TABLE[[#This Row],[Work Role]:[Work Role]]&lt;&gt;AK$1,0,
IF(PART_NUMBER_GENERATOR_TABLE[[#This Row],[Work Type]:[Work Type]]&lt;&gt;"AH",0,
SUMIFS(AK$9:AK$24,$M$9:$M$24,PART_NUMBER_GENERATOR_TABLE[[#This Row],[Tech]:[Tech]])))</f>
        <v>0</v>
      </c>
      <c r="AL149" cm="1">
        <f t="array" ref="AL149">IF(PART_NUMBER_GENERATOR_TABLE[[#This Row],[Work Role]:[Work Role]]&lt;&gt;AL$1,0,
IF(PART_NUMBER_GENERATOR_TABLE[[#This Row],[Work Type]:[Work Type]]&lt;&gt;"BH",0,
SUMIFS(AL$9:AL$24,$M$9:$M$24,PART_NUMBER_GENERATOR_TABLE[[#This Row],[Tech]:[Tech]])))</f>
        <v>0</v>
      </c>
      <c r="AM149">
        <f>0</f>
        <v>0</v>
      </c>
      <c r="AN149" cm="1">
        <f t="array" ref="AN149">IF(PART_NUMBER_GENERATOR_TABLE[[#This Row],[Work Role]:[Work Role]]&lt;&gt;AN$1,0,
IF(PART_NUMBER_GENERATOR_TABLE[[#This Row],[Work Type]:[Work Type]]&lt;&gt;"BH",0,
SUMIFS(AN$24,$AM$24,PART_NUMBER_GENERATOR_TABLE[[#This Row],[Tech]:[Tech]])))</f>
        <v>0</v>
      </c>
      <c r="AO149" cm="1">
        <f t="array" ref="AO149">IF(PART_NUMBER_GENERATOR_TABLE[[#This Row],[Work Role]:[Work Role]]&lt;&gt;AO$1,0,
IF(PART_NUMBER_GENERATOR_TABLE[[#This Row],[Work Type]:[Work Type]]&lt;&gt;"BH",0,
SUMIFS(AO$24,$AM$24,PART_NUMBER_GENERATOR_TABLE[[#This Row],[Tech]:[Tech]])))</f>
        <v>0</v>
      </c>
      <c r="AP149" cm="1">
        <f t="array" ref="AP149">IF(PART_NUMBER_GENERATOR_TABLE[[#This Row],[Work Role]:[Work Role]]&lt;&gt;AP$1,0,
IF(PART_NUMBER_GENERATOR_TABLE[[#This Row],[Work Type]:[Work Type]]&lt;&gt;"BH",0,
SUMIFS(AP$24,$AM$24,PART_NUMBER_GENERATOR_TABLE[[#This Row],[Tech]:[Tech]])))</f>
        <v>0</v>
      </c>
      <c r="AQ149" cm="1">
        <f t="array" ref="AQ149">IF(PART_NUMBER_GENERATOR_TABLE[[#This Row],[Work Role]:[Work Role]]&lt;&gt;AQ$1,0,
IF(PART_NUMBER_GENERATOR_TABLE[[#This Row],[Work Type]:[Work Type]]&lt;&gt;"BH",0,
SUMIFS(AQ$24,$AM$24,PART_NUMBER_GENERATOR_TABLE[[#This Row],[Tech]:[Tech]])))</f>
        <v>0</v>
      </c>
      <c r="AR149" cm="1">
        <f t="array" ref="AR149">IF(PART_NUMBER_GENERATOR_TABLE[[#This Row],[Work Role]:[Work Role]]&lt;&gt;AR$1,0,
IF(PART_NUMBER_GENERATOR_TABLE[[#This Row],[Work Type]:[Work Type]]&lt;&gt;"BH",0,
SUMIFS(AR$24,$AM$24,PART_NUMBER_GENERATOR_TABLE[[#This Row],[Tech]:[Tech]])))</f>
        <v>0</v>
      </c>
      <c r="AS149" cm="1">
        <f t="array" ref="AS149">IF(PART_NUMBER_GENERATOR_TABLE[[#This Row],[Work Role]:[Work Role]]&lt;&gt;AS$1,0,
IF(PART_NUMBER_GENERATOR_TABLE[[#This Row],[Work Type]:[Work Type]]&lt;&gt;"BH",0,
SUMIFS(AS$24,$AM$24,PART_NUMBER_GENERATOR_TABLE[[#This Row],[Tech]:[Tech]])))</f>
        <v>0</v>
      </c>
      <c r="AT149" cm="1">
        <f t="array" ref="AT149">IF(PART_NUMBER_GENERATOR_TABLE[[#This Row],[Work Role]:[Work Role]]&lt;&gt;AS$1,0,
IF(PART_NUMBER_GENERATOR_TABLE[[#This Row],[Work Type]:[Work Type]]&lt;&gt;"BH",0,
SUMIFS(AT$24,$AM$24,PART_NUMBER_GENERATOR_TABLE[[#This Row],[Tech]:[Tech]])))</f>
        <v>0</v>
      </c>
      <c r="AU149">
        <f>SUM(PART_NUMBER_GENERATOR_TABLE[[#This Row],[Resource 1 BH]:[Resource 5 AH]],PART_NUMBER_GENERATOR_TABLE[[#This Row],[R1 Mandatory Tasks]:[R5 Mandatory Tasks]],PART_NUMBER_GENERATOR_TABLE[[#This Row],[R1 Remainder]:[R5 Remainder]])</f>
        <v>0</v>
      </c>
      <c r="AV149">
        <f>PART_NUMBER_GENERATOR_TABLE[[#This Row],[Professional Engineering Hours]]*PART_NUMBER_GENERATOR_TABLE[[#This Row],[Sell Rate]]</f>
        <v>0</v>
      </c>
      <c r="AW149">
        <f>PART_NUMBER_GENERATOR_TABLE[[#This Row],[Professional Engineering Hours]]*PART_NUMBER_GENERATOR_TABLE[[#This Row],[Cost Rate]]</f>
        <v>0</v>
      </c>
      <c r="AX149">
        <f>SUM(PART_NUMBER_GENERATOR_TABLE[[#This Row],[PM Trips]:[R5 Trips]])</f>
        <v>0</v>
      </c>
      <c r="AY149">
        <f>PART_NUMBER_GENERATOR_TABLE[[#This Row],[Travel &amp; Accommodation Hours]]*PART_NUMBER_GENERATOR_TABLE[[#This Row],[Sell Rate]]</f>
        <v>0</v>
      </c>
      <c r="AZ149">
        <f>PART_NUMBER_GENERATOR_TABLE[[#This Row],[Travel &amp; Accommodation Hours]]*PART_NUMBER_GENERATOR_TABLE[[#This Row],[Cost Rate]]</f>
        <v>0</v>
      </c>
      <c r="BA149">
        <f>PART_NUMBER_GENERATOR_TABLE[[#This Row],[PM Hours]]+PART_NUMBER_GENERATOR_TABLE[[#This Row],[PM Remainder]]</f>
        <v>0</v>
      </c>
      <c r="BB149">
        <f>PART_NUMBER_GENERATOR_TABLE[[#This Row],[Project Management Hours]]*PART_NUMBER_GENERATOR_TABLE[[#This Row],[Sell Rate]]</f>
        <v>0</v>
      </c>
      <c r="BC149">
        <f>PART_NUMBER_GENERATOR_TABLE[[#This Row],[Project Management Hours]]*PART_NUMBER_GENERATOR_TABLE[[#This Row],[Cost Rate]]</f>
        <v>0</v>
      </c>
      <c r="BD149">
        <f>SUM(PART_NUMBER_GENERATOR_TABLE[[#This Row],[SSE RISK BH]:[PM RISK]],PART_NUMBER_GENERATOR_TABLE[[#This Row],[SSE Remainder RISK BH]:[PM Remainder RISK]])</f>
        <v>0</v>
      </c>
      <c r="BE149">
        <f>PART_NUMBER_GENERATOR_TABLE[[#This Row],[Project Risk Service Hours]]*PART_NUMBER_GENERATOR_TABLE[[#This Row],[Sell Rate]]</f>
        <v>0</v>
      </c>
      <c r="BF149">
        <f>PART_NUMBER_GENERATOR_TABLE[[#This Row],[Project Risk Service Hours]]*PART_NUMBER_GENERATOR_TABLE[[#This Row],[Cost Rate]]</f>
        <v>0</v>
      </c>
      <c r="BG149">
        <f>PART_NUMBER_GENERATOR_TABLE[[#This Row],[SSE RISK TRAVEL]]</f>
        <v>0</v>
      </c>
      <c r="BH149">
        <f>PART_NUMBER_GENERATOR_TABLE[[#This Row],[Sell Rate]]*PART_NUMBER_GENERATOR_TABLE[[#This Row],[Project Risk Travel Hours]]</f>
        <v>0</v>
      </c>
      <c r="BI149">
        <f>PART_NUMBER_GENERATOR_TABLE[[#This Row],[Project Risk Travel Hours]]*PART_NUMBER_GENERATOR_TABLE[[#This Row],[Cost Rate]]</f>
        <v>0</v>
      </c>
      <c r="BJ14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4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49">
        <f>IFERROR(-VLOOKUP(INDEX(ENGINEER_ROLES,MATCH(PART_NUMBER_GENERATOR_TABLE[[#This Row],[Work Role]],settings.Table_Engineer.Roles[ID],0),1),Settings_Hidden!$H$359:$K$366,4,FALSE),0)</f>
        <v>0</v>
      </c>
      <c r="BM149" s="680">
        <f>-Summary!$C$66</f>
        <v>0</v>
      </c>
      <c r="BN149" s="465">
        <f>PART_NUMBER_GENERATOR_TABLE[[#This Row],[Total Base Price]]*MIN(PART_NUMBER_GENERATOR_TABLE[[#This Row],[Rate Service Discount]:[Flat Service Discount]])</f>
        <v>0</v>
      </c>
      <c r="BO149" s="451" t="str">
        <f>IF(PART_NUMBER_GENERATOR_TABLE[[#This Row],[Quantity]]&lt;&gt;0,MAX($BO$30:BO148)+1,"")</f>
        <v/>
      </c>
      <c r="BP149" t="str">
        <f>PART_NUMBER_GENERATOR_TABLE[[#This Row],[Part Number]]</f>
        <v>A-PS-C-DATACC-SC-AH</v>
      </c>
      <c r="BQ149">
        <f>PART_NUMBER_GENERATOR_TABLE[[#This Row],[Total Hours]]</f>
        <v>0</v>
      </c>
      <c r="BR149">
        <f>PART_NUMBER_GENERATOR_TABLE[[#This Row],[Cost Rate]]</f>
        <v>251.41552370953494</v>
      </c>
      <c r="BS149" s="465">
        <f>PART_NUMBER_GENERATOR_TABLE[[#This Row],[Sell Rate]]+(PART_NUMBER_GENERATOR_TABLE[[#This Row],[Sell Rate]]*MIN(PART_NUMBER_GENERATOR_TABLE[[#This Row],[Rate Service Discount]:[Flat Service Discount]]))</f>
        <v>472.5</v>
      </c>
    </row>
    <row r="150" spans="1:71">
      <c r="A150">
        <v>120</v>
      </c>
      <c r="C150" t="s">
        <v>914</v>
      </c>
      <c r="D150" t="str" cm="1">
        <f t="array" ref="D150">INDEX(Table.Settings_Skill.List[Skill Name],MATCH(INDEX(_xlfn.TEXTSPLIT(C150,"-",,TRUE),4),Table.Settings_Skill.List[Skill Code],0),1)</f>
        <v>Data Centre / Cloud</v>
      </c>
      <c r="E150" t="str" cm="1">
        <f t="array" ref="E150">INDEX(_xlfn.TEXTSPLIT(C150,"-",,TRUE),5)</f>
        <v>AC</v>
      </c>
      <c r="F150" t="str">
        <f>IFERROR(INDEX(settings.Table_Engineer.Roles[Department Code],MATCH(PART_NUMBER_GENERATOR_TABLE[[#This Row],[Work Role]],settings.Table_Engineer.Roles[ID],0),1),"PMO")</f>
        <v>CON</v>
      </c>
      <c r="G150" t="str" cm="1">
        <f t="array" ref="G150">INDEX(_xlfn.TEXTSPLIT(C150,"-",,TRUE),6)</f>
        <v>AH</v>
      </c>
      <c r="H15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5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50" cm="1">
        <f t="array" ref="J150">IF(J$1&lt;&gt;PART_NUMBER_GENERATOR_TABLE[[#This Row],[Work Role]:[Work Role]],0,
IF(RIGHT(J$30,2)&lt;&gt;PART_NUMBER_GENERATOR_TABLE[[#This Row],[Work Type]:[Work Type]],0,
SUMIFS(Input_Tasks[R1 Business Hours],Input_Tasks[[Skill Required]:[Skill Required]],PART_NUMBER_GENERATOR_TABLE[[#This Row],[Tech]:[Tech]])))</f>
        <v>0</v>
      </c>
      <c r="K150" cm="1">
        <f t="array" ref="K150">IF(K$1&lt;&gt;PART_NUMBER_GENERATOR_TABLE[[#This Row],[Work Role]:[Work Role]],0,
IF(RIGHT(K$30,2)&lt;&gt;PART_NUMBER_GENERATOR_TABLE[[#This Row],[Work Type]:[Work Type]],0,
SUMIFS(Input_Tasks[R1 After Hours],Input_Tasks[[Skill Required]:[Skill Required]],PART_NUMBER_GENERATOR_TABLE[[#This Row],[Tech]:[Tech]])))</f>
        <v>0</v>
      </c>
      <c r="L150" cm="1">
        <f t="array" ref="L150">IF(L$1&lt;&gt;PART_NUMBER_GENERATOR_TABLE[[#This Row],[Work Role]:[Work Role]],0,
IF(RIGHT(L$30,2)&lt;&gt;PART_NUMBER_GENERATOR_TABLE[[#This Row],[Work Type]:[Work Type]],0,
SUMIFS(Input_Tasks[R2 Business Hours],Input_Tasks[[Skill Required]:[Skill Required]],PART_NUMBER_GENERATOR_TABLE[[#This Row],[Tech]:[Tech]])))</f>
        <v>0</v>
      </c>
      <c r="M150" cm="1">
        <f t="array" ref="M150">IF(M$1&lt;&gt;PART_NUMBER_GENERATOR_TABLE[[#This Row],[Work Role]:[Work Role]],0,
IF(RIGHT(M$30,2)&lt;&gt;PART_NUMBER_GENERATOR_TABLE[[#This Row],[Work Type]:[Work Type]],0,
SUMIFS(Input_Tasks[R2 After Hours],Input_Tasks[[Skill Required]:[Skill Required]],PART_NUMBER_GENERATOR_TABLE[[#This Row],[Tech]:[Tech]])))</f>
        <v>0</v>
      </c>
      <c r="N150" cm="1">
        <f t="array" ref="N150">IF(N$1&lt;&gt;PART_NUMBER_GENERATOR_TABLE[[#This Row],[Work Role]:[Work Role]],0,
IF(RIGHT(N$30,2)&lt;&gt;PART_NUMBER_GENERATOR_TABLE[[#This Row],[Work Type]:[Work Type]],0,
SUMIFS(Input_Tasks[R3 Business Hours],Input_Tasks[[Skill Required]:[Skill Required]],PART_NUMBER_GENERATOR_TABLE[[#This Row],[Tech]:[Tech]])))</f>
        <v>0</v>
      </c>
      <c r="O150" cm="1">
        <f t="array" ref="O150">IF(O$1&lt;&gt;PART_NUMBER_GENERATOR_TABLE[[#This Row],[Work Role]:[Work Role]],0,
IF(RIGHT(O$30,2)&lt;&gt;PART_NUMBER_GENERATOR_TABLE[[#This Row],[Work Type]:[Work Type]],0,
SUMIFS(Input_Tasks[R3 After Hours],Input_Tasks[[Skill Required]:[Skill Required]],PART_NUMBER_GENERATOR_TABLE[[#This Row],[Tech]:[Tech]])))</f>
        <v>0</v>
      </c>
      <c r="P150" cm="1">
        <f t="array" ref="P150">IF(P$1&lt;&gt;PART_NUMBER_GENERATOR_TABLE[[#This Row],[Work Role]:[Work Role]],0,
IF(RIGHT(P$30,2)&lt;&gt;PART_NUMBER_GENERATOR_TABLE[[#This Row],[Work Type]:[Work Type]],0,
SUMIFS(Input_Tasks[R4 Business Hours],Input_Tasks[[Skill Required]:[Skill Required]],PART_NUMBER_GENERATOR_TABLE[[#This Row],[Tech]:[Tech]])))</f>
        <v>0</v>
      </c>
      <c r="Q150" cm="1">
        <f t="array" ref="Q150">IF(Q$1&lt;&gt;PART_NUMBER_GENERATOR_TABLE[[#This Row],[Work Role]:[Work Role]],0,
IF(RIGHT(Q$30,2)&lt;&gt;PART_NUMBER_GENERATOR_TABLE[[#This Row],[Work Type]:[Work Type]],0,
SUMIFS(Input_Tasks[R4 After Hours],Input_Tasks[[Skill Required]:[Skill Required]],PART_NUMBER_GENERATOR_TABLE[[#This Row],[Tech]:[Tech]])))</f>
        <v>0</v>
      </c>
      <c r="R150" cm="1">
        <f t="array" ref="R150">IF(R$1&lt;&gt;PART_NUMBER_GENERATOR_TABLE[[#This Row],[Work Role]:[Work Role]],0,
IF(RIGHT(R$30,2)&lt;&gt;PART_NUMBER_GENERATOR_TABLE[[#This Row],[Work Type]:[Work Type]],0,
SUMIFS(Input_Tasks[R5 Business Hours],Input_Tasks[[Skill Required]:[Skill Required]],PART_NUMBER_GENERATOR_TABLE[[#This Row],[Tech]:[Tech]])))</f>
        <v>0</v>
      </c>
      <c r="S150" cm="1">
        <f t="array" ref="S150">IF(S$1&lt;&gt;PART_NUMBER_GENERATOR_TABLE[[#This Row],[Work Role]:[Work Role]],0,
IF(RIGHT(S$30,2)&lt;&gt;PART_NUMBER_GENERATOR_TABLE[[#This Row],[Work Type]:[Work Type]],0,
SUMIFS(Input_Tasks[R5 After Hours],Input_Tasks[[Skill Required]:[Skill Required]],PART_NUMBER_GENERATOR_TABLE[[#This Row],[Tech]:[Tech]])))</f>
        <v>0</v>
      </c>
      <c r="T150" cm="1">
        <f t="array" ref="T150">IF(PART_NUMBER_GENERATOR_TABLE[[#This Row],[Work Role]:[Work Role]]&lt;&gt;T$1,0,
IF(PART_NUMBER_GENERATOR_TABLE[[#This Row],[Work Type]:[Work Type]]&lt;&gt;"BH",0,
SUMIFS(T$9:T$24,$M$9:$M$24,PART_NUMBER_GENERATOR_TABLE[[#This Row],[Tech]:[Tech]])))</f>
        <v>0</v>
      </c>
      <c r="U150" cm="1">
        <f t="array" ref="U150">IF(PART_NUMBER_GENERATOR_TABLE[[#This Row],[Work Role]:[Work Role]]&lt;&gt;U$1,0,
IF(PART_NUMBER_GENERATOR_TABLE[[#This Row],[Work Type]:[Work Type]]&lt;&gt;"BH",0,
SUMIFS(U$9:U$24,$M$9:$M$24,PART_NUMBER_GENERATOR_TABLE[[#This Row],[Tech]:[Tech]])))</f>
        <v>0</v>
      </c>
      <c r="V150" cm="1">
        <f t="array" ref="V150">IF(PART_NUMBER_GENERATOR_TABLE[[#This Row],[Work Role]:[Work Role]]&lt;&gt;V$1,0,
IF(PART_NUMBER_GENERATOR_TABLE[[#This Row],[Work Type]:[Work Type]]&lt;&gt;"BH",0,
SUMIFS(V$9:V$24,$M$9:$M$24,PART_NUMBER_GENERATOR_TABLE[[#This Row],[Tech]:[Tech]])))</f>
        <v>0</v>
      </c>
      <c r="W150" cm="1">
        <f t="array" ref="W150">IF(PART_NUMBER_GENERATOR_TABLE[[#This Row],[Work Role]:[Work Role]]&lt;&gt;W$1,0,
IF(PART_NUMBER_GENERATOR_TABLE[[#This Row],[Work Type]:[Work Type]]&lt;&gt;"BH",0,
SUMIFS(W$9:W$24,$M$9:$M$24,PART_NUMBER_GENERATOR_TABLE[[#This Row],[Tech]:[Tech]])))</f>
        <v>0</v>
      </c>
      <c r="X150" cm="1">
        <f t="array" ref="X150">IF(PART_NUMBER_GENERATOR_TABLE[[#This Row],[Work Role]:[Work Role]]&lt;&gt;X$1,0,
IF(PART_NUMBER_GENERATOR_TABLE[[#This Row],[Work Type]:[Work Type]]&lt;&gt;"BH",0,
SUMIFS(X$9:X$24,$M$9:$M$24,PART_NUMBER_GENERATOR_TABLE[[#This Row],[Tech]:[Tech]])))</f>
        <v>0</v>
      </c>
      <c r="Y150" cm="1">
        <f t="array" ref="Y150">IF(PART_NUMBER_GENERATOR_TABLE[[#This Row],[Work Role]:[Work Role]]&lt;&gt;Y$1,0,
IF(PART_NUMBER_GENERATOR_TABLE[[#This Row],[Work Type]:[Work Type]]&lt;&gt;"BH",0,
SUMIFS(Y$9:Y$24,$M$9:$M$24,PART_NUMBER_GENERATOR_TABLE[[#This Row],[Tech]:[Tech]])))</f>
        <v>0</v>
      </c>
      <c r="Z150" cm="1">
        <f t="array" ref="Z150">IF(PART_NUMBER_GENERATOR_TABLE[[#This Row],[Work Role]:[Work Role]]&lt;&gt;Z$1,0,
IF(PART_NUMBER_GENERATOR_TABLE[[#This Row],[Work Type]:[Work Type]]&lt;&gt;"BH",0,
SUMIFS(Z$9:Z$24,$M$9:$M$24,PART_NUMBER_GENERATOR_TABLE[[#This Row],[Tech]:[Tech]])))</f>
        <v>0</v>
      </c>
      <c r="AA150" cm="1">
        <f t="array" ref="AA150">IF(PART_NUMBER_GENERATOR_TABLE[[#This Row],[Work Role]:[Work Role]]&lt;&gt;AA$1,0,
IF(PART_NUMBER_GENERATOR_TABLE[[#This Row],[Work Type]:[Work Type]]&lt;&gt;"BH",0,
SUMIFS(AA$9:AA$24,$M$9:$M$24,PART_NUMBER_GENERATOR_TABLE[[#This Row],[Tech]:[Tech]])))</f>
        <v>0</v>
      </c>
      <c r="AB150" cm="1">
        <f t="array" ref="AB150">IF(PART_NUMBER_GENERATOR_TABLE[[#This Row],[Work Role]:[Work Role]]&lt;&gt;AB$1,0,
IF(PART_NUMBER_GENERATOR_TABLE[[#This Row],[Work Type]:[Work Type]]&lt;&gt;"BH",0,
SUMIFS(AB$9:AB$24,$M$9:$M$24,PART_NUMBER_GENERATOR_TABLE[[#This Row],[Tech]:[Tech]])))</f>
        <v>0</v>
      </c>
      <c r="AC150" cm="1">
        <f t="array" ref="AC150">IF(PART_NUMBER_GENERATOR_TABLE[[#This Row],[Work Role]:[Work Role]]&lt;&gt;AC$1,0,
IF(PART_NUMBER_GENERATOR_TABLE[[#This Row],[Work Type]:[Work Type]]&lt;&gt;"BH",0,
SUMIFS(AC$9:AC$24,$M$9:$M$24,PART_NUMBER_GENERATOR_TABLE[[#This Row],[Tech]:[Tech]])))</f>
        <v>0</v>
      </c>
      <c r="AD150" cm="1">
        <f t="array" ref="AD150">IF(PART_NUMBER_GENERATOR_TABLE[[#This Row],[Work Role]:[Work Role]]&lt;&gt;AD$1,0,
IF(PART_NUMBER_GENERATOR_TABLE[[#This Row],[Work Type]:[Work Type]]&lt;&gt;"BH",0,
SUMIFS(AD$9:AD$24,$M$9:$M$24,PART_NUMBER_GENERATOR_TABLE[[#This Row],[Tech]:[Tech]])))</f>
        <v>0</v>
      </c>
      <c r="AE150" cm="1">
        <f t="array" ref="AE150">IF(PART_NUMBER_GENERATOR_TABLE[[#This Row],[Work Role]:[Work Role]]&lt;&gt;AE$1,0,
IF(PART_NUMBER_GENERATOR_TABLE[[#This Row],[Work Type]:[Work Type]]&lt;&gt;"BH",0,
SUMIFS(AE$9:AE$24,$M$9:$M$24,PART_NUMBER_GENERATOR_TABLE[[#This Row],[Tech]:[Tech]])))</f>
        <v>0</v>
      </c>
      <c r="AF150" cm="1">
        <f t="array" ref="AF150">IF(PART_NUMBER_GENERATOR_TABLE[[#This Row],[Work Role]:[Work Role]]&lt;&gt;AF$1,0,
IF(PART_NUMBER_GENERATOR_TABLE[[#This Row],[Work Type]:[Work Type]]&lt;&gt;"BH",0,
SUMIFS(AF$9:AF$24,$M$9:$M$24,PART_NUMBER_GENERATOR_TABLE[[#This Row],[Tech]:[Tech]])))</f>
        <v>0</v>
      </c>
      <c r="AG150" cm="1">
        <f t="array" ref="AG150">IF(PART_NUMBER_GENERATOR_TABLE[[#This Row],[Work Role]:[Work Role]]&lt;&gt;AG$1,0,
IF(PART_NUMBER_GENERATOR_TABLE[[#This Row],[Work Type]:[Work Type]]&lt;&gt;"AH",0,
SUMIFS(AG$9:AG$24,$M$9:$M$24,PART_NUMBER_GENERATOR_TABLE[[#This Row],[Tech]:[Tech]])))</f>
        <v>0</v>
      </c>
      <c r="AH150" cm="1">
        <f t="array" ref="AH150">IF(PART_NUMBER_GENERATOR_TABLE[[#This Row],[Work Role]:[Work Role]]&lt;&gt;AH$1,0,
IF(PART_NUMBER_GENERATOR_TABLE[[#This Row],[Work Type]:[Work Type]]&lt;&gt;"BH",0,
SUMIFS(AH$9:AH$24,$M$9:$M$24,PART_NUMBER_GENERATOR_TABLE[[#This Row],[Tech]:[Tech]])))</f>
        <v>0</v>
      </c>
      <c r="AI150" cm="1">
        <f t="array" ref="AI150">IF(PART_NUMBER_GENERATOR_TABLE[[#This Row],[Work Role]:[Work Role]]&lt;&gt;AI$1,0,
IF(PART_NUMBER_GENERATOR_TABLE[[#This Row],[Work Type]:[Work Type]]&lt;&gt;"BH",0,
SUMIFS(AI$9:AI$24,$M$9:$M$24,PART_NUMBER_GENERATOR_TABLE[[#This Row],[Tech]:[Tech]])))</f>
        <v>0</v>
      </c>
      <c r="AJ150" cm="1">
        <f t="array" ref="AJ150">IF(PART_NUMBER_GENERATOR_TABLE[[#This Row],[Work Role]:[Work Role]]&lt;&gt;AJ$1,0,
IF(PART_NUMBER_GENERATOR_TABLE[[#This Row],[Work Type]:[Work Type]]&lt;&gt;"BH",0,
SUMIFS(AJ$9:AJ$24,$M$9:$M$24,PART_NUMBER_GENERATOR_TABLE[[#This Row],[Tech]:[Tech]])))</f>
        <v>0</v>
      </c>
      <c r="AK150" cm="1">
        <f t="array" ref="AK150">IF(PART_NUMBER_GENERATOR_TABLE[[#This Row],[Work Role]:[Work Role]]&lt;&gt;AK$1,0,
IF(PART_NUMBER_GENERATOR_TABLE[[#This Row],[Work Type]:[Work Type]]&lt;&gt;"AH",0,
SUMIFS(AK$9:AK$24,$M$9:$M$24,PART_NUMBER_GENERATOR_TABLE[[#This Row],[Tech]:[Tech]])))</f>
        <v>0</v>
      </c>
      <c r="AL150" cm="1">
        <f t="array" ref="AL150">IF(PART_NUMBER_GENERATOR_TABLE[[#This Row],[Work Role]:[Work Role]]&lt;&gt;AL$1,0,
IF(PART_NUMBER_GENERATOR_TABLE[[#This Row],[Work Type]:[Work Type]]&lt;&gt;"BH",0,
SUMIFS(AL$9:AL$24,$M$9:$M$24,PART_NUMBER_GENERATOR_TABLE[[#This Row],[Tech]:[Tech]])))</f>
        <v>0</v>
      </c>
      <c r="AM150">
        <f>0</f>
        <v>0</v>
      </c>
      <c r="AN150" cm="1">
        <f t="array" ref="AN150">IF(PART_NUMBER_GENERATOR_TABLE[[#This Row],[Work Role]:[Work Role]]&lt;&gt;AN$1,0,
IF(PART_NUMBER_GENERATOR_TABLE[[#This Row],[Work Type]:[Work Type]]&lt;&gt;"BH",0,
SUMIFS(AN$24,$AM$24,PART_NUMBER_GENERATOR_TABLE[[#This Row],[Tech]:[Tech]])))</f>
        <v>0</v>
      </c>
      <c r="AO150" cm="1">
        <f t="array" ref="AO150">IF(PART_NUMBER_GENERATOR_TABLE[[#This Row],[Work Role]:[Work Role]]&lt;&gt;AO$1,0,
IF(PART_NUMBER_GENERATOR_TABLE[[#This Row],[Work Type]:[Work Type]]&lt;&gt;"BH",0,
SUMIFS(AO$24,$AM$24,PART_NUMBER_GENERATOR_TABLE[[#This Row],[Tech]:[Tech]])))</f>
        <v>0</v>
      </c>
      <c r="AP150" cm="1">
        <f t="array" ref="AP150">IF(PART_NUMBER_GENERATOR_TABLE[[#This Row],[Work Role]:[Work Role]]&lt;&gt;AP$1,0,
IF(PART_NUMBER_GENERATOR_TABLE[[#This Row],[Work Type]:[Work Type]]&lt;&gt;"BH",0,
SUMIFS(AP$24,$AM$24,PART_NUMBER_GENERATOR_TABLE[[#This Row],[Tech]:[Tech]])))</f>
        <v>0</v>
      </c>
      <c r="AQ150" cm="1">
        <f t="array" ref="AQ150">IF(PART_NUMBER_GENERATOR_TABLE[[#This Row],[Work Role]:[Work Role]]&lt;&gt;AQ$1,0,
IF(PART_NUMBER_GENERATOR_TABLE[[#This Row],[Work Type]:[Work Type]]&lt;&gt;"BH",0,
SUMIFS(AQ$24,$AM$24,PART_NUMBER_GENERATOR_TABLE[[#This Row],[Tech]:[Tech]])))</f>
        <v>0</v>
      </c>
      <c r="AR150" cm="1">
        <f t="array" ref="AR150">IF(PART_NUMBER_GENERATOR_TABLE[[#This Row],[Work Role]:[Work Role]]&lt;&gt;AR$1,0,
IF(PART_NUMBER_GENERATOR_TABLE[[#This Row],[Work Type]:[Work Type]]&lt;&gt;"BH",0,
SUMIFS(AR$24,$AM$24,PART_NUMBER_GENERATOR_TABLE[[#This Row],[Tech]:[Tech]])))</f>
        <v>0</v>
      </c>
      <c r="AS150" cm="1">
        <f t="array" ref="AS150">IF(PART_NUMBER_GENERATOR_TABLE[[#This Row],[Work Role]:[Work Role]]&lt;&gt;AS$1,0,
IF(PART_NUMBER_GENERATOR_TABLE[[#This Row],[Work Type]:[Work Type]]&lt;&gt;"BH",0,
SUMIFS(AS$24,$AM$24,PART_NUMBER_GENERATOR_TABLE[[#This Row],[Tech]:[Tech]])))</f>
        <v>0</v>
      </c>
      <c r="AT150" cm="1">
        <f t="array" ref="AT150">IF(PART_NUMBER_GENERATOR_TABLE[[#This Row],[Work Role]:[Work Role]]&lt;&gt;AS$1,0,
IF(PART_NUMBER_GENERATOR_TABLE[[#This Row],[Work Type]:[Work Type]]&lt;&gt;"BH",0,
SUMIFS(AT$24,$AM$24,PART_NUMBER_GENERATOR_TABLE[[#This Row],[Tech]:[Tech]])))</f>
        <v>0</v>
      </c>
      <c r="AU150">
        <f>SUM(PART_NUMBER_GENERATOR_TABLE[[#This Row],[Resource 1 BH]:[Resource 5 AH]],PART_NUMBER_GENERATOR_TABLE[[#This Row],[R1 Mandatory Tasks]:[R5 Mandatory Tasks]],PART_NUMBER_GENERATOR_TABLE[[#This Row],[R1 Remainder]:[R5 Remainder]])</f>
        <v>0</v>
      </c>
      <c r="AV150">
        <f>PART_NUMBER_GENERATOR_TABLE[[#This Row],[Professional Engineering Hours]]*PART_NUMBER_GENERATOR_TABLE[[#This Row],[Sell Rate]]</f>
        <v>0</v>
      </c>
      <c r="AW150">
        <f>PART_NUMBER_GENERATOR_TABLE[[#This Row],[Professional Engineering Hours]]*PART_NUMBER_GENERATOR_TABLE[[#This Row],[Cost Rate]]</f>
        <v>0</v>
      </c>
      <c r="AX150">
        <f>SUM(PART_NUMBER_GENERATOR_TABLE[[#This Row],[PM Trips]:[R5 Trips]])</f>
        <v>0</v>
      </c>
      <c r="AY150">
        <f>PART_NUMBER_GENERATOR_TABLE[[#This Row],[Travel &amp; Accommodation Hours]]*PART_NUMBER_GENERATOR_TABLE[[#This Row],[Sell Rate]]</f>
        <v>0</v>
      </c>
      <c r="AZ150">
        <f>PART_NUMBER_GENERATOR_TABLE[[#This Row],[Travel &amp; Accommodation Hours]]*PART_NUMBER_GENERATOR_TABLE[[#This Row],[Cost Rate]]</f>
        <v>0</v>
      </c>
      <c r="BA150">
        <f>PART_NUMBER_GENERATOR_TABLE[[#This Row],[PM Hours]]+PART_NUMBER_GENERATOR_TABLE[[#This Row],[PM Remainder]]</f>
        <v>0</v>
      </c>
      <c r="BB150">
        <f>PART_NUMBER_GENERATOR_TABLE[[#This Row],[Project Management Hours]]*PART_NUMBER_GENERATOR_TABLE[[#This Row],[Sell Rate]]</f>
        <v>0</v>
      </c>
      <c r="BC150">
        <f>PART_NUMBER_GENERATOR_TABLE[[#This Row],[Project Management Hours]]*PART_NUMBER_GENERATOR_TABLE[[#This Row],[Cost Rate]]</f>
        <v>0</v>
      </c>
      <c r="BD150">
        <f>SUM(PART_NUMBER_GENERATOR_TABLE[[#This Row],[SSE RISK BH]:[PM RISK]],PART_NUMBER_GENERATOR_TABLE[[#This Row],[SSE Remainder RISK BH]:[PM Remainder RISK]])</f>
        <v>0</v>
      </c>
      <c r="BE150">
        <f>PART_NUMBER_GENERATOR_TABLE[[#This Row],[Project Risk Service Hours]]*PART_NUMBER_GENERATOR_TABLE[[#This Row],[Sell Rate]]</f>
        <v>0</v>
      </c>
      <c r="BF150">
        <f>PART_NUMBER_GENERATOR_TABLE[[#This Row],[Project Risk Service Hours]]*PART_NUMBER_GENERATOR_TABLE[[#This Row],[Cost Rate]]</f>
        <v>0</v>
      </c>
      <c r="BG150">
        <f>PART_NUMBER_GENERATOR_TABLE[[#This Row],[SSE RISK TRAVEL]]</f>
        <v>0</v>
      </c>
      <c r="BH150">
        <f>PART_NUMBER_GENERATOR_TABLE[[#This Row],[Sell Rate]]*PART_NUMBER_GENERATOR_TABLE[[#This Row],[Project Risk Travel Hours]]</f>
        <v>0</v>
      </c>
      <c r="BI150">
        <f>PART_NUMBER_GENERATOR_TABLE[[#This Row],[Project Risk Travel Hours]]*PART_NUMBER_GENERATOR_TABLE[[#This Row],[Cost Rate]]</f>
        <v>0</v>
      </c>
      <c r="BJ15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5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50">
        <f>IFERROR(-VLOOKUP(INDEX(ENGINEER_ROLES,MATCH(PART_NUMBER_GENERATOR_TABLE[[#This Row],[Work Role]],settings.Table_Engineer.Roles[ID],0),1),Settings_Hidden!$H$359:$K$366,4,FALSE),0)</f>
        <v>0</v>
      </c>
      <c r="BM150" s="680">
        <f>-Summary!$C$66</f>
        <v>0</v>
      </c>
      <c r="BN150" s="465">
        <f>PART_NUMBER_GENERATOR_TABLE[[#This Row],[Total Base Price]]*MIN(PART_NUMBER_GENERATOR_TABLE[[#This Row],[Rate Service Discount]:[Flat Service Discount]])</f>
        <v>0</v>
      </c>
      <c r="BO150" s="451" t="str">
        <f>IF(PART_NUMBER_GENERATOR_TABLE[[#This Row],[Quantity]]&lt;&gt;0,MAX($BO$30:BO149)+1,"")</f>
        <v/>
      </c>
      <c r="BP150" t="str">
        <f>PART_NUMBER_GENERATOR_TABLE[[#This Row],[Part Number]]</f>
        <v>A-PS-C-DATACC-AC-AH</v>
      </c>
      <c r="BQ150">
        <f>PART_NUMBER_GENERATOR_TABLE[[#This Row],[Total Hours]]</f>
        <v>0</v>
      </c>
      <c r="BR150">
        <f>PART_NUMBER_GENERATOR_TABLE[[#This Row],[Cost Rate]]</f>
        <v>251.41552370953494</v>
      </c>
      <c r="BS150" s="465">
        <f>PART_NUMBER_GENERATOR_TABLE[[#This Row],[Sell Rate]]+(PART_NUMBER_GENERATOR_TABLE[[#This Row],[Sell Rate]]*MIN(PART_NUMBER_GENERATOR_TABLE[[#This Row],[Rate Service Discount]:[Flat Service Discount]]))</f>
        <v>472.5</v>
      </c>
    </row>
    <row r="151" spans="1:71">
      <c r="A151">
        <v>121</v>
      </c>
      <c r="C151" t="s">
        <v>956</v>
      </c>
      <c r="D151" t="str" cm="1">
        <f t="array" ref="D151">INDEX(Table.Settings_Skill.List[Skill Name],MATCH(INDEX(_xlfn.TEXTSPLIT(C151,"-",,TRUE),4),Table.Settings_Skill.List[Skill Code],0),1)</f>
        <v>Integrated Health</v>
      </c>
      <c r="E151" t="str" cm="1">
        <f t="array" ref="E151">INDEX(_xlfn.TEXTSPLIT(C151,"-",,TRUE),5)</f>
        <v>SA</v>
      </c>
      <c r="F151" t="str">
        <f>IFERROR(INDEX(settings.Table_Engineer.Roles[Department Code],MATCH(PART_NUMBER_GENERATOR_TABLE[[#This Row],[Work Role]],settings.Table_Engineer.Roles[ID],0),1),"PMO")</f>
        <v>CON</v>
      </c>
      <c r="G151" t="str" cm="1">
        <f t="array" ref="G151">INDEX(_xlfn.TEXTSPLIT(C151,"-",,TRUE),6)</f>
        <v>AH</v>
      </c>
      <c r="H15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5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51" cm="1">
        <f t="array" ref="J151">IF(J$1&lt;&gt;PART_NUMBER_GENERATOR_TABLE[[#This Row],[Work Role]:[Work Role]],0,
IF(RIGHT(J$30,2)&lt;&gt;PART_NUMBER_GENERATOR_TABLE[[#This Row],[Work Type]:[Work Type]],0,
SUMIFS(Input_Tasks[R1 Business Hours],Input_Tasks[[Skill Required]:[Skill Required]],PART_NUMBER_GENERATOR_TABLE[[#This Row],[Tech]:[Tech]])))</f>
        <v>0</v>
      </c>
      <c r="K151" cm="1">
        <f t="array" ref="K151">IF(K$1&lt;&gt;PART_NUMBER_GENERATOR_TABLE[[#This Row],[Work Role]:[Work Role]],0,
IF(RIGHT(K$30,2)&lt;&gt;PART_NUMBER_GENERATOR_TABLE[[#This Row],[Work Type]:[Work Type]],0,
SUMIFS(Input_Tasks[R1 After Hours],Input_Tasks[[Skill Required]:[Skill Required]],PART_NUMBER_GENERATOR_TABLE[[#This Row],[Tech]:[Tech]])))</f>
        <v>0</v>
      </c>
      <c r="L151" cm="1">
        <f t="array" ref="L151">IF(L$1&lt;&gt;PART_NUMBER_GENERATOR_TABLE[[#This Row],[Work Role]:[Work Role]],0,
IF(RIGHT(L$30,2)&lt;&gt;PART_NUMBER_GENERATOR_TABLE[[#This Row],[Work Type]:[Work Type]],0,
SUMIFS(Input_Tasks[R2 Business Hours],Input_Tasks[[Skill Required]:[Skill Required]],PART_NUMBER_GENERATOR_TABLE[[#This Row],[Tech]:[Tech]])))</f>
        <v>0</v>
      </c>
      <c r="M151" cm="1">
        <f t="array" ref="M151">IF(M$1&lt;&gt;PART_NUMBER_GENERATOR_TABLE[[#This Row],[Work Role]:[Work Role]],0,
IF(RIGHT(M$30,2)&lt;&gt;PART_NUMBER_GENERATOR_TABLE[[#This Row],[Work Type]:[Work Type]],0,
SUMIFS(Input_Tasks[R2 After Hours],Input_Tasks[[Skill Required]:[Skill Required]],PART_NUMBER_GENERATOR_TABLE[[#This Row],[Tech]:[Tech]])))</f>
        <v>0</v>
      </c>
      <c r="N151" cm="1">
        <f t="array" ref="N151">IF(N$1&lt;&gt;PART_NUMBER_GENERATOR_TABLE[[#This Row],[Work Role]:[Work Role]],0,
IF(RIGHT(N$30,2)&lt;&gt;PART_NUMBER_GENERATOR_TABLE[[#This Row],[Work Type]:[Work Type]],0,
SUMIFS(Input_Tasks[R3 Business Hours],Input_Tasks[[Skill Required]:[Skill Required]],PART_NUMBER_GENERATOR_TABLE[[#This Row],[Tech]:[Tech]])))</f>
        <v>0</v>
      </c>
      <c r="O151" cm="1">
        <f t="array" ref="O151">IF(O$1&lt;&gt;PART_NUMBER_GENERATOR_TABLE[[#This Row],[Work Role]:[Work Role]],0,
IF(RIGHT(O$30,2)&lt;&gt;PART_NUMBER_GENERATOR_TABLE[[#This Row],[Work Type]:[Work Type]],0,
SUMIFS(Input_Tasks[R3 After Hours],Input_Tasks[[Skill Required]:[Skill Required]],PART_NUMBER_GENERATOR_TABLE[[#This Row],[Tech]:[Tech]])))</f>
        <v>0</v>
      </c>
      <c r="P151" cm="1">
        <f t="array" ref="P151">IF(P$1&lt;&gt;PART_NUMBER_GENERATOR_TABLE[[#This Row],[Work Role]:[Work Role]],0,
IF(RIGHT(P$30,2)&lt;&gt;PART_NUMBER_GENERATOR_TABLE[[#This Row],[Work Type]:[Work Type]],0,
SUMIFS(Input_Tasks[R4 Business Hours],Input_Tasks[[Skill Required]:[Skill Required]],PART_NUMBER_GENERATOR_TABLE[[#This Row],[Tech]:[Tech]])))</f>
        <v>0</v>
      </c>
      <c r="Q151" cm="1">
        <f t="array" ref="Q151">IF(Q$1&lt;&gt;PART_NUMBER_GENERATOR_TABLE[[#This Row],[Work Role]:[Work Role]],0,
IF(RIGHT(Q$30,2)&lt;&gt;PART_NUMBER_GENERATOR_TABLE[[#This Row],[Work Type]:[Work Type]],0,
SUMIFS(Input_Tasks[R4 After Hours],Input_Tasks[[Skill Required]:[Skill Required]],PART_NUMBER_GENERATOR_TABLE[[#This Row],[Tech]:[Tech]])))</f>
        <v>0</v>
      </c>
      <c r="R151" cm="1">
        <f t="array" ref="R151">IF(R$1&lt;&gt;PART_NUMBER_GENERATOR_TABLE[[#This Row],[Work Role]:[Work Role]],0,
IF(RIGHT(R$30,2)&lt;&gt;PART_NUMBER_GENERATOR_TABLE[[#This Row],[Work Type]:[Work Type]],0,
SUMIFS(Input_Tasks[R5 Business Hours],Input_Tasks[[Skill Required]:[Skill Required]],PART_NUMBER_GENERATOR_TABLE[[#This Row],[Tech]:[Tech]])))</f>
        <v>0</v>
      </c>
      <c r="S151" cm="1">
        <f t="array" ref="S151">IF(S$1&lt;&gt;PART_NUMBER_GENERATOR_TABLE[[#This Row],[Work Role]:[Work Role]],0,
IF(RIGHT(S$30,2)&lt;&gt;PART_NUMBER_GENERATOR_TABLE[[#This Row],[Work Type]:[Work Type]],0,
SUMIFS(Input_Tasks[R5 After Hours],Input_Tasks[[Skill Required]:[Skill Required]],PART_NUMBER_GENERATOR_TABLE[[#This Row],[Tech]:[Tech]])))</f>
        <v>0</v>
      </c>
      <c r="T151" cm="1">
        <f t="array" ref="T151">IF(PART_NUMBER_GENERATOR_TABLE[[#This Row],[Work Role]:[Work Role]]&lt;&gt;T$1,0,
IF(PART_NUMBER_GENERATOR_TABLE[[#This Row],[Work Type]:[Work Type]]&lt;&gt;"BH",0,
SUMIFS(T$9:T$24,$M$9:$M$24,PART_NUMBER_GENERATOR_TABLE[[#This Row],[Tech]:[Tech]])))</f>
        <v>0</v>
      </c>
      <c r="U151" cm="1">
        <f t="array" ref="U151">IF(PART_NUMBER_GENERATOR_TABLE[[#This Row],[Work Role]:[Work Role]]&lt;&gt;U$1,0,
IF(PART_NUMBER_GENERATOR_TABLE[[#This Row],[Work Type]:[Work Type]]&lt;&gt;"BH",0,
SUMIFS(U$9:U$24,$M$9:$M$24,PART_NUMBER_GENERATOR_TABLE[[#This Row],[Tech]:[Tech]])))</f>
        <v>0</v>
      </c>
      <c r="V151" cm="1">
        <f t="array" ref="V151">IF(PART_NUMBER_GENERATOR_TABLE[[#This Row],[Work Role]:[Work Role]]&lt;&gt;V$1,0,
IF(PART_NUMBER_GENERATOR_TABLE[[#This Row],[Work Type]:[Work Type]]&lt;&gt;"BH",0,
SUMIFS(V$9:V$24,$M$9:$M$24,PART_NUMBER_GENERATOR_TABLE[[#This Row],[Tech]:[Tech]])))</f>
        <v>0</v>
      </c>
      <c r="W151" cm="1">
        <f t="array" ref="W151">IF(PART_NUMBER_GENERATOR_TABLE[[#This Row],[Work Role]:[Work Role]]&lt;&gt;W$1,0,
IF(PART_NUMBER_GENERATOR_TABLE[[#This Row],[Work Type]:[Work Type]]&lt;&gt;"BH",0,
SUMIFS(W$9:W$24,$M$9:$M$24,PART_NUMBER_GENERATOR_TABLE[[#This Row],[Tech]:[Tech]])))</f>
        <v>0</v>
      </c>
      <c r="X151" cm="1">
        <f t="array" ref="X151">IF(PART_NUMBER_GENERATOR_TABLE[[#This Row],[Work Role]:[Work Role]]&lt;&gt;X$1,0,
IF(PART_NUMBER_GENERATOR_TABLE[[#This Row],[Work Type]:[Work Type]]&lt;&gt;"BH",0,
SUMIFS(X$9:X$24,$M$9:$M$24,PART_NUMBER_GENERATOR_TABLE[[#This Row],[Tech]:[Tech]])))</f>
        <v>0</v>
      </c>
      <c r="Y151" cm="1">
        <f t="array" ref="Y151">IF(PART_NUMBER_GENERATOR_TABLE[[#This Row],[Work Role]:[Work Role]]&lt;&gt;Y$1,0,
IF(PART_NUMBER_GENERATOR_TABLE[[#This Row],[Work Type]:[Work Type]]&lt;&gt;"BH",0,
SUMIFS(Y$9:Y$24,$M$9:$M$24,PART_NUMBER_GENERATOR_TABLE[[#This Row],[Tech]:[Tech]])))</f>
        <v>0</v>
      </c>
      <c r="Z151" cm="1">
        <f t="array" ref="Z151">IF(PART_NUMBER_GENERATOR_TABLE[[#This Row],[Work Role]:[Work Role]]&lt;&gt;Z$1,0,
IF(PART_NUMBER_GENERATOR_TABLE[[#This Row],[Work Type]:[Work Type]]&lt;&gt;"BH",0,
SUMIFS(Z$9:Z$24,$M$9:$M$24,PART_NUMBER_GENERATOR_TABLE[[#This Row],[Tech]:[Tech]])))</f>
        <v>0</v>
      </c>
      <c r="AA151" cm="1">
        <f t="array" ref="AA151">IF(PART_NUMBER_GENERATOR_TABLE[[#This Row],[Work Role]:[Work Role]]&lt;&gt;AA$1,0,
IF(PART_NUMBER_GENERATOR_TABLE[[#This Row],[Work Type]:[Work Type]]&lt;&gt;"BH",0,
SUMIFS(AA$9:AA$24,$M$9:$M$24,PART_NUMBER_GENERATOR_TABLE[[#This Row],[Tech]:[Tech]])))</f>
        <v>0</v>
      </c>
      <c r="AB151" cm="1">
        <f t="array" ref="AB151">IF(PART_NUMBER_GENERATOR_TABLE[[#This Row],[Work Role]:[Work Role]]&lt;&gt;AB$1,0,
IF(PART_NUMBER_GENERATOR_TABLE[[#This Row],[Work Type]:[Work Type]]&lt;&gt;"BH",0,
SUMIFS(AB$9:AB$24,$M$9:$M$24,PART_NUMBER_GENERATOR_TABLE[[#This Row],[Tech]:[Tech]])))</f>
        <v>0</v>
      </c>
      <c r="AC151" cm="1">
        <f t="array" ref="AC151">IF(PART_NUMBER_GENERATOR_TABLE[[#This Row],[Work Role]:[Work Role]]&lt;&gt;AC$1,0,
IF(PART_NUMBER_GENERATOR_TABLE[[#This Row],[Work Type]:[Work Type]]&lt;&gt;"BH",0,
SUMIFS(AC$9:AC$24,$M$9:$M$24,PART_NUMBER_GENERATOR_TABLE[[#This Row],[Tech]:[Tech]])))</f>
        <v>0</v>
      </c>
      <c r="AD151" cm="1">
        <f t="array" ref="AD151">IF(PART_NUMBER_GENERATOR_TABLE[[#This Row],[Work Role]:[Work Role]]&lt;&gt;AD$1,0,
IF(PART_NUMBER_GENERATOR_TABLE[[#This Row],[Work Type]:[Work Type]]&lt;&gt;"BH",0,
SUMIFS(AD$9:AD$24,$M$9:$M$24,PART_NUMBER_GENERATOR_TABLE[[#This Row],[Tech]:[Tech]])))</f>
        <v>0</v>
      </c>
      <c r="AE151" cm="1">
        <f t="array" ref="AE151">IF(PART_NUMBER_GENERATOR_TABLE[[#This Row],[Work Role]:[Work Role]]&lt;&gt;AE$1,0,
IF(PART_NUMBER_GENERATOR_TABLE[[#This Row],[Work Type]:[Work Type]]&lt;&gt;"BH",0,
SUMIFS(AE$9:AE$24,$M$9:$M$24,PART_NUMBER_GENERATOR_TABLE[[#This Row],[Tech]:[Tech]])))</f>
        <v>0</v>
      </c>
      <c r="AF151" cm="1">
        <f t="array" ref="AF151">IF(PART_NUMBER_GENERATOR_TABLE[[#This Row],[Work Role]:[Work Role]]&lt;&gt;AF$1,0,
IF(PART_NUMBER_GENERATOR_TABLE[[#This Row],[Work Type]:[Work Type]]&lt;&gt;"BH",0,
SUMIFS(AF$9:AF$24,$M$9:$M$24,PART_NUMBER_GENERATOR_TABLE[[#This Row],[Tech]:[Tech]])))</f>
        <v>0</v>
      </c>
      <c r="AG151" cm="1">
        <f t="array" ref="AG151">IF(PART_NUMBER_GENERATOR_TABLE[[#This Row],[Work Role]:[Work Role]]&lt;&gt;AG$1,0,
IF(PART_NUMBER_GENERATOR_TABLE[[#This Row],[Work Type]:[Work Type]]&lt;&gt;"AH",0,
SUMIFS(AG$9:AG$24,$M$9:$M$24,PART_NUMBER_GENERATOR_TABLE[[#This Row],[Tech]:[Tech]])))</f>
        <v>0</v>
      </c>
      <c r="AH151" cm="1">
        <f t="array" ref="AH151">IF(PART_NUMBER_GENERATOR_TABLE[[#This Row],[Work Role]:[Work Role]]&lt;&gt;AH$1,0,
IF(PART_NUMBER_GENERATOR_TABLE[[#This Row],[Work Type]:[Work Type]]&lt;&gt;"BH",0,
SUMIFS(AH$9:AH$24,$M$9:$M$24,PART_NUMBER_GENERATOR_TABLE[[#This Row],[Tech]:[Tech]])))</f>
        <v>0</v>
      </c>
      <c r="AI151" cm="1">
        <f t="array" ref="AI151">IF(PART_NUMBER_GENERATOR_TABLE[[#This Row],[Work Role]:[Work Role]]&lt;&gt;AI$1,0,
IF(PART_NUMBER_GENERATOR_TABLE[[#This Row],[Work Type]:[Work Type]]&lt;&gt;"BH",0,
SUMIFS(AI$9:AI$24,$M$9:$M$24,PART_NUMBER_GENERATOR_TABLE[[#This Row],[Tech]:[Tech]])))</f>
        <v>0</v>
      </c>
      <c r="AJ151" cm="1">
        <f t="array" ref="AJ151">IF(PART_NUMBER_GENERATOR_TABLE[[#This Row],[Work Role]:[Work Role]]&lt;&gt;AJ$1,0,
IF(PART_NUMBER_GENERATOR_TABLE[[#This Row],[Work Type]:[Work Type]]&lt;&gt;"BH",0,
SUMIFS(AJ$9:AJ$24,$M$9:$M$24,PART_NUMBER_GENERATOR_TABLE[[#This Row],[Tech]:[Tech]])))</f>
        <v>0</v>
      </c>
      <c r="AK151" cm="1">
        <f t="array" ref="AK151">IF(PART_NUMBER_GENERATOR_TABLE[[#This Row],[Work Role]:[Work Role]]&lt;&gt;AK$1,0,
IF(PART_NUMBER_GENERATOR_TABLE[[#This Row],[Work Type]:[Work Type]]&lt;&gt;"AH",0,
SUMIFS(AK$9:AK$24,$M$9:$M$24,PART_NUMBER_GENERATOR_TABLE[[#This Row],[Tech]:[Tech]])))</f>
        <v>0</v>
      </c>
      <c r="AL151" cm="1">
        <f t="array" ref="AL151">IF(PART_NUMBER_GENERATOR_TABLE[[#This Row],[Work Role]:[Work Role]]&lt;&gt;AL$1,0,
IF(PART_NUMBER_GENERATOR_TABLE[[#This Row],[Work Type]:[Work Type]]&lt;&gt;"BH",0,
SUMIFS(AL$9:AL$24,$M$9:$M$24,PART_NUMBER_GENERATOR_TABLE[[#This Row],[Tech]:[Tech]])))</f>
        <v>0</v>
      </c>
      <c r="AM151">
        <f>0</f>
        <v>0</v>
      </c>
      <c r="AN151" cm="1">
        <f t="array" ref="AN151">IF(PART_NUMBER_GENERATOR_TABLE[[#This Row],[Work Role]:[Work Role]]&lt;&gt;AN$1,0,
IF(PART_NUMBER_GENERATOR_TABLE[[#This Row],[Work Type]:[Work Type]]&lt;&gt;"BH",0,
SUMIFS(AN$24,$AM$24,PART_NUMBER_GENERATOR_TABLE[[#This Row],[Tech]:[Tech]])))</f>
        <v>0</v>
      </c>
      <c r="AO151" cm="1">
        <f t="array" ref="AO151">IF(PART_NUMBER_GENERATOR_TABLE[[#This Row],[Work Role]:[Work Role]]&lt;&gt;AO$1,0,
IF(PART_NUMBER_GENERATOR_TABLE[[#This Row],[Work Type]:[Work Type]]&lt;&gt;"BH",0,
SUMIFS(AO$24,$AM$24,PART_NUMBER_GENERATOR_TABLE[[#This Row],[Tech]:[Tech]])))</f>
        <v>0</v>
      </c>
      <c r="AP151" cm="1">
        <f t="array" ref="AP151">IF(PART_NUMBER_GENERATOR_TABLE[[#This Row],[Work Role]:[Work Role]]&lt;&gt;AP$1,0,
IF(PART_NUMBER_GENERATOR_TABLE[[#This Row],[Work Type]:[Work Type]]&lt;&gt;"BH",0,
SUMIFS(AP$24,$AM$24,PART_NUMBER_GENERATOR_TABLE[[#This Row],[Tech]:[Tech]])))</f>
        <v>0</v>
      </c>
      <c r="AQ151" cm="1">
        <f t="array" ref="AQ151">IF(PART_NUMBER_GENERATOR_TABLE[[#This Row],[Work Role]:[Work Role]]&lt;&gt;AQ$1,0,
IF(PART_NUMBER_GENERATOR_TABLE[[#This Row],[Work Type]:[Work Type]]&lt;&gt;"BH",0,
SUMIFS(AQ$24,$AM$24,PART_NUMBER_GENERATOR_TABLE[[#This Row],[Tech]:[Tech]])))</f>
        <v>0</v>
      </c>
      <c r="AR151" cm="1">
        <f t="array" ref="AR151">IF(PART_NUMBER_GENERATOR_TABLE[[#This Row],[Work Role]:[Work Role]]&lt;&gt;AR$1,0,
IF(PART_NUMBER_GENERATOR_TABLE[[#This Row],[Work Type]:[Work Type]]&lt;&gt;"BH",0,
SUMIFS(AR$24,$AM$24,PART_NUMBER_GENERATOR_TABLE[[#This Row],[Tech]:[Tech]])))</f>
        <v>0</v>
      </c>
      <c r="AS151" cm="1">
        <f t="array" ref="AS151">IF(PART_NUMBER_GENERATOR_TABLE[[#This Row],[Work Role]:[Work Role]]&lt;&gt;AS$1,0,
IF(PART_NUMBER_GENERATOR_TABLE[[#This Row],[Work Type]:[Work Type]]&lt;&gt;"BH",0,
SUMIFS(AS$24,$AM$24,PART_NUMBER_GENERATOR_TABLE[[#This Row],[Tech]:[Tech]])))</f>
        <v>0</v>
      </c>
      <c r="AT151" cm="1">
        <f t="array" ref="AT151">IF(PART_NUMBER_GENERATOR_TABLE[[#This Row],[Work Role]:[Work Role]]&lt;&gt;AS$1,0,
IF(PART_NUMBER_GENERATOR_TABLE[[#This Row],[Work Type]:[Work Type]]&lt;&gt;"BH",0,
SUMIFS(AT$24,$AM$24,PART_NUMBER_GENERATOR_TABLE[[#This Row],[Tech]:[Tech]])))</f>
        <v>0</v>
      </c>
      <c r="AU151">
        <f>SUM(PART_NUMBER_GENERATOR_TABLE[[#This Row],[Resource 1 BH]:[Resource 5 AH]],PART_NUMBER_GENERATOR_TABLE[[#This Row],[R1 Mandatory Tasks]:[R5 Mandatory Tasks]],PART_NUMBER_GENERATOR_TABLE[[#This Row],[R1 Remainder]:[R5 Remainder]])</f>
        <v>0</v>
      </c>
      <c r="AV151">
        <f>PART_NUMBER_GENERATOR_TABLE[[#This Row],[Professional Engineering Hours]]*PART_NUMBER_GENERATOR_TABLE[[#This Row],[Sell Rate]]</f>
        <v>0</v>
      </c>
      <c r="AW151">
        <f>PART_NUMBER_GENERATOR_TABLE[[#This Row],[Professional Engineering Hours]]*PART_NUMBER_GENERATOR_TABLE[[#This Row],[Cost Rate]]</f>
        <v>0</v>
      </c>
      <c r="AX151">
        <f>SUM(PART_NUMBER_GENERATOR_TABLE[[#This Row],[PM Trips]:[R5 Trips]])</f>
        <v>0</v>
      </c>
      <c r="AY151">
        <f>PART_NUMBER_GENERATOR_TABLE[[#This Row],[Travel &amp; Accommodation Hours]]*PART_NUMBER_GENERATOR_TABLE[[#This Row],[Sell Rate]]</f>
        <v>0</v>
      </c>
      <c r="AZ151">
        <f>PART_NUMBER_GENERATOR_TABLE[[#This Row],[Travel &amp; Accommodation Hours]]*PART_NUMBER_GENERATOR_TABLE[[#This Row],[Cost Rate]]</f>
        <v>0</v>
      </c>
      <c r="BA151">
        <f>PART_NUMBER_GENERATOR_TABLE[[#This Row],[PM Hours]]+PART_NUMBER_GENERATOR_TABLE[[#This Row],[PM Remainder]]</f>
        <v>0</v>
      </c>
      <c r="BB151">
        <f>PART_NUMBER_GENERATOR_TABLE[[#This Row],[Project Management Hours]]*PART_NUMBER_GENERATOR_TABLE[[#This Row],[Sell Rate]]</f>
        <v>0</v>
      </c>
      <c r="BC151">
        <f>PART_NUMBER_GENERATOR_TABLE[[#This Row],[Project Management Hours]]*PART_NUMBER_GENERATOR_TABLE[[#This Row],[Cost Rate]]</f>
        <v>0</v>
      </c>
      <c r="BD151">
        <f>SUM(PART_NUMBER_GENERATOR_TABLE[[#This Row],[SSE RISK BH]:[PM RISK]],PART_NUMBER_GENERATOR_TABLE[[#This Row],[SSE Remainder RISK BH]:[PM Remainder RISK]])</f>
        <v>0</v>
      </c>
      <c r="BE151">
        <f>PART_NUMBER_GENERATOR_TABLE[[#This Row],[Project Risk Service Hours]]*PART_NUMBER_GENERATOR_TABLE[[#This Row],[Sell Rate]]</f>
        <v>0</v>
      </c>
      <c r="BF151">
        <f>PART_NUMBER_GENERATOR_TABLE[[#This Row],[Project Risk Service Hours]]*PART_NUMBER_GENERATOR_TABLE[[#This Row],[Cost Rate]]</f>
        <v>0</v>
      </c>
      <c r="BG151">
        <f>PART_NUMBER_GENERATOR_TABLE[[#This Row],[SSE RISK TRAVEL]]</f>
        <v>0</v>
      </c>
      <c r="BH151">
        <f>PART_NUMBER_GENERATOR_TABLE[[#This Row],[Sell Rate]]*PART_NUMBER_GENERATOR_TABLE[[#This Row],[Project Risk Travel Hours]]</f>
        <v>0</v>
      </c>
      <c r="BI151">
        <f>PART_NUMBER_GENERATOR_TABLE[[#This Row],[Project Risk Travel Hours]]*PART_NUMBER_GENERATOR_TABLE[[#This Row],[Cost Rate]]</f>
        <v>0</v>
      </c>
      <c r="BJ15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5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51">
        <f>IFERROR(-VLOOKUP(INDEX(ENGINEER_ROLES,MATCH(PART_NUMBER_GENERATOR_TABLE[[#This Row],[Work Role]],settings.Table_Engineer.Roles[ID],0),1),Settings_Hidden!$H$359:$K$366,4,FALSE),0)</f>
        <v>0</v>
      </c>
      <c r="BM151" s="680">
        <f>-Summary!$C$66</f>
        <v>0</v>
      </c>
      <c r="BN151" s="465">
        <f>PART_NUMBER_GENERATOR_TABLE[[#This Row],[Total Base Price]]*MIN(PART_NUMBER_GENERATOR_TABLE[[#This Row],[Rate Service Discount]:[Flat Service Discount]])</f>
        <v>0</v>
      </c>
      <c r="BO151" s="451" t="str">
        <f>IF(PART_NUMBER_GENERATOR_TABLE[[#This Row],[Quantity]]&lt;&gt;0,MAX($BO$30:BO150)+1,"")</f>
        <v/>
      </c>
      <c r="BP151" t="str">
        <f>PART_NUMBER_GENERATOR_TABLE[[#This Row],[Part Number]]</f>
        <v>A-PS-C-INTHLT-SA-AH</v>
      </c>
      <c r="BQ151">
        <f>PART_NUMBER_GENERATOR_TABLE[[#This Row],[Total Hours]]</f>
        <v>0</v>
      </c>
      <c r="BR151">
        <f>PART_NUMBER_GENERATOR_TABLE[[#This Row],[Cost Rate]]</f>
        <v>251.41552370953494</v>
      </c>
      <c r="BS151" s="465">
        <f>PART_NUMBER_GENERATOR_TABLE[[#This Row],[Sell Rate]]+(PART_NUMBER_GENERATOR_TABLE[[#This Row],[Sell Rate]]*MIN(PART_NUMBER_GENERATOR_TABLE[[#This Row],[Rate Service Discount]:[Flat Service Discount]]))</f>
        <v>472.5</v>
      </c>
    </row>
    <row r="152" spans="1:71">
      <c r="A152">
        <v>122</v>
      </c>
      <c r="C152" t="s">
        <v>948</v>
      </c>
      <c r="D152" t="str" cm="1">
        <f t="array" ref="D152">INDEX(Table.Settings_Skill.List[Skill Name],MATCH(INDEX(_xlfn.TEXTSPLIT(C152,"-",,TRUE),4),Table.Settings_Skill.List[Skill Code],0),1)</f>
        <v>Integrated Health</v>
      </c>
      <c r="E152" t="str" cm="1">
        <f t="array" ref="E152">INDEX(_xlfn.TEXTSPLIT(C152,"-",,TRUE),5)</f>
        <v>SC</v>
      </c>
      <c r="F152" t="str">
        <f>IFERROR(INDEX(settings.Table_Engineer.Roles[Department Code],MATCH(PART_NUMBER_GENERATOR_TABLE[[#This Row],[Work Role]],settings.Table_Engineer.Roles[ID],0),1),"PMO")</f>
        <v>CON</v>
      </c>
      <c r="G152" t="str" cm="1">
        <f t="array" ref="G152">INDEX(_xlfn.TEXTSPLIT(C152,"-",,TRUE),6)</f>
        <v>AH</v>
      </c>
      <c r="H15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5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52" cm="1">
        <f t="array" ref="J152">IF(J$1&lt;&gt;PART_NUMBER_GENERATOR_TABLE[[#This Row],[Work Role]:[Work Role]],0,
IF(RIGHT(J$30,2)&lt;&gt;PART_NUMBER_GENERATOR_TABLE[[#This Row],[Work Type]:[Work Type]],0,
SUMIFS(Input_Tasks[R1 Business Hours],Input_Tasks[[Skill Required]:[Skill Required]],PART_NUMBER_GENERATOR_TABLE[[#This Row],[Tech]:[Tech]])))</f>
        <v>0</v>
      </c>
      <c r="K152" cm="1">
        <f t="array" ref="K152">IF(K$1&lt;&gt;PART_NUMBER_GENERATOR_TABLE[[#This Row],[Work Role]:[Work Role]],0,
IF(RIGHT(K$30,2)&lt;&gt;PART_NUMBER_GENERATOR_TABLE[[#This Row],[Work Type]:[Work Type]],0,
SUMIFS(Input_Tasks[R1 After Hours],Input_Tasks[[Skill Required]:[Skill Required]],PART_NUMBER_GENERATOR_TABLE[[#This Row],[Tech]:[Tech]])))</f>
        <v>0</v>
      </c>
      <c r="L152" cm="1">
        <f t="array" ref="L152">IF(L$1&lt;&gt;PART_NUMBER_GENERATOR_TABLE[[#This Row],[Work Role]:[Work Role]],0,
IF(RIGHT(L$30,2)&lt;&gt;PART_NUMBER_GENERATOR_TABLE[[#This Row],[Work Type]:[Work Type]],0,
SUMIFS(Input_Tasks[R2 Business Hours],Input_Tasks[[Skill Required]:[Skill Required]],PART_NUMBER_GENERATOR_TABLE[[#This Row],[Tech]:[Tech]])))</f>
        <v>0</v>
      </c>
      <c r="M152" cm="1">
        <f t="array" ref="M152">IF(M$1&lt;&gt;PART_NUMBER_GENERATOR_TABLE[[#This Row],[Work Role]:[Work Role]],0,
IF(RIGHT(M$30,2)&lt;&gt;PART_NUMBER_GENERATOR_TABLE[[#This Row],[Work Type]:[Work Type]],0,
SUMIFS(Input_Tasks[R2 After Hours],Input_Tasks[[Skill Required]:[Skill Required]],PART_NUMBER_GENERATOR_TABLE[[#This Row],[Tech]:[Tech]])))</f>
        <v>0</v>
      </c>
      <c r="N152" cm="1">
        <f t="array" ref="N152">IF(N$1&lt;&gt;PART_NUMBER_GENERATOR_TABLE[[#This Row],[Work Role]:[Work Role]],0,
IF(RIGHT(N$30,2)&lt;&gt;PART_NUMBER_GENERATOR_TABLE[[#This Row],[Work Type]:[Work Type]],0,
SUMIFS(Input_Tasks[R3 Business Hours],Input_Tasks[[Skill Required]:[Skill Required]],PART_NUMBER_GENERATOR_TABLE[[#This Row],[Tech]:[Tech]])))</f>
        <v>0</v>
      </c>
      <c r="O152" cm="1">
        <f t="array" ref="O152">IF(O$1&lt;&gt;PART_NUMBER_GENERATOR_TABLE[[#This Row],[Work Role]:[Work Role]],0,
IF(RIGHT(O$30,2)&lt;&gt;PART_NUMBER_GENERATOR_TABLE[[#This Row],[Work Type]:[Work Type]],0,
SUMIFS(Input_Tasks[R3 After Hours],Input_Tasks[[Skill Required]:[Skill Required]],PART_NUMBER_GENERATOR_TABLE[[#This Row],[Tech]:[Tech]])))</f>
        <v>0</v>
      </c>
      <c r="P152" cm="1">
        <f t="array" ref="P152">IF(P$1&lt;&gt;PART_NUMBER_GENERATOR_TABLE[[#This Row],[Work Role]:[Work Role]],0,
IF(RIGHT(P$30,2)&lt;&gt;PART_NUMBER_GENERATOR_TABLE[[#This Row],[Work Type]:[Work Type]],0,
SUMIFS(Input_Tasks[R4 Business Hours],Input_Tasks[[Skill Required]:[Skill Required]],PART_NUMBER_GENERATOR_TABLE[[#This Row],[Tech]:[Tech]])))</f>
        <v>0</v>
      </c>
      <c r="Q152" cm="1">
        <f t="array" ref="Q152">IF(Q$1&lt;&gt;PART_NUMBER_GENERATOR_TABLE[[#This Row],[Work Role]:[Work Role]],0,
IF(RIGHT(Q$30,2)&lt;&gt;PART_NUMBER_GENERATOR_TABLE[[#This Row],[Work Type]:[Work Type]],0,
SUMIFS(Input_Tasks[R4 After Hours],Input_Tasks[[Skill Required]:[Skill Required]],PART_NUMBER_GENERATOR_TABLE[[#This Row],[Tech]:[Tech]])))</f>
        <v>0</v>
      </c>
      <c r="R152" cm="1">
        <f t="array" ref="R152">IF(R$1&lt;&gt;PART_NUMBER_GENERATOR_TABLE[[#This Row],[Work Role]:[Work Role]],0,
IF(RIGHT(R$30,2)&lt;&gt;PART_NUMBER_GENERATOR_TABLE[[#This Row],[Work Type]:[Work Type]],0,
SUMIFS(Input_Tasks[R5 Business Hours],Input_Tasks[[Skill Required]:[Skill Required]],PART_NUMBER_GENERATOR_TABLE[[#This Row],[Tech]:[Tech]])))</f>
        <v>0</v>
      </c>
      <c r="S152" cm="1">
        <f t="array" ref="S152">IF(S$1&lt;&gt;PART_NUMBER_GENERATOR_TABLE[[#This Row],[Work Role]:[Work Role]],0,
IF(RIGHT(S$30,2)&lt;&gt;PART_NUMBER_GENERATOR_TABLE[[#This Row],[Work Type]:[Work Type]],0,
SUMIFS(Input_Tasks[R5 After Hours],Input_Tasks[[Skill Required]:[Skill Required]],PART_NUMBER_GENERATOR_TABLE[[#This Row],[Tech]:[Tech]])))</f>
        <v>0</v>
      </c>
      <c r="T152" cm="1">
        <f t="array" ref="T152">IF(PART_NUMBER_GENERATOR_TABLE[[#This Row],[Work Role]:[Work Role]]&lt;&gt;T$1,0,
IF(PART_NUMBER_GENERATOR_TABLE[[#This Row],[Work Type]:[Work Type]]&lt;&gt;"BH",0,
SUMIFS(T$9:T$24,$M$9:$M$24,PART_NUMBER_GENERATOR_TABLE[[#This Row],[Tech]:[Tech]])))</f>
        <v>0</v>
      </c>
      <c r="U152" cm="1">
        <f t="array" ref="U152">IF(PART_NUMBER_GENERATOR_TABLE[[#This Row],[Work Role]:[Work Role]]&lt;&gt;U$1,0,
IF(PART_NUMBER_GENERATOR_TABLE[[#This Row],[Work Type]:[Work Type]]&lt;&gt;"BH",0,
SUMIFS(U$9:U$24,$M$9:$M$24,PART_NUMBER_GENERATOR_TABLE[[#This Row],[Tech]:[Tech]])))</f>
        <v>0</v>
      </c>
      <c r="V152" cm="1">
        <f t="array" ref="V152">IF(PART_NUMBER_GENERATOR_TABLE[[#This Row],[Work Role]:[Work Role]]&lt;&gt;V$1,0,
IF(PART_NUMBER_GENERATOR_TABLE[[#This Row],[Work Type]:[Work Type]]&lt;&gt;"BH",0,
SUMIFS(V$9:V$24,$M$9:$M$24,PART_NUMBER_GENERATOR_TABLE[[#This Row],[Tech]:[Tech]])))</f>
        <v>0</v>
      </c>
      <c r="W152" cm="1">
        <f t="array" ref="W152">IF(PART_NUMBER_GENERATOR_TABLE[[#This Row],[Work Role]:[Work Role]]&lt;&gt;W$1,0,
IF(PART_NUMBER_GENERATOR_TABLE[[#This Row],[Work Type]:[Work Type]]&lt;&gt;"BH",0,
SUMIFS(W$9:W$24,$M$9:$M$24,PART_NUMBER_GENERATOR_TABLE[[#This Row],[Tech]:[Tech]])))</f>
        <v>0</v>
      </c>
      <c r="X152" cm="1">
        <f t="array" ref="X152">IF(PART_NUMBER_GENERATOR_TABLE[[#This Row],[Work Role]:[Work Role]]&lt;&gt;X$1,0,
IF(PART_NUMBER_GENERATOR_TABLE[[#This Row],[Work Type]:[Work Type]]&lt;&gt;"BH",0,
SUMIFS(X$9:X$24,$M$9:$M$24,PART_NUMBER_GENERATOR_TABLE[[#This Row],[Tech]:[Tech]])))</f>
        <v>0</v>
      </c>
      <c r="Y152" cm="1">
        <f t="array" ref="Y152">IF(PART_NUMBER_GENERATOR_TABLE[[#This Row],[Work Role]:[Work Role]]&lt;&gt;Y$1,0,
IF(PART_NUMBER_GENERATOR_TABLE[[#This Row],[Work Type]:[Work Type]]&lt;&gt;"BH",0,
SUMIFS(Y$9:Y$24,$M$9:$M$24,PART_NUMBER_GENERATOR_TABLE[[#This Row],[Tech]:[Tech]])))</f>
        <v>0</v>
      </c>
      <c r="Z152" cm="1">
        <f t="array" ref="Z152">IF(PART_NUMBER_GENERATOR_TABLE[[#This Row],[Work Role]:[Work Role]]&lt;&gt;Z$1,0,
IF(PART_NUMBER_GENERATOR_TABLE[[#This Row],[Work Type]:[Work Type]]&lt;&gt;"BH",0,
SUMIFS(Z$9:Z$24,$M$9:$M$24,PART_NUMBER_GENERATOR_TABLE[[#This Row],[Tech]:[Tech]])))</f>
        <v>0</v>
      </c>
      <c r="AA152" cm="1">
        <f t="array" ref="AA152">IF(PART_NUMBER_GENERATOR_TABLE[[#This Row],[Work Role]:[Work Role]]&lt;&gt;AA$1,0,
IF(PART_NUMBER_GENERATOR_TABLE[[#This Row],[Work Type]:[Work Type]]&lt;&gt;"BH",0,
SUMIFS(AA$9:AA$24,$M$9:$M$24,PART_NUMBER_GENERATOR_TABLE[[#This Row],[Tech]:[Tech]])))</f>
        <v>0</v>
      </c>
      <c r="AB152" cm="1">
        <f t="array" ref="AB152">IF(PART_NUMBER_GENERATOR_TABLE[[#This Row],[Work Role]:[Work Role]]&lt;&gt;AB$1,0,
IF(PART_NUMBER_GENERATOR_TABLE[[#This Row],[Work Type]:[Work Type]]&lt;&gt;"BH",0,
SUMIFS(AB$9:AB$24,$M$9:$M$24,PART_NUMBER_GENERATOR_TABLE[[#This Row],[Tech]:[Tech]])))</f>
        <v>0</v>
      </c>
      <c r="AC152" cm="1">
        <f t="array" ref="AC152">IF(PART_NUMBER_GENERATOR_TABLE[[#This Row],[Work Role]:[Work Role]]&lt;&gt;AC$1,0,
IF(PART_NUMBER_GENERATOR_TABLE[[#This Row],[Work Type]:[Work Type]]&lt;&gt;"BH",0,
SUMIFS(AC$9:AC$24,$M$9:$M$24,PART_NUMBER_GENERATOR_TABLE[[#This Row],[Tech]:[Tech]])))</f>
        <v>0</v>
      </c>
      <c r="AD152" cm="1">
        <f t="array" ref="AD152">IF(PART_NUMBER_GENERATOR_TABLE[[#This Row],[Work Role]:[Work Role]]&lt;&gt;AD$1,0,
IF(PART_NUMBER_GENERATOR_TABLE[[#This Row],[Work Type]:[Work Type]]&lt;&gt;"BH",0,
SUMIFS(AD$9:AD$24,$M$9:$M$24,PART_NUMBER_GENERATOR_TABLE[[#This Row],[Tech]:[Tech]])))</f>
        <v>0</v>
      </c>
      <c r="AE152" cm="1">
        <f t="array" ref="AE152">IF(PART_NUMBER_GENERATOR_TABLE[[#This Row],[Work Role]:[Work Role]]&lt;&gt;AE$1,0,
IF(PART_NUMBER_GENERATOR_TABLE[[#This Row],[Work Type]:[Work Type]]&lt;&gt;"BH",0,
SUMIFS(AE$9:AE$24,$M$9:$M$24,PART_NUMBER_GENERATOR_TABLE[[#This Row],[Tech]:[Tech]])))</f>
        <v>0</v>
      </c>
      <c r="AF152" cm="1">
        <f t="array" ref="AF152">IF(PART_NUMBER_GENERATOR_TABLE[[#This Row],[Work Role]:[Work Role]]&lt;&gt;AF$1,0,
IF(PART_NUMBER_GENERATOR_TABLE[[#This Row],[Work Type]:[Work Type]]&lt;&gt;"BH",0,
SUMIFS(AF$9:AF$24,$M$9:$M$24,PART_NUMBER_GENERATOR_TABLE[[#This Row],[Tech]:[Tech]])))</f>
        <v>0</v>
      </c>
      <c r="AG152" cm="1">
        <f t="array" ref="AG152">IF(PART_NUMBER_GENERATOR_TABLE[[#This Row],[Work Role]:[Work Role]]&lt;&gt;AG$1,0,
IF(PART_NUMBER_GENERATOR_TABLE[[#This Row],[Work Type]:[Work Type]]&lt;&gt;"AH",0,
SUMIFS(AG$9:AG$24,$M$9:$M$24,PART_NUMBER_GENERATOR_TABLE[[#This Row],[Tech]:[Tech]])))</f>
        <v>0</v>
      </c>
      <c r="AH152" cm="1">
        <f t="array" ref="AH152">IF(PART_NUMBER_GENERATOR_TABLE[[#This Row],[Work Role]:[Work Role]]&lt;&gt;AH$1,0,
IF(PART_NUMBER_GENERATOR_TABLE[[#This Row],[Work Type]:[Work Type]]&lt;&gt;"BH",0,
SUMIFS(AH$9:AH$24,$M$9:$M$24,PART_NUMBER_GENERATOR_TABLE[[#This Row],[Tech]:[Tech]])))</f>
        <v>0</v>
      </c>
      <c r="AI152" cm="1">
        <f t="array" ref="AI152">IF(PART_NUMBER_GENERATOR_TABLE[[#This Row],[Work Role]:[Work Role]]&lt;&gt;AI$1,0,
IF(PART_NUMBER_GENERATOR_TABLE[[#This Row],[Work Type]:[Work Type]]&lt;&gt;"BH",0,
SUMIFS(AI$9:AI$24,$M$9:$M$24,PART_NUMBER_GENERATOR_TABLE[[#This Row],[Tech]:[Tech]])))</f>
        <v>0</v>
      </c>
      <c r="AJ152" cm="1">
        <f t="array" ref="AJ152">IF(PART_NUMBER_GENERATOR_TABLE[[#This Row],[Work Role]:[Work Role]]&lt;&gt;AJ$1,0,
IF(PART_NUMBER_GENERATOR_TABLE[[#This Row],[Work Type]:[Work Type]]&lt;&gt;"BH",0,
SUMIFS(AJ$9:AJ$24,$M$9:$M$24,PART_NUMBER_GENERATOR_TABLE[[#This Row],[Tech]:[Tech]])))</f>
        <v>0</v>
      </c>
      <c r="AK152" cm="1">
        <f t="array" ref="AK152">IF(PART_NUMBER_GENERATOR_TABLE[[#This Row],[Work Role]:[Work Role]]&lt;&gt;AK$1,0,
IF(PART_NUMBER_GENERATOR_TABLE[[#This Row],[Work Type]:[Work Type]]&lt;&gt;"AH",0,
SUMIFS(AK$9:AK$24,$M$9:$M$24,PART_NUMBER_GENERATOR_TABLE[[#This Row],[Tech]:[Tech]])))</f>
        <v>0</v>
      </c>
      <c r="AL152" cm="1">
        <f t="array" ref="AL152">IF(PART_NUMBER_GENERATOR_TABLE[[#This Row],[Work Role]:[Work Role]]&lt;&gt;AL$1,0,
IF(PART_NUMBER_GENERATOR_TABLE[[#This Row],[Work Type]:[Work Type]]&lt;&gt;"BH",0,
SUMIFS(AL$9:AL$24,$M$9:$M$24,PART_NUMBER_GENERATOR_TABLE[[#This Row],[Tech]:[Tech]])))</f>
        <v>0</v>
      </c>
      <c r="AM152">
        <f>0</f>
        <v>0</v>
      </c>
      <c r="AN152" cm="1">
        <f t="array" ref="AN152">IF(PART_NUMBER_GENERATOR_TABLE[[#This Row],[Work Role]:[Work Role]]&lt;&gt;AN$1,0,
IF(PART_NUMBER_GENERATOR_TABLE[[#This Row],[Work Type]:[Work Type]]&lt;&gt;"BH",0,
SUMIFS(AN$24,$AM$24,PART_NUMBER_GENERATOR_TABLE[[#This Row],[Tech]:[Tech]])))</f>
        <v>0</v>
      </c>
      <c r="AO152" cm="1">
        <f t="array" ref="AO152">IF(PART_NUMBER_GENERATOR_TABLE[[#This Row],[Work Role]:[Work Role]]&lt;&gt;AO$1,0,
IF(PART_NUMBER_GENERATOR_TABLE[[#This Row],[Work Type]:[Work Type]]&lt;&gt;"BH",0,
SUMIFS(AO$24,$AM$24,PART_NUMBER_GENERATOR_TABLE[[#This Row],[Tech]:[Tech]])))</f>
        <v>0</v>
      </c>
      <c r="AP152" cm="1">
        <f t="array" ref="AP152">IF(PART_NUMBER_GENERATOR_TABLE[[#This Row],[Work Role]:[Work Role]]&lt;&gt;AP$1,0,
IF(PART_NUMBER_GENERATOR_TABLE[[#This Row],[Work Type]:[Work Type]]&lt;&gt;"BH",0,
SUMIFS(AP$24,$AM$24,PART_NUMBER_GENERATOR_TABLE[[#This Row],[Tech]:[Tech]])))</f>
        <v>0</v>
      </c>
      <c r="AQ152" cm="1">
        <f t="array" ref="AQ152">IF(PART_NUMBER_GENERATOR_TABLE[[#This Row],[Work Role]:[Work Role]]&lt;&gt;AQ$1,0,
IF(PART_NUMBER_GENERATOR_TABLE[[#This Row],[Work Type]:[Work Type]]&lt;&gt;"BH",0,
SUMIFS(AQ$24,$AM$24,PART_NUMBER_GENERATOR_TABLE[[#This Row],[Tech]:[Tech]])))</f>
        <v>0</v>
      </c>
      <c r="AR152" cm="1">
        <f t="array" ref="AR152">IF(PART_NUMBER_GENERATOR_TABLE[[#This Row],[Work Role]:[Work Role]]&lt;&gt;AR$1,0,
IF(PART_NUMBER_GENERATOR_TABLE[[#This Row],[Work Type]:[Work Type]]&lt;&gt;"BH",0,
SUMIFS(AR$24,$AM$24,PART_NUMBER_GENERATOR_TABLE[[#This Row],[Tech]:[Tech]])))</f>
        <v>0</v>
      </c>
      <c r="AS152" cm="1">
        <f t="array" ref="AS152">IF(PART_NUMBER_GENERATOR_TABLE[[#This Row],[Work Role]:[Work Role]]&lt;&gt;AS$1,0,
IF(PART_NUMBER_GENERATOR_TABLE[[#This Row],[Work Type]:[Work Type]]&lt;&gt;"BH",0,
SUMIFS(AS$24,$AM$24,PART_NUMBER_GENERATOR_TABLE[[#This Row],[Tech]:[Tech]])))</f>
        <v>0</v>
      </c>
      <c r="AT152" cm="1">
        <f t="array" ref="AT152">IF(PART_NUMBER_GENERATOR_TABLE[[#This Row],[Work Role]:[Work Role]]&lt;&gt;AS$1,0,
IF(PART_NUMBER_GENERATOR_TABLE[[#This Row],[Work Type]:[Work Type]]&lt;&gt;"BH",0,
SUMIFS(AT$24,$AM$24,PART_NUMBER_GENERATOR_TABLE[[#This Row],[Tech]:[Tech]])))</f>
        <v>0</v>
      </c>
      <c r="AU152">
        <f>SUM(PART_NUMBER_GENERATOR_TABLE[[#This Row],[Resource 1 BH]:[Resource 5 AH]],PART_NUMBER_GENERATOR_TABLE[[#This Row],[R1 Mandatory Tasks]:[R5 Mandatory Tasks]],PART_NUMBER_GENERATOR_TABLE[[#This Row],[R1 Remainder]:[R5 Remainder]])</f>
        <v>0</v>
      </c>
      <c r="AV152">
        <f>PART_NUMBER_GENERATOR_TABLE[[#This Row],[Professional Engineering Hours]]*PART_NUMBER_GENERATOR_TABLE[[#This Row],[Sell Rate]]</f>
        <v>0</v>
      </c>
      <c r="AW152">
        <f>PART_NUMBER_GENERATOR_TABLE[[#This Row],[Professional Engineering Hours]]*PART_NUMBER_GENERATOR_TABLE[[#This Row],[Cost Rate]]</f>
        <v>0</v>
      </c>
      <c r="AX152">
        <f>SUM(PART_NUMBER_GENERATOR_TABLE[[#This Row],[PM Trips]:[R5 Trips]])</f>
        <v>0</v>
      </c>
      <c r="AY152">
        <f>PART_NUMBER_GENERATOR_TABLE[[#This Row],[Travel &amp; Accommodation Hours]]*PART_NUMBER_GENERATOR_TABLE[[#This Row],[Sell Rate]]</f>
        <v>0</v>
      </c>
      <c r="AZ152">
        <f>PART_NUMBER_GENERATOR_TABLE[[#This Row],[Travel &amp; Accommodation Hours]]*PART_NUMBER_GENERATOR_TABLE[[#This Row],[Cost Rate]]</f>
        <v>0</v>
      </c>
      <c r="BA152">
        <f>PART_NUMBER_GENERATOR_TABLE[[#This Row],[PM Hours]]+PART_NUMBER_GENERATOR_TABLE[[#This Row],[PM Remainder]]</f>
        <v>0</v>
      </c>
      <c r="BB152">
        <f>PART_NUMBER_GENERATOR_TABLE[[#This Row],[Project Management Hours]]*PART_NUMBER_GENERATOR_TABLE[[#This Row],[Sell Rate]]</f>
        <v>0</v>
      </c>
      <c r="BC152">
        <f>PART_NUMBER_GENERATOR_TABLE[[#This Row],[Project Management Hours]]*PART_NUMBER_GENERATOR_TABLE[[#This Row],[Cost Rate]]</f>
        <v>0</v>
      </c>
      <c r="BD152">
        <f>SUM(PART_NUMBER_GENERATOR_TABLE[[#This Row],[SSE RISK BH]:[PM RISK]],PART_NUMBER_GENERATOR_TABLE[[#This Row],[SSE Remainder RISK BH]:[PM Remainder RISK]])</f>
        <v>0</v>
      </c>
      <c r="BE152">
        <f>PART_NUMBER_GENERATOR_TABLE[[#This Row],[Project Risk Service Hours]]*PART_NUMBER_GENERATOR_TABLE[[#This Row],[Sell Rate]]</f>
        <v>0</v>
      </c>
      <c r="BF152">
        <f>PART_NUMBER_GENERATOR_TABLE[[#This Row],[Project Risk Service Hours]]*PART_NUMBER_GENERATOR_TABLE[[#This Row],[Cost Rate]]</f>
        <v>0</v>
      </c>
      <c r="BG152">
        <f>PART_NUMBER_GENERATOR_TABLE[[#This Row],[SSE RISK TRAVEL]]</f>
        <v>0</v>
      </c>
      <c r="BH152">
        <f>PART_NUMBER_GENERATOR_TABLE[[#This Row],[Sell Rate]]*PART_NUMBER_GENERATOR_TABLE[[#This Row],[Project Risk Travel Hours]]</f>
        <v>0</v>
      </c>
      <c r="BI152">
        <f>PART_NUMBER_GENERATOR_TABLE[[#This Row],[Project Risk Travel Hours]]*PART_NUMBER_GENERATOR_TABLE[[#This Row],[Cost Rate]]</f>
        <v>0</v>
      </c>
      <c r="BJ15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5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52">
        <f>IFERROR(-VLOOKUP(INDEX(ENGINEER_ROLES,MATCH(PART_NUMBER_GENERATOR_TABLE[[#This Row],[Work Role]],settings.Table_Engineer.Roles[ID],0),1),Settings_Hidden!$H$359:$K$366,4,FALSE),0)</f>
        <v>0</v>
      </c>
      <c r="BM152" s="680">
        <f>-Summary!$C$66</f>
        <v>0</v>
      </c>
      <c r="BN152" s="465">
        <f>PART_NUMBER_GENERATOR_TABLE[[#This Row],[Total Base Price]]*MIN(PART_NUMBER_GENERATOR_TABLE[[#This Row],[Rate Service Discount]:[Flat Service Discount]])</f>
        <v>0</v>
      </c>
      <c r="BO152" s="451" t="str">
        <f>IF(PART_NUMBER_GENERATOR_TABLE[[#This Row],[Quantity]]&lt;&gt;0,MAX($BO$30:BO151)+1,"")</f>
        <v/>
      </c>
      <c r="BP152" t="str">
        <f>PART_NUMBER_GENERATOR_TABLE[[#This Row],[Part Number]]</f>
        <v>A-PS-C-INTHLT-SC-AH</v>
      </c>
      <c r="BQ152">
        <f>PART_NUMBER_GENERATOR_TABLE[[#This Row],[Total Hours]]</f>
        <v>0</v>
      </c>
      <c r="BR152">
        <f>PART_NUMBER_GENERATOR_TABLE[[#This Row],[Cost Rate]]</f>
        <v>251.41552370953494</v>
      </c>
      <c r="BS152" s="465">
        <f>PART_NUMBER_GENERATOR_TABLE[[#This Row],[Sell Rate]]+(PART_NUMBER_GENERATOR_TABLE[[#This Row],[Sell Rate]]*MIN(PART_NUMBER_GENERATOR_TABLE[[#This Row],[Rate Service Discount]:[Flat Service Discount]]))</f>
        <v>472.5</v>
      </c>
    </row>
    <row r="153" spans="1:71">
      <c r="A153">
        <v>123</v>
      </c>
      <c r="C153" t="s">
        <v>940</v>
      </c>
      <c r="D153" t="str" cm="1">
        <f t="array" ref="D153">INDEX(Table.Settings_Skill.List[Skill Name],MATCH(INDEX(_xlfn.TEXTSPLIT(C153,"-",,TRUE),4),Table.Settings_Skill.List[Skill Code],0),1)</f>
        <v>Integrated Health</v>
      </c>
      <c r="E153" t="str" cm="1">
        <f t="array" ref="E153">INDEX(_xlfn.TEXTSPLIT(C153,"-",,TRUE),5)</f>
        <v>AC</v>
      </c>
      <c r="F153" t="str">
        <f>IFERROR(INDEX(settings.Table_Engineer.Roles[Department Code],MATCH(PART_NUMBER_GENERATOR_TABLE[[#This Row],[Work Role]],settings.Table_Engineer.Roles[ID],0),1),"PMO")</f>
        <v>CON</v>
      </c>
      <c r="G153" t="str" cm="1">
        <f t="array" ref="G153">INDEX(_xlfn.TEXTSPLIT(C153,"-",,TRUE),6)</f>
        <v>AH</v>
      </c>
      <c r="H15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5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53" cm="1">
        <f t="array" ref="J153">IF(J$1&lt;&gt;PART_NUMBER_GENERATOR_TABLE[[#This Row],[Work Role]:[Work Role]],0,
IF(RIGHT(J$30,2)&lt;&gt;PART_NUMBER_GENERATOR_TABLE[[#This Row],[Work Type]:[Work Type]],0,
SUMIFS(Input_Tasks[R1 Business Hours],Input_Tasks[[Skill Required]:[Skill Required]],PART_NUMBER_GENERATOR_TABLE[[#This Row],[Tech]:[Tech]])))</f>
        <v>0</v>
      </c>
      <c r="K153" cm="1">
        <f t="array" ref="K153">IF(K$1&lt;&gt;PART_NUMBER_GENERATOR_TABLE[[#This Row],[Work Role]:[Work Role]],0,
IF(RIGHT(K$30,2)&lt;&gt;PART_NUMBER_GENERATOR_TABLE[[#This Row],[Work Type]:[Work Type]],0,
SUMIFS(Input_Tasks[R1 After Hours],Input_Tasks[[Skill Required]:[Skill Required]],PART_NUMBER_GENERATOR_TABLE[[#This Row],[Tech]:[Tech]])))</f>
        <v>0</v>
      </c>
      <c r="L153" cm="1">
        <f t="array" ref="L153">IF(L$1&lt;&gt;PART_NUMBER_GENERATOR_TABLE[[#This Row],[Work Role]:[Work Role]],0,
IF(RIGHT(L$30,2)&lt;&gt;PART_NUMBER_GENERATOR_TABLE[[#This Row],[Work Type]:[Work Type]],0,
SUMIFS(Input_Tasks[R2 Business Hours],Input_Tasks[[Skill Required]:[Skill Required]],PART_NUMBER_GENERATOR_TABLE[[#This Row],[Tech]:[Tech]])))</f>
        <v>0</v>
      </c>
      <c r="M153" cm="1">
        <f t="array" ref="M153">IF(M$1&lt;&gt;PART_NUMBER_GENERATOR_TABLE[[#This Row],[Work Role]:[Work Role]],0,
IF(RIGHT(M$30,2)&lt;&gt;PART_NUMBER_GENERATOR_TABLE[[#This Row],[Work Type]:[Work Type]],0,
SUMIFS(Input_Tasks[R2 After Hours],Input_Tasks[[Skill Required]:[Skill Required]],PART_NUMBER_GENERATOR_TABLE[[#This Row],[Tech]:[Tech]])))</f>
        <v>0</v>
      </c>
      <c r="N153" cm="1">
        <f t="array" ref="N153">IF(N$1&lt;&gt;PART_NUMBER_GENERATOR_TABLE[[#This Row],[Work Role]:[Work Role]],0,
IF(RIGHT(N$30,2)&lt;&gt;PART_NUMBER_GENERATOR_TABLE[[#This Row],[Work Type]:[Work Type]],0,
SUMIFS(Input_Tasks[R3 Business Hours],Input_Tasks[[Skill Required]:[Skill Required]],PART_NUMBER_GENERATOR_TABLE[[#This Row],[Tech]:[Tech]])))</f>
        <v>0</v>
      </c>
      <c r="O153" cm="1">
        <f t="array" ref="O153">IF(O$1&lt;&gt;PART_NUMBER_GENERATOR_TABLE[[#This Row],[Work Role]:[Work Role]],0,
IF(RIGHT(O$30,2)&lt;&gt;PART_NUMBER_GENERATOR_TABLE[[#This Row],[Work Type]:[Work Type]],0,
SUMIFS(Input_Tasks[R3 After Hours],Input_Tasks[[Skill Required]:[Skill Required]],PART_NUMBER_GENERATOR_TABLE[[#This Row],[Tech]:[Tech]])))</f>
        <v>0</v>
      </c>
      <c r="P153" cm="1">
        <f t="array" ref="P153">IF(P$1&lt;&gt;PART_NUMBER_GENERATOR_TABLE[[#This Row],[Work Role]:[Work Role]],0,
IF(RIGHT(P$30,2)&lt;&gt;PART_NUMBER_GENERATOR_TABLE[[#This Row],[Work Type]:[Work Type]],0,
SUMIFS(Input_Tasks[R4 Business Hours],Input_Tasks[[Skill Required]:[Skill Required]],PART_NUMBER_GENERATOR_TABLE[[#This Row],[Tech]:[Tech]])))</f>
        <v>0</v>
      </c>
      <c r="Q153" cm="1">
        <f t="array" ref="Q153">IF(Q$1&lt;&gt;PART_NUMBER_GENERATOR_TABLE[[#This Row],[Work Role]:[Work Role]],0,
IF(RIGHT(Q$30,2)&lt;&gt;PART_NUMBER_GENERATOR_TABLE[[#This Row],[Work Type]:[Work Type]],0,
SUMIFS(Input_Tasks[R4 After Hours],Input_Tasks[[Skill Required]:[Skill Required]],PART_NUMBER_GENERATOR_TABLE[[#This Row],[Tech]:[Tech]])))</f>
        <v>0</v>
      </c>
      <c r="R153" cm="1">
        <f t="array" ref="R153">IF(R$1&lt;&gt;PART_NUMBER_GENERATOR_TABLE[[#This Row],[Work Role]:[Work Role]],0,
IF(RIGHT(R$30,2)&lt;&gt;PART_NUMBER_GENERATOR_TABLE[[#This Row],[Work Type]:[Work Type]],0,
SUMIFS(Input_Tasks[R5 Business Hours],Input_Tasks[[Skill Required]:[Skill Required]],PART_NUMBER_GENERATOR_TABLE[[#This Row],[Tech]:[Tech]])))</f>
        <v>0</v>
      </c>
      <c r="S153" cm="1">
        <f t="array" ref="S153">IF(S$1&lt;&gt;PART_NUMBER_GENERATOR_TABLE[[#This Row],[Work Role]:[Work Role]],0,
IF(RIGHT(S$30,2)&lt;&gt;PART_NUMBER_GENERATOR_TABLE[[#This Row],[Work Type]:[Work Type]],0,
SUMIFS(Input_Tasks[R5 After Hours],Input_Tasks[[Skill Required]:[Skill Required]],PART_NUMBER_GENERATOR_TABLE[[#This Row],[Tech]:[Tech]])))</f>
        <v>0</v>
      </c>
      <c r="T153" cm="1">
        <f t="array" ref="T153">IF(PART_NUMBER_GENERATOR_TABLE[[#This Row],[Work Role]:[Work Role]]&lt;&gt;T$1,0,
IF(PART_NUMBER_GENERATOR_TABLE[[#This Row],[Work Type]:[Work Type]]&lt;&gt;"BH",0,
SUMIFS(T$9:T$24,$M$9:$M$24,PART_NUMBER_GENERATOR_TABLE[[#This Row],[Tech]:[Tech]])))</f>
        <v>0</v>
      </c>
      <c r="U153" cm="1">
        <f t="array" ref="U153">IF(PART_NUMBER_GENERATOR_TABLE[[#This Row],[Work Role]:[Work Role]]&lt;&gt;U$1,0,
IF(PART_NUMBER_GENERATOR_TABLE[[#This Row],[Work Type]:[Work Type]]&lt;&gt;"BH",0,
SUMIFS(U$9:U$24,$M$9:$M$24,PART_NUMBER_GENERATOR_TABLE[[#This Row],[Tech]:[Tech]])))</f>
        <v>0</v>
      </c>
      <c r="V153" cm="1">
        <f t="array" ref="V153">IF(PART_NUMBER_GENERATOR_TABLE[[#This Row],[Work Role]:[Work Role]]&lt;&gt;V$1,0,
IF(PART_NUMBER_GENERATOR_TABLE[[#This Row],[Work Type]:[Work Type]]&lt;&gt;"BH",0,
SUMIFS(V$9:V$24,$M$9:$M$24,PART_NUMBER_GENERATOR_TABLE[[#This Row],[Tech]:[Tech]])))</f>
        <v>0</v>
      </c>
      <c r="W153" cm="1">
        <f t="array" ref="W153">IF(PART_NUMBER_GENERATOR_TABLE[[#This Row],[Work Role]:[Work Role]]&lt;&gt;W$1,0,
IF(PART_NUMBER_GENERATOR_TABLE[[#This Row],[Work Type]:[Work Type]]&lt;&gt;"BH",0,
SUMIFS(W$9:W$24,$M$9:$M$24,PART_NUMBER_GENERATOR_TABLE[[#This Row],[Tech]:[Tech]])))</f>
        <v>0</v>
      </c>
      <c r="X153" cm="1">
        <f t="array" ref="X153">IF(PART_NUMBER_GENERATOR_TABLE[[#This Row],[Work Role]:[Work Role]]&lt;&gt;X$1,0,
IF(PART_NUMBER_GENERATOR_TABLE[[#This Row],[Work Type]:[Work Type]]&lt;&gt;"BH",0,
SUMIFS(X$9:X$24,$M$9:$M$24,PART_NUMBER_GENERATOR_TABLE[[#This Row],[Tech]:[Tech]])))</f>
        <v>0</v>
      </c>
      <c r="Y153" cm="1">
        <f t="array" ref="Y153">IF(PART_NUMBER_GENERATOR_TABLE[[#This Row],[Work Role]:[Work Role]]&lt;&gt;Y$1,0,
IF(PART_NUMBER_GENERATOR_TABLE[[#This Row],[Work Type]:[Work Type]]&lt;&gt;"BH",0,
SUMIFS(Y$9:Y$24,$M$9:$M$24,PART_NUMBER_GENERATOR_TABLE[[#This Row],[Tech]:[Tech]])))</f>
        <v>0</v>
      </c>
      <c r="Z153" cm="1">
        <f t="array" ref="Z153">IF(PART_NUMBER_GENERATOR_TABLE[[#This Row],[Work Role]:[Work Role]]&lt;&gt;Z$1,0,
IF(PART_NUMBER_GENERATOR_TABLE[[#This Row],[Work Type]:[Work Type]]&lt;&gt;"BH",0,
SUMIFS(Z$9:Z$24,$M$9:$M$24,PART_NUMBER_GENERATOR_TABLE[[#This Row],[Tech]:[Tech]])))</f>
        <v>0</v>
      </c>
      <c r="AA153" cm="1">
        <f t="array" ref="AA153">IF(PART_NUMBER_GENERATOR_TABLE[[#This Row],[Work Role]:[Work Role]]&lt;&gt;AA$1,0,
IF(PART_NUMBER_GENERATOR_TABLE[[#This Row],[Work Type]:[Work Type]]&lt;&gt;"BH",0,
SUMIFS(AA$9:AA$24,$M$9:$M$24,PART_NUMBER_GENERATOR_TABLE[[#This Row],[Tech]:[Tech]])))</f>
        <v>0</v>
      </c>
      <c r="AB153" cm="1">
        <f t="array" ref="AB153">IF(PART_NUMBER_GENERATOR_TABLE[[#This Row],[Work Role]:[Work Role]]&lt;&gt;AB$1,0,
IF(PART_NUMBER_GENERATOR_TABLE[[#This Row],[Work Type]:[Work Type]]&lt;&gt;"BH",0,
SUMIFS(AB$9:AB$24,$M$9:$M$24,PART_NUMBER_GENERATOR_TABLE[[#This Row],[Tech]:[Tech]])))</f>
        <v>0</v>
      </c>
      <c r="AC153" cm="1">
        <f t="array" ref="AC153">IF(PART_NUMBER_GENERATOR_TABLE[[#This Row],[Work Role]:[Work Role]]&lt;&gt;AC$1,0,
IF(PART_NUMBER_GENERATOR_TABLE[[#This Row],[Work Type]:[Work Type]]&lt;&gt;"BH",0,
SUMIFS(AC$9:AC$24,$M$9:$M$24,PART_NUMBER_GENERATOR_TABLE[[#This Row],[Tech]:[Tech]])))</f>
        <v>0</v>
      </c>
      <c r="AD153" cm="1">
        <f t="array" ref="AD153">IF(PART_NUMBER_GENERATOR_TABLE[[#This Row],[Work Role]:[Work Role]]&lt;&gt;AD$1,0,
IF(PART_NUMBER_GENERATOR_TABLE[[#This Row],[Work Type]:[Work Type]]&lt;&gt;"BH",0,
SUMIFS(AD$9:AD$24,$M$9:$M$24,PART_NUMBER_GENERATOR_TABLE[[#This Row],[Tech]:[Tech]])))</f>
        <v>0</v>
      </c>
      <c r="AE153" cm="1">
        <f t="array" ref="AE153">IF(PART_NUMBER_GENERATOR_TABLE[[#This Row],[Work Role]:[Work Role]]&lt;&gt;AE$1,0,
IF(PART_NUMBER_GENERATOR_TABLE[[#This Row],[Work Type]:[Work Type]]&lt;&gt;"BH",0,
SUMIFS(AE$9:AE$24,$M$9:$M$24,PART_NUMBER_GENERATOR_TABLE[[#This Row],[Tech]:[Tech]])))</f>
        <v>0</v>
      </c>
      <c r="AF153" cm="1">
        <f t="array" ref="AF153">IF(PART_NUMBER_GENERATOR_TABLE[[#This Row],[Work Role]:[Work Role]]&lt;&gt;AF$1,0,
IF(PART_NUMBER_GENERATOR_TABLE[[#This Row],[Work Type]:[Work Type]]&lt;&gt;"BH",0,
SUMIFS(AF$9:AF$24,$M$9:$M$24,PART_NUMBER_GENERATOR_TABLE[[#This Row],[Tech]:[Tech]])))</f>
        <v>0</v>
      </c>
      <c r="AG153" cm="1">
        <f t="array" ref="AG153">IF(PART_NUMBER_GENERATOR_TABLE[[#This Row],[Work Role]:[Work Role]]&lt;&gt;AG$1,0,
IF(PART_NUMBER_GENERATOR_TABLE[[#This Row],[Work Type]:[Work Type]]&lt;&gt;"AH",0,
SUMIFS(AG$9:AG$24,$M$9:$M$24,PART_NUMBER_GENERATOR_TABLE[[#This Row],[Tech]:[Tech]])))</f>
        <v>0</v>
      </c>
      <c r="AH153" cm="1">
        <f t="array" ref="AH153">IF(PART_NUMBER_GENERATOR_TABLE[[#This Row],[Work Role]:[Work Role]]&lt;&gt;AH$1,0,
IF(PART_NUMBER_GENERATOR_TABLE[[#This Row],[Work Type]:[Work Type]]&lt;&gt;"BH",0,
SUMIFS(AH$9:AH$24,$M$9:$M$24,PART_NUMBER_GENERATOR_TABLE[[#This Row],[Tech]:[Tech]])))</f>
        <v>0</v>
      </c>
      <c r="AI153" cm="1">
        <f t="array" ref="AI153">IF(PART_NUMBER_GENERATOR_TABLE[[#This Row],[Work Role]:[Work Role]]&lt;&gt;AI$1,0,
IF(PART_NUMBER_GENERATOR_TABLE[[#This Row],[Work Type]:[Work Type]]&lt;&gt;"BH",0,
SUMIFS(AI$9:AI$24,$M$9:$M$24,PART_NUMBER_GENERATOR_TABLE[[#This Row],[Tech]:[Tech]])))</f>
        <v>0</v>
      </c>
      <c r="AJ153" cm="1">
        <f t="array" ref="AJ153">IF(PART_NUMBER_GENERATOR_TABLE[[#This Row],[Work Role]:[Work Role]]&lt;&gt;AJ$1,0,
IF(PART_NUMBER_GENERATOR_TABLE[[#This Row],[Work Type]:[Work Type]]&lt;&gt;"BH",0,
SUMIFS(AJ$9:AJ$24,$M$9:$M$24,PART_NUMBER_GENERATOR_TABLE[[#This Row],[Tech]:[Tech]])))</f>
        <v>0</v>
      </c>
      <c r="AK153" cm="1">
        <f t="array" ref="AK153">IF(PART_NUMBER_GENERATOR_TABLE[[#This Row],[Work Role]:[Work Role]]&lt;&gt;AK$1,0,
IF(PART_NUMBER_GENERATOR_TABLE[[#This Row],[Work Type]:[Work Type]]&lt;&gt;"AH",0,
SUMIFS(AK$9:AK$24,$M$9:$M$24,PART_NUMBER_GENERATOR_TABLE[[#This Row],[Tech]:[Tech]])))</f>
        <v>0</v>
      </c>
      <c r="AL153" cm="1">
        <f t="array" ref="AL153">IF(PART_NUMBER_GENERATOR_TABLE[[#This Row],[Work Role]:[Work Role]]&lt;&gt;AL$1,0,
IF(PART_NUMBER_GENERATOR_TABLE[[#This Row],[Work Type]:[Work Type]]&lt;&gt;"BH",0,
SUMIFS(AL$9:AL$24,$M$9:$M$24,PART_NUMBER_GENERATOR_TABLE[[#This Row],[Tech]:[Tech]])))</f>
        <v>0</v>
      </c>
      <c r="AM153">
        <f>0</f>
        <v>0</v>
      </c>
      <c r="AN153" cm="1">
        <f t="array" ref="AN153">IF(PART_NUMBER_GENERATOR_TABLE[[#This Row],[Work Role]:[Work Role]]&lt;&gt;AN$1,0,
IF(PART_NUMBER_GENERATOR_TABLE[[#This Row],[Work Type]:[Work Type]]&lt;&gt;"BH",0,
SUMIFS(AN$24,$AM$24,PART_NUMBER_GENERATOR_TABLE[[#This Row],[Tech]:[Tech]])))</f>
        <v>0</v>
      </c>
      <c r="AO153" cm="1">
        <f t="array" ref="AO153">IF(PART_NUMBER_GENERATOR_TABLE[[#This Row],[Work Role]:[Work Role]]&lt;&gt;AO$1,0,
IF(PART_NUMBER_GENERATOR_TABLE[[#This Row],[Work Type]:[Work Type]]&lt;&gt;"BH",0,
SUMIFS(AO$24,$AM$24,PART_NUMBER_GENERATOR_TABLE[[#This Row],[Tech]:[Tech]])))</f>
        <v>0</v>
      </c>
      <c r="AP153" cm="1">
        <f t="array" ref="AP153">IF(PART_NUMBER_GENERATOR_TABLE[[#This Row],[Work Role]:[Work Role]]&lt;&gt;AP$1,0,
IF(PART_NUMBER_GENERATOR_TABLE[[#This Row],[Work Type]:[Work Type]]&lt;&gt;"BH",0,
SUMIFS(AP$24,$AM$24,PART_NUMBER_GENERATOR_TABLE[[#This Row],[Tech]:[Tech]])))</f>
        <v>0</v>
      </c>
      <c r="AQ153" cm="1">
        <f t="array" ref="AQ153">IF(PART_NUMBER_GENERATOR_TABLE[[#This Row],[Work Role]:[Work Role]]&lt;&gt;AQ$1,0,
IF(PART_NUMBER_GENERATOR_TABLE[[#This Row],[Work Type]:[Work Type]]&lt;&gt;"BH",0,
SUMIFS(AQ$24,$AM$24,PART_NUMBER_GENERATOR_TABLE[[#This Row],[Tech]:[Tech]])))</f>
        <v>0</v>
      </c>
      <c r="AR153" cm="1">
        <f t="array" ref="AR153">IF(PART_NUMBER_GENERATOR_TABLE[[#This Row],[Work Role]:[Work Role]]&lt;&gt;AR$1,0,
IF(PART_NUMBER_GENERATOR_TABLE[[#This Row],[Work Type]:[Work Type]]&lt;&gt;"BH",0,
SUMIFS(AR$24,$AM$24,PART_NUMBER_GENERATOR_TABLE[[#This Row],[Tech]:[Tech]])))</f>
        <v>0</v>
      </c>
      <c r="AS153" cm="1">
        <f t="array" ref="AS153">IF(PART_NUMBER_GENERATOR_TABLE[[#This Row],[Work Role]:[Work Role]]&lt;&gt;AS$1,0,
IF(PART_NUMBER_GENERATOR_TABLE[[#This Row],[Work Type]:[Work Type]]&lt;&gt;"BH",0,
SUMIFS(AS$24,$AM$24,PART_NUMBER_GENERATOR_TABLE[[#This Row],[Tech]:[Tech]])))</f>
        <v>0</v>
      </c>
      <c r="AT153" cm="1">
        <f t="array" ref="AT153">IF(PART_NUMBER_GENERATOR_TABLE[[#This Row],[Work Role]:[Work Role]]&lt;&gt;AS$1,0,
IF(PART_NUMBER_GENERATOR_TABLE[[#This Row],[Work Type]:[Work Type]]&lt;&gt;"BH",0,
SUMIFS(AT$24,$AM$24,PART_NUMBER_GENERATOR_TABLE[[#This Row],[Tech]:[Tech]])))</f>
        <v>0</v>
      </c>
      <c r="AU153">
        <f>SUM(PART_NUMBER_GENERATOR_TABLE[[#This Row],[Resource 1 BH]:[Resource 5 AH]],PART_NUMBER_GENERATOR_TABLE[[#This Row],[R1 Mandatory Tasks]:[R5 Mandatory Tasks]],PART_NUMBER_GENERATOR_TABLE[[#This Row],[R1 Remainder]:[R5 Remainder]])</f>
        <v>0</v>
      </c>
      <c r="AV153">
        <f>PART_NUMBER_GENERATOR_TABLE[[#This Row],[Professional Engineering Hours]]*PART_NUMBER_GENERATOR_TABLE[[#This Row],[Sell Rate]]</f>
        <v>0</v>
      </c>
      <c r="AW153">
        <f>PART_NUMBER_GENERATOR_TABLE[[#This Row],[Professional Engineering Hours]]*PART_NUMBER_GENERATOR_TABLE[[#This Row],[Cost Rate]]</f>
        <v>0</v>
      </c>
      <c r="AX153">
        <f>SUM(PART_NUMBER_GENERATOR_TABLE[[#This Row],[PM Trips]:[R5 Trips]])</f>
        <v>0</v>
      </c>
      <c r="AY153">
        <f>PART_NUMBER_GENERATOR_TABLE[[#This Row],[Travel &amp; Accommodation Hours]]*PART_NUMBER_GENERATOR_TABLE[[#This Row],[Sell Rate]]</f>
        <v>0</v>
      </c>
      <c r="AZ153">
        <f>PART_NUMBER_GENERATOR_TABLE[[#This Row],[Travel &amp; Accommodation Hours]]*PART_NUMBER_GENERATOR_TABLE[[#This Row],[Cost Rate]]</f>
        <v>0</v>
      </c>
      <c r="BA153">
        <f>PART_NUMBER_GENERATOR_TABLE[[#This Row],[PM Hours]]+PART_NUMBER_GENERATOR_TABLE[[#This Row],[PM Remainder]]</f>
        <v>0</v>
      </c>
      <c r="BB153">
        <f>PART_NUMBER_GENERATOR_TABLE[[#This Row],[Project Management Hours]]*PART_NUMBER_GENERATOR_TABLE[[#This Row],[Sell Rate]]</f>
        <v>0</v>
      </c>
      <c r="BC153">
        <f>PART_NUMBER_GENERATOR_TABLE[[#This Row],[Project Management Hours]]*PART_NUMBER_GENERATOR_TABLE[[#This Row],[Cost Rate]]</f>
        <v>0</v>
      </c>
      <c r="BD153">
        <f>SUM(PART_NUMBER_GENERATOR_TABLE[[#This Row],[SSE RISK BH]:[PM RISK]],PART_NUMBER_GENERATOR_TABLE[[#This Row],[SSE Remainder RISK BH]:[PM Remainder RISK]])</f>
        <v>0</v>
      </c>
      <c r="BE153">
        <f>PART_NUMBER_GENERATOR_TABLE[[#This Row],[Project Risk Service Hours]]*PART_NUMBER_GENERATOR_TABLE[[#This Row],[Sell Rate]]</f>
        <v>0</v>
      </c>
      <c r="BF153">
        <f>PART_NUMBER_GENERATOR_TABLE[[#This Row],[Project Risk Service Hours]]*PART_NUMBER_GENERATOR_TABLE[[#This Row],[Cost Rate]]</f>
        <v>0</v>
      </c>
      <c r="BG153">
        <f>PART_NUMBER_GENERATOR_TABLE[[#This Row],[SSE RISK TRAVEL]]</f>
        <v>0</v>
      </c>
      <c r="BH153">
        <f>PART_NUMBER_GENERATOR_TABLE[[#This Row],[Sell Rate]]*PART_NUMBER_GENERATOR_TABLE[[#This Row],[Project Risk Travel Hours]]</f>
        <v>0</v>
      </c>
      <c r="BI153">
        <f>PART_NUMBER_GENERATOR_TABLE[[#This Row],[Project Risk Travel Hours]]*PART_NUMBER_GENERATOR_TABLE[[#This Row],[Cost Rate]]</f>
        <v>0</v>
      </c>
      <c r="BJ15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5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53">
        <f>IFERROR(-VLOOKUP(INDEX(ENGINEER_ROLES,MATCH(PART_NUMBER_GENERATOR_TABLE[[#This Row],[Work Role]],settings.Table_Engineer.Roles[ID],0),1),Settings_Hidden!$H$359:$K$366,4,FALSE),0)</f>
        <v>0</v>
      </c>
      <c r="BM153" s="680">
        <f>-Summary!$C$66</f>
        <v>0</v>
      </c>
      <c r="BN153" s="465">
        <f>PART_NUMBER_GENERATOR_TABLE[[#This Row],[Total Base Price]]*MIN(PART_NUMBER_GENERATOR_TABLE[[#This Row],[Rate Service Discount]:[Flat Service Discount]])</f>
        <v>0</v>
      </c>
      <c r="BO153" s="451" t="str">
        <f>IF(PART_NUMBER_GENERATOR_TABLE[[#This Row],[Quantity]]&lt;&gt;0,MAX($BO$30:BO152)+1,"")</f>
        <v/>
      </c>
      <c r="BP153" t="str">
        <f>PART_NUMBER_GENERATOR_TABLE[[#This Row],[Part Number]]</f>
        <v>A-PS-C-INTHLT-AC-AH</v>
      </c>
      <c r="BQ153">
        <f>PART_NUMBER_GENERATOR_TABLE[[#This Row],[Total Hours]]</f>
        <v>0</v>
      </c>
      <c r="BR153">
        <f>PART_NUMBER_GENERATOR_TABLE[[#This Row],[Cost Rate]]</f>
        <v>251.41552370953494</v>
      </c>
      <c r="BS153" s="465">
        <f>PART_NUMBER_GENERATOR_TABLE[[#This Row],[Sell Rate]]+(PART_NUMBER_GENERATOR_TABLE[[#This Row],[Sell Rate]]*MIN(PART_NUMBER_GENERATOR_TABLE[[#This Row],[Rate Service Discount]:[Flat Service Discount]]))</f>
        <v>472.5</v>
      </c>
    </row>
    <row r="154" spans="1:71">
      <c r="A154">
        <v>124</v>
      </c>
      <c r="C154" t="s">
        <v>982</v>
      </c>
      <c r="D154" t="str" cm="1">
        <f t="array" ref="D154">INDEX(Table.Settings_Skill.List[Skill Name],MATCH(INDEX(_xlfn.TEXTSPLIT(C154,"-",,TRUE),4),Table.Settings_Skill.List[Skill Code],0),1)</f>
        <v>Networking</v>
      </c>
      <c r="E154" t="str" cm="1">
        <f t="array" ref="E154">INDEX(_xlfn.TEXTSPLIT(C154,"-",,TRUE),5)</f>
        <v>SA</v>
      </c>
      <c r="F154" t="str">
        <f>IFERROR(INDEX(settings.Table_Engineer.Roles[Department Code],MATCH(PART_NUMBER_GENERATOR_TABLE[[#This Row],[Work Role]],settings.Table_Engineer.Roles[ID],0),1),"PMO")</f>
        <v>CON</v>
      </c>
      <c r="G154" t="str" cm="1">
        <f t="array" ref="G154">INDEX(_xlfn.TEXTSPLIT(C154,"-",,TRUE),6)</f>
        <v>AH</v>
      </c>
      <c r="H15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5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54" cm="1">
        <f t="array" ref="J154">IF(J$1&lt;&gt;PART_NUMBER_GENERATOR_TABLE[[#This Row],[Work Role]:[Work Role]],0,
IF(RIGHT(J$30,2)&lt;&gt;PART_NUMBER_GENERATOR_TABLE[[#This Row],[Work Type]:[Work Type]],0,
SUMIFS(Input_Tasks[R1 Business Hours],Input_Tasks[[Skill Required]:[Skill Required]],PART_NUMBER_GENERATOR_TABLE[[#This Row],[Tech]:[Tech]])))</f>
        <v>0</v>
      </c>
      <c r="K154" cm="1">
        <f t="array" ref="K154">IF(K$1&lt;&gt;PART_NUMBER_GENERATOR_TABLE[[#This Row],[Work Role]:[Work Role]],0,
IF(RIGHT(K$30,2)&lt;&gt;PART_NUMBER_GENERATOR_TABLE[[#This Row],[Work Type]:[Work Type]],0,
SUMIFS(Input_Tasks[R1 After Hours],Input_Tasks[[Skill Required]:[Skill Required]],PART_NUMBER_GENERATOR_TABLE[[#This Row],[Tech]:[Tech]])))</f>
        <v>0</v>
      </c>
      <c r="L154" cm="1">
        <f t="array" ref="L154">IF(L$1&lt;&gt;PART_NUMBER_GENERATOR_TABLE[[#This Row],[Work Role]:[Work Role]],0,
IF(RIGHT(L$30,2)&lt;&gt;PART_NUMBER_GENERATOR_TABLE[[#This Row],[Work Type]:[Work Type]],0,
SUMIFS(Input_Tasks[R2 Business Hours],Input_Tasks[[Skill Required]:[Skill Required]],PART_NUMBER_GENERATOR_TABLE[[#This Row],[Tech]:[Tech]])))</f>
        <v>0</v>
      </c>
      <c r="M154" cm="1">
        <f t="array" ref="M154">IF(M$1&lt;&gt;PART_NUMBER_GENERATOR_TABLE[[#This Row],[Work Role]:[Work Role]],0,
IF(RIGHT(M$30,2)&lt;&gt;PART_NUMBER_GENERATOR_TABLE[[#This Row],[Work Type]:[Work Type]],0,
SUMIFS(Input_Tasks[R2 After Hours],Input_Tasks[[Skill Required]:[Skill Required]],PART_NUMBER_GENERATOR_TABLE[[#This Row],[Tech]:[Tech]])))</f>
        <v>0</v>
      </c>
      <c r="N154" cm="1">
        <f t="array" ref="N154">IF(N$1&lt;&gt;PART_NUMBER_GENERATOR_TABLE[[#This Row],[Work Role]:[Work Role]],0,
IF(RIGHT(N$30,2)&lt;&gt;PART_NUMBER_GENERATOR_TABLE[[#This Row],[Work Type]:[Work Type]],0,
SUMIFS(Input_Tasks[R3 Business Hours],Input_Tasks[[Skill Required]:[Skill Required]],PART_NUMBER_GENERATOR_TABLE[[#This Row],[Tech]:[Tech]])))</f>
        <v>0</v>
      </c>
      <c r="O154" cm="1">
        <f t="array" ref="O154">IF(O$1&lt;&gt;PART_NUMBER_GENERATOR_TABLE[[#This Row],[Work Role]:[Work Role]],0,
IF(RIGHT(O$30,2)&lt;&gt;PART_NUMBER_GENERATOR_TABLE[[#This Row],[Work Type]:[Work Type]],0,
SUMIFS(Input_Tasks[R3 After Hours],Input_Tasks[[Skill Required]:[Skill Required]],PART_NUMBER_GENERATOR_TABLE[[#This Row],[Tech]:[Tech]])))</f>
        <v>0</v>
      </c>
      <c r="P154" cm="1">
        <f t="array" ref="P154">IF(P$1&lt;&gt;PART_NUMBER_GENERATOR_TABLE[[#This Row],[Work Role]:[Work Role]],0,
IF(RIGHT(P$30,2)&lt;&gt;PART_NUMBER_GENERATOR_TABLE[[#This Row],[Work Type]:[Work Type]],0,
SUMIFS(Input_Tasks[R4 Business Hours],Input_Tasks[[Skill Required]:[Skill Required]],PART_NUMBER_GENERATOR_TABLE[[#This Row],[Tech]:[Tech]])))</f>
        <v>0</v>
      </c>
      <c r="Q154" cm="1">
        <f t="array" ref="Q154">IF(Q$1&lt;&gt;PART_NUMBER_GENERATOR_TABLE[[#This Row],[Work Role]:[Work Role]],0,
IF(RIGHT(Q$30,2)&lt;&gt;PART_NUMBER_GENERATOR_TABLE[[#This Row],[Work Type]:[Work Type]],0,
SUMIFS(Input_Tasks[R4 After Hours],Input_Tasks[[Skill Required]:[Skill Required]],PART_NUMBER_GENERATOR_TABLE[[#This Row],[Tech]:[Tech]])))</f>
        <v>0</v>
      </c>
      <c r="R154" cm="1">
        <f t="array" ref="R154">IF(R$1&lt;&gt;PART_NUMBER_GENERATOR_TABLE[[#This Row],[Work Role]:[Work Role]],0,
IF(RIGHT(R$30,2)&lt;&gt;PART_NUMBER_GENERATOR_TABLE[[#This Row],[Work Type]:[Work Type]],0,
SUMIFS(Input_Tasks[R5 Business Hours],Input_Tasks[[Skill Required]:[Skill Required]],PART_NUMBER_GENERATOR_TABLE[[#This Row],[Tech]:[Tech]])))</f>
        <v>0</v>
      </c>
      <c r="S154" cm="1">
        <f t="array" ref="S154">IF(S$1&lt;&gt;PART_NUMBER_GENERATOR_TABLE[[#This Row],[Work Role]:[Work Role]],0,
IF(RIGHT(S$30,2)&lt;&gt;PART_NUMBER_GENERATOR_TABLE[[#This Row],[Work Type]:[Work Type]],0,
SUMIFS(Input_Tasks[R5 After Hours],Input_Tasks[[Skill Required]:[Skill Required]],PART_NUMBER_GENERATOR_TABLE[[#This Row],[Tech]:[Tech]])))</f>
        <v>0</v>
      </c>
      <c r="T154" cm="1">
        <f t="array" ref="T154">IF(PART_NUMBER_GENERATOR_TABLE[[#This Row],[Work Role]:[Work Role]]&lt;&gt;T$1,0,
IF(PART_NUMBER_GENERATOR_TABLE[[#This Row],[Work Type]:[Work Type]]&lt;&gt;"BH",0,
SUMIFS(T$9:T$24,$M$9:$M$24,PART_NUMBER_GENERATOR_TABLE[[#This Row],[Tech]:[Tech]])))</f>
        <v>0</v>
      </c>
      <c r="U154" cm="1">
        <f t="array" ref="U154">IF(PART_NUMBER_GENERATOR_TABLE[[#This Row],[Work Role]:[Work Role]]&lt;&gt;U$1,0,
IF(PART_NUMBER_GENERATOR_TABLE[[#This Row],[Work Type]:[Work Type]]&lt;&gt;"BH",0,
SUMIFS(U$9:U$24,$M$9:$M$24,PART_NUMBER_GENERATOR_TABLE[[#This Row],[Tech]:[Tech]])))</f>
        <v>0</v>
      </c>
      <c r="V154" cm="1">
        <f t="array" ref="V154">IF(PART_NUMBER_GENERATOR_TABLE[[#This Row],[Work Role]:[Work Role]]&lt;&gt;V$1,0,
IF(PART_NUMBER_GENERATOR_TABLE[[#This Row],[Work Type]:[Work Type]]&lt;&gt;"BH",0,
SUMIFS(V$9:V$24,$M$9:$M$24,PART_NUMBER_GENERATOR_TABLE[[#This Row],[Tech]:[Tech]])))</f>
        <v>0</v>
      </c>
      <c r="W154" cm="1">
        <f t="array" ref="W154">IF(PART_NUMBER_GENERATOR_TABLE[[#This Row],[Work Role]:[Work Role]]&lt;&gt;W$1,0,
IF(PART_NUMBER_GENERATOR_TABLE[[#This Row],[Work Type]:[Work Type]]&lt;&gt;"BH",0,
SUMIFS(W$9:W$24,$M$9:$M$24,PART_NUMBER_GENERATOR_TABLE[[#This Row],[Tech]:[Tech]])))</f>
        <v>0</v>
      </c>
      <c r="X154" cm="1">
        <f t="array" ref="X154">IF(PART_NUMBER_GENERATOR_TABLE[[#This Row],[Work Role]:[Work Role]]&lt;&gt;X$1,0,
IF(PART_NUMBER_GENERATOR_TABLE[[#This Row],[Work Type]:[Work Type]]&lt;&gt;"BH",0,
SUMIFS(X$9:X$24,$M$9:$M$24,PART_NUMBER_GENERATOR_TABLE[[#This Row],[Tech]:[Tech]])))</f>
        <v>0</v>
      </c>
      <c r="Y154" cm="1">
        <f t="array" ref="Y154">IF(PART_NUMBER_GENERATOR_TABLE[[#This Row],[Work Role]:[Work Role]]&lt;&gt;Y$1,0,
IF(PART_NUMBER_GENERATOR_TABLE[[#This Row],[Work Type]:[Work Type]]&lt;&gt;"BH",0,
SUMIFS(Y$9:Y$24,$M$9:$M$24,PART_NUMBER_GENERATOR_TABLE[[#This Row],[Tech]:[Tech]])))</f>
        <v>0</v>
      </c>
      <c r="Z154" cm="1">
        <f t="array" ref="Z154">IF(PART_NUMBER_GENERATOR_TABLE[[#This Row],[Work Role]:[Work Role]]&lt;&gt;Z$1,0,
IF(PART_NUMBER_GENERATOR_TABLE[[#This Row],[Work Type]:[Work Type]]&lt;&gt;"BH",0,
SUMIFS(Z$9:Z$24,$M$9:$M$24,PART_NUMBER_GENERATOR_TABLE[[#This Row],[Tech]:[Tech]])))</f>
        <v>0</v>
      </c>
      <c r="AA154" cm="1">
        <f t="array" ref="AA154">IF(PART_NUMBER_GENERATOR_TABLE[[#This Row],[Work Role]:[Work Role]]&lt;&gt;AA$1,0,
IF(PART_NUMBER_GENERATOR_TABLE[[#This Row],[Work Type]:[Work Type]]&lt;&gt;"BH",0,
SUMIFS(AA$9:AA$24,$M$9:$M$24,PART_NUMBER_GENERATOR_TABLE[[#This Row],[Tech]:[Tech]])))</f>
        <v>0</v>
      </c>
      <c r="AB154" cm="1">
        <f t="array" ref="AB154">IF(PART_NUMBER_GENERATOR_TABLE[[#This Row],[Work Role]:[Work Role]]&lt;&gt;AB$1,0,
IF(PART_NUMBER_GENERATOR_TABLE[[#This Row],[Work Type]:[Work Type]]&lt;&gt;"BH",0,
SUMIFS(AB$9:AB$24,$M$9:$M$24,PART_NUMBER_GENERATOR_TABLE[[#This Row],[Tech]:[Tech]])))</f>
        <v>0</v>
      </c>
      <c r="AC154" cm="1">
        <f t="array" ref="AC154">IF(PART_NUMBER_GENERATOR_TABLE[[#This Row],[Work Role]:[Work Role]]&lt;&gt;AC$1,0,
IF(PART_NUMBER_GENERATOR_TABLE[[#This Row],[Work Type]:[Work Type]]&lt;&gt;"BH",0,
SUMIFS(AC$9:AC$24,$M$9:$M$24,PART_NUMBER_GENERATOR_TABLE[[#This Row],[Tech]:[Tech]])))</f>
        <v>0</v>
      </c>
      <c r="AD154" cm="1">
        <f t="array" ref="AD154">IF(PART_NUMBER_GENERATOR_TABLE[[#This Row],[Work Role]:[Work Role]]&lt;&gt;AD$1,0,
IF(PART_NUMBER_GENERATOR_TABLE[[#This Row],[Work Type]:[Work Type]]&lt;&gt;"BH",0,
SUMIFS(AD$9:AD$24,$M$9:$M$24,PART_NUMBER_GENERATOR_TABLE[[#This Row],[Tech]:[Tech]])))</f>
        <v>0</v>
      </c>
      <c r="AE154" cm="1">
        <f t="array" ref="AE154">IF(PART_NUMBER_GENERATOR_TABLE[[#This Row],[Work Role]:[Work Role]]&lt;&gt;AE$1,0,
IF(PART_NUMBER_GENERATOR_TABLE[[#This Row],[Work Type]:[Work Type]]&lt;&gt;"BH",0,
SUMIFS(AE$9:AE$24,$M$9:$M$24,PART_NUMBER_GENERATOR_TABLE[[#This Row],[Tech]:[Tech]])))</f>
        <v>0</v>
      </c>
      <c r="AF154" cm="1">
        <f t="array" ref="AF154">IF(PART_NUMBER_GENERATOR_TABLE[[#This Row],[Work Role]:[Work Role]]&lt;&gt;AF$1,0,
IF(PART_NUMBER_GENERATOR_TABLE[[#This Row],[Work Type]:[Work Type]]&lt;&gt;"BH",0,
SUMIFS(AF$9:AF$24,$M$9:$M$24,PART_NUMBER_GENERATOR_TABLE[[#This Row],[Tech]:[Tech]])))</f>
        <v>0</v>
      </c>
      <c r="AG154" cm="1">
        <f t="array" ref="AG154">IF(PART_NUMBER_GENERATOR_TABLE[[#This Row],[Work Role]:[Work Role]]&lt;&gt;AG$1,0,
IF(PART_NUMBER_GENERATOR_TABLE[[#This Row],[Work Type]:[Work Type]]&lt;&gt;"AH",0,
SUMIFS(AG$9:AG$24,$M$9:$M$24,PART_NUMBER_GENERATOR_TABLE[[#This Row],[Tech]:[Tech]])))</f>
        <v>0</v>
      </c>
      <c r="AH154" cm="1">
        <f t="array" ref="AH154">IF(PART_NUMBER_GENERATOR_TABLE[[#This Row],[Work Role]:[Work Role]]&lt;&gt;AH$1,0,
IF(PART_NUMBER_GENERATOR_TABLE[[#This Row],[Work Type]:[Work Type]]&lt;&gt;"BH",0,
SUMIFS(AH$9:AH$24,$M$9:$M$24,PART_NUMBER_GENERATOR_TABLE[[#This Row],[Tech]:[Tech]])))</f>
        <v>0</v>
      </c>
      <c r="AI154" cm="1">
        <f t="array" ref="AI154">IF(PART_NUMBER_GENERATOR_TABLE[[#This Row],[Work Role]:[Work Role]]&lt;&gt;AI$1,0,
IF(PART_NUMBER_GENERATOR_TABLE[[#This Row],[Work Type]:[Work Type]]&lt;&gt;"BH",0,
SUMIFS(AI$9:AI$24,$M$9:$M$24,PART_NUMBER_GENERATOR_TABLE[[#This Row],[Tech]:[Tech]])))</f>
        <v>0</v>
      </c>
      <c r="AJ154" cm="1">
        <f t="array" ref="AJ154">IF(PART_NUMBER_GENERATOR_TABLE[[#This Row],[Work Role]:[Work Role]]&lt;&gt;AJ$1,0,
IF(PART_NUMBER_GENERATOR_TABLE[[#This Row],[Work Type]:[Work Type]]&lt;&gt;"BH",0,
SUMIFS(AJ$9:AJ$24,$M$9:$M$24,PART_NUMBER_GENERATOR_TABLE[[#This Row],[Tech]:[Tech]])))</f>
        <v>0</v>
      </c>
      <c r="AK154" cm="1">
        <f t="array" ref="AK154">IF(PART_NUMBER_GENERATOR_TABLE[[#This Row],[Work Role]:[Work Role]]&lt;&gt;AK$1,0,
IF(PART_NUMBER_GENERATOR_TABLE[[#This Row],[Work Type]:[Work Type]]&lt;&gt;"AH",0,
SUMIFS(AK$9:AK$24,$M$9:$M$24,PART_NUMBER_GENERATOR_TABLE[[#This Row],[Tech]:[Tech]])))</f>
        <v>0</v>
      </c>
      <c r="AL154" cm="1">
        <f t="array" ref="AL154">IF(PART_NUMBER_GENERATOR_TABLE[[#This Row],[Work Role]:[Work Role]]&lt;&gt;AL$1,0,
IF(PART_NUMBER_GENERATOR_TABLE[[#This Row],[Work Type]:[Work Type]]&lt;&gt;"BH",0,
SUMIFS(AL$9:AL$24,$M$9:$M$24,PART_NUMBER_GENERATOR_TABLE[[#This Row],[Tech]:[Tech]])))</f>
        <v>0</v>
      </c>
      <c r="AM154">
        <f>0</f>
        <v>0</v>
      </c>
      <c r="AN154" cm="1">
        <f t="array" ref="AN154">IF(PART_NUMBER_GENERATOR_TABLE[[#This Row],[Work Role]:[Work Role]]&lt;&gt;AN$1,0,
IF(PART_NUMBER_GENERATOR_TABLE[[#This Row],[Work Type]:[Work Type]]&lt;&gt;"BH",0,
SUMIFS(AN$24,$AM$24,PART_NUMBER_GENERATOR_TABLE[[#This Row],[Tech]:[Tech]])))</f>
        <v>0</v>
      </c>
      <c r="AO154" cm="1">
        <f t="array" ref="AO154">IF(PART_NUMBER_GENERATOR_TABLE[[#This Row],[Work Role]:[Work Role]]&lt;&gt;AO$1,0,
IF(PART_NUMBER_GENERATOR_TABLE[[#This Row],[Work Type]:[Work Type]]&lt;&gt;"BH",0,
SUMIFS(AO$24,$AM$24,PART_NUMBER_GENERATOR_TABLE[[#This Row],[Tech]:[Tech]])))</f>
        <v>0</v>
      </c>
      <c r="AP154" cm="1">
        <f t="array" ref="AP154">IF(PART_NUMBER_GENERATOR_TABLE[[#This Row],[Work Role]:[Work Role]]&lt;&gt;AP$1,0,
IF(PART_NUMBER_GENERATOR_TABLE[[#This Row],[Work Type]:[Work Type]]&lt;&gt;"BH",0,
SUMIFS(AP$24,$AM$24,PART_NUMBER_GENERATOR_TABLE[[#This Row],[Tech]:[Tech]])))</f>
        <v>0</v>
      </c>
      <c r="AQ154" cm="1">
        <f t="array" ref="AQ154">IF(PART_NUMBER_GENERATOR_TABLE[[#This Row],[Work Role]:[Work Role]]&lt;&gt;AQ$1,0,
IF(PART_NUMBER_GENERATOR_TABLE[[#This Row],[Work Type]:[Work Type]]&lt;&gt;"BH",0,
SUMIFS(AQ$24,$AM$24,PART_NUMBER_GENERATOR_TABLE[[#This Row],[Tech]:[Tech]])))</f>
        <v>0</v>
      </c>
      <c r="AR154" cm="1">
        <f t="array" ref="AR154">IF(PART_NUMBER_GENERATOR_TABLE[[#This Row],[Work Role]:[Work Role]]&lt;&gt;AR$1,0,
IF(PART_NUMBER_GENERATOR_TABLE[[#This Row],[Work Type]:[Work Type]]&lt;&gt;"BH",0,
SUMIFS(AR$24,$AM$24,PART_NUMBER_GENERATOR_TABLE[[#This Row],[Tech]:[Tech]])))</f>
        <v>0</v>
      </c>
      <c r="AS154" cm="1">
        <f t="array" ref="AS154">IF(PART_NUMBER_GENERATOR_TABLE[[#This Row],[Work Role]:[Work Role]]&lt;&gt;AS$1,0,
IF(PART_NUMBER_GENERATOR_TABLE[[#This Row],[Work Type]:[Work Type]]&lt;&gt;"BH",0,
SUMIFS(AS$24,$AM$24,PART_NUMBER_GENERATOR_TABLE[[#This Row],[Tech]:[Tech]])))</f>
        <v>0</v>
      </c>
      <c r="AT154" cm="1">
        <f t="array" ref="AT154">IF(PART_NUMBER_GENERATOR_TABLE[[#This Row],[Work Role]:[Work Role]]&lt;&gt;AS$1,0,
IF(PART_NUMBER_GENERATOR_TABLE[[#This Row],[Work Type]:[Work Type]]&lt;&gt;"BH",0,
SUMIFS(AT$24,$AM$24,PART_NUMBER_GENERATOR_TABLE[[#This Row],[Tech]:[Tech]])))</f>
        <v>0</v>
      </c>
      <c r="AU154">
        <f>SUM(PART_NUMBER_GENERATOR_TABLE[[#This Row],[Resource 1 BH]:[Resource 5 AH]],PART_NUMBER_GENERATOR_TABLE[[#This Row],[R1 Mandatory Tasks]:[R5 Mandatory Tasks]],PART_NUMBER_GENERATOR_TABLE[[#This Row],[R1 Remainder]:[R5 Remainder]])</f>
        <v>0</v>
      </c>
      <c r="AV154">
        <f>PART_NUMBER_GENERATOR_TABLE[[#This Row],[Professional Engineering Hours]]*PART_NUMBER_GENERATOR_TABLE[[#This Row],[Sell Rate]]</f>
        <v>0</v>
      </c>
      <c r="AW154">
        <f>PART_NUMBER_GENERATOR_TABLE[[#This Row],[Professional Engineering Hours]]*PART_NUMBER_GENERATOR_TABLE[[#This Row],[Cost Rate]]</f>
        <v>0</v>
      </c>
      <c r="AX154">
        <f>SUM(PART_NUMBER_GENERATOR_TABLE[[#This Row],[PM Trips]:[R5 Trips]])</f>
        <v>0</v>
      </c>
      <c r="AY154">
        <f>PART_NUMBER_GENERATOR_TABLE[[#This Row],[Travel &amp; Accommodation Hours]]*PART_NUMBER_GENERATOR_TABLE[[#This Row],[Sell Rate]]</f>
        <v>0</v>
      </c>
      <c r="AZ154">
        <f>PART_NUMBER_GENERATOR_TABLE[[#This Row],[Travel &amp; Accommodation Hours]]*PART_NUMBER_GENERATOR_TABLE[[#This Row],[Cost Rate]]</f>
        <v>0</v>
      </c>
      <c r="BA154">
        <f>PART_NUMBER_GENERATOR_TABLE[[#This Row],[PM Hours]]+PART_NUMBER_GENERATOR_TABLE[[#This Row],[PM Remainder]]</f>
        <v>0</v>
      </c>
      <c r="BB154">
        <f>PART_NUMBER_GENERATOR_TABLE[[#This Row],[Project Management Hours]]*PART_NUMBER_GENERATOR_TABLE[[#This Row],[Sell Rate]]</f>
        <v>0</v>
      </c>
      <c r="BC154">
        <f>PART_NUMBER_GENERATOR_TABLE[[#This Row],[Project Management Hours]]*PART_NUMBER_GENERATOR_TABLE[[#This Row],[Cost Rate]]</f>
        <v>0</v>
      </c>
      <c r="BD154">
        <f>SUM(PART_NUMBER_GENERATOR_TABLE[[#This Row],[SSE RISK BH]:[PM RISK]],PART_NUMBER_GENERATOR_TABLE[[#This Row],[SSE Remainder RISK BH]:[PM Remainder RISK]])</f>
        <v>0</v>
      </c>
      <c r="BE154">
        <f>PART_NUMBER_GENERATOR_TABLE[[#This Row],[Project Risk Service Hours]]*PART_NUMBER_GENERATOR_TABLE[[#This Row],[Sell Rate]]</f>
        <v>0</v>
      </c>
      <c r="BF154">
        <f>PART_NUMBER_GENERATOR_TABLE[[#This Row],[Project Risk Service Hours]]*PART_NUMBER_GENERATOR_TABLE[[#This Row],[Cost Rate]]</f>
        <v>0</v>
      </c>
      <c r="BG154">
        <f>PART_NUMBER_GENERATOR_TABLE[[#This Row],[SSE RISK TRAVEL]]</f>
        <v>0</v>
      </c>
      <c r="BH154">
        <f>PART_NUMBER_GENERATOR_TABLE[[#This Row],[Sell Rate]]*PART_NUMBER_GENERATOR_TABLE[[#This Row],[Project Risk Travel Hours]]</f>
        <v>0</v>
      </c>
      <c r="BI154">
        <f>PART_NUMBER_GENERATOR_TABLE[[#This Row],[Project Risk Travel Hours]]*PART_NUMBER_GENERATOR_TABLE[[#This Row],[Cost Rate]]</f>
        <v>0</v>
      </c>
      <c r="BJ15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5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54">
        <f>IFERROR(-VLOOKUP(INDEX(ENGINEER_ROLES,MATCH(PART_NUMBER_GENERATOR_TABLE[[#This Row],[Work Role]],settings.Table_Engineer.Roles[ID],0),1),Settings_Hidden!$H$359:$K$366,4,FALSE),0)</f>
        <v>0</v>
      </c>
      <c r="BM154" s="680">
        <f>-Summary!$C$66</f>
        <v>0</v>
      </c>
      <c r="BN154" s="465">
        <f>PART_NUMBER_GENERATOR_TABLE[[#This Row],[Total Base Price]]*MIN(PART_NUMBER_GENERATOR_TABLE[[#This Row],[Rate Service Discount]:[Flat Service Discount]])</f>
        <v>0</v>
      </c>
      <c r="BO154" s="451" t="str">
        <f>IF(PART_NUMBER_GENERATOR_TABLE[[#This Row],[Quantity]]&lt;&gt;0,MAX($BO$30:BO153)+1,"")</f>
        <v/>
      </c>
      <c r="BP154" t="str">
        <f>PART_NUMBER_GENERATOR_TABLE[[#This Row],[Part Number]]</f>
        <v>A-PS-C-NETWRK-SA-AH</v>
      </c>
      <c r="BQ154">
        <f>PART_NUMBER_GENERATOR_TABLE[[#This Row],[Total Hours]]</f>
        <v>0</v>
      </c>
      <c r="BR154">
        <f>PART_NUMBER_GENERATOR_TABLE[[#This Row],[Cost Rate]]</f>
        <v>251.41552370953494</v>
      </c>
      <c r="BS154" s="465">
        <f>PART_NUMBER_GENERATOR_TABLE[[#This Row],[Sell Rate]]+(PART_NUMBER_GENERATOR_TABLE[[#This Row],[Sell Rate]]*MIN(PART_NUMBER_GENERATOR_TABLE[[#This Row],[Rate Service Discount]:[Flat Service Discount]]))</f>
        <v>472.5</v>
      </c>
    </row>
    <row r="155" spans="1:71">
      <c r="A155">
        <v>125</v>
      </c>
      <c r="C155" t="s">
        <v>974</v>
      </c>
      <c r="D155" t="str" cm="1">
        <f t="array" ref="D155">INDEX(Table.Settings_Skill.List[Skill Name],MATCH(INDEX(_xlfn.TEXTSPLIT(C155,"-",,TRUE),4),Table.Settings_Skill.List[Skill Code],0),1)</f>
        <v>Networking</v>
      </c>
      <c r="E155" t="str" cm="1">
        <f t="array" ref="E155">INDEX(_xlfn.TEXTSPLIT(C155,"-",,TRUE),5)</f>
        <v>SC</v>
      </c>
      <c r="F155" t="str">
        <f>IFERROR(INDEX(settings.Table_Engineer.Roles[Department Code],MATCH(PART_NUMBER_GENERATOR_TABLE[[#This Row],[Work Role]],settings.Table_Engineer.Roles[ID],0),1),"PMO")</f>
        <v>CON</v>
      </c>
      <c r="G155" t="str" cm="1">
        <f t="array" ref="G155">INDEX(_xlfn.TEXTSPLIT(C155,"-",,TRUE),6)</f>
        <v>AH</v>
      </c>
      <c r="H15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5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55" cm="1">
        <f t="array" ref="J155">IF(J$1&lt;&gt;PART_NUMBER_GENERATOR_TABLE[[#This Row],[Work Role]:[Work Role]],0,
IF(RIGHT(J$30,2)&lt;&gt;PART_NUMBER_GENERATOR_TABLE[[#This Row],[Work Type]:[Work Type]],0,
SUMIFS(Input_Tasks[R1 Business Hours],Input_Tasks[[Skill Required]:[Skill Required]],PART_NUMBER_GENERATOR_TABLE[[#This Row],[Tech]:[Tech]])))</f>
        <v>0</v>
      </c>
      <c r="K155" cm="1">
        <f t="array" ref="K155">IF(K$1&lt;&gt;PART_NUMBER_GENERATOR_TABLE[[#This Row],[Work Role]:[Work Role]],0,
IF(RIGHT(K$30,2)&lt;&gt;PART_NUMBER_GENERATOR_TABLE[[#This Row],[Work Type]:[Work Type]],0,
SUMIFS(Input_Tasks[R1 After Hours],Input_Tasks[[Skill Required]:[Skill Required]],PART_NUMBER_GENERATOR_TABLE[[#This Row],[Tech]:[Tech]])))</f>
        <v>0</v>
      </c>
      <c r="L155" cm="1">
        <f t="array" ref="L155">IF(L$1&lt;&gt;PART_NUMBER_GENERATOR_TABLE[[#This Row],[Work Role]:[Work Role]],0,
IF(RIGHT(L$30,2)&lt;&gt;PART_NUMBER_GENERATOR_TABLE[[#This Row],[Work Type]:[Work Type]],0,
SUMIFS(Input_Tasks[R2 Business Hours],Input_Tasks[[Skill Required]:[Skill Required]],PART_NUMBER_GENERATOR_TABLE[[#This Row],[Tech]:[Tech]])))</f>
        <v>0</v>
      </c>
      <c r="M155" cm="1">
        <f t="array" ref="M155">IF(M$1&lt;&gt;PART_NUMBER_GENERATOR_TABLE[[#This Row],[Work Role]:[Work Role]],0,
IF(RIGHT(M$30,2)&lt;&gt;PART_NUMBER_GENERATOR_TABLE[[#This Row],[Work Type]:[Work Type]],0,
SUMIFS(Input_Tasks[R2 After Hours],Input_Tasks[[Skill Required]:[Skill Required]],PART_NUMBER_GENERATOR_TABLE[[#This Row],[Tech]:[Tech]])))</f>
        <v>0</v>
      </c>
      <c r="N155" cm="1">
        <f t="array" ref="N155">IF(N$1&lt;&gt;PART_NUMBER_GENERATOR_TABLE[[#This Row],[Work Role]:[Work Role]],0,
IF(RIGHT(N$30,2)&lt;&gt;PART_NUMBER_GENERATOR_TABLE[[#This Row],[Work Type]:[Work Type]],0,
SUMIFS(Input_Tasks[R3 Business Hours],Input_Tasks[[Skill Required]:[Skill Required]],PART_NUMBER_GENERATOR_TABLE[[#This Row],[Tech]:[Tech]])))</f>
        <v>0</v>
      </c>
      <c r="O155" cm="1">
        <f t="array" ref="O155">IF(O$1&lt;&gt;PART_NUMBER_GENERATOR_TABLE[[#This Row],[Work Role]:[Work Role]],0,
IF(RIGHT(O$30,2)&lt;&gt;PART_NUMBER_GENERATOR_TABLE[[#This Row],[Work Type]:[Work Type]],0,
SUMIFS(Input_Tasks[R3 After Hours],Input_Tasks[[Skill Required]:[Skill Required]],PART_NUMBER_GENERATOR_TABLE[[#This Row],[Tech]:[Tech]])))</f>
        <v>0</v>
      </c>
      <c r="P155" cm="1">
        <f t="array" ref="P155">IF(P$1&lt;&gt;PART_NUMBER_GENERATOR_TABLE[[#This Row],[Work Role]:[Work Role]],0,
IF(RIGHT(P$30,2)&lt;&gt;PART_NUMBER_GENERATOR_TABLE[[#This Row],[Work Type]:[Work Type]],0,
SUMIFS(Input_Tasks[R4 Business Hours],Input_Tasks[[Skill Required]:[Skill Required]],PART_NUMBER_GENERATOR_TABLE[[#This Row],[Tech]:[Tech]])))</f>
        <v>0</v>
      </c>
      <c r="Q155" cm="1">
        <f t="array" ref="Q155">IF(Q$1&lt;&gt;PART_NUMBER_GENERATOR_TABLE[[#This Row],[Work Role]:[Work Role]],0,
IF(RIGHT(Q$30,2)&lt;&gt;PART_NUMBER_GENERATOR_TABLE[[#This Row],[Work Type]:[Work Type]],0,
SUMIFS(Input_Tasks[R4 After Hours],Input_Tasks[[Skill Required]:[Skill Required]],PART_NUMBER_GENERATOR_TABLE[[#This Row],[Tech]:[Tech]])))</f>
        <v>0</v>
      </c>
      <c r="R155" cm="1">
        <f t="array" ref="R155">IF(R$1&lt;&gt;PART_NUMBER_GENERATOR_TABLE[[#This Row],[Work Role]:[Work Role]],0,
IF(RIGHT(R$30,2)&lt;&gt;PART_NUMBER_GENERATOR_TABLE[[#This Row],[Work Type]:[Work Type]],0,
SUMIFS(Input_Tasks[R5 Business Hours],Input_Tasks[[Skill Required]:[Skill Required]],PART_NUMBER_GENERATOR_TABLE[[#This Row],[Tech]:[Tech]])))</f>
        <v>0</v>
      </c>
      <c r="S155" cm="1">
        <f t="array" ref="S155">IF(S$1&lt;&gt;PART_NUMBER_GENERATOR_TABLE[[#This Row],[Work Role]:[Work Role]],0,
IF(RIGHT(S$30,2)&lt;&gt;PART_NUMBER_GENERATOR_TABLE[[#This Row],[Work Type]:[Work Type]],0,
SUMIFS(Input_Tasks[R5 After Hours],Input_Tasks[[Skill Required]:[Skill Required]],PART_NUMBER_GENERATOR_TABLE[[#This Row],[Tech]:[Tech]])))</f>
        <v>0</v>
      </c>
      <c r="T155" cm="1">
        <f t="array" ref="T155">IF(PART_NUMBER_GENERATOR_TABLE[[#This Row],[Work Role]:[Work Role]]&lt;&gt;T$1,0,
IF(PART_NUMBER_GENERATOR_TABLE[[#This Row],[Work Type]:[Work Type]]&lt;&gt;"BH",0,
SUMIFS(T$9:T$24,$M$9:$M$24,PART_NUMBER_GENERATOR_TABLE[[#This Row],[Tech]:[Tech]])))</f>
        <v>0</v>
      </c>
      <c r="U155" cm="1">
        <f t="array" ref="U155">IF(PART_NUMBER_GENERATOR_TABLE[[#This Row],[Work Role]:[Work Role]]&lt;&gt;U$1,0,
IF(PART_NUMBER_GENERATOR_TABLE[[#This Row],[Work Type]:[Work Type]]&lt;&gt;"BH",0,
SUMIFS(U$9:U$24,$M$9:$M$24,PART_NUMBER_GENERATOR_TABLE[[#This Row],[Tech]:[Tech]])))</f>
        <v>0</v>
      </c>
      <c r="V155" cm="1">
        <f t="array" ref="V155">IF(PART_NUMBER_GENERATOR_TABLE[[#This Row],[Work Role]:[Work Role]]&lt;&gt;V$1,0,
IF(PART_NUMBER_GENERATOR_TABLE[[#This Row],[Work Type]:[Work Type]]&lt;&gt;"BH",0,
SUMIFS(V$9:V$24,$M$9:$M$24,PART_NUMBER_GENERATOR_TABLE[[#This Row],[Tech]:[Tech]])))</f>
        <v>0</v>
      </c>
      <c r="W155" cm="1">
        <f t="array" ref="W155">IF(PART_NUMBER_GENERATOR_TABLE[[#This Row],[Work Role]:[Work Role]]&lt;&gt;W$1,0,
IF(PART_NUMBER_GENERATOR_TABLE[[#This Row],[Work Type]:[Work Type]]&lt;&gt;"BH",0,
SUMIFS(W$9:W$24,$M$9:$M$24,PART_NUMBER_GENERATOR_TABLE[[#This Row],[Tech]:[Tech]])))</f>
        <v>0</v>
      </c>
      <c r="X155" cm="1">
        <f t="array" ref="X155">IF(PART_NUMBER_GENERATOR_TABLE[[#This Row],[Work Role]:[Work Role]]&lt;&gt;X$1,0,
IF(PART_NUMBER_GENERATOR_TABLE[[#This Row],[Work Type]:[Work Type]]&lt;&gt;"BH",0,
SUMIFS(X$9:X$24,$M$9:$M$24,PART_NUMBER_GENERATOR_TABLE[[#This Row],[Tech]:[Tech]])))</f>
        <v>0</v>
      </c>
      <c r="Y155" cm="1">
        <f t="array" ref="Y155">IF(PART_NUMBER_GENERATOR_TABLE[[#This Row],[Work Role]:[Work Role]]&lt;&gt;Y$1,0,
IF(PART_NUMBER_GENERATOR_TABLE[[#This Row],[Work Type]:[Work Type]]&lt;&gt;"BH",0,
SUMIFS(Y$9:Y$24,$M$9:$M$24,PART_NUMBER_GENERATOR_TABLE[[#This Row],[Tech]:[Tech]])))</f>
        <v>0</v>
      </c>
      <c r="Z155" cm="1">
        <f t="array" ref="Z155">IF(PART_NUMBER_GENERATOR_TABLE[[#This Row],[Work Role]:[Work Role]]&lt;&gt;Z$1,0,
IF(PART_NUMBER_GENERATOR_TABLE[[#This Row],[Work Type]:[Work Type]]&lt;&gt;"BH",0,
SUMIFS(Z$9:Z$24,$M$9:$M$24,PART_NUMBER_GENERATOR_TABLE[[#This Row],[Tech]:[Tech]])))</f>
        <v>0</v>
      </c>
      <c r="AA155" cm="1">
        <f t="array" ref="AA155">IF(PART_NUMBER_GENERATOR_TABLE[[#This Row],[Work Role]:[Work Role]]&lt;&gt;AA$1,0,
IF(PART_NUMBER_GENERATOR_TABLE[[#This Row],[Work Type]:[Work Type]]&lt;&gt;"BH",0,
SUMIFS(AA$9:AA$24,$M$9:$M$24,PART_NUMBER_GENERATOR_TABLE[[#This Row],[Tech]:[Tech]])))</f>
        <v>0</v>
      </c>
      <c r="AB155" cm="1">
        <f t="array" ref="AB155">IF(PART_NUMBER_GENERATOR_TABLE[[#This Row],[Work Role]:[Work Role]]&lt;&gt;AB$1,0,
IF(PART_NUMBER_GENERATOR_TABLE[[#This Row],[Work Type]:[Work Type]]&lt;&gt;"BH",0,
SUMIFS(AB$9:AB$24,$M$9:$M$24,PART_NUMBER_GENERATOR_TABLE[[#This Row],[Tech]:[Tech]])))</f>
        <v>0</v>
      </c>
      <c r="AC155" cm="1">
        <f t="array" ref="AC155">IF(PART_NUMBER_GENERATOR_TABLE[[#This Row],[Work Role]:[Work Role]]&lt;&gt;AC$1,0,
IF(PART_NUMBER_GENERATOR_TABLE[[#This Row],[Work Type]:[Work Type]]&lt;&gt;"BH",0,
SUMIFS(AC$9:AC$24,$M$9:$M$24,PART_NUMBER_GENERATOR_TABLE[[#This Row],[Tech]:[Tech]])))</f>
        <v>0</v>
      </c>
      <c r="AD155" cm="1">
        <f t="array" ref="AD155">IF(PART_NUMBER_GENERATOR_TABLE[[#This Row],[Work Role]:[Work Role]]&lt;&gt;AD$1,0,
IF(PART_NUMBER_GENERATOR_TABLE[[#This Row],[Work Type]:[Work Type]]&lt;&gt;"BH",0,
SUMIFS(AD$9:AD$24,$M$9:$M$24,PART_NUMBER_GENERATOR_TABLE[[#This Row],[Tech]:[Tech]])))</f>
        <v>0</v>
      </c>
      <c r="AE155" cm="1">
        <f t="array" ref="AE155">IF(PART_NUMBER_GENERATOR_TABLE[[#This Row],[Work Role]:[Work Role]]&lt;&gt;AE$1,0,
IF(PART_NUMBER_GENERATOR_TABLE[[#This Row],[Work Type]:[Work Type]]&lt;&gt;"BH",0,
SUMIFS(AE$9:AE$24,$M$9:$M$24,PART_NUMBER_GENERATOR_TABLE[[#This Row],[Tech]:[Tech]])))</f>
        <v>0</v>
      </c>
      <c r="AF155" cm="1">
        <f t="array" ref="AF155">IF(PART_NUMBER_GENERATOR_TABLE[[#This Row],[Work Role]:[Work Role]]&lt;&gt;AF$1,0,
IF(PART_NUMBER_GENERATOR_TABLE[[#This Row],[Work Type]:[Work Type]]&lt;&gt;"BH",0,
SUMIFS(AF$9:AF$24,$M$9:$M$24,PART_NUMBER_GENERATOR_TABLE[[#This Row],[Tech]:[Tech]])))</f>
        <v>0</v>
      </c>
      <c r="AG155" cm="1">
        <f t="array" ref="AG155">IF(PART_NUMBER_GENERATOR_TABLE[[#This Row],[Work Role]:[Work Role]]&lt;&gt;AG$1,0,
IF(PART_NUMBER_GENERATOR_TABLE[[#This Row],[Work Type]:[Work Type]]&lt;&gt;"AH",0,
SUMIFS(AG$9:AG$24,$M$9:$M$24,PART_NUMBER_GENERATOR_TABLE[[#This Row],[Tech]:[Tech]])))</f>
        <v>0</v>
      </c>
      <c r="AH155" cm="1">
        <f t="array" ref="AH155">IF(PART_NUMBER_GENERATOR_TABLE[[#This Row],[Work Role]:[Work Role]]&lt;&gt;AH$1,0,
IF(PART_NUMBER_GENERATOR_TABLE[[#This Row],[Work Type]:[Work Type]]&lt;&gt;"BH",0,
SUMIFS(AH$9:AH$24,$M$9:$M$24,PART_NUMBER_GENERATOR_TABLE[[#This Row],[Tech]:[Tech]])))</f>
        <v>0</v>
      </c>
      <c r="AI155" cm="1">
        <f t="array" ref="AI155">IF(PART_NUMBER_GENERATOR_TABLE[[#This Row],[Work Role]:[Work Role]]&lt;&gt;AI$1,0,
IF(PART_NUMBER_GENERATOR_TABLE[[#This Row],[Work Type]:[Work Type]]&lt;&gt;"BH",0,
SUMIFS(AI$9:AI$24,$M$9:$M$24,PART_NUMBER_GENERATOR_TABLE[[#This Row],[Tech]:[Tech]])))</f>
        <v>0</v>
      </c>
      <c r="AJ155" cm="1">
        <f t="array" ref="AJ155">IF(PART_NUMBER_GENERATOR_TABLE[[#This Row],[Work Role]:[Work Role]]&lt;&gt;AJ$1,0,
IF(PART_NUMBER_GENERATOR_TABLE[[#This Row],[Work Type]:[Work Type]]&lt;&gt;"BH",0,
SUMIFS(AJ$9:AJ$24,$M$9:$M$24,PART_NUMBER_GENERATOR_TABLE[[#This Row],[Tech]:[Tech]])))</f>
        <v>0</v>
      </c>
      <c r="AK155" cm="1">
        <f t="array" ref="AK155">IF(PART_NUMBER_GENERATOR_TABLE[[#This Row],[Work Role]:[Work Role]]&lt;&gt;AK$1,0,
IF(PART_NUMBER_GENERATOR_TABLE[[#This Row],[Work Type]:[Work Type]]&lt;&gt;"AH",0,
SUMIFS(AK$9:AK$24,$M$9:$M$24,PART_NUMBER_GENERATOR_TABLE[[#This Row],[Tech]:[Tech]])))</f>
        <v>0</v>
      </c>
      <c r="AL155" cm="1">
        <f t="array" ref="AL155">IF(PART_NUMBER_GENERATOR_TABLE[[#This Row],[Work Role]:[Work Role]]&lt;&gt;AL$1,0,
IF(PART_NUMBER_GENERATOR_TABLE[[#This Row],[Work Type]:[Work Type]]&lt;&gt;"BH",0,
SUMIFS(AL$9:AL$24,$M$9:$M$24,PART_NUMBER_GENERATOR_TABLE[[#This Row],[Tech]:[Tech]])))</f>
        <v>0</v>
      </c>
      <c r="AM155">
        <f>0</f>
        <v>0</v>
      </c>
      <c r="AN155" cm="1">
        <f t="array" ref="AN155">IF(PART_NUMBER_GENERATOR_TABLE[[#This Row],[Work Role]:[Work Role]]&lt;&gt;AN$1,0,
IF(PART_NUMBER_GENERATOR_TABLE[[#This Row],[Work Type]:[Work Type]]&lt;&gt;"BH",0,
SUMIFS(AN$24,$AM$24,PART_NUMBER_GENERATOR_TABLE[[#This Row],[Tech]:[Tech]])))</f>
        <v>0</v>
      </c>
      <c r="AO155" cm="1">
        <f t="array" ref="AO155">IF(PART_NUMBER_GENERATOR_TABLE[[#This Row],[Work Role]:[Work Role]]&lt;&gt;AO$1,0,
IF(PART_NUMBER_GENERATOR_TABLE[[#This Row],[Work Type]:[Work Type]]&lt;&gt;"BH",0,
SUMIFS(AO$24,$AM$24,PART_NUMBER_GENERATOR_TABLE[[#This Row],[Tech]:[Tech]])))</f>
        <v>0</v>
      </c>
      <c r="AP155" cm="1">
        <f t="array" ref="AP155">IF(PART_NUMBER_GENERATOR_TABLE[[#This Row],[Work Role]:[Work Role]]&lt;&gt;AP$1,0,
IF(PART_NUMBER_GENERATOR_TABLE[[#This Row],[Work Type]:[Work Type]]&lt;&gt;"BH",0,
SUMIFS(AP$24,$AM$24,PART_NUMBER_GENERATOR_TABLE[[#This Row],[Tech]:[Tech]])))</f>
        <v>0</v>
      </c>
      <c r="AQ155" cm="1">
        <f t="array" ref="AQ155">IF(PART_NUMBER_GENERATOR_TABLE[[#This Row],[Work Role]:[Work Role]]&lt;&gt;AQ$1,0,
IF(PART_NUMBER_GENERATOR_TABLE[[#This Row],[Work Type]:[Work Type]]&lt;&gt;"BH",0,
SUMIFS(AQ$24,$AM$24,PART_NUMBER_GENERATOR_TABLE[[#This Row],[Tech]:[Tech]])))</f>
        <v>0</v>
      </c>
      <c r="AR155" cm="1">
        <f t="array" ref="AR155">IF(PART_NUMBER_GENERATOR_TABLE[[#This Row],[Work Role]:[Work Role]]&lt;&gt;AR$1,0,
IF(PART_NUMBER_GENERATOR_TABLE[[#This Row],[Work Type]:[Work Type]]&lt;&gt;"BH",0,
SUMIFS(AR$24,$AM$24,PART_NUMBER_GENERATOR_TABLE[[#This Row],[Tech]:[Tech]])))</f>
        <v>0</v>
      </c>
      <c r="AS155" cm="1">
        <f t="array" ref="AS155">IF(PART_NUMBER_GENERATOR_TABLE[[#This Row],[Work Role]:[Work Role]]&lt;&gt;AS$1,0,
IF(PART_NUMBER_GENERATOR_TABLE[[#This Row],[Work Type]:[Work Type]]&lt;&gt;"BH",0,
SUMIFS(AS$24,$AM$24,PART_NUMBER_GENERATOR_TABLE[[#This Row],[Tech]:[Tech]])))</f>
        <v>0</v>
      </c>
      <c r="AT155" cm="1">
        <f t="array" ref="AT155">IF(PART_NUMBER_GENERATOR_TABLE[[#This Row],[Work Role]:[Work Role]]&lt;&gt;AS$1,0,
IF(PART_NUMBER_GENERATOR_TABLE[[#This Row],[Work Type]:[Work Type]]&lt;&gt;"BH",0,
SUMIFS(AT$24,$AM$24,PART_NUMBER_GENERATOR_TABLE[[#This Row],[Tech]:[Tech]])))</f>
        <v>0</v>
      </c>
      <c r="AU155">
        <f>SUM(PART_NUMBER_GENERATOR_TABLE[[#This Row],[Resource 1 BH]:[Resource 5 AH]],PART_NUMBER_GENERATOR_TABLE[[#This Row],[R1 Mandatory Tasks]:[R5 Mandatory Tasks]],PART_NUMBER_GENERATOR_TABLE[[#This Row],[R1 Remainder]:[R5 Remainder]])</f>
        <v>0</v>
      </c>
      <c r="AV155">
        <f>PART_NUMBER_GENERATOR_TABLE[[#This Row],[Professional Engineering Hours]]*PART_NUMBER_GENERATOR_TABLE[[#This Row],[Sell Rate]]</f>
        <v>0</v>
      </c>
      <c r="AW155">
        <f>PART_NUMBER_GENERATOR_TABLE[[#This Row],[Professional Engineering Hours]]*PART_NUMBER_GENERATOR_TABLE[[#This Row],[Cost Rate]]</f>
        <v>0</v>
      </c>
      <c r="AX155">
        <f>SUM(PART_NUMBER_GENERATOR_TABLE[[#This Row],[PM Trips]:[R5 Trips]])</f>
        <v>0</v>
      </c>
      <c r="AY155">
        <f>PART_NUMBER_GENERATOR_TABLE[[#This Row],[Travel &amp; Accommodation Hours]]*PART_NUMBER_GENERATOR_TABLE[[#This Row],[Sell Rate]]</f>
        <v>0</v>
      </c>
      <c r="AZ155">
        <f>PART_NUMBER_GENERATOR_TABLE[[#This Row],[Travel &amp; Accommodation Hours]]*PART_NUMBER_GENERATOR_TABLE[[#This Row],[Cost Rate]]</f>
        <v>0</v>
      </c>
      <c r="BA155">
        <f>PART_NUMBER_GENERATOR_TABLE[[#This Row],[PM Hours]]+PART_NUMBER_GENERATOR_TABLE[[#This Row],[PM Remainder]]</f>
        <v>0</v>
      </c>
      <c r="BB155">
        <f>PART_NUMBER_GENERATOR_TABLE[[#This Row],[Project Management Hours]]*PART_NUMBER_GENERATOR_TABLE[[#This Row],[Sell Rate]]</f>
        <v>0</v>
      </c>
      <c r="BC155">
        <f>PART_NUMBER_GENERATOR_TABLE[[#This Row],[Project Management Hours]]*PART_NUMBER_GENERATOR_TABLE[[#This Row],[Cost Rate]]</f>
        <v>0</v>
      </c>
      <c r="BD155">
        <f>SUM(PART_NUMBER_GENERATOR_TABLE[[#This Row],[SSE RISK BH]:[PM RISK]],PART_NUMBER_GENERATOR_TABLE[[#This Row],[SSE Remainder RISK BH]:[PM Remainder RISK]])</f>
        <v>0</v>
      </c>
      <c r="BE155">
        <f>PART_NUMBER_GENERATOR_TABLE[[#This Row],[Project Risk Service Hours]]*PART_NUMBER_GENERATOR_TABLE[[#This Row],[Sell Rate]]</f>
        <v>0</v>
      </c>
      <c r="BF155">
        <f>PART_NUMBER_GENERATOR_TABLE[[#This Row],[Project Risk Service Hours]]*PART_NUMBER_GENERATOR_TABLE[[#This Row],[Cost Rate]]</f>
        <v>0</v>
      </c>
      <c r="BG155">
        <f>PART_NUMBER_GENERATOR_TABLE[[#This Row],[SSE RISK TRAVEL]]</f>
        <v>0</v>
      </c>
      <c r="BH155">
        <f>PART_NUMBER_GENERATOR_TABLE[[#This Row],[Sell Rate]]*PART_NUMBER_GENERATOR_TABLE[[#This Row],[Project Risk Travel Hours]]</f>
        <v>0</v>
      </c>
      <c r="BI155">
        <f>PART_NUMBER_GENERATOR_TABLE[[#This Row],[Project Risk Travel Hours]]*PART_NUMBER_GENERATOR_TABLE[[#This Row],[Cost Rate]]</f>
        <v>0</v>
      </c>
      <c r="BJ15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5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55">
        <f>IFERROR(-VLOOKUP(INDEX(ENGINEER_ROLES,MATCH(PART_NUMBER_GENERATOR_TABLE[[#This Row],[Work Role]],settings.Table_Engineer.Roles[ID],0),1),Settings_Hidden!$H$359:$K$366,4,FALSE),0)</f>
        <v>0</v>
      </c>
      <c r="BM155" s="680">
        <f>-Summary!$C$66</f>
        <v>0</v>
      </c>
      <c r="BN155" s="465">
        <f>PART_NUMBER_GENERATOR_TABLE[[#This Row],[Total Base Price]]*MIN(PART_NUMBER_GENERATOR_TABLE[[#This Row],[Rate Service Discount]:[Flat Service Discount]])</f>
        <v>0</v>
      </c>
      <c r="BO155" s="451" t="str">
        <f>IF(PART_NUMBER_GENERATOR_TABLE[[#This Row],[Quantity]]&lt;&gt;0,MAX($BO$30:BO154)+1,"")</f>
        <v/>
      </c>
      <c r="BP155" t="str">
        <f>PART_NUMBER_GENERATOR_TABLE[[#This Row],[Part Number]]</f>
        <v>A-PS-C-NETWRK-SC-AH</v>
      </c>
      <c r="BQ155">
        <f>PART_NUMBER_GENERATOR_TABLE[[#This Row],[Total Hours]]</f>
        <v>0</v>
      </c>
      <c r="BR155">
        <f>PART_NUMBER_GENERATOR_TABLE[[#This Row],[Cost Rate]]</f>
        <v>251.41552370953494</v>
      </c>
      <c r="BS155" s="465">
        <f>PART_NUMBER_GENERATOR_TABLE[[#This Row],[Sell Rate]]+(PART_NUMBER_GENERATOR_TABLE[[#This Row],[Sell Rate]]*MIN(PART_NUMBER_GENERATOR_TABLE[[#This Row],[Rate Service Discount]:[Flat Service Discount]]))</f>
        <v>472.5</v>
      </c>
    </row>
    <row r="156" spans="1:71">
      <c r="A156">
        <v>126</v>
      </c>
      <c r="C156" t="s">
        <v>966</v>
      </c>
      <c r="D156" t="str" cm="1">
        <f t="array" ref="D156">INDEX(Table.Settings_Skill.List[Skill Name],MATCH(INDEX(_xlfn.TEXTSPLIT(C156,"-",,TRUE),4),Table.Settings_Skill.List[Skill Code],0),1)</f>
        <v>Networking</v>
      </c>
      <c r="E156" t="str" cm="1">
        <f t="array" ref="E156">INDEX(_xlfn.TEXTSPLIT(C156,"-",,TRUE),5)</f>
        <v>AC</v>
      </c>
      <c r="F156" t="str">
        <f>IFERROR(INDEX(settings.Table_Engineer.Roles[Department Code],MATCH(PART_NUMBER_GENERATOR_TABLE[[#This Row],[Work Role]],settings.Table_Engineer.Roles[ID],0),1),"PMO")</f>
        <v>CON</v>
      </c>
      <c r="G156" t="str" cm="1">
        <f t="array" ref="G156">INDEX(_xlfn.TEXTSPLIT(C156,"-",,TRUE),6)</f>
        <v>AH</v>
      </c>
      <c r="H156">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56">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56" cm="1">
        <f t="array" ref="J156">IF(J$1&lt;&gt;PART_NUMBER_GENERATOR_TABLE[[#This Row],[Work Role]:[Work Role]],0,
IF(RIGHT(J$30,2)&lt;&gt;PART_NUMBER_GENERATOR_TABLE[[#This Row],[Work Type]:[Work Type]],0,
SUMIFS(Input_Tasks[R1 Business Hours],Input_Tasks[[Skill Required]:[Skill Required]],PART_NUMBER_GENERATOR_TABLE[[#This Row],[Tech]:[Tech]])))</f>
        <v>0</v>
      </c>
      <c r="K156" cm="1">
        <f t="array" ref="K156">IF(K$1&lt;&gt;PART_NUMBER_GENERATOR_TABLE[[#This Row],[Work Role]:[Work Role]],0,
IF(RIGHT(K$30,2)&lt;&gt;PART_NUMBER_GENERATOR_TABLE[[#This Row],[Work Type]:[Work Type]],0,
SUMIFS(Input_Tasks[R1 After Hours],Input_Tasks[[Skill Required]:[Skill Required]],PART_NUMBER_GENERATOR_TABLE[[#This Row],[Tech]:[Tech]])))</f>
        <v>0</v>
      </c>
      <c r="L156" cm="1">
        <f t="array" ref="L156">IF(L$1&lt;&gt;PART_NUMBER_GENERATOR_TABLE[[#This Row],[Work Role]:[Work Role]],0,
IF(RIGHT(L$30,2)&lt;&gt;PART_NUMBER_GENERATOR_TABLE[[#This Row],[Work Type]:[Work Type]],0,
SUMIFS(Input_Tasks[R2 Business Hours],Input_Tasks[[Skill Required]:[Skill Required]],PART_NUMBER_GENERATOR_TABLE[[#This Row],[Tech]:[Tech]])))</f>
        <v>0</v>
      </c>
      <c r="M156" cm="1">
        <f t="array" ref="M156">IF(M$1&lt;&gt;PART_NUMBER_GENERATOR_TABLE[[#This Row],[Work Role]:[Work Role]],0,
IF(RIGHT(M$30,2)&lt;&gt;PART_NUMBER_GENERATOR_TABLE[[#This Row],[Work Type]:[Work Type]],0,
SUMIFS(Input_Tasks[R2 After Hours],Input_Tasks[[Skill Required]:[Skill Required]],PART_NUMBER_GENERATOR_TABLE[[#This Row],[Tech]:[Tech]])))</f>
        <v>0</v>
      </c>
      <c r="N156" cm="1">
        <f t="array" ref="N156">IF(N$1&lt;&gt;PART_NUMBER_GENERATOR_TABLE[[#This Row],[Work Role]:[Work Role]],0,
IF(RIGHT(N$30,2)&lt;&gt;PART_NUMBER_GENERATOR_TABLE[[#This Row],[Work Type]:[Work Type]],0,
SUMIFS(Input_Tasks[R3 Business Hours],Input_Tasks[[Skill Required]:[Skill Required]],PART_NUMBER_GENERATOR_TABLE[[#This Row],[Tech]:[Tech]])))</f>
        <v>0</v>
      </c>
      <c r="O156" cm="1">
        <f t="array" ref="O156">IF(O$1&lt;&gt;PART_NUMBER_GENERATOR_TABLE[[#This Row],[Work Role]:[Work Role]],0,
IF(RIGHT(O$30,2)&lt;&gt;PART_NUMBER_GENERATOR_TABLE[[#This Row],[Work Type]:[Work Type]],0,
SUMIFS(Input_Tasks[R3 After Hours],Input_Tasks[[Skill Required]:[Skill Required]],PART_NUMBER_GENERATOR_TABLE[[#This Row],[Tech]:[Tech]])))</f>
        <v>0</v>
      </c>
      <c r="P156" cm="1">
        <f t="array" ref="P156">IF(P$1&lt;&gt;PART_NUMBER_GENERATOR_TABLE[[#This Row],[Work Role]:[Work Role]],0,
IF(RIGHT(P$30,2)&lt;&gt;PART_NUMBER_GENERATOR_TABLE[[#This Row],[Work Type]:[Work Type]],0,
SUMIFS(Input_Tasks[R4 Business Hours],Input_Tasks[[Skill Required]:[Skill Required]],PART_NUMBER_GENERATOR_TABLE[[#This Row],[Tech]:[Tech]])))</f>
        <v>0</v>
      </c>
      <c r="Q156" cm="1">
        <f t="array" ref="Q156">IF(Q$1&lt;&gt;PART_NUMBER_GENERATOR_TABLE[[#This Row],[Work Role]:[Work Role]],0,
IF(RIGHT(Q$30,2)&lt;&gt;PART_NUMBER_GENERATOR_TABLE[[#This Row],[Work Type]:[Work Type]],0,
SUMIFS(Input_Tasks[R4 After Hours],Input_Tasks[[Skill Required]:[Skill Required]],PART_NUMBER_GENERATOR_TABLE[[#This Row],[Tech]:[Tech]])))</f>
        <v>0</v>
      </c>
      <c r="R156" cm="1">
        <f t="array" ref="R156">IF(R$1&lt;&gt;PART_NUMBER_GENERATOR_TABLE[[#This Row],[Work Role]:[Work Role]],0,
IF(RIGHT(R$30,2)&lt;&gt;PART_NUMBER_GENERATOR_TABLE[[#This Row],[Work Type]:[Work Type]],0,
SUMIFS(Input_Tasks[R5 Business Hours],Input_Tasks[[Skill Required]:[Skill Required]],PART_NUMBER_GENERATOR_TABLE[[#This Row],[Tech]:[Tech]])))</f>
        <v>0</v>
      </c>
      <c r="S156" cm="1">
        <f t="array" ref="S156">IF(S$1&lt;&gt;PART_NUMBER_GENERATOR_TABLE[[#This Row],[Work Role]:[Work Role]],0,
IF(RIGHT(S$30,2)&lt;&gt;PART_NUMBER_GENERATOR_TABLE[[#This Row],[Work Type]:[Work Type]],0,
SUMIFS(Input_Tasks[R5 After Hours],Input_Tasks[[Skill Required]:[Skill Required]],PART_NUMBER_GENERATOR_TABLE[[#This Row],[Tech]:[Tech]])))</f>
        <v>0</v>
      </c>
      <c r="T156" cm="1">
        <f t="array" ref="T156">IF(PART_NUMBER_GENERATOR_TABLE[[#This Row],[Work Role]:[Work Role]]&lt;&gt;T$1,0,
IF(PART_NUMBER_GENERATOR_TABLE[[#This Row],[Work Type]:[Work Type]]&lt;&gt;"BH",0,
SUMIFS(T$9:T$24,$M$9:$M$24,PART_NUMBER_GENERATOR_TABLE[[#This Row],[Tech]:[Tech]])))</f>
        <v>0</v>
      </c>
      <c r="U156" cm="1">
        <f t="array" ref="U156">IF(PART_NUMBER_GENERATOR_TABLE[[#This Row],[Work Role]:[Work Role]]&lt;&gt;U$1,0,
IF(PART_NUMBER_GENERATOR_TABLE[[#This Row],[Work Type]:[Work Type]]&lt;&gt;"BH",0,
SUMIFS(U$9:U$24,$M$9:$M$24,PART_NUMBER_GENERATOR_TABLE[[#This Row],[Tech]:[Tech]])))</f>
        <v>0</v>
      </c>
      <c r="V156" cm="1">
        <f t="array" ref="V156">IF(PART_NUMBER_GENERATOR_TABLE[[#This Row],[Work Role]:[Work Role]]&lt;&gt;V$1,0,
IF(PART_NUMBER_GENERATOR_TABLE[[#This Row],[Work Type]:[Work Type]]&lt;&gt;"BH",0,
SUMIFS(V$9:V$24,$M$9:$M$24,PART_NUMBER_GENERATOR_TABLE[[#This Row],[Tech]:[Tech]])))</f>
        <v>0</v>
      </c>
      <c r="W156" cm="1">
        <f t="array" ref="W156">IF(PART_NUMBER_GENERATOR_TABLE[[#This Row],[Work Role]:[Work Role]]&lt;&gt;W$1,0,
IF(PART_NUMBER_GENERATOR_TABLE[[#This Row],[Work Type]:[Work Type]]&lt;&gt;"BH",0,
SUMIFS(W$9:W$24,$M$9:$M$24,PART_NUMBER_GENERATOR_TABLE[[#This Row],[Tech]:[Tech]])))</f>
        <v>0</v>
      </c>
      <c r="X156" cm="1">
        <f t="array" ref="X156">IF(PART_NUMBER_GENERATOR_TABLE[[#This Row],[Work Role]:[Work Role]]&lt;&gt;X$1,0,
IF(PART_NUMBER_GENERATOR_TABLE[[#This Row],[Work Type]:[Work Type]]&lt;&gt;"BH",0,
SUMIFS(X$9:X$24,$M$9:$M$24,PART_NUMBER_GENERATOR_TABLE[[#This Row],[Tech]:[Tech]])))</f>
        <v>0</v>
      </c>
      <c r="Y156" cm="1">
        <f t="array" ref="Y156">IF(PART_NUMBER_GENERATOR_TABLE[[#This Row],[Work Role]:[Work Role]]&lt;&gt;Y$1,0,
IF(PART_NUMBER_GENERATOR_TABLE[[#This Row],[Work Type]:[Work Type]]&lt;&gt;"BH",0,
SUMIFS(Y$9:Y$24,$M$9:$M$24,PART_NUMBER_GENERATOR_TABLE[[#This Row],[Tech]:[Tech]])))</f>
        <v>0</v>
      </c>
      <c r="Z156" cm="1">
        <f t="array" ref="Z156">IF(PART_NUMBER_GENERATOR_TABLE[[#This Row],[Work Role]:[Work Role]]&lt;&gt;Z$1,0,
IF(PART_NUMBER_GENERATOR_TABLE[[#This Row],[Work Type]:[Work Type]]&lt;&gt;"BH",0,
SUMIFS(Z$9:Z$24,$M$9:$M$24,PART_NUMBER_GENERATOR_TABLE[[#This Row],[Tech]:[Tech]])))</f>
        <v>0</v>
      </c>
      <c r="AA156" cm="1">
        <f t="array" ref="AA156">IF(PART_NUMBER_GENERATOR_TABLE[[#This Row],[Work Role]:[Work Role]]&lt;&gt;AA$1,0,
IF(PART_NUMBER_GENERATOR_TABLE[[#This Row],[Work Type]:[Work Type]]&lt;&gt;"BH",0,
SUMIFS(AA$9:AA$24,$M$9:$M$24,PART_NUMBER_GENERATOR_TABLE[[#This Row],[Tech]:[Tech]])))</f>
        <v>0</v>
      </c>
      <c r="AB156" cm="1">
        <f t="array" ref="AB156">IF(PART_NUMBER_GENERATOR_TABLE[[#This Row],[Work Role]:[Work Role]]&lt;&gt;AB$1,0,
IF(PART_NUMBER_GENERATOR_TABLE[[#This Row],[Work Type]:[Work Type]]&lt;&gt;"BH",0,
SUMIFS(AB$9:AB$24,$M$9:$M$24,PART_NUMBER_GENERATOR_TABLE[[#This Row],[Tech]:[Tech]])))</f>
        <v>0</v>
      </c>
      <c r="AC156" cm="1">
        <f t="array" ref="AC156">IF(PART_NUMBER_GENERATOR_TABLE[[#This Row],[Work Role]:[Work Role]]&lt;&gt;AC$1,0,
IF(PART_NUMBER_GENERATOR_TABLE[[#This Row],[Work Type]:[Work Type]]&lt;&gt;"BH",0,
SUMIFS(AC$9:AC$24,$M$9:$M$24,PART_NUMBER_GENERATOR_TABLE[[#This Row],[Tech]:[Tech]])))</f>
        <v>0</v>
      </c>
      <c r="AD156" cm="1">
        <f t="array" ref="AD156">IF(PART_NUMBER_GENERATOR_TABLE[[#This Row],[Work Role]:[Work Role]]&lt;&gt;AD$1,0,
IF(PART_NUMBER_GENERATOR_TABLE[[#This Row],[Work Type]:[Work Type]]&lt;&gt;"BH",0,
SUMIFS(AD$9:AD$24,$M$9:$M$24,PART_NUMBER_GENERATOR_TABLE[[#This Row],[Tech]:[Tech]])))</f>
        <v>0</v>
      </c>
      <c r="AE156" cm="1">
        <f t="array" ref="AE156">IF(PART_NUMBER_GENERATOR_TABLE[[#This Row],[Work Role]:[Work Role]]&lt;&gt;AE$1,0,
IF(PART_NUMBER_GENERATOR_TABLE[[#This Row],[Work Type]:[Work Type]]&lt;&gt;"BH",0,
SUMIFS(AE$9:AE$24,$M$9:$M$24,PART_NUMBER_GENERATOR_TABLE[[#This Row],[Tech]:[Tech]])))</f>
        <v>0</v>
      </c>
      <c r="AF156" cm="1">
        <f t="array" ref="AF156">IF(PART_NUMBER_GENERATOR_TABLE[[#This Row],[Work Role]:[Work Role]]&lt;&gt;AF$1,0,
IF(PART_NUMBER_GENERATOR_TABLE[[#This Row],[Work Type]:[Work Type]]&lt;&gt;"BH",0,
SUMIFS(AF$9:AF$24,$M$9:$M$24,PART_NUMBER_GENERATOR_TABLE[[#This Row],[Tech]:[Tech]])))</f>
        <v>0</v>
      </c>
      <c r="AG156" cm="1">
        <f t="array" ref="AG156">IF(PART_NUMBER_GENERATOR_TABLE[[#This Row],[Work Role]:[Work Role]]&lt;&gt;AG$1,0,
IF(PART_NUMBER_GENERATOR_TABLE[[#This Row],[Work Type]:[Work Type]]&lt;&gt;"AH",0,
SUMIFS(AG$9:AG$24,$M$9:$M$24,PART_NUMBER_GENERATOR_TABLE[[#This Row],[Tech]:[Tech]])))</f>
        <v>0</v>
      </c>
      <c r="AH156" cm="1">
        <f t="array" ref="AH156">IF(PART_NUMBER_GENERATOR_TABLE[[#This Row],[Work Role]:[Work Role]]&lt;&gt;AH$1,0,
IF(PART_NUMBER_GENERATOR_TABLE[[#This Row],[Work Type]:[Work Type]]&lt;&gt;"BH",0,
SUMIFS(AH$9:AH$24,$M$9:$M$24,PART_NUMBER_GENERATOR_TABLE[[#This Row],[Tech]:[Tech]])))</f>
        <v>0</v>
      </c>
      <c r="AI156" cm="1">
        <f t="array" ref="AI156">IF(PART_NUMBER_GENERATOR_TABLE[[#This Row],[Work Role]:[Work Role]]&lt;&gt;AI$1,0,
IF(PART_NUMBER_GENERATOR_TABLE[[#This Row],[Work Type]:[Work Type]]&lt;&gt;"BH",0,
SUMIFS(AI$9:AI$24,$M$9:$M$24,PART_NUMBER_GENERATOR_TABLE[[#This Row],[Tech]:[Tech]])))</f>
        <v>0</v>
      </c>
      <c r="AJ156" cm="1">
        <f t="array" ref="AJ156">IF(PART_NUMBER_GENERATOR_TABLE[[#This Row],[Work Role]:[Work Role]]&lt;&gt;AJ$1,0,
IF(PART_NUMBER_GENERATOR_TABLE[[#This Row],[Work Type]:[Work Type]]&lt;&gt;"BH",0,
SUMIFS(AJ$9:AJ$24,$M$9:$M$24,PART_NUMBER_GENERATOR_TABLE[[#This Row],[Tech]:[Tech]])))</f>
        <v>0</v>
      </c>
      <c r="AK156" cm="1">
        <f t="array" ref="AK156">IF(PART_NUMBER_GENERATOR_TABLE[[#This Row],[Work Role]:[Work Role]]&lt;&gt;AK$1,0,
IF(PART_NUMBER_GENERATOR_TABLE[[#This Row],[Work Type]:[Work Type]]&lt;&gt;"AH",0,
SUMIFS(AK$9:AK$24,$M$9:$M$24,PART_NUMBER_GENERATOR_TABLE[[#This Row],[Tech]:[Tech]])))</f>
        <v>0</v>
      </c>
      <c r="AL156" cm="1">
        <f t="array" ref="AL156">IF(PART_NUMBER_GENERATOR_TABLE[[#This Row],[Work Role]:[Work Role]]&lt;&gt;AL$1,0,
IF(PART_NUMBER_GENERATOR_TABLE[[#This Row],[Work Type]:[Work Type]]&lt;&gt;"BH",0,
SUMIFS(AL$9:AL$24,$M$9:$M$24,PART_NUMBER_GENERATOR_TABLE[[#This Row],[Tech]:[Tech]])))</f>
        <v>0</v>
      </c>
      <c r="AM156">
        <f>0</f>
        <v>0</v>
      </c>
      <c r="AN156" cm="1">
        <f t="array" ref="AN156">IF(PART_NUMBER_GENERATOR_TABLE[[#This Row],[Work Role]:[Work Role]]&lt;&gt;AN$1,0,
IF(PART_NUMBER_GENERATOR_TABLE[[#This Row],[Work Type]:[Work Type]]&lt;&gt;"BH",0,
SUMIFS(AN$24,$AM$24,PART_NUMBER_GENERATOR_TABLE[[#This Row],[Tech]:[Tech]])))</f>
        <v>0</v>
      </c>
      <c r="AO156" cm="1">
        <f t="array" ref="AO156">IF(PART_NUMBER_GENERATOR_TABLE[[#This Row],[Work Role]:[Work Role]]&lt;&gt;AO$1,0,
IF(PART_NUMBER_GENERATOR_TABLE[[#This Row],[Work Type]:[Work Type]]&lt;&gt;"BH",0,
SUMIFS(AO$24,$AM$24,PART_NUMBER_GENERATOR_TABLE[[#This Row],[Tech]:[Tech]])))</f>
        <v>0</v>
      </c>
      <c r="AP156" cm="1">
        <f t="array" ref="AP156">IF(PART_NUMBER_GENERATOR_TABLE[[#This Row],[Work Role]:[Work Role]]&lt;&gt;AP$1,0,
IF(PART_NUMBER_GENERATOR_TABLE[[#This Row],[Work Type]:[Work Type]]&lt;&gt;"BH",0,
SUMIFS(AP$24,$AM$24,PART_NUMBER_GENERATOR_TABLE[[#This Row],[Tech]:[Tech]])))</f>
        <v>0</v>
      </c>
      <c r="AQ156" cm="1">
        <f t="array" ref="AQ156">IF(PART_NUMBER_GENERATOR_TABLE[[#This Row],[Work Role]:[Work Role]]&lt;&gt;AQ$1,0,
IF(PART_NUMBER_GENERATOR_TABLE[[#This Row],[Work Type]:[Work Type]]&lt;&gt;"BH",0,
SUMIFS(AQ$24,$AM$24,PART_NUMBER_GENERATOR_TABLE[[#This Row],[Tech]:[Tech]])))</f>
        <v>0</v>
      </c>
      <c r="AR156" cm="1">
        <f t="array" ref="AR156">IF(PART_NUMBER_GENERATOR_TABLE[[#This Row],[Work Role]:[Work Role]]&lt;&gt;AR$1,0,
IF(PART_NUMBER_GENERATOR_TABLE[[#This Row],[Work Type]:[Work Type]]&lt;&gt;"BH",0,
SUMIFS(AR$24,$AM$24,PART_NUMBER_GENERATOR_TABLE[[#This Row],[Tech]:[Tech]])))</f>
        <v>0</v>
      </c>
      <c r="AS156" cm="1">
        <f t="array" ref="AS156">IF(PART_NUMBER_GENERATOR_TABLE[[#This Row],[Work Role]:[Work Role]]&lt;&gt;AS$1,0,
IF(PART_NUMBER_GENERATOR_TABLE[[#This Row],[Work Type]:[Work Type]]&lt;&gt;"BH",0,
SUMIFS(AS$24,$AM$24,PART_NUMBER_GENERATOR_TABLE[[#This Row],[Tech]:[Tech]])))</f>
        <v>0</v>
      </c>
      <c r="AT156" cm="1">
        <f t="array" ref="AT156">IF(PART_NUMBER_GENERATOR_TABLE[[#This Row],[Work Role]:[Work Role]]&lt;&gt;AS$1,0,
IF(PART_NUMBER_GENERATOR_TABLE[[#This Row],[Work Type]:[Work Type]]&lt;&gt;"BH",0,
SUMIFS(AT$24,$AM$24,PART_NUMBER_GENERATOR_TABLE[[#This Row],[Tech]:[Tech]])))</f>
        <v>0</v>
      </c>
      <c r="AU156">
        <f>SUM(PART_NUMBER_GENERATOR_TABLE[[#This Row],[Resource 1 BH]:[Resource 5 AH]],PART_NUMBER_GENERATOR_TABLE[[#This Row],[R1 Mandatory Tasks]:[R5 Mandatory Tasks]],PART_NUMBER_GENERATOR_TABLE[[#This Row],[R1 Remainder]:[R5 Remainder]])</f>
        <v>0</v>
      </c>
      <c r="AV156">
        <f>PART_NUMBER_GENERATOR_TABLE[[#This Row],[Professional Engineering Hours]]*PART_NUMBER_GENERATOR_TABLE[[#This Row],[Sell Rate]]</f>
        <v>0</v>
      </c>
      <c r="AW156">
        <f>PART_NUMBER_GENERATOR_TABLE[[#This Row],[Professional Engineering Hours]]*PART_NUMBER_GENERATOR_TABLE[[#This Row],[Cost Rate]]</f>
        <v>0</v>
      </c>
      <c r="AX156">
        <f>SUM(PART_NUMBER_GENERATOR_TABLE[[#This Row],[PM Trips]:[R5 Trips]])</f>
        <v>0</v>
      </c>
      <c r="AY156">
        <f>PART_NUMBER_GENERATOR_TABLE[[#This Row],[Travel &amp; Accommodation Hours]]*PART_NUMBER_GENERATOR_TABLE[[#This Row],[Sell Rate]]</f>
        <v>0</v>
      </c>
      <c r="AZ156">
        <f>PART_NUMBER_GENERATOR_TABLE[[#This Row],[Travel &amp; Accommodation Hours]]*PART_NUMBER_GENERATOR_TABLE[[#This Row],[Cost Rate]]</f>
        <v>0</v>
      </c>
      <c r="BA156">
        <f>PART_NUMBER_GENERATOR_TABLE[[#This Row],[PM Hours]]+PART_NUMBER_GENERATOR_TABLE[[#This Row],[PM Remainder]]</f>
        <v>0</v>
      </c>
      <c r="BB156">
        <f>PART_NUMBER_GENERATOR_TABLE[[#This Row],[Project Management Hours]]*PART_NUMBER_GENERATOR_TABLE[[#This Row],[Sell Rate]]</f>
        <v>0</v>
      </c>
      <c r="BC156">
        <f>PART_NUMBER_GENERATOR_TABLE[[#This Row],[Project Management Hours]]*PART_NUMBER_GENERATOR_TABLE[[#This Row],[Cost Rate]]</f>
        <v>0</v>
      </c>
      <c r="BD156">
        <f>SUM(PART_NUMBER_GENERATOR_TABLE[[#This Row],[SSE RISK BH]:[PM RISK]],PART_NUMBER_GENERATOR_TABLE[[#This Row],[SSE Remainder RISK BH]:[PM Remainder RISK]])</f>
        <v>0</v>
      </c>
      <c r="BE156">
        <f>PART_NUMBER_GENERATOR_TABLE[[#This Row],[Project Risk Service Hours]]*PART_NUMBER_GENERATOR_TABLE[[#This Row],[Sell Rate]]</f>
        <v>0</v>
      </c>
      <c r="BF156">
        <f>PART_NUMBER_GENERATOR_TABLE[[#This Row],[Project Risk Service Hours]]*PART_NUMBER_GENERATOR_TABLE[[#This Row],[Cost Rate]]</f>
        <v>0</v>
      </c>
      <c r="BG156">
        <f>PART_NUMBER_GENERATOR_TABLE[[#This Row],[SSE RISK TRAVEL]]</f>
        <v>0</v>
      </c>
      <c r="BH156">
        <f>PART_NUMBER_GENERATOR_TABLE[[#This Row],[Sell Rate]]*PART_NUMBER_GENERATOR_TABLE[[#This Row],[Project Risk Travel Hours]]</f>
        <v>0</v>
      </c>
      <c r="BI156">
        <f>PART_NUMBER_GENERATOR_TABLE[[#This Row],[Project Risk Travel Hours]]*PART_NUMBER_GENERATOR_TABLE[[#This Row],[Cost Rate]]</f>
        <v>0</v>
      </c>
      <c r="BJ156">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56">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56">
        <f>IFERROR(-VLOOKUP(INDEX(ENGINEER_ROLES,MATCH(PART_NUMBER_GENERATOR_TABLE[[#This Row],[Work Role]],settings.Table_Engineer.Roles[ID],0),1),Settings_Hidden!$H$359:$K$366,4,FALSE),0)</f>
        <v>0</v>
      </c>
      <c r="BM156" s="680">
        <f>-Summary!$C$66</f>
        <v>0</v>
      </c>
      <c r="BN156" s="465">
        <f>PART_NUMBER_GENERATOR_TABLE[[#This Row],[Total Base Price]]*MIN(PART_NUMBER_GENERATOR_TABLE[[#This Row],[Rate Service Discount]:[Flat Service Discount]])</f>
        <v>0</v>
      </c>
      <c r="BO156" s="451" t="str">
        <f>IF(PART_NUMBER_GENERATOR_TABLE[[#This Row],[Quantity]]&lt;&gt;0,MAX($BO$30:BO155)+1,"")</f>
        <v/>
      </c>
      <c r="BP156" t="str">
        <f>PART_NUMBER_GENERATOR_TABLE[[#This Row],[Part Number]]</f>
        <v>A-PS-C-NETWRK-AC-AH</v>
      </c>
      <c r="BQ156">
        <f>PART_NUMBER_GENERATOR_TABLE[[#This Row],[Total Hours]]</f>
        <v>0</v>
      </c>
      <c r="BR156">
        <f>PART_NUMBER_GENERATOR_TABLE[[#This Row],[Cost Rate]]</f>
        <v>251.41552370953494</v>
      </c>
      <c r="BS156" s="465">
        <f>PART_NUMBER_GENERATOR_TABLE[[#This Row],[Sell Rate]]+(PART_NUMBER_GENERATOR_TABLE[[#This Row],[Sell Rate]]*MIN(PART_NUMBER_GENERATOR_TABLE[[#This Row],[Rate Service Discount]:[Flat Service Discount]]))</f>
        <v>472.5</v>
      </c>
    </row>
    <row r="157" spans="1:71">
      <c r="A157">
        <v>127</v>
      </c>
      <c r="C157" t="s">
        <v>1008</v>
      </c>
      <c r="D157" t="str" cm="1">
        <f t="array" ref="D157">INDEX(Table.Settings_Skill.List[Skill Name],MATCH(INDEX(_xlfn.TEXTSPLIT(C157,"-",,TRUE),4),Table.Settings_Skill.List[Skill Code],0),1)</f>
        <v>Operational Technology</v>
      </c>
      <c r="E157" t="str" cm="1">
        <f t="array" ref="E157">INDEX(_xlfn.TEXTSPLIT(C157,"-",,TRUE),5)</f>
        <v>SA</v>
      </c>
      <c r="F157" t="str">
        <f>IFERROR(INDEX(settings.Table_Engineer.Roles[Department Code],MATCH(PART_NUMBER_GENERATOR_TABLE[[#This Row],[Work Role]],settings.Table_Engineer.Roles[ID],0),1),"PMO")</f>
        <v>CON</v>
      </c>
      <c r="G157" t="str" cm="1">
        <f t="array" ref="G157">INDEX(_xlfn.TEXTSPLIT(C157,"-",,TRUE),6)</f>
        <v>AH</v>
      </c>
      <c r="H157">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57">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57" cm="1">
        <f t="array" ref="J157">IF(J$1&lt;&gt;PART_NUMBER_GENERATOR_TABLE[[#This Row],[Work Role]:[Work Role]],0,
IF(RIGHT(J$30,2)&lt;&gt;PART_NUMBER_GENERATOR_TABLE[[#This Row],[Work Type]:[Work Type]],0,
SUMIFS(Input_Tasks[R1 Business Hours],Input_Tasks[[Skill Required]:[Skill Required]],PART_NUMBER_GENERATOR_TABLE[[#This Row],[Tech]:[Tech]])))</f>
        <v>0</v>
      </c>
      <c r="K157" cm="1">
        <f t="array" ref="K157">IF(K$1&lt;&gt;PART_NUMBER_GENERATOR_TABLE[[#This Row],[Work Role]:[Work Role]],0,
IF(RIGHT(K$30,2)&lt;&gt;PART_NUMBER_GENERATOR_TABLE[[#This Row],[Work Type]:[Work Type]],0,
SUMIFS(Input_Tasks[R1 After Hours],Input_Tasks[[Skill Required]:[Skill Required]],PART_NUMBER_GENERATOR_TABLE[[#This Row],[Tech]:[Tech]])))</f>
        <v>0</v>
      </c>
      <c r="L157" cm="1">
        <f t="array" ref="L157">IF(L$1&lt;&gt;PART_NUMBER_GENERATOR_TABLE[[#This Row],[Work Role]:[Work Role]],0,
IF(RIGHT(L$30,2)&lt;&gt;PART_NUMBER_GENERATOR_TABLE[[#This Row],[Work Type]:[Work Type]],0,
SUMIFS(Input_Tasks[R2 Business Hours],Input_Tasks[[Skill Required]:[Skill Required]],PART_NUMBER_GENERATOR_TABLE[[#This Row],[Tech]:[Tech]])))</f>
        <v>0</v>
      </c>
      <c r="M157" cm="1">
        <f t="array" ref="M157">IF(M$1&lt;&gt;PART_NUMBER_GENERATOR_TABLE[[#This Row],[Work Role]:[Work Role]],0,
IF(RIGHT(M$30,2)&lt;&gt;PART_NUMBER_GENERATOR_TABLE[[#This Row],[Work Type]:[Work Type]],0,
SUMIFS(Input_Tasks[R2 After Hours],Input_Tasks[[Skill Required]:[Skill Required]],PART_NUMBER_GENERATOR_TABLE[[#This Row],[Tech]:[Tech]])))</f>
        <v>0</v>
      </c>
      <c r="N157" cm="1">
        <f t="array" ref="N157">IF(N$1&lt;&gt;PART_NUMBER_GENERATOR_TABLE[[#This Row],[Work Role]:[Work Role]],0,
IF(RIGHT(N$30,2)&lt;&gt;PART_NUMBER_GENERATOR_TABLE[[#This Row],[Work Type]:[Work Type]],0,
SUMIFS(Input_Tasks[R3 Business Hours],Input_Tasks[[Skill Required]:[Skill Required]],PART_NUMBER_GENERATOR_TABLE[[#This Row],[Tech]:[Tech]])))</f>
        <v>0</v>
      </c>
      <c r="O157" cm="1">
        <f t="array" ref="O157">IF(O$1&lt;&gt;PART_NUMBER_GENERATOR_TABLE[[#This Row],[Work Role]:[Work Role]],0,
IF(RIGHT(O$30,2)&lt;&gt;PART_NUMBER_GENERATOR_TABLE[[#This Row],[Work Type]:[Work Type]],0,
SUMIFS(Input_Tasks[R3 After Hours],Input_Tasks[[Skill Required]:[Skill Required]],PART_NUMBER_GENERATOR_TABLE[[#This Row],[Tech]:[Tech]])))</f>
        <v>0</v>
      </c>
      <c r="P157" cm="1">
        <f t="array" ref="P157">IF(P$1&lt;&gt;PART_NUMBER_GENERATOR_TABLE[[#This Row],[Work Role]:[Work Role]],0,
IF(RIGHT(P$30,2)&lt;&gt;PART_NUMBER_GENERATOR_TABLE[[#This Row],[Work Type]:[Work Type]],0,
SUMIFS(Input_Tasks[R4 Business Hours],Input_Tasks[[Skill Required]:[Skill Required]],PART_NUMBER_GENERATOR_TABLE[[#This Row],[Tech]:[Tech]])))</f>
        <v>0</v>
      </c>
      <c r="Q157" cm="1">
        <f t="array" ref="Q157">IF(Q$1&lt;&gt;PART_NUMBER_GENERATOR_TABLE[[#This Row],[Work Role]:[Work Role]],0,
IF(RIGHT(Q$30,2)&lt;&gt;PART_NUMBER_GENERATOR_TABLE[[#This Row],[Work Type]:[Work Type]],0,
SUMIFS(Input_Tasks[R4 After Hours],Input_Tasks[[Skill Required]:[Skill Required]],PART_NUMBER_GENERATOR_TABLE[[#This Row],[Tech]:[Tech]])))</f>
        <v>0</v>
      </c>
      <c r="R157" cm="1">
        <f t="array" ref="R157">IF(R$1&lt;&gt;PART_NUMBER_GENERATOR_TABLE[[#This Row],[Work Role]:[Work Role]],0,
IF(RIGHT(R$30,2)&lt;&gt;PART_NUMBER_GENERATOR_TABLE[[#This Row],[Work Type]:[Work Type]],0,
SUMIFS(Input_Tasks[R5 Business Hours],Input_Tasks[[Skill Required]:[Skill Required]],PART_NUMBER_GENERATOR_TABLE[[#This Row],[Tech]:[Tech]])))</f>
        <v>0</v>
      </c>
      <c r="S157" cm="1">
        <f t="array" ref="S157">IF(S$1&lt;&gt;PART_NUMBER_GENERATOR_TABLE[[#This Row],[Work Role]:[Work Role]],0,
IF(RIGHT(S$30,2)&lt;&gt;PART_NUMBER_GENERATOR_TABLE[[#This Row],[Work Type]:[Work Type]],0,
SUMIFS(Input_Tasks[R5 After Hours],Input_Tasks[[Skill Required]:[Skill Required]],PART_NUMBER_GENERATOR_TABLE[[#This Row],[Tech]:[Tech]])))</f>
        <v>0</v>
      </c>
      <c r="T157" cm="1">
        <f t="array" ref="T157">IF(PART_NUMBER_GENERATOR_TABLE[[#This Row],[Work Role]:[Work Role]]&lt;&gt;T$1,0,
IF(PART_NUMBER_GENERATOR_TABLE[[#This Row],[Work Type]:[Work Type]]&lt;&gt;"BH",0,
SUMIFS(T$9:T$24,$M$9:$M$24,PART_NUMBER_GENERATOR_TABLE[[#This Row],[Tech]:[Tech]])))</f>
        <v>0</v>
      </c>
      <c r="U157" cm="1">
        <f t="array" ref="U157">IF(PART_NUMBER_GENERATOR_TABLE[[#This Row],[Work Role]:[Work Role]]&lt;&gt;U$1,0,
IF(PART_NUMBER_GENERATOR_TABLE[[#This Row],[Work Type]:[Work Type]]&lt;&gt;"BH",0,
SUMIFS(U$9:U$24,$M$9:$M$24,PART_NUMBER_GENERATOR_TABLE[[#This Row],[Tech]:[Tech]])))</f>
        <v>0</v>
      </c>
      <c r="V157" cm="1">
        <f t="array" ref="V157">IF(PART_NUMBER_GENERATOR_TABLE[[#This Row],[Work Role]:[Work Role]]&lt;&gt;V$1,0,
IF(PART_NUMBER_GENERATOR_TABLE[[#This Row],[Work Type]:[Work Type]]&lt;&gt;"BH",0,
SUMIFS(V$9:V$24,$M$9:$M$24,PART_NUMBER_GENERATOR_TABLE[[#This Row],[Tech]:[Tech]])))</f>
        <v>0</v>
      </c>
      <c r="W157" cm="1">
        <f t="array" ref="W157">IF(PART_NUMBER_GENERATOR_TABLE[[#This Row],[Work Role]:[Work Role]]&lt;&gt;W$1,0,
IF(PART_NUMBER_GENERATOR_TABLE[[#This Row],[Work Type]:[Work Type]]&lt;&gt;"BH",0,
SUMIFS(W$9:W$24,$M$9:$M$24,PART_NUMBER_GENERATOR_TABLE[[#This Row],[Tech]:[Tech]])))</f>
        <v>0</v>
      </c>
      <c r="X157" cm="1">
        <f t="array" ref="X157">IF(PART_NUMBER_GENERATOR_TABLE[[#This Row],[Work Role]:[Work Role]]&lt;&gt;X$1,0,
IF(PART_NUMBER_GENERATOR_TABLE[[#This Row],[Work Type]:[Work Type]]&lt;&gt;"BH",0,
SUMIFS(X$9:X$24,$M$9:$M$24,PART_NUMBER_GENERATOR_TABLE[[#This Row],[Tech]:[Tech]])))</f>
        <v>0</v>
      </c>
      <c r="Y157" cm="1">
        <f t="array" ref="Y157">IF(PART_NUMBER_GENERATOR_TABLE[[#This Row],[Work Role]:[Work Role]]&lt;&gt;Y$1,0,
IF(PART_NUMBER_GENERATOR_TABLE[[#This Row],[Work Type]:[Work Type]]&lt;&gt;"BH",0,
SUMIFS(Y$9:Y$24,$M$9:$M$24,PART_NUMBER_GENERATOR_TABLE[[#This Row],[Tech]:[Tech]])))</f>
        <v>0</v>
      </c>
      <c r="Z157" cm="1">
        <f t="array" ref="Z157">IF(PART_NUMBER_GENERATOR_TABLE[[#This Row],[Work Role]:[Work Role]]&lt;&gt;Z$1,0,
IF(PART_NUMBER_GENERATOR_TABLE[[#This Row],[Work Type]:[Work Type]]&lt;&gt;"BH",0,
SUMIFS(Z$9:Z$24,$M$9:$M$24,PART_NUMBER_GENERATOR_TABLE[[#This Row],[Tech]:[Tech]])))</f>
        <v>0</v>
      </c>
      <c r="AA157" cm="1">
        <f t="array" ref="AA157">IF(PART_NUMBER_GENERATOR_TABLE[[#This Row],[Work Role]:[Work Role]]&lt;&gt;AA$1,0,
IF(PART_NUMBER_GENERATOR_TABLE[[#This Row],[Work Type]:[Work Type]]&lt;&gt;"BH",0,
SUMIFS(AA$9:AA$24,$M$9:$M$24,PART_NUMBER_GENERATOR_TABLE[[#This Row],[Tech]:[Tech]])))</f>
        <v>0</v>
      </c>
      <c r="AB157" cm="1">
        <f t="array" ref="AB157">IF(PART_NUMBER_GENERATOR_TABLE[[#This Row],[Work Role]:[Work Role]]&lt;&gt;AB$1,0,
IF(PART_NUMBER_GENERATOR_TABLE[[#This Row],[Work Type]:[Work Type]]&lt;&gt;"BH",0,
SUMIFS(AB$9:AB$24,$M$9:$M$24,PART_NUMBER_GENERATOR_TABLE[[#This Row],[Tech]:[Tech]])))</f>
        <v>0</v>
      </c>
      <c r="AC157" cm="1">
        <f t="array" ref="AC157">IF(PART_NUMBER_GENERATOR_TABLE[[#This Row],[Work Role]:[Work Role]]&lt;&gt;AC$1,0,
IF(PART_NUMBER_GENERATOR_TABLE[[#This Row],[Work Type]:[Work Type]]&lt;&gt;"BH",0,
SUMIFS(AC$9:AC$24,$M$9:$M$24,PART_NUMBER_GENERATOR_TABLE[[#This Row],[Tech]:[Tech]])))</f>
        <v>0</v>
      </c>
      <c r="AD157" cm="1">
        <f t="array" ref="AD157">IF(PART_NUMBER_GENERATOR_TABLE[[#This Row],[Work Role]:[Work Role]]&lt;&gt;AD$1,0,
IF(PART_NUMBER_GENERATOR_TABLE[[#This Row],[Work Type]:[Work Type]]&lt;&gt;"BH",0,
SUMIFS(AD$9:AD$24,$M$9:$M$24,PART_NUMBER_GENERATOR_TABLE[[#This Row],[Tech]:[Tech]])))</f>
        <v>0</v>
      </c>
      <c r="AE157" cm="1">
        <f t="array" ref="AE157">IF(PART_NUMBER_GENERATOR_TABLE[[#This Row],[Work Role]:[Work Role]]&lt;&gt;AE$1,0,
IF(PART_NUMBER_GENERATOR_TABLE[[#This Row],[Work Type]:[Work Type]]&lt;&gt;"BH",0,
SUMIFS(AE$9:AE$24,$M$9:$M$24,PART_NUMBER_GENERATOR_TABLE[[#This Row],[Tech]:[Tech]])))</f>
        <v>0</v>
      </c>
      <c r="AF157" cm="1">
        <f t="array" ref="AF157">IF(PART_NUMBER_GENERATOR_TABLE[[#This Row],[Work Role]:[Work Role]]&lt;&gt;AF$1,0,
IF(PART_NUMBER_GENERATOR_TABLE[[#This Row],[Work Type]:[Work Type]]&lt;&gt;"BH",0,
SUMIFS(AF$9:AF$24,$M$9:$M$24,PART_NUMBER_GENERATOR_TABLE[[#This Row],[Tech]:[Tech]])))</f>
        <v>0</v>
      </c>
      <c r="AG157" cm="1">
        <f t="array" ref="AG157">IF(PART_NUMBER_GENERATOR_TABLE[[#This Row],[Work Role]:[Work Role]]&lt;&gt;AG$1,0,
IF(PART_NUMBER_GENERATOR_TABLE[[#This Row],[Work Type]:[Work Type]]&lt;&gt;"AH",0,
SUMIFS(AG$9:AG$24,$M$9:$M$24,PART_NUMBER_GENERATOR_TABLE[[#This Row],[Tech]:[Tech]])))</f>
        <v>0</v>
      </c>
      <c r="AH157" cm="1">
        <f t="array" ref="AH157">IF(PART_NUMBER_GENERATOR_TABLE[[#This Row],[Work Role]:[Work Role]]&lt;&gt;AH$1,0,
IF(PART_NUMBER_GENERATOR_TABLE[[#This Row],[Work Type]:[Work Type]]&lt;&gt;"BH",0,
SUMIFS(AH$9:AH$24,$M$9:$M$24,PART_NUMBER_GENERATOR_TABLE[[#This Row],[Tech]:[Tech]])))</f>
        <v>0</v>
      </c>
      <c r="AI157" cm="1">
        <f t="array" ref="AI157">IF(PART_NUMBER_GENERATOR_TABLE[[#This Row],[Work Role]:[Work Role]]&lt;&gt;AI$1,0,
IF(PART_NUMBER_GENERATOR_TABLE[[#This Row],[Work Type]:[Work Type]]&lt;&gt;"BH",0,
SUMIFS(AI$9:AI$24,$M$9:$M$24,PART_NUMBER_GENERATOR_TABLE[[#This Row],[Tech]:[Tech]])))</f>
        <v>0</v>
      </c>
      <c r="AJ157" cm="1">
        <f t="array" ref="AJ157">IF(PART_NUMBER_GENERATOR_TABLE[[#This Row],[Work Role]:[Work Role]]&lt;&gt;AJ$1,0,
IF(PART_NUMBER_GENERATOR_TABLE[[#This Row],[Work Type]:[Work Type]]&lt;&gt;"BH",0,
SUMIFS(AJ$9:AJ$24,$M$9:$M$24,PART_NUMBER_GENERATOR_TABLE[[#This Row],[Tech]:[Tech]])))</f>
        <v>0</v>
      </c>
      <c r="AK157" cm="1">
        <f t="array" ref="AK157">IF(PART_NUMBER_GENERATOR_TABLE[[#This Row],[Work Role]:[Work Role]]&lt;&gt;AK$1,0,
IF(PART_NUMBER_GENERATOR_TABLE[[#This Row],[Work Type]:[Work Type]]&lt;&gt;"AH",0,
SUMIFS(AK$9:AK$24,$M$9:$M$24,PART_NUMBER_GENERATOR_TABLE[[#This Row],[Tech]:[Tech]])))</f>
        <v>0</v>
      </c>
      <c r="AL157" cm="1">
        <f t="array" ref="AL157">IF(PART_NUMBER_GENERATOR_TABLE[[#This Row],[Work Role]:[Work Role]]&lt;&gt;AL$1,0,
IF(PART_NUMBER_GENERATOR_TABLE[[#This Row],[Work Type]:[Work Type]]&lt;&gt;"BH",0,
SUMIFS(AL$9:AL$24,$M$9:$M$24,PART_NUMBER_GENERATOR_TABLE[[#This Row],[Tech]:[Tech]])))</f>
        <v>0</v>
      </c>
      <c r="AM157">
        <f>0</f>
        <v>0</v>
      </c>
      <c r="AN157" cm="1">
        <f t="array" ref="AN157">IF(PART_NUMBER_GENERATOR_TABLE[[#This Row],[Work Role]:[Work Role]]&lt;&gt;AN$1,0,
IF(PART_NUMBER_GENERATOR_TABLE[[#This Row],[Work Type]:[Work Type]]&lt;&gt;"BH",0,
SUMIFS(AN$24,$AM$24,PART_NUMBER_GENERATOR_TABLE[[#This Row],[Tech]:[Tech]])))</f>
        <v>0</v>
      </c>
      <c r="AO157" cm="1">
        <f t="array" ref="AO157">IF(PART_NUMBER_GENERATOR_TABLE[[#This Row],[Work Role]:[Work Role]]&lt;&gt;AO$1,0,
IF(PART_NUMBER_GENERATOR_TABLE[[#This Row],[Work Type]:[Work Type]]&lt;&gt;"BH",0,
SUMIFS(AO$24,$AM$24,PART_NUMBER_GENERATOR_TABLE[[#This Row],[Tech]:[Tech]])))</f>
        <v>0</v>
      </c>
      <c r="AP157" cm="1">
        <f t="array" ref="AP157">IF(PART_NUMBER_GENERATOR_TABLE[[#This Row],[Work Role]:[Work Role]]&lt;&gt;AP$1,0,
IF(PART_NUMBER_GENERATOR_TABLE[[#This Row],[Work Type]:[Work Type]]&lt;&gt;"BH",0,
SUMIFS(AP$24,$AM$24,PART_NUMBER_GENERATOR_TABLE[[#This Row],[Tech]:[Tech]])))</f>
        <v>0</v>
      </c>
      <c r="AQ157" cm="1">
        <f t="array" ref="AQ157">IF(PART_NUMBER_GENERATOR_TABLE[[#This Row],[Work Role]:[Work Role]]&lt;&gt;AQ$1,0,
IF(PART_NUMBER_GENERATOR_TABLE[[#This Row],[Work Type]:[Work Type]]&lt;&gt;"BH",0,
SUMIFS(AQ$24,$AM$24,PART_NUMBER_GENERATOR_TABLE[[#This Row],[Tech]:[Tech]])))</f>
        <v>0</v>
      </c>
      <c r="AR157" cm="1">
        <f t="array" ref="AR157">IF(PART_NUMBER_GENERATOR_TABLE[[#This Row],[Work Role]:[Work Role]]&lt;&gt;AR$1,0,
IF(PART_NUMBER_GENERATOR_TABLE[[#This Row],[Work Type]:[Work Type]]&lt;&gt;"BH",0,
SUMIFS(AR$24,$AM$24,PART_NUMBER_GENERATOR_TABLE[[#This Row],[Tech]:[Tech]])))</f>
        <v>0</v>
      </c>
      <c r="AS157" cm="1">
        <f t="array" ref="AS157">IF(PART_NUMBER_GENERATOR_TABLE[[#This Row],[Work Role]:[Work Role]]&lt;&gt;AS$1,0,
IF(PART_NUMBER_GENERATOR_TABLE[[#This Row],[Work Type]:[Work Type]]&lt;&gt;"BH",0,
SUMIFS(AS$24,$AM$24,PART_NUMBER_GENERATOR_TABLE[[#This Row],[Tech]:[Tech]])))</f>
        <v>0</v>
      </c>
      <c r="AT157" cm="1">
        <f t="array" ref="AT157">IF(PART_NUMBER_GENERATOR_TABLE[[#This Row],[Work Role]:[Work Role]]&lt;&gt;AS$1,0,
IF(PART_NUMBER_GENERATOR_TABLE[[#This Row],[Work Type]:[Work Type]]&lt;&gt;"BH",0,
SUMIFS(AT$24,$AM$24,PART_NUMBER_GENERATOR_TABLE[[#This Row],[Tech]:[Tech]])))</f>
        <v>0</v>
      </c>
      <c r="AU157">
        <f>SUM(PART_NUMBER_GENERATOR_TABLE[[#This Row],[Resource 1 BH]:[Resource 5 AH]],PART_NUMBER_GENERATOR_TABLE[[#This Row],[R1 Mandatory Tasks]:[R5 Mandatory Tasks]],PART_NUMBER_GENERATOR_TABLE[[#This Row],[R1 Remainder]:[R5 Remainder]])</f>
        <v>0</v>
      </c>
      <c r="AV157">
        <f>PART_NUMBER_GENERATOR_TABLE[[#This Row],[Professional Engineering Hours]]*PART_NUMBER_GENERATOR_TABLE[[#This Row],[Sell Rate]]</f>
        <v>0</v>
      </c>
      <c r="AW157">
        <f>PART_NUMBER_GENERATOR_TABLE[[#This Row],[Professional Engineering Hours]]*PART_NUMBER_GENERATOR_TABLE[[#This Row],[Cost Rate]]</f>
        <v>0</v>
      </c>
      <c r="AX157">
        <f>SUM(PART_NUMBER_GENERATOR_TABLE[[#This Row],[PM Trips]:[R5 Trips]])</f>
        <v>0</v>
      </c>
      <c r="AY157">
        <f>PART_NUMBER_GENERATOR_TABLE[[#This Row],[Travel &amp; Accommodation Hours]]*PART_NUMBER_GENERATOR_TABLE[[#This Row],[Sell Rate]]</f>
        <v>0</v>
      </c>
      <c r="AZ157">
        <f>PART_NUMBER_GENERATOR_TABLE[[#This Row],[Travel &amp; Accommodation Hours]]*PART_NUMBER_GENERATOR_TABLE[[#This Row],[Cost Rate]]</f>
        <v>0</v>
      </c>
      <c r="BA157">
        <f>PART_NUMBER_GENERATOR_TABLE[[#This Row],[PM Hours]]+PART_NUMBER_GENERATOR_TABLE[[#This Row],[PM Remainder]]</f>
        <v>0</v>
      </c>
      <c r="BB157">
        <f>PART_NUMBER_GENERATOR_TABLE[[#This Row],[Project Management Hours]]*PART_NUMBER_GENERATOR_TABLE[[#This Row],[Sell Rate]]</f>
        <v>0</v>
      </c>
      <c r="BC157">
        <f>PART_NUMBER_GENERATOR_TABLE[[#This Row],[Project Management Hours]]*PART_NUMBER_GENERATOR_TABLE[[#This Row],[Cost Rate]]</f>
        <v>0</v>
      </c>
      <c r="BD157">
        <f>SUM(PART_NUMBER_GENERATOR_TABLE[[#This Row],[SSE RISK BH]:[PM RISK]],PART_NUMBER_GENERATOR_TABLE[[#This Row],[SSE Remainder RISK BH]:[PM Remainder RISK]])</f>
        <v>0</v>
      </c>
      <c r="BE157">
        <f>PART_NUMBER_GENERATOR_TABLE[[#This Row],[Project Risk Service Hours]]*PART_NUMBER_GENERATOR_TABLE[[#This Row],[Sell Rate]]</f>
        <v>0</v>
      </c>
      <c r="BF157">
        <f>PART_NUMBER_GENERATOR_TABLE[[#This Row],[Project Risk Service Hours]]*PART_NUMBER_GENERATOR_TABLE[[#This Row],[Cost Rate]]</f>
        <v>0</v>
      </c>
      <c r="BG157">
        <f>PART_NUMBER_GENERATOR_TABLE[[#This Row],[SSE RISK TRAVEL]]</f>
        <v>0</v>
      </c>
      <c r="BH157">
        <f>PART_NUMBER_GENERATOR_TABLE[[#This Row],[Sell Rate]]*PART_NUMBER_GENERATOR_TABLE[[#This Row],[Project Risk Travel Hours]]</f>
        <v>0</v>
      </c>
      <c r="BI157">
        <f>PART_NUMBER_GENERATOR_TABLE[[#This Row],[Project Risk Travel Hours]]*PART_NUMBER_GENERATOR_TABLE[[#This Row],[Cost Rate]]</f>
        <v>0</v>
      </c>
      <c r="BJ157">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57">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57">
        <f>IFERROR(-VLOOKUP(INDEX(ENGINEER_ROLES,MATCH(PART_NUMBER_GENERATOR_TABLE[[#This Row],[Work Role]],settings.Table_Engineer.Roles[ID],0),1),Settings_Hidden!$H$359:$K$366,4,FALSE),0)</f>
        <v>0</v>
      </c>
      <c r="BM157" s="680">
        <f>-Summary!$C$66</f>
        <v>0</v>
      </c>
      <c r="BN157" s="465">
        <f>PART_NUMBER_GENERATOR_TABLE[[#This Row],[Total Base Price]]*MIN(PART_NUMBER_GENERATOR_TABLE[[#This Row],[Rate Service Discount]:[Flat Service Discount]])</f>
        <v>0</v>
      </c>
      <c r="BO157" s="451" t="str">
        <f>IF(PART_NUMBER_GENERATOR_TABLE[[#This Row],[Quantity]]&lt;&gt;0,MAX($BO$30:BO156)+1,"")</f>
        <v/>
      </c>
      <c r="BP157" t="str">
        <f>PART_NUMBER_GENERATOR_TABLE[[#This Row],[Part Number]]</f>
        <v>A-PS-C-OPPTEC-SA-AH</v>
      </c>
      <c r="BQ157">
        <f>PART_NUMBER_GENERATOR_TABLE[[#This Row],[Total Hours]]</f>
        <v>0</v>
      </c>
      <c r="BR157">
        <f>PART_NUMBER_GENERATOR_TABLE[[#This Row],[Cost Rate]]</f>
        <v>251.41552370953494</v>
      </c>
      <c r="BS157" s="465">
        <f>PART_NUMBER_GENERATOR_TABLE[[#This Row],[Sell Rate]]+(PART_NUMBER_GENERATOR_TABLE[[#This Row],[Sell Rate]]*MIN(PART_NUMBER_GENERATOR_TABLE[[#This Row],[Rate Service Discount]:[Flat Service Discount]]))</f>
        <v>472.5</v>
      </c>
    </row>
    <row r="158" spans="1:71">
      <c r="A158">
        <v>128</v>
      </c>
      <c r="C158" t="s">
        <v>1000</v>
      </c>
      <c r="D158" t="str" cm="1">
        <f t="array" ref="D158">INDEX(Table.Settings_Skill.List[Skill Name],MATCH(INDEX(_xlfn.TEXTSPLIT(C158,"-",,TRUE),4),Table.Settings_Skill.List[Skill Code],0),1)</f>
        <v>Operational Technology</v>
      </c>
      <c r="E158" t="str" cm="1">
        <f t="array" ref="E158">INDEX(_xlfn.TEXTSPLIT(C158,"-",,TRUE),5)</f>
        <v>SC</v>
      </c>
      <c r="F158" t="str">
        <f>IFERROR(INDEX(settings.Table_Engineer.Roles[Department Code],MATCH(PART_NUMBER_GENERATOR_TABLE[[#This Row],[Work Role]],settings.Table_Engineer.Roles[ID],0),1),"PMO")</f>
        <v>CON</v>
      </c>
      <c r="G158" t="str" cm="1">
        <f t="array" ref="G158">INDEX(_xlfn.TEXTSPLIT(C158,"-",,TRUE),6)</f>
        <v>AH</v>
      </c>
      <c r="H158">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58">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58" cm="1">
        <f t="array" ref="J158">IF(J$1&lt;&gt;PART_NUMBER_GENERATOR_TABLE[[#This Row],[Work Role]:[Work Role]],0,
IF(RIGHT(J$30,2)&lt;&gt;PART_NUMBER_GENERATOR_TABLE[[#This Row],[Work Type]:[Work Type]],0,
SUMIFS(Input_Tasks[R1 Business Hours],Input_Tasks[[Skill Required]:[Skill Required]],PART_NUMBER_GENERATOR_TABLE[[#This Row],[Tech]:[Tech]])))</f>
        <v>0</v>
      </c>
      <c r="K158" cm="1">
        <f t="array" ref="K158">IF(K$1&lt;&gt;PART_NUMBER_GENERATOR_TABLE[[#This Row],[Work Role]:[Work Role]],0,
IF(RIGHT(K$30,2)&lt;&gt;PART_NUMBER_GENERATOR_TABLE[[#This Row],[Work Type]:[Work Type]],0,
SUMIFS(Input_Tasks[R1 After Hours],Input_Tasks[[Skill Required]:[Skill Required]],PART_NUMBER_GENERATOR_TABLE[[#This Row],[Tech]:[Tech]])))</f>
        <v>0</v>
      </c>
      <c r="L158" cm="1">
        <f t="array" ref="L158">IF(L$1&lt;&gt;PART_NUMBER_GENERATOR_TABLE[[#This Row],[Work Role]:[Work Role]],0,
IF(RIGHT(L$30,2)&lt;&gt;PART_NUMBER_GENERATOR_TABLE[[#This Row],[Work Type]:[Work Type]],0,
SUMIFS(Input_Tasks[R2 Business Hours],Input_Tasks[[Skill Required]:[Skill Required]],PART_NUMBER_GENERATOR_TABLE[[#This Row],[Tech]:[Tech]])))</f>
        <v>0</v>
      </c>
      <c r="M158" cm="1">
        <f t="array" ref="M158">IF(M$1&lt;&gt;PART_NUMBER_GENERATOR_TABLE[[#This Row],[Work Role]:[Work Role]],0,
IF(RIGHT(M$30,2)&lt;&gt;PART_NUMBER_GENERATOR_TABLE[[#This Row],[Work Type]:[Work Type]],0,
SUMIFS(Input_Tasks[R2 After Hours],Input_Tasks[[Skill Required]:[Skill Required]],PART_NUMBER_GENERATOR_TABLE[[#This Row],[Tech]:[Tech]])))</f>
        <v>0</v>
      </c>
      <c r="N158" cm="1">
        <f t="array" ref="N158">IF(N$1&lt;&gt;PART_NUMBER_GENERATOR_TABLE[[#This Row],[Work Role]:[Work Role]],0,
IF(RIGHT(N$30,2)&lt;&gt;PART_NUMBER_GENERATOR_TABLE[[#This Row],[Work Type]:[Work Type]],0,
SUMIFS(Input_Tasks[R3 Business Hours],Input_Tasks[[Skill Required]:[Skill Required]],PART_NUMBER_GENERATOR_TABLE[[#This Row],[Tech]:[Tech]])))</f>
        <v>0</v>
      </c>
      <c r="O158" cm="1">
        <f t="array" ref="O158">IF(O$1&lt;&gt;PART_NUMBER_GENERATOR_TABLE[[#This Row],[Work Role]:[Work Role]],0,
IF(RIGHT(O$30,2)&lt;&gt;PART_NUMBER_GENERATOR_TABLE[[#This Row],[Work Type]:[Work Type]],0,
SUMIFS(Input_Tasks[R3 After Hours],Input_Tasks[[Skill Required]:[Skill Required]],PART_NUMBER_GENERATOR_TABLE[[#This Row],[Tech]:[Tech]])))</f>
        <v>0</v>
      </c>
      <c r="P158" cm="1">
        <f t="array" ref="P158">IF(P$1&lt;&gt;PART_NUMBER_GENERATOR_TABLE[[#This Row],[Work Role]:[Work Role]],0,
IF(RIGHT(P$30,2)&lt;&gt;PART_NUMBER_GENERATOR_TABLE[[#This Row],[Work Type]:[Work Type]],0,
SUMIFS(Input_Tasks[R4 Business Hours],Input_Tasks[[Skill Required]:[Skill Required]],PART_NUMBER_GENERATOR_TABLE[[#This Row],[Tech]:[Tech]])))</f>
        <v>0</v>
      </c>
      <c r="Q158" cm="1">
        <f t="array" ref="Q158">IF(Q$1&lt;&gt;PART_NUMBER_GENERATOR_TABLE[[#This Row],[Work Role]:[Work Role]],0,
IF(RIGHT(Q$30,2)&lt;&gt;PART_NUMBER_GENERATOR_TABLE[[#This Row],[Work Type]:[Work Type]],0,
SUMIFS(Input_Tasks[R4 After Hours],Input_Tasks[[Skill Required]:[Skill Required]],PART_NUMBER_GENERATOR_TABLE[[#This Row],[Tech]:[Tech]])))</f>
        <v>0</v>
      </c>
      <c r="R158" cm="1">
        <f t="array" ref="R158">IF(R$1&lt;&gt;PART_NUMBER_GENERATOR_TABLE[[#This Row],[Work Role]:[Work Role]],0,
IF(RIGHT(R$30,2)&lt;&gt;PART_NUMBER_GENERATOR_TABLE[[#This Row],[Work Type]:[Work Type]],0,
SUMIFS(Input_Tasks[R5 Business Hours],Input_Tasks[[Skill Required]:[Skill Required]],PART_NUMBER_GENERATOR_TABLE[[#This Row],[Tech]:[Tech]])))</f>
        <v>0</v>
      </c>
      <c r="S158" cm="1">
        <f t="array" ref="S158">IF(S$1&lt;&gt;PART_NUMBER_GENERATOR_TABLE[[#This Row],[Work Role]:[Work Role]],0,
IF(RIGHT(S$30,2)&lt;&gt;PART_NUMBER_GENERATOR_TABLE[[#This Row],[Work Type]:[Work Type]],0,
SUMIFS(Input_Tasks[R5 After Hours],Input_Tasks[[Skill Required]:[Skill Required]],PART_NUMBER_GENERATOR_TABLE[[#This Row],[Tech]:[Tech]])))</f>
        <v>0</v>
      </c>
      <c r="T158" cm="1">
        <f t="array" ref="T158">IF(PART_NUMBER_GENERATOR_TABLE[[#This Row],[Work Role]:[Work Role]]&lt;&gt;T$1,0,
IF(PART_NUMBER_GENERATOR_TABLE[[#This Row],[Work Type]:[Work Type]]&lt;&gt;"BH",0,
SUMIFS(T$9:T$24,$M$9:$M$24,PART_NUMBER_GENERATOR_TABLE[[#This Row],[Tech]:[Tech]])))</f>
        <v>0</v>
      </c>
      <c r="U158" cm="1">
        <f t="array" ref="U158">IF(PART_NUMBER_GENERATOR_TABLE[[#This Row],[Work Role]:[Work Role]]&lt;&gt;U$1,0,
IF(PART_NUMBER_GENERATOR_TABLE[[#This Row],[Work Type]:[Work Type]]&lt;&gt;"BH",0,
SUMIFS(U$9:U$24,$M$9:$M$24,PART_NUMBER_GENERATOR_TABLE[[#This Row],[Tech]:[Tech]])))</f>
        <v>0</v>
      </c>
      <c r="V158" cm="1">
        <f t="array" ref="V158">IF(PART_NUMBER_GENERATOR_TABLE[[#This Row],[Work Role]:[Work Role]]&lt;&gt;V$1,0,
IF(PART_NUMBER_GENERATOR_TABLE[[#This Row],[Work Type]:[Work Type]]&lt;&gt;"BH",0,
SUMIFS(V$9:V$24,$M$9:$M$24,PART_NUMBER_GENERATOR_TABLE[[#This Row],[Tech]:[Tech]])))</f>
        <v>0</v>
      </c>
      <c r="W158" cm="1">
        <f t="array" ref="W158">IF(PART_NUMBER_GENERATOR_TABLE[[#This Row],[Work Role]:[Work Role]]&lt;&gt;W$1,0,
IF(PART_NUMBER_GENERATOR_TABLE[[#This Row],[Work Type]:[Work Type]]&lt;&gt;"BH",0,
SUMIFS(W$9:W$24,$M$9:$M$24,PART_NUMBER_GENERATOR_TABLE[[#This Row],[Tech]:[Tech]])))</f>
        <v>0</v>
      </c>
      <c r="X158" cm="1">
        <f t="array" ref="X158">IF(PART_NUMBER_GENERATOR_TABLE[[#This Row],[Work Role]:[Work Role]]&lt;&gt;X$1,0,
IF(PART_NUMBER_GENERATOR_TABLE[[#This Row],[Work Type]:[Work Type]]&lt;&gt;"BH",0,
SUMIFS(X$9:X$24,$M$9:$M$24,PART_NUMBER_GENERATOR_TABLE[[#This Row],[Tech]:[Tech]])))</f>
        <v>0</v>
      </c>
      <c r="Y158" cm="1">
        <f t="array" ref="Y158">IF(PART_NUMBER_GENERATOR_TABLE[[#This Row],[Work Role]:[Work Role]]&lt;&gt;Y$1,0,
IF(PART_NUMBER_GENERATOR_TABLE[[#This Row],[Work Type]:[Work Type]]&lt;&gt;"BH",0,
SUMIFS(Y$9:Y$24,$M$9:$M$24,PART_NUMBER_GENERATOR_TABLE[[#This Row],[Tech]:[Tech]])))</f>
        <v>0</v>
      </c>
      <c r="Z158" cm="1">
        <f t="array" ref="Z158">IF(PART_NUMBER_GENERATOR_TABLE[[#This Row],[Work Role]:[Work Role]]&lt;&gt;Z$1,0,
IF(PART_NUMBER_GENERATOR_TABLE[[#This Row],[Work Type]:[Work Type]]&lt;&gt;"BH",0,
SUMIFS(Z$9:Z$24,$M$9:$M$24,PART_NUMBER_GENERATOR_TABLE[[#This Row],[Tech]:[Tech]])))</f>
        <v>0</v>
      </c>
      <c r="AA158" cm="1">
        <f t="array" ref="AA158">IF(PART_NUMBER_GENERATOR_TABLE[[#This Row],[Work Role]:[Work Role]]&lt;&gt;AA$1,0,
IF(PART_NUMBER_GENERATOR_TABLE[[#This Row],[Work Type]:[Work Type]]&lt;&gt;"BH",0,
SUMIFS(AA$9:AA$24,$M$9:$M$24,PART_NUMBER_GENERATOR_TABLE[[#This Row],[Tech]:[Tech]])))</f>
        <v>0</v>
      </c>
      <c r="AB158" cm="1">
        <f t="array" ref="AB158">IF(PART_NUMBER_GENERATOR_TABLE[[#This Row],[Work Role]:[Work Role]]&lt;&gt;AB$1,0,
IF(PART_NUMBER_GENERATOR_TABLE[[#This Row],[Work Type]:[Work Type]]&lt;&gt;"BH",0,
SUMIFS(AB$9:AB$24,$M$9:$M$24,PART_NUMBER_GENERATOR_TABLE[[#This Row],[Tech]:[Tech]])))</f>
        <v>0</v>
      </c>
      <c r="AC158" cm="1">
        <f t="array" ref="AC158">IF(PART_NUMBER_GENERATOR_TABLE[[#This Row],[Work Role]:[Work Role]]&lt;&gt;AC$1,0,
IF(PART_NUMBER_GENERATOR_TABLE[[#This Row],[Work Type]:[Work Type]]&lt;&gt;"BH",0,
SUMIFS(AC$9:AC$24,$M$9:$M$24,PART_NUMBER_GENERATOR_TABLE[[#This Row],[Tech]:[Tech]])))</f>
        <v>0</v>
      </c>
      <c r="AD158" cm="1">
        <f t="array" ref="AD158">IF(PART_NUMBER_GENERATOR_TABLE[[#This Row],[Work Role]:[Work Role]]&lt;&gt;AD$1,0,
IF(PART_NUMBER_GENERATOR_TABLE[[#This Row],[Work Type]:[Work Type]]&lt;&gt;"BH",0,
SUMIFS(AD$9:AD$24,$M$9:$M$24,PART_NUMBER_GENERATOR_TABLE[[#This Row],[Tech]:[Tech]])))</f>
        <v>0</v>
      </c>
      <c r="AE158" cm="1">
        <f t="array" ref="AE158">IF(PART_NUMBER_GENERATOR_TABLE[[#This Row],[Work Role]:[Work Role]]&lt;&gt;AE$1,0,
IF(PART_NUMBER_GENERATOR_TABLE[[#This Row],[Work Type]:[Work Type]]&lt;&gt;"BH",0,
SUMIFS(AE$9:AE$24,$M$9:$M$24,PART_NUMBER_GENERATOR_TABLE[[#This Row],[Tech]:[Tech]])))</f>
        <v>0</v>
      </c>
      <c r="AF158" cm="1">
        <f t="array" ref="AF158">IF(PART_NUMBER_GENERATOR_TABLE[[#This Row],[Work Role]:[Work Role]]&lt;&gt;AF$1,0,
IF(PART_NUMBER_GENERATOR_TABLE[[#This Row],[Work Type]:[Work Type]]&lt;&gt;"BH",0,
SUMIFS(AF$9:AF$24,$M$9:$M$24,PART_NUMBER_GENERATOR_TABLE[[#This Row],[Tech]:[Tech]])))</f>
        <v>0</v>
      </c>
      <c r="AG158" cm="1">
        <f t="array" ref="AG158">IF(PART_NUMBER_GENERATOR_TABLE[[#This Row],[Work Role]:[Work Role]]&lt;&gt;AG$1,0,
IF(PART_NUMBER_GENERATOR_TABLE[[#This Row],[Work Type]:[Work Type]]&lt;&gt;"AH",0,
SUMIFS(AG$9:AG$24,$M$9:$M$24,PART_NUMBER_GENERATOR_TABLE[[#This Row],[Tech]:[Tech]])))</f>
        <v>0</v>
      </c>
      <c r="AH158" cm="1">
        <f t="array" ref="AH158">IF(PART_NUMBER_GENERATOR_TABLE[[#This Row],[Work Role]:[Work Role]]&lt;&gt;AH$1,0,
IF(PART_NUMBER_GENERATOR_TABLE[[#This Row],[Work Type]:[Work Type]]&lt;&gt;"BH",0,
SUMIFS(AH$9:AH$24,$M$9:$M$24,PART_NUMBER_GENERATOR_TABLE[[#This Row],[Tech]:[Tech]])))</f>
        <v>0</v>
      </c>
      <c r="AI158" cm="1">
        <f t="array" ref="AI158">IF(PART_NUMBER_GENERATOR_TABLE[[#This Row],[Work Role]:[Work Role]]&lt;&gt;AI$1,0,
IF(PART_NUMBER_GENERATOR_TABLE[[#This Row],[Work Type]:[Work Type]]&lt;&gt;"BH",0,
SUMIFS(AI$9:AI$24,$M$9:$M$24,PART_NUMBER_GENERATOR_TABLE[[#This Row],[Tech]:[Tech]])))</f>
        <v>0</v>
      </c>
      <c r="AJ158" cm="1">
        <f t="array" ref="AJ158">IF(PART_NUMBER_GENERATOR_TABLE[[#This Row],[Work Role]:[Work Role]]&lt;&gt;AJ$1,0,
IF(PART_NUMBER_GENERATOR_TABLE[[#This Row],[Work Type]:[Work Type]]&lt;&gt;"BH",0,
SUMIFS(AJ$9:AJ$24,$M$9:$M$24,PART_NUMBER_GENERATOR_TABLE[[#This Row],[Tech]:[Tech]])))</f>
        <v>0</v>
      </c>
      <c r="AK158" cm="1">
        <f t="array" ref="AK158">IF(PART_NUMBER_GENERATOR_TABLE[[#This Row],[Work Role]:[Work Role]]&lt;&gt;AK$1,0,
IF(PART_NUMBER_GENERATOR_TABLE[[#This Row],[Work Type]:[Work Type]]&lt;&gt;"AH",0,
SUMIFS(AK$9:AK$24,$M$9:$M$24,PART_NUMBER_GENERATOR_TABLE[[#This Row],[Tech]:[Tech]])))</f>
        <v>0</v>
      </c>
      <c r="AL158" cm="1">
        <f t="array" ref="AL158">IF(PART_NUMBER_GENERATOR_TABLE[[#This Row],[Work Role]:[Work Role]]&lt;&gt;AL$1,0,
IF(PART_NUMBER_GENERATOR_TABLE[[#This Row],[Work Type]:[Work Type]]&lt;&gt;"BH",0,
SUMIFS(AL$9:AL$24,$M$9:$M$24,PART_NUMBER_GENERATOR_TABLE[[#This Row],[Tech]:[Tech]])))</f>
        <v>0</v>
      </c>
      <c r="AM158">
        <f>0</f>
        <v>0</v>
      </c>
      <c r="AN158" cm="1">
        <f t="array" ref="AN158">IF(PART_NUMBER_GENERATOR_TABLE[[#This Row],[Work Role]:[Work Role]]&lt;&gt;AN$1,0,
IF(PART_NUMBER_GENERATOR_TABLE[[#This Row],[Work Type]:[Work Type]]&lt;&gt;"BH",0,
SUMIFS(AN$24,$AM$24,PART_NUMBER_GENERATOR_TABLE[[#This Row],[Tech]:[Tech]])))</f>
        <v>0</v>
      </c>
      <c r="AO158" cm="1">
        <f t="array" ref="AO158">IF(PART_NUMBER_GENERATOR_TABLE[[#This Row],[Work Role]:[Work Role]]&lt;&gt;AO$1,0,
IF(PART_NUMBER_GENERATOR_TABLE[[#This Row],[Work Type]:[Work Type]]&lt;&gt;"BH",0,
SUMIFS(AO$24,$AM$24,PART_NUMBER_GENERATOR_TABLE[[#This Row],[Tech]:[Tech]])))</f>
        <v>0</v>
      </c>
      <c r="AP158" cm="1">
        <f t="array" ref="AP158">IF(PART_NUMBER_GENERATOR_TABLE[[#This Row],[Work Role]:[Work Role]]&lt;&gt;AP$1,0,
IF(PART_NUMBER_GENERATOR_TABLE[[#This Row],[Work Type]:[Work Type]]&lt;&gt;"BH",0,
SUMIFS(AP$24,$AM$24,PART_NUMBER_GENERATOR_TABLE[[#This Row],[Tech]:[Tech]])))</f>
        <v>0</v>
      </c>
      <c r="AQ158" cm="1">
        <f t="array" ref="AQ158">IF(PART_NUMBER_GENERATOR_TABLE[[#This Row],[Work Role]:[Work Role]]&lt;&gt;AQ$1,0,
IF(PART_NUMBER_GENERATOR_TABLE[[#This Row],[Work Type]:[Work Type]]&lt;&gt;"BH",0,
SUMIFS(AQ$24,$AM$24,PART_NUMBER_GENERATOR_TABLE[[#This Row],[Tech]:[Tech]])))</f>
        <v>0</v>
      </c>
      <c r="AR158" cm="1">
        <f t="array" ref="AR158">IF(PART_NUMBER_GENERATOR_TABLE[[#This Row],[Work Role]:[Work Role]]&lt;&gt;AR$1,0,
IF(PART_NUMBER_GENERATOR_TABLE[[#This Row],[Work Type]:[Work Type]]&lt;&gt;"BH",0,
SUMIFS(AR$24,$AM$24,PART_NUMBER_GENERATOR_TABLE[[#This Row],[Tech]:[Tech]])))</f>
        <v>0</v>
      </c>
      <c r="AS158" cm="1">
        <f t="array" ref="AS158">IF(PART_NUMBER_GENERATOR_TABLE[[#This Row],[Work Role]:[Work Role]]&lt;&gt;AS$1,0,
IF(PART_NUMBER_GENERATOR_TABLE[[#This Row],[Work Type]:[Work Type]]&lt;&gt;"BH",0,
SUMIFS(AS$24,$AM$24,PART_NUMBER_GENERATOR_TABLE[[#This Row],[Tech]:[Tech]])))</f>
        <v>0</v>
      </c>
      <c r="AT158" cm="1">
        <f t="array" ref="AT158">IF(PART_NUMBER_GENERATOR_TABLE[[#This Row],[Work Role]:[Work Role]]&lt;&gt;AS$1,0,
IF(PART_NUMBER_GENERATOR_TABLE[[#This Row],[Work Type]:[Work Type]]&lt;&gt;"BH",0,
SUMIFS(AT$24,$AM$24,PART_NUMBER_GENERATOR_TABLE[[#This Row],[Tech]:[Tech]])))</f>
        <v>0</v>
      </c>
      <c r="AU158">
        <f>SUM(PART_NUMBER_GENERATOR_TABLE[[#This Row],[Resource 1 BH]:[Resource 5 AH]],PART_NUMBER_GENERATOR_TABLE[[#This Row],[R1 Mandatory Tasks]:[R5 Mandatory Tasks]],PART_NUMBER_GENERATOR_TABLE[[#This Row],[R1 Remainder]:[R5 Remainder]])</f>
        <v>0</v>
      </c>
      <c r="AV158">
        <f>PART_NUMBER_GENERATOR_TABLE[[#This Row],[Professional Engineering Hours]]*PART_NUMBER_GENERATOR_TABLE[[#This Row],[Sell Rate]]</f>
        <v>0</v>
      </c>
      <c r="AW158">
        <f>PART_NUMBER_GENERATOR_TABLE[[#This Row],[Professional Engineering Hours]]*PART_NUMBER_GENERATOR_TABLE[[#This Row],[Cost Rate]]</f>
        <v>0</v>
      </c>
      <c r="AX158">
        <f>SUM(PART_NUMBER_GENERATOR_TABLE[[#This Row],[PM Trips]:[R5 Trips]])</f>
        <v>0</v>
      </c>
      <c r="AY158">
        <f>PART_NUMBER_GENERATOR_TABLE[[#This Row],[Travel &amp; Accommodation Hours]]*PART_NUMBER_GENERATOR_TABLE[[#This Row],[Sell Rate]]</f>
        <v>0</v>
      </c>
      <c r="AZ158">
        <f>PART_NUMBER_GENERATOR_TABLE[[#This Row],[Travel &amp; Accommodation Hours]]*PART_NUMBER_GENERATOR_TABLE[[#This Row],[Cost Rate]]</f>
        <v>0</v>
      </c>
      <c r="BA158">
        <f>PART_NUMBER_GENERATOR_TABLE[[#This Row],[PM Hours]]+PART_NUMBER_GENERATOR_TABLE[[#This Row],[PM Remainder]]</f>
        <v>0</v>
      </c>
      <c r="BB158">
        <f>PART_NUMBER_GENERATOR_TABLE[[#This Row],[Project Management Hours]]*PART_NUMBER_GENERATOR_TABLE[[#This Row],[Sell Rate]]</f>
        <v>0</v>
      </c>
      <c r="BC158">
        <f>PART_NUMBER_GENERATOR_TABLE[[#This Row],[Project Management Hours]]*PART_NUMBER_GENERATOR_TABLE[[#This Row],[Cost Rate]]</f>
        <v>0</v>
      </c>
      <c r="BD158">
        <f>SUM(PART_NUMBER_GENERATOR_TABLE[[#This Row],[SSE RISK BH]:[PM RISK]],PART_NUMBER_GENERATOR_TABLE[[#This Row],[SSE Remainder RISK BH]:[PM Remainder RISK]])</f>
        <v>0</v>
      </c>
      <c r="BE158">
        <f>PART_NUMBER_GENERATOR_TABLE[[#This Row],[Project Risk Service Hours]]*PART_NUMBER_GENERATOR_TABLE[[#This Row],[Sell Rate]]</f>
        <v>0</v>
      </c>
      <c r="BF158">
        <f>PART_NUMBER_GENERATOR_TABLE[[#This Row],[Project Risk Service Hours]]*PART_NUMBER_GENERATOR_TABLE[[#This Row],[Cost Rate]]</f>
        <v>0</v>
      </c>
      <c r="BG158">
        <f>PART_NUMBER_GENERATOR_TABLE[[#This Row],[SSE RISK TRAVEL]]</f>
        <v>0</v>
      </c>
      <c r="BH158">
        <f>PART_NUMBER_GENERATOR_TABLE[[#This Row],[Sell Rate]]*PART_NUMBER_GENERATOR_TABLE[[#This Row],[Project Risk Travel Hours]]</f>
        <v>0</v>
      </c>
      <c r="BI158">
        <f>PART_NUMBER_GENERATOR_TABLE[[#This Row],[Project Risk Travel Hours]]*PART_NUMBER_GENERATOR_TABLE[[#This Row],[Cost Rate]]</f>
        <v>0</v>
      </c>
      <c r="BJ158">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58">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58">
        <f>IFERROR(-VLOOKUP(INDEX(ENGINEER_ROLES,MATCH(PART_NUMBER_GENERATOR_TABLE[[#This Row],[Work Role]],settings.Table_Engineer.Roles[ID],0),1),Settings_Hidden!$H$359:$K$366,4,FALSE),0)</f>
        <v>0</v>
      </c>
      <c r="BM158" s="680">
        <f>-Summary!$C$66</f>
        <v>0</v>
      </c>
      <c r="BN158" s="465">
        <f>PART_NUMBER_GENERATOR_TABLE[[#This Row],[Total Base Price]]*MIN(PART_NUMBER_GENERATOR_TABLE[[#This Row],[Rate Service Discount]:[Flat Service Discount]])</f>
        <v>0</v>
      </c>
      <c r="BO158" s="451" t="str">
        <f>IF(PART_NUMBER_GENERATOR_TABLE[[#This Row],[Quantity]]&lt;&gt;0,MAX($BO$30:BO157)+1,"")</f>
        <v/>
      </c>
      <c r="BP158" t="str">
        <f>PART_NUMBER_GENERATOR_TABLE[[#This Row],[Part Number]]</f>
        <v>A-PS-C-OPPTEC-SC-AH</v>
      </c>
      <c r="BQ158">
        <f>PART_NUMBER_GENERATOR_TABLE[[#This Row],[Total Hours]]</f>
        <v>0</v>
      </c>
      <c r="BR158">
        <f>PART_NUMBER_GENERATOR_TABLE[[#This Row],[Cost Rate]]</f>
        <v>251.41552370953494</v>
      </c>
      <c r="BS158" s="465">
        <f>PART_NUMBER_GENERATOR_TABLE[[#This Row],[Sell Rate]]+(PART_NUMBER_GENERATOR_TABLE[[#This Row],[Sell Rate]]*MIN(PART_NUMBER_GENERATOR_TABLE[[#This Row],[Rate Service Discount]:[Flat Service Discount]]))</f>
        <v>472.5</v>
      </c>
    </row>
    <row r="159" spans="1:71">
      <c r="A159">
        <v>129</v>
      </c>
      <c r="C159" t="s">
        <v>992</v>
      </c>
      <c r="D159" t="str" cm="1">
        <f t="array" ref="D159">INDEX(Table.Settings_Skill.List[Skill Name],MATCH(INDEX(_xlfn.TEXTSPLIT(C159,"-",,TRUE),4),Table.Settings_Skill.List[Skill Code],0),1)</f>
        <v>Operational Technology</v>
      </c>
      <c r="E159" t="str" cm="1">
        <f t="array" ref="E159">INDEX(_xlfn.TEXTSPLIT(C159,"-",,TRUE),5)</f>
        <v>AC</v>
      </c>
      <c r="F159" t="str">
        <f>IFERROR(INDEX(settings.Table_Engineer.Roles[Department Code],MATCH(PART_NUMBER_GENERATOR_TABLE[[#This Row],[Work Role]],settings.Table_Engineer.Roles[ID],0),1),"PMO")</f>
        <v>CON</v>
      </c>
      <c r="G159" t="str" cm="1">
        <f t="array" ref="G159">INDEX(_xlfn.TEXTSPLIT(C159,"-",,TRUE),6)</f>
        <v>AH</v>
      </c>
      <c r="H159">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59">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59" cm="1">
        <f t="array" ref="J159">IF(J$1&lt;&gt;PART_NUMBER_GENERATOR_TABLE[[#This Row],[Work Role]:[Work Role]],0,
IF(RIGHT(J$30,2)&lt;&gt;PART_NUMBER_GENERATOR_TABLE[[#This Row],[Work Type]:[Work Type]],0,
SUMIFS(Input_Tasks[R1 Business Hours],Input_Tasks[[Skill Required]:[Skill Required]],PART_NUMBER_GENERATOR_TABLE[[#This Row],[Tech]:[Tech]])))</f>
        <v>0</v>
      </c>
      <c r="K159" cm="1">
        <f t="array" ref="K159">IF(K$1&lt;&gt;PART_NUMBER_GENERATOR_TABLE[[#This Row],[Work Role]:[Work Role]],0,
IF(RIGHT(K$30,2)&lt;&gt;PART_NUMBER_GENERATOR_TABLE[[#This Row],[Work Type]:[Work Type]],0,
SUMIFS(Input_Tasks[R1 After Hours],Input_Tasks[[Skill Required]:[Skill Required]],PART_NUMBER_GENERATOR_TABLE[[#This Row],[Tech]:[Tech]])))</f>
        <v>0</v>
      </c>
      <c r="L159" cm="1">
        <f t="array" ref="L159">IF(L$1&lt;&gt;PART_NUMBER_GENERATOR_TABLE[[#This Row],[Work Role]:[Work Role]],0,
IF(RIGHT(L$30,2)&lt;&gt;PART_NUMBER_GENERATOR_TABLE[[#This Row],[Work Type]:[Work Type]],0,
SUMIFS(Input_Tasks[R2 Business Hours],Input_Tasks[[Skill Required]:[Skill Required]],PART_NUMBER_GENERATOR_TABLE[[#This Row],[Tech]:[Tech]])))</f>
        <v>0</v>
      </c>
      <c r="M159" cm="1">
        <f t="array" ref="M159">IF(M$1&lt;&gt;PART_NUMBER_GENERATOR_TABLE[[#This Row],[Work Role]:[Work Role]],0,
IF(RIGHT(M$30,2)&lt;&gt;PART_NUMBER_GENERATOR_TABLE[[#This Row],[Work Type]:[Work Type]],0,
SUMIFS(Input_Tasks[R2 After Hours],Input_Tasks[[Skill Required]:[Skill Required]],PART_NUMBER_GENERATOR_TABLE[[#This Row],[Tech]:[Tech]])))</f>
        <v>0</v>
      </c>
      <c r="N159" cm="1">
        <f t="array" ref="N159">IF(N$1&lt;&gt;PART_NUMBER_GENERATOR_TABLE[[#This Row],[Work Role]:[Work Role]],0,
IF(RIGHT(N$30,2)&lt;&gt;PART_NUMBER_GENERATOR_TABLE[[#This Row],[Work Type]:[Work Type]],0,
SUMIFS(Input_Tasks[R3 Business Hours],Input_Tasks[[Skill Required]:[Skill Required]],PART_NUMBER_GENERATOR_TABLE[[#This Row],[Tech]:[Tech]])))</f>
        <v>0</v>
      </c>
      <c r="O159" cm="1">
        <f t="array" ref="O159">IF(O$1&lt;&gt;PART_NUMBER_GENERATOR_TABLE[[#This Row],[Work Role]:[Work Role]],0,
IF(RIGHT(O$30,2)&lt;&gt;PART_NUMBER_GENERATOR_TABLE[[#This Row],[Work Type]:[Work Type]],0,
SUMIFS(Input_Tasks[R3 After Hours],Input_Tasks[[Skill Required]:[Skill Required]],PART_NUMBER_GENERATOR_TABLE[[#This Row],[Tech]:[Tech]])))</f>
        <v>0</v>
      </c>
      <c r="P159" cm="1">
        <f t="array" ref="P159">IF(P$1&lt;&gt;PART_NUMBER_GENERATOR_TABLE[[#This Row],[Work Role]:[Work Role]],0,
IF(RIGHT(P$30,2)&lt;&gt;PART_NUMBER_GENERATOR_TABLE[[#This Row],[Work Type]:[Work Type]],0,
SUMIFS(Input_Tasks[R4 Business Hours],Input_Tasks[[Skill Required]:[Skill Required]],PART_NUMBER_GENERATOR_TABLE[[#This Row],[Tech]:[Tech]])))</f>
        <v>0</v>
      </c>
      <c r="Q159" cm="1">
        <f t="array" ref="Q159">IF(Q$1&lt;&gt;PART_NUMBER_GENERATOR_TABLE[[#This Row],[Work Role]:[Work Role]],0,
IF(RIGHT(Q$30,2)&lt;&gt;PART_NUMBER_GENERATOR_TABLE[[#This Row],[Work Type]:[Work Type]],0,
SUMIFS(Input_Tasks[R4 After Hours],Input_Tasks[[Skill Required]:[Skill Required]],PART_NUMBER_GENERATOR_TABLE[[#This Row],[Tech]:[Tech]])))</f>
        <v>0</v>
      </c>
      <c r="R159" cm="1">
        <f t="array" ref="R159">IF(R$1&lt;&gt;PART_NUMBER_GENERATOR_TABLE[[#This Row],[Work Role]:[Work Role]],0,
IF(RIGHT(R$30,2)&lt;&gt;PART_NUMBER_GENERATOR_TABLE[[#This Row],[Work Type]:[Work Type]],0,
SUMIFS(Input_Tasks[R5 Business Hours],Input_Tasks[[Skill Required]:[Skill Required]],PART_NUMBER_GENERATOR_TABLE[[#This Row],[Tech]:[Tech]])))</f>
        <v>0</v>
      </c>
      <c r="S159" cm="1">
        <f t="array" ref="S159">IF(S$1&lt;&gt;PART_NUMBER_GENERATOR_TABLE[[#This Row],[Work Role]:[Work Role]],0,
IF(RIGHT(S$30,2)&lt;&gt;PART_NUMBER_GENERATOR_TABLE[[#This Row],[Work Type]:[Work Type]],0,
SUMIFS(Input_Tasks[R5 After Hours],Input_Tasks[[Skill Required]:[Skill Required]],PART_NUMBER_GENERATOR_TABLE[[#This Row],[Tech]:[Tech]])))</f>
        <v>0</v>
      </c>
      <c r="T159" cm="1">
        <f t="array" ref="T159">IF(PART_NUMBER_GENERATOR_TABLE[[#This Row],[Work Role]:[Work Role]]&lt;&gt;T$1,0,
IF(PART_NUMBER_GENERATOR_TABLE[[#This Row],[Work Type]:[Work Type]]&lt;&gt;"BH",0,
SUMIFS(T$9:T$24,$M$9:$M$24,PART_NUMBER_GENERATOR_TABLE[[#This Row],[Tech]:[Tech]])))</f>
        <v>0</v>
      </c>
      <c r="U159" cm="1">
        <f t="array" ref="U159">IF(PART_NUMBER_GENERATOR_TABLE[[#This Row],[Work Role]:[Work Role]]&lt;&gt;U$1,0,
IF(PART_NUMBER_GENERATOR_TABLE[[#This Row],[Work Type]:[Work Type]]&lt;&gt;"BH",0,
SUMIFS(U$9:U$24,$M$9:$M$24,PART_NUMBER_GENERATOR_TABLE[[#This Row],[Tech]:[Tech]])))</f>
        <v>0</v>
      </c>
      <c r="V159" cm="1">
        <f t="array" ref="V159">IF(PART_NUMBER_GENERATOR_TABLE[[#This Row],[Work Role]:[Work Role]]&lt;&gt;V$1,0,
IF(PART_NUMBER_GENERATOR_TABLE[[#This Row],[Work Type]:[Work Type]]&lt;&gt;"BH",0,
SUMIFS(V$9:V$24,$M$9:$M$24,PART_NUMBER_GENERATOR_TABLE[[#This Row],[Tech]:[Tech]])))</f>
        <v>0</v>
      </c>
      <c r="W159" cm="1">
        <f t="array" ref="W159">IF(PART_NUMBER_GENERATOR_TABLE[[#This Row],[Work Role]:[Work Role]]&lt;&gt;W$1,0,
IF(PART_NUMBER_GENERATOR_TABLE[[#This Row],[Work Type]:[Work Type]]&lt;&gt;"BH",0,
SUMIFS(W$9:W$24,$M$9:$M$24,PART_NUMBER_GENERATOR_TABLE[[#This Row],[Tech]:[Tech]])))</f>
        <v>0</v>
      </c>
      <c r="X159" cm="1">
        <f t="array" ref="X159">IF(PART_NUMBER_GENERATOR_TABLE[[#This Row],[Work Role]:[Work Role]]&lt;&gt;X$1,0,
IF(PART_NUMBER_GENERATOR_TABLE[[#This Row],[Work Type]:[Work Type]]&lt;&gt;"BH",0,
SUMIFS(X$9:X$24,$M$9:$M$24,PART_NUMBER_GENERATOR_TABLE[[#This Row],[Tech]:[Tech]])))</f>
        <v>0</v>
      </c>
      <c r="Y159" cm="1">
        <f t="array" ref="Y159">IF(PART_NUMBER_GENERATOR_TABLE[[#This Row],[Work Role]:[Work Role]]&lt;&gt;Y$1,0,
IF(PART_NUMBER_GENERATOR_TABLE[[#This Row],[Work Type]:[Work Type]]&lt;&gt;"BH",0,
SUMIFS(Y$9:Y$24,$M$9:$M$24,PART_NUMBER_GENERATOR_TABLE[[#This Row],[Tech]:[Tech]])))</f>
        <v>0</v>
      </c>
      <c r="Z159" cm="1">
        <f t="array" ref="Z159">IF(PART_NUMBER_GENERATOR_TABLE[[#This Row],[Work Role]:[Work Role]]&lt;&gt;Z$1,0,
IF(PART_NUMBER_GENERATOR_TABLE[[#This Row],[Work Type]:[Work Type]]&lt;&gt;"BH",0,
SUMIFS(Z$9:Z$24,$M$9:$M$24,PART_NUMBER_GENERATOR_TABLE[[#This Row],[Tech]:[Tech]])))</f>
        <v>0</v>
      </c>
      <c r="AA159" cm="1">
        <f t="array" ref="AA159">IF(PART_NUMBER_GENERATOR_TABLE[[#This Row],[Work Role]:[Work Role]]&lt;&gt;AA$1,0,
IF(PART_NUMBER_GENERATOR_TABLE[[#This Row],[Work Type]:[Work Type]]&lt;&gt;"BH",0,
SUMIFS(AA$9:AA$24,$M$9:$M$24,PART_NUMBER_GENERATOR_TABLE[[#This Row],[Tech]:[Tech]])))</f>
        <v>0</v>
      </c>
      <c r="AB159" cm="1">
        <f t="array" ref="AB159">IF(PART_NUMBER_GENERATOR_TABLE[[#This Row],[Work Role]:[Work Role]]&lt;&gt;AB$1,0,
IF(PART_NUMBER_GENERATOR_TABLE[[#This Row],[Work Type]:[Work Type]]&lt;&gt;"BH",0,
SUMIFS(AB$9:AB$24,$M$9:$M$24,PART_NUMBER_GENERATOR_TABLE[[#This Row],[Tech]:[Tech]])))</f>
        <v>0</v>
      </c>
      <c r="AC159" cm="1">
        <f t="array" ref="AC159">IF(PART_NUMBER_GENERATOR_TABLE[[#This Row],[Work Role]:[Work Role]]&lt;&gt;AC$1,0,
IF(PART_NUMBER_GENERATOR_TABLE[[#This Row],[Work Type]:[Work Type]]&lt;&gt;"BH",0,
SUMIFS(AC$9:AC$24,$M$9:$M$24,PART_NUMBER_GENERATOR_TABLE[[#This Row],[Tech]:[Tech]])))</f>
        <v>0</v>
      </c>
      <c r="AD159" cm="1">
        <f t="array" ref="AD159">IF(PART_NUMBER_GENERATOR_TABLE[[#This Row],[Work Role]:[Work Role]]&lt;&gt;AD$1,0,
IF(PART_NUMBER_GENERATOR_TABLE[[#This Row],[Work Type]:[Work Type]]&lt;&gt;"BH",0,
SUMIFS(AD$9:AD$24,$M$9:$M$24,PART_NUMBER_GENERATOR_TABLE[[#This Row],[Tech]:[Tech]])))</f>
        <v>0</v>
      </c>
      <c r="AE159" cm="1">
        <f t="array" ref="AE159">IF(PART_NUMBER_GENERATOR_TABLE[[#This Row],[Work Role]:[Work Role]]&lt;&gt;AE$1,0,
IF(PART_NUMBER_GENERATOR_TABLE[[#This Row],[Work Type]:[Work Type]]&lt;&gt;"BH",0,
SUMIFS(AE$9:AE$24,$M$9:$M$24,PART_NUMBER_GENERATOR_TABLE[[#This Row],[Tech]:[Tech]])))</f>
        <v>0</v>
      </c>
      <c r="AF159" cm="1">
        <f t="array" ref="AF159">IF(PART_NUMBER_GENERATOR_TABLE[[#This Row],[Work Role]:[Work Role]]&lt;&gt;AF$1,0,
IF(PART_NUMBER_GENERATOR_TABLE[[#This Row],[Work Type]:[Work Type]]&lt;&gt;"BH",0,
SUMIFS(AF$9:AF$24,$M$9:$M$24,PART_NUMBER_GENERATOR_TABLE[[#This Row],[Tech]:[Tech]])))</f>
        <v>0</v>
      </c>
      <c r="AG159" cm="1">
        <f t="array" ref="AG159">IF(PART_NUMBER_GENERATOR_TABLE[[#This Row],[Work Role]:[Work Role]]&lt;&gt;AG$1,0,
IF(PART_NUMBER_GENERATOR_TABLE[[#This Row],[Work Type]:[Work Type]]&lt;&gt;"AH",0,
SUMIFS(AG$9:AG$24,$M$9:$M$24,PART_NUMBER_GENERATOR_TABLE[[#This Row],[Tech]:[Tech]])))</f>
        <v>0</v>
      </c>
      <c r="AH159" cm="1">
        <f t="array" ref="AH159">IF(PART_NUMBER_GENERATOR_TABLE[[#This Row],[Work Role]:[Work Role]]&lt;&gt;AH$1,0,
IF(PART_NUMBER_GENERATOR_TABLE[[#This Row],[Work Type]:[Work Type]]&lt;&gt;"BH",0,
SUMIFS(AH$9:AH$24,$M$9:$M$24,PART_NUMBER_GENERATOR_TABLE[[#This Row],[Tech]:[Tech]])))</f>
        <v>0</v>
      </c>
      <c r="AI159" cm="1">
        <f t="array" ref="AI159">IF(PART_NUMBER_GENERATOR_TABLE[[#This Row],[Work Role]:[Work Role]]&lt;&gt;AI$1,0,
IF(PART_NUMBER_GENERATOR_TABLE[[#This Row],[Work Type]:[Work Type]]&lt;&gt;"BH",0,
SUMIFS(AI$9:AI$24,$M$9:$M$24,PART_NUMBER_GENERATOR_TABLE[[#This Row],[Tech]:[Tech]])))</f>
        <v>0</v>
      </c>
      <c r="AJ159" cm="1">
        <f t="array" ref="AJ159">IF(PART_NUMBER_GENERATOR_TABLE[[#This Row],[Work Role]:[Work Role]]&lt;&gt;AJ$1,0,
IF(PART_NUMBER_GENERATOR_TABLE[[#This Row],[Work Type]:[Work Type]]&lt;&gt;"BH",0,
SUMIFS(AJ$9:AJ$24,$M$9:$M$24,PART_NUMBER_GENERATOR_TABLE[[#This Row],[Tech]:[Tech]])))</f>
        <v>0</v>
      </c>
      <c r="AK159" cm="1">
        <f t="array" ref="AK159">IF(PART_NUMBER_GENERATOR_TABLE[[#This Row],[Work Role]:[Work Role]]&lt;&gt;AK$1,0,
IF(PART_NUMBER_GENERATOR_TABLE[[#This Row],[Work Type]:[Work Type]]&lt;&gt;"AH",0,
SUMIFS(AK$9:AK$24,$M$9:$M$24,PART_NUMBER_GENERATOR_TABLE[[#This Row],[Tech]:[Tech]])))</f>
        <v>0</v>
      </c>
      <c r="AL159" cm="1">
        <f t="array" ref="AL159">IF(PART_NUMBER_GENERATOR_TABLE[[#This Row],[Work Role]:[Work Role]]&lt;&gt;AL$1,0,
IF(PART_NUMBER_GENERATOR_TABLE[[#This Row],[Work Type]:[Work Type]]&lt;&gt;"BH",0,
SUMIFS(AL$9:AL$24,$M$9:$M$24,PART_NUMBER_GENERATOR_TABLE[[#This Row],[Tech]:[Tech]])))</f>
        <v>0</v>
      </c>
      <c r="AM159">
        <f>0</f>
        <v>0</v>
      </c>
      <c r="AN159" cm="1">
        <f t="array" ref="AN159">IF(PART_NUMBER_GENERATOR_TABLE[[#This Row],[Work Role]:[Work Role]]&lt;&gt;AN$1,0,
IF(PART_NUMBER_GENERATOR_TABLE[[#This Row],[Work Type]:[Work Type]]&lt;&gt;"BH",0,
SUMIFS(AN$24,$AM$24,PART_NUMBER_GENERATOR_TABLE[[#This Row],[Tech]:[Tech]])))</f>
        <v>0</v>
      </c>
      <c r="AO159" cm="1">
        <f t="array" ref="AO159">IF(PART_NUMBER_GENERATOR_TABLE[[#This Row],[Work Role]:[Work Role]]&lt;&gt;AO$1,0,
IF(PART_NUMBER_GENERATOR_TABLE[[#This Row],[Work Type]:[Work Type]]&lt;&gt;"BH",0,
SUMIFS(AO$24,$AM$24,PART_NUMBER_GENERATOR_TABLE[[#This Row],[Tech]:[Tech]])))</f>
        <v>0</v>
      </c>
      <c r="AP159" cm="1">
        <f t="array" ref="AP159">IF(PART_NUMBER_GENERATOR_TABLE[[#This Row],[Work Role]:[Work Role]]&lt;&gt;AP$1,0,
IF(PART_NUMBER_GENERATOR_TABLE[[#This Row],[Work Type]:[Work Type]]&lt;&gt;"BH",0,
SUMIFS(AP$24,$AM$24,PART_NUMBER_GENERATOR_TABLE[[#This Row],[Tech]:[Tech]])))</f>
        <v>0</v>
      </c>
      <c r="AQ159" cm="1">
        <f t="array" ref="AQ159">IF(PART_NUMBER_GENERATOR_TABLE[[#This Row],[Work Role]:[Work Role]]&lt;&gt;AQ$1,0,
IF(PART_NUMBER_GENERATOR_TABLE[[#This Row],[Work Type]:[Work Type]]&lt;&gt;"BH",0,
SUMIFS(AQ$24,$AM$24,PART_NUMBER_GENERATOR_TABLE[[#This Row],[Tech]:[Tech]])))</f>
        <v>0</v>
      </c>
      <c r="AR159" cm="1">
        <f t="array" ref="AR159">IF(PART_NUMBER_GENERATOR_TABLE[[#This Row],[Work Role]:[Work Role]]&lt;&gt;AR$1,0,
IF(PART_NUMBER_GENERATOR_TABLE[[#This Row],[Work Type]:[Work Type]]&lt;&gt;"BH",0,
SUMIFS(AR$24,$AM$24,PART_NUMBER_GENERATOR_TABLE[[#This Row],[Tech]:[Tech]])))</f>
        <v>0</v>
      </c>
      <c r="AS159" cm="1">
        <f t="array" ref="AS159">IF(PART_NUMBER_GENERATOR_TABLE[[#This Row],[Work Role]:[Work Role]]&lt;&gt;AS$1,0,
IF(PART_NUMBER_GENERATOR_TABLE[[#This Row],[Work Type]:[Work Type]]&lt;&gt;"BH",0,
SUMIFS(AS$24,$AM$24,PART_NUMBER_GENERATOR_TABLE[[#This Row],[Tech]:[Tech]])))</f>
        <v>0</v>
      </c>
      <c r="AT159" cm="1">
        <f t="array" ref="AT159">IF(PART_NUMBER_GENERATOR_TABLE[[#This Row],[Work Role]:[Work Role]]&lt;&gt;AS$1,0,
IF(PART_NUMBER_GENERATOR_TABLE[[#This Row],[Work Type]:[Work Type]]&lt;&gt;"BH",0,
SUMIFS(AT$24,$AM$24,PART_NUMBER_GENERATOR_TABLE[[#This Row],[Tech]:[Tech]])))</f>
        <v>0</v>
      </c>
      <c r="AU159">
        <f>SUM(PART_NUMBER_GENERATOR_TABLE[[#This Row],[Resource 1 BH]:[Resource 5 AH]],PART_NUMBER_GENERATOR_TABLE[[#This Row],[R1 Mandatory Tasks]:[R5 Mandatory Tasks]],PART_NUMBER_GENERATOR_TABLE[[#This Row],[R1 Remainder]:[R5 Remainder]])</f>
        <v>0</v>
      </c>
      <c r="AV159">
        <f>PART_NUMBER_GENERATOR_TABLE[[#This Row],[Professional Engineering Hours]]*PART_NUMBER_GENERATOR_TABLE[[#This Row],[Sell Rate]]</f>
        <v>0</v>
      </c>
      <c r="AW159">
        <f>PART_NUMBER_GENERATOR_TABLE[[#This Row],[Professional Engineering Hours]]*PART_NUMBER_GENERATOR_TABLE[[#This Row],[Cost Rate]]</f>
        <v>0</v>
      </c>
      <c r="AX159">
        <f>SUM(PART_NUMBER_GENERATOR_TABLE[[#This Row],[PM Trips]:[R5 Trips]])</f>
        <v>0</v>
      </c>
      <c r="AY159">
        <f>PART_NUMBER_GENERATOR_TABLE[[#This Row],[Travel &amp; Accommodation Hours]]*PART_NUMBER_GENERATOR_TABLE[[#This Row],[Sell Rate]]</f>
        <v>0</v>
      </c>
      <c r="AZ159">
        <f>PART_NUMBER_GENERATOR_TABLE[[#This Row],[Travel &amp; Accommodation Hours]]*PART_NUMBER_GENERATOR_TABLE[[#This Row],[Cost Rate]]</f>
        <v>0</v>
      </c>
      <c r="BA159">
        <f>PART_NUMBER_GENERATOR_TABLE[[#This Row],[PM Hours]]+PART_NUMBER_GENERATOR_TABLE[[#This Row],[PM Remainder]]</f>
        <v>0</v>
      </c>
      <c r="BB159">
        <f>PART_NUMBER_GENERATOR_TABLE[[#This Row],[Project Management Hours]]*PART_NUMBER_GENERATOR_TABLE[[#This Row],[Sell Rate]]</f>
        <v>0</v>
      </c>
      <c r="BC159">
        <f>PART_NUMBER_GENERATOR_TABLE[[#This Row],[Project Management Hours]]*PART_NUMBER_GENERATOR_TABLE[[#This Row],[Cost Rate]]</f>
        <v>0</v>
      </c>
      <c r="BD159">
        <f>SUM(PART_NUMBER_GENERATOR_TABLE[[#This Row],[SSE RISK BH]:[PM RISK]],PART_NUMBER_GENERATOR_TABLE[[#This Row],[SSE Remainder RISK BH]:[PM Remainder RISK]])</f>
        <v>0</v>
      </c>
      <c r="BE159">
        <f>PART_NUMBER_GENERATOR_TABLE[[#This Row],[Project Risk Service Hours]]*PART_NUMBER_GENERATOR_TABLE[[#This Row],[Sell Rate]]</f>
        <v>0</v>
      </c>
      <c r="BF159">
        <f>PART_NUMBER_GENERATOR_TABLE[[#This Row],[Project Risk Service Hours]]*PART_NUMBER_GENERATOR_TABLE[[#This Row],[Cost Rate]]</f>
        <v>0</v>
      </c>
      <c r="BG159">
        <f>PART_NUMBER_GENERATOR_TABLE[[#This Row],[SSE RISK TRAVEL]]</f>
        <v>0</v>
      </c>
      <c r="BH159">
        <f>PART_NUMBER_GENERATOR_TABLE[[#This Row],[Sell Rate]]*PART_NUMBER_GENERATOR_TABLE[[#This Row],[Project Risk Travel Hours]]</f>
        <v>0</v>
      </c>
      <c r="BI159">
        <f>PART_NUMBER_GENERATOR_TABLE[[#This Row],[Project Risk Travel Hours]]*PART_NUMBER_GENERATOR_TABLE[[#This Row],[Cost Rate]]</f>
        <v>0</v>
      </c>
      <c r="BJ159">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59">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59">
        <f>IFERROR(-VLOOKUP(INDEX(ENGINEER_ROLES,MATCH(PART_NUMBER_GENERATOR_TABLE[[#This Row],[Work Role]],settings.Table_Engineer.Roles[ID],0),1),Settings_Hidden!$H$359:$K$366,4,FALSE),0)</f>
        <v>0</v>
      </c>
      <c r="BM159" s="680">
        <f>-Summary!$C$66</f>
        <v>0</v>
      </c>
      <c r="BN159" s="465">
        <f>PART_NUMBER_GENERATOR_TABLE[[#This Row],[Total Base Price]]*MIN(PART_NUMBER_GENERATOR_TABLE[[#This Row],[Rate Service Discount]:[Flat Service Discount]])</f>
        <v>0</v>
      </c>
      <c r="BO159" s="451" t="str">
        <f>IF(PART_NUMBER_GENERATOR_TABLE[[#This Row],[Quantity]]&lt;&gt;0,MAX($BO$30:BO158)+1,"")</f>
        <v/>
      </c>
      <c r="BP159" t="str">
        <f>PART_NUMBER_GENERATOR_TABLE[[#This Row],[Part Number]]</f>
        <v>A-PS-C-OPPTEC-AC-AH</v>
      </c>
      <c r="BQ159">
        <f>PART_NUMBER_GENERATOR_TABLE[[#This Row],[Total Hours]]</f>
        <v>0</v>
      </c>
      <c r="BR159">
        <f>PART_NUMBER_GENERATOR_TABLE[[#This Row],[Cost Rate]]</f>
        <v>251.41552370953494</v>
      </c>
      <c r="BS159" s="465">
        <f>PART_NUMBER_GENERATOR_TABLE[[#This Row],[Sell Rate]]+(PART_NUMBER_GENERATOR_TABLE[[#This Row],[Sell Rate]]*MIN(PART_NUMBER_GENERATOR_TABLE[[#This Row],[Rate Service Discount]:[Flat Service Discount]]))</f>
        <v>472.5</v>
      </c>
    </row>
    <row r="160" spans="1:71">
      <c r="A160">
        <v>130</v>
      </c>
      <c r="C160" t="s">
        <v>1120</v>
      </c>
      <c r="D160" t="str" cm="1">
        <f t="array" ref="D160">INDEX(Table.Settings_Skill.List[Skill Name],MATCH(INDEX(_xlfn.TEXTSPLIT(C160,"-",,TRUE),4),Table.Settings_Skill.List[Skill Code],0),1)</f>
        <v>Secure Networking</v>
      </c>
      <c r="E160" t="str" cm="1">
        <f t="array" ref="E160">INDEX(_xlfn.TEXTSPLIT(C160,"-",,TRUE),5)</f>
        <v>SA</v>
      </c>
      <c r="F160" t="str">
        <f>IFERROR(INDEX(settings.Table_Engineer.Roles[Department Code],MATCH(PART_NUMBER_GENERATOR_TABLE[[#This Row],[Work Role]],settings.Table_Engineer.Roles[ID],0),1),"PMO")</f>
        <v>CON</v>
      </c>
      <c r="G160" t="str" cm="1">
        <f t="array" ref="G160">INDEX(_xlfn.TEXTSPLIT(C160,"-",,TRUE),6)</f>
        <v>AH</v>
      </c>
      <c r="H160">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60">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60" cm="1">
        <f t="array" ref="J160">IF(J$1&lt;&gt;PART_NUMBER_GENERATOR_TABLE[[#This Row],[Work Role]:[Work Role]],0,
IF(RIGHT(J$30,2)&lt;&gt;PART_NUMBER_GENERATOR_TABLE[[#This Row],[Work Type]:[Work Type]],0,
SUMIFS(Input_Tasks[R1 Business Hours],Input_Tasks[[Skill Required]:[Skill Required]],PART_NUMBER_GENERATOR_TABLE[[#This Row],[Tech]:[Tech]])))</f>
        <v>0</v>
      </c>
      <c r="K160" cm="1">
        <f t="array" ref="K160">IF(K$1&lt;&gt;PART_NUMBER_GENERATOR_TABLE[[#This Row],[Work Role]:[Work Role]],0,
IF(RIGHT(K$30,2)&lt;&gt;PART_NUMBER_GENERATOR_TABLE[[#This Row],[Work Type]:[Work Type]],0,
SUMIFS(Input_Tasks[R1 After Hours],Input_Tasks[[Skill Required]:[Skill Required]],PART_NUMBER_GENERATOR_TABLE[[#This Row],[Tech]:[Tech]])))</f>
        <v>0</v>
      </c>
      <c r="L160" cm="1">
        <f t="array" ref="L160">IF(L$1&lt;&gt;PART_NUMBER_GENERATOR_TABLE[[#This Row],[Work Role]:[Work Role]],0,
IF(RIGHT(L$30,2)&lt;&gt;PART_NUMBER_GENERATOR_TABLE[[#This Row],[Work Type]:[Work Type]],0,
SUMIFS(Input_Tasks[R2 Business Hours],Input_Tasks[[Skill Required]:[Skill Required]],PART_NUMBER_GENERATOR_TABLE[[#This Row],[Tech]:[Tech]])))</f>
        <v>0</v>
      </c>
      <c r="M160" cm="1">
        <f t="array" ref="M160">IF(M$1&lt;&gt;PART_NUMBER_GENERATOR_TABLE[[#This Row],[Work Role]:[Work Role]],0,
IF(RIGHT(M$30,2)&lt;&gt;PART_NUMBER_GENERATOR_TABLE[[#This Row],[Work Type]:[Work Type]],0,
SUMIFS(Input_Tasks[R2 After Hours],Input_Tasks[[Skill Required]:[Skill Required]],PART_NUMBER_GENERATOR_TABLE[[#This Row],[Tech]:[Tech]])))</f>
        <v>0</v>
      </c>
      <c r="N160" cm="1">
        <f t="array" ref="N160">IF(N$1&lt;&gt;PART_NUMBER_GENERATOR_TABLE[[#This Row],[Work Role]:[Work Role]],0,
IF(RIGHT(N$30,2)&lt;&gt;PART_NUMBER_GENERATOR_TABLE[[#This Row],[Work Type]:[Work Type]],0,
SUMIFS(Input_Tasks[R3 Business Hours],Input_Tasks[[Skill Required]:[Skill Required]],PART_NUMBER_GENERATOR_TABLE[[#This Row],[Tech]:[Tech]])))</f>
        <v>0</v>
      </c>
      <c r="O160" cm="1">
        <f t="array" ref="O160">IF(O$1&lt;&gt;PART_NUMBER_GENERATOR_TABLE[[#This Row],[Work Role]:[Work Role]],0,
IF(RIGHT(O$30,2)&lt;&gt;PART_NUMBER_GENERATOR_TABLE[[#This Row],[Work Type]:[Work Type]],0,
SUMIFS(Input_Tasks[R3 After Hours],Input_Tasks[[Skill Required]:[Skill Required]],PART_NUMBER_GENERATOR_TABLE[[#This Row],[Tech]:[Tech]])))</f>
        <v>0</v>
      </c>
      <c r="P160" cm="1">
        <f t="array" ref="P160">IF(P$1&lt;&gt;PART_NUMBER_GENERATOR_TABLE[[#This Row],[Work Role]:[Work Role]],0,
IF(RIGHT(P$30,2)&lt;&gt;PART_NUMBER_GENERATOR_TABLE[[#This Row],[Work Type]:[Work Type]],0,
SUMIFS(Input_Tasks[R4 Business Hours],Input_Tasks[[Skill Required]:[Skill Required]],PART_NUMBER_GENERATOR_TABLE[[#This Row],[Tech]:[Tech]])))</f>
        <v>0</v>
      </c>
      <c r="Q160" cm="1">
        <f t="array" ref="Q160">IF(Q$1&lt;&gt;PART_NUMBER_GENERATOR_TABLE[[#This Row],[Work Role]:[Work Role]],0,
IF(RIGHT(Q$30,2)&lt;&gt;PART_NUMBER_GENERATOR_TABLE[[#This Row],[Work Type]:[Work Type]],0,
SUMIFS(Input_Tasks[R4 After Hours],Input_Tasks[[Skill Required]:[Skill Required]],PART_NUMBER_GENERATOR_TABLE[[#This Row],[Tech]:[Tech]])))</f>
        <v>0</v>
      </c>
      <c r="R160" cm="1">
        <f t="array" ref="R160">IF(R$1&lt;&gt;PART_NUMBER_GENERATOR_TABLE[[#This Row],[Work Role]:[Work Role]],0,
IF(RIGHT(R$30,2)&lt;&gt;PART_NUMBER_GENERATOR_TABLE[[#This Row],[Work Type]:[Work Type]],0,
SUMIFS(Input_Tasks[R5 Business Hours],Input_Tasks[[Skill Required]:[Skill Required]],PART_NUMBER_GENERATOR_TABLE[[#This Row],[Tech]:[Tech]])))</f>
        <v>0</v>
      </c>
      <c r="S160" cm="1">
        <f t="array" ref="S160">IF(S$1&lt;&gt;PART_NUMBER_GENERATOR_TABLE[[#This Row],[Work Role]:[Work Role]],0,
IF(RIGHT(S$30,2)&lt;&gt;PART_NUMBER_GENERATOR_TABLE[[#This Row],[Work Type]:[Work Type]],0,
SUMIFS(Input_Tasks[R5 After Hours],Input_Tasks[[Skill Required]:[Skill Required]],PART_NUMBER_GENERATOR_TABLE[[#This Row],[Tech]:[Tech]])))</f>
        <v>0</v>
      </c>
      <c r="T160" cm="1">
        <f t="array" ref="T160">IF(PART_NUMBER_GENERATOR_TABLE[[#This Row],[Work Role]:[Work Role]]&lt;&gt;T$1,0,
IF(PART_NUMBER_GENERATOR_TABLE[[#This Row],[Work Type]:[Work Type]]&lt;&gt;"BH",0,
SUMIFS(T$9:T$24,$M$9:$M$24,PART_NUMBER_GENERATOR_TABLE[[#This Row],[Tech]:[Tech]])))</f>
        <v>0</v>
      </c>
      <c r="U160" cm="1">
        <f t="array" ref="U160">IF(PART_NUMBER_GENERATOR_TABLE[[#This Row],[Work Role]:[Work Role]]&lt;&gt;U$1,0,
IF(PART_NUMBER_GENERATOR_TABLE[[#This Row],[Work Type]:[Work Type]]&lt;&gt;"BH",0,
SUMIFS(U$9:U$24,$M$9:$M$24,PART_NUMBER_GENERATOR_TABLE[[#This Row],[Tech]:[Tech]])))</f>
        <v>0</v>
      </c>
      <c r="V160" cm="1">
        <f t="array" ref="V160">IF(PART_NUMBER_GENERATOR_TABLE[[#This Row],[Work Role]:[Work Role]]&lt;&gt;V$1,0,
IF(PART_NUMBER_GENERATOR_TABLE[[#This Row],[Work Type]:[Work Type]]&lt;&gt;"BH",0,
SUMIFS(V$9:V$24,$M$9:$M$24,PART_NUMBER_GENERATOR_TABLE[[#This Row],[Tech]:[Tech]])))</f>
        <v>0</v>
      </c>
      <c r="W160" cm="1">
        <f t="array" ref="W160">IF(PART_NUMBER_GENERATOR_TABLE[[#This Row],[Work Role]:[Work Role]]&lt;&gt;W$1,0,
IF(PART_NUMBER_GENERATOR_TABLE[[#This Row],[Work Type]:[Work Type]]&lt;&gt;"BH",0,
SUMIFS(W$9:W$24,$M$9:$M$24,PART_NUMBER_GENERATOR_TABLE[[#This Row],[Tech]:[Tech]])))</f>
        <v>0</v>
      </c>
      <c r="X160" cm="1">
        <f t="array" ref="X160">IF(PART_NUMBER_GENERATOR_TABLE[[#This Row],[Work Role]:[Work Role]]&lt;&gt;X$1,0,
IF(PART_NUMBER_GENERATOR_TABLE[[#This Row],[Work Type]:[Work Type]]&lt;&gt;"BH",0,
SUMIFS(X$9:X$24,$M$9:$M$24,PART_NUMBER_GENERATOR_TABLE[[#This Row],[Tech]:[Tech]])))</f>
        <v>0</v>
      </c>
      <c r="Y160" cm="1">
        <f t="array" ref="Y160">IF(PART_NUMBER_GENERATOR_TABLE[[#This Row],[Work Role]:[Work Role]]&lt;&gt;Y$1,0,
IF(PART_NUMBER_GENERATOR_TABLE[[#This Row],[Work Type]:[Work Type]]&lt;&gt;"BH",0,
SUMIFS(Y$9:Y$24,$M$9:$M$24,PART_NUMBER_GENERATOR_TABLE[[#This Row],[Tech]:[Tech]])))</f>
        <v>0</v>
      </c>
      <c r="Z160" cm="1">
        <f t="array" ref="Z160">IF(PART_NUMBER_GENERATOR_TABLE[[#This Row],[Work Role]:[Work Role]]&lt;&gt;Z$1,0,
IF(PART_NUMBER_GENERATOR_TABLE[[#This Row],[Work Type]:[Work Type]]&lt;&gt;"BH",0,
SUMIFS(Z$9:Z$24,$M$9:$M$24,PART_NUMBER_GENERATOR_TABLE[[#This Row],[Tech]:[Tech]])))</f>
        <v>0</v>
      </c>
      <c r="AA160" cm="1">
        <f t="array" ref="AA160">IF(PART_NUMBER_GENERATOR_TABLE[[#This Row],[Work Role]:[Work Role]]&lt;&gt;AA$1,0,
IF(PART_NUMBER_GENERATOR_TABLE[[#This Row],[Work Type]:[Work Type]]&lt;&gt;"BH",0,
SUMIFS(AA$9:AA$24,$M$9:$M$24,PART_NUMBER_GENERATOR_TABLE[[#This Row],[Tech]:[Tech]])))</f>
        <v>0</v>
      </c>
      <c r="AB160" cm="1">
        <f t="array" ref="AB160">IF(PART_NUMBER_GENERATOR_TABLE[[#This Row],[Work Role]:[Work Role]]&lt;&gt;AB$1,0,
IF(PART_NUMBER_GENERATOR_TABLE[[#This Row],[Work Type]:[Work Type]]&lt;&gt;"BH",0,
SUMIFS(AB$9:AB$24,$M$9:$M$24,PART_NUMBER_GENERATOR_TABLE[[#This Row],[Tech]:[Tech]])))</f>
        <v>0</v>
      </c>
      <c r="AC160" cm="1">
        <f t="array" ref="AC160">IF(PART_NUMBER_GENERATOR_TABLE[[#This Row],[Work Role]:[Work Role]]&lt;&gt;AC$1,0,
IF(PART_NUMBER_GENERATOR_TABLE[[#This Row],[Work Type]:[Work Type]]&lt;&gt;"BH",0,
SUMIFS(AC$9:AC$24,$M$9:$M$24,PART_NUMBER_GENERATOR_TABLE[[#This Row],[Tech]:[Tech]])))</f>
        <v>0</v>
      </c>
      <c r="AD160" cm="1">
        <f t="array" ref="AD160">IF(PART_NUMBER_GENERATOR_TABLE[[#This Row],[Work Role]:[Work Role]]&lt;&gt;AD$1,0,
IF(PART_NUMBER_GENERATOR_TABLE[[#This Row],[Work Type]:[Work Type]]&lt;&gt;"BH",0,
SUMIFS(AD$9:AD$24,$M$9:$M$24,PART_NUMBER_GENERATOR_TABLE[[#This Row],[Tech]:[Tech]])))</f>
        <v>0</v>
      </c>
      <c r="AE160" cm="1">
        <f t="array" ref="AE160">IF(PART_NUMBER_GENERATOR_TABLE[[#This Row],[Work Role]:[Work Role]]&lt;&gt;AE$1,0,
IF(PART_NUMBER_GENERATOR_TABLE[[#This Row],[Work Type]:[Work Type]]&lt;&gt;"BH",0,
SUMIFS(AE$9:AE$24,$M$9:$M$24,PART_NUMBER_GENERATOR_TABLE[[#This Row],[Tech]:[Tech]])))</f>
        <v>0</v>
      </c>
      <c r="AF160" cm="1">
        <f t="array" ref="AF160">IF(PART_NUMBER_GENERATOR_TABLE[[#This Row],[Work Role]:[Work Role]]&lt;&gt;AF$1,0,
IF(PART_NUMBER_GENERATOR_TABLE[[#This Row],[Work Type]:[Work Type]]&lt;&gt;"BH",0,
SUMIFS(AF$9:AF$24,$M$9:$M$24,PART_NUMBER_GENERATOR_TABLE[[#This Row],[Tech]:[Tech]])))</f>
        <v>0</v>
      </c>
      <c r="AG160" cm="1">
        <f t="array" ref="AG160">IF(PART_NUMBER_GENERATOR_TABLE[[#This Row],[Work Role]:[Work Role]]&lt;&gt;AG$1,0,
IF(PART_NUMBER_GENERATOR_TABLE[[#This Row],[Work Type]:[Work Type]]&lt;&gt;"AH",0,
SUMIFS(AG$9:AG$24,$M$9:$M$24,PART_NUMBER_GENERATOR_TABLE[[#This Row],[Tech]:[Tech]])))</f>
        <v>0</v>
      </c>
      <c r="AH160" cm="1">
        <f t="array" ref="AH160">IF(PART_NUMBER_GENERATOR_TABLE[[#This Row],[Work Role]:[Work Role]]&lt;&gt;AH$1,0,
IF(PART_NUMBER_GENERATOR_TABLE[[#This Row],[Work Type]:[Work Type]]&lt;&gt;"BH",0,
SUMIFS(AH$9:AH$24,$M$9:$M$24,PART_NUMBER_GENERATOR_TABLE[[#This Row],[Tech]:[Tech]])))</f>
        <v>0</v>
      </c>
      <c r="AI160" cm="1">
        <f t="array" ref="AI160">IF(PART_NUMBER_GENERATOR_TABLE[[#This Row],[Work Role]:[Work Role]]&lt;&gt;AI$1,0,
IF(PART_NUMBER_GENERATOR_TABLE[[#This Row],[Work Type]:[Work Type]]&lt;&gt;"BH",0,
SUMIFS(AI$9:AI$24,$M$9:$M$24,PART_NUMBER_GENERATOR_TABLE[[#This Row],[Tech]:[Tech]])))</f>
        <v>0</v>
      </c>
      <c r="AJ160" cm="1">
        <f t="array" ref="AJ160">IF(PART_NUMBER_GENERATOR_TABLE[[#This Row],[Work Role]:[Work Role]]&lt;&gt;AJ$1,0,
IF(PART_NUMBER_GENERATOR_TABLE[[#This Row],[Work Type]:[Work Type]]&lt;&gt;"BH",0,
SUMIFS(AJ$9:AJ$24,$M$9:$M$24,PART_NUMBER_GENERATOR_TABLE[[#This Row],[Tech]:[Tech]])))</f>
        <v>0</v>
      </c>
      <c r="AK160" cm="1">
        <f t="array" ref="AK160">IF(PART_NUMBER_GENERATOR_TABLE[[#This Row],[Work Role]:[Work Role]]&lt;&gt;AK$1,0,
IF(PART_NUMBER_GENERATOR_TABLE[[#This Row],[Work Type]:[Work Type]]&lt;&gt;"AH",0,
SUMIFS(AK$9:AK$24,$M$9:$M$24,PART_NUMBER_GENERATOR_TABLE[[#This Row],[Tech]:[Tech]])))</f>
        <v>0</v>
      </c>
      <c r="AL160" cm="1">
        <f t="array" ref="AL160">IF(PART_NUMBER_GENERATOR_TABLE[[#This Row],[Work Role]:[Work Role]]&lt;&gt;AL$1,0,
IF(PART_NUMBER_GENERATOR_TABLE[[#This Row],[Work Type]:[Work Type]]&lt;&gt;"BH",0,
SUMIFS(AL$9:AL$24,$M$9:$M$24,PART_NUMBER_GENERATOR_TABLE[[#This Row],[Tech]:[Tech]])))</f>
        <v>0</v>
      </c>
      <c r="AM160">
        <f>0</f>
        <v>0</v>
      </c>
      <c r="AN160" cm="1">
        <f t="array" ref="AN160">IF(PART_NUMBER_GENERATOR_TABLE[[#This Row],[Work Role]:[Work Role]]&lt;&gt;AN$1,0,
IF(PART_NUMBER_GENERATOR_TABLE[[#This Row],[Work Type]:[Work Type]]&lt;&gt;"BH",0,
SUMIFS(AN$24,$AM$24,PART_NUMBER_GENERATOR_TABLE[[#This Row],[Tech]:[Tech]])))</f>
        <v>0</v>
      </c>
      <c r="AO160" cm="1">
        <f t="array" ref="AO160">IF(PART_NUMBER_GENERATOR_TABLE[[#This Row],[Work Role]:[Work Role]]&lt;&gt;AO$1,0,
IF(PART_NUMBER_GENERATOR_TABLE[[#This Row],[Work Type]:[Work Type]]&lt;&gt;"BH",0,
SUMIFS(AO$24,$AM$24,PART_NUMBER_GENERATOR_TABLE[[#This Row],[Tech]:[Tech]])))</f>
        <v>0</v>
      </c>
      <c r="AP160" cm="1">
        <f t="array" ref="AP160">IF(PART_NUMBER_GENERATOR_TABLE[[#This Row],[Work Role]:[Work Role]]&lt;&gt;AP$1,0,
IF(PART_NUMBER_GENERATOR_TABLE[[#This Row],[Work Type]:[Work Type]]&lt;&gt;"BH",0,
SUMIFS(AP$24,$AM$24,PART_NUMBER_GENERATOR_TABLE[[#This Row],[Tech]:[Tech]])))</f>
        <v>0</v>
      </c>
      <c r="AQ160" cm="1">
        <f t="array" ref="AQ160">IF(PART_NUMBER_GENERATOR_TABLE[[#This Row],[Work Role]:[Work Role]]&lt;&gt;AQ$1,0,
IF(PART_NUMBER_GENERATOR_TABLE[[#This Row],[Work Type]:[Work Type]]&lt;&gt;"BH",0,
SUMIFS(AQ$24,$AM$24,PART_NUMBER_GENERATOR_TABLE[[#This Row],[Tech]:[Tech]])))</f>
        <v>0</v>
      </c>
      <c r="AR160" cm="1">
        <f t="array" ref="AR160">IF(PART_NUMBER_GENERATOR_TABLE[[#This Row],[Work Role]:[Work Role]]&lt;&gt;AR$1,0,
IF(PART_NUMBER_GENERATOR_TABLE[[#This Row],[Work Type]:[Work Type]]&lt;&gt;"BH",0,
SUMIFS(AR$24,$AM$24,PART_NUMBER_GENERATOR_TABLE[[#This Row],[Tech]:[Tech]])))</f>
        <v>0</v>
      </c>
      <c r="AS160" cm="1">
        <f t="array" ref="AS160">IF(PART_NUMBER_GENERATOR_TABLE[[#This Row],[Work Role]:[Work Role]]&lt;&gt;AS$1,0,
IF(PART_NUMBER_GENERATOR_TABLE[[#This Row],[Work Type]:[Work Type]]&lt;&gt;"BH",0,
SUMIFS(AS$24,$AM$24,PART_NUMBER_GENERATOR_TABLE[[#This Row],[Tech]:[Tech]])))</f>
        <v>0</v>
      </c>
      <c r="AT160" cm="1">
        <f t="array" ref="AT160">IF(PART_NUMBER_GENERATOR_TABLE[[#This Row],[Work Role]:[Work Role]]&lt;&gt;AS$1,0,
IF(PART_NUMBER_GENERATOR_TABLE[[#This Row],[Work Type]:[Work Type]]&lt;&gt;"BH",0,
SUMIFS(AT$24,$AM$24,PART_NUMBER_GENERATOR_TABLE[[#This Row],[Tech]:[Tech]])))</f>
        <v>0</v>
      </c>
      <c r="AU160">
        <f>SUM(PART_NUMBER_GENERATOR_TABLE[[#This Row],[Resource 1 BH]:[Resource 5 AH]],PART_NUMBER_GENERATOR_TABLE[[#This Row],[R1 Mandatory Tasks]:[R5 Mandatory Tasks]],PART_NUMBER_GENERATOR_TABLE[[#This Row],[R1 Remainder]:[R5 Remainder]])</f>
        <v>0</v>
      </c>
      <c r="AV160">
        <f>PART_NUMBER_GENERATOR_TABLE[[#This Row],[Professional Engineering Hours]]*PART_NUMBER_GENERATOR_TABLE[[#This Row],[Sell Rate]]</f>
        <v>0</v>
      </c>
      <c r="AW160">
        <f>PART_NUMBER_GENERATOR_TABLE[[#This Row],[Professional Engineering Hours]]*PART_NUMBER_GENERATOR_TABLE[[#This Row],[Cost Rate]]</f>
        <v>0</v>
      </c>
      <c r="AX160">
        <f>SUM(PART_NUMBER_GENERATOR_TABLE[[#This Row],[PM Trips]:[R5 Trips]])</f>
        <v>0</v>
      </c>
      <c r="AY160">
        <f>PART_NUMBER_GENERATOR_TABLE[[#This Row],[Travel &amp; Accommodation Hours]]*PART_NUMBER_GENERATOR_TABLE[[#This Row],[Sell Rate]]</f>
        <v>0</v>
      </c>
      <c r="AZ160">
        <f>PART_NUMBER_GENERATOR_TABLE[[#This Row],[Travel &amp; Accommodation Hours]]*PART_NUMBER_GENERATOR_TABLE[[#This Row],[Cost Rate]]</f>
        <v>0</v>
      </c>
      <c r="BA160">
        <f>PART_NUMBER_GENERATOR_TABLE[[#This Row],[PM Hours]]+PART_NUMBER_GENERATOR_TABLE[[#This Row],[PM Remainder]]</f>
        <v>0</v>
      </c>
      <c r="BB160">
        <f>PART_NUMBER_GENERATOR_TABLE[[#This Row],[Project Management Hours]]*PART_NUMBER_GENERATOR_TABLE[[#This Row],[Sell Rate]]</f>
        <v>0</v>
      </c>
      <c r="BC160">
        <f>PART_NUMBER_GENERATOR_TABLE[[#This Row],[Project Management Hours]]*PART_NUMBER_GENERATOR_TABLE[[#This Row],[Cost Rate]]</f>
        <v>0</v>
      </c>
      <c r="BD160">
        <f>SUM(PART_NUMBER_GENERATOR_TABLE[[#This Row],[SSE RISK BH]:[PM RISK]],PART_NUMBER_GENERATOR_TABLE[[#This Row],[SSE Remainder RISK BH]:[PM Remainder RISK]])</f>
        <v>0</v>
      </c>
      <c r="BE160">
        <f>PART_NUMBER_GENERATOR_TABLE[[#This Row],[Project Risk Service Hours]]*PART_NUMBER_GENERATOR_TABLE[[#This Row],[Sell Rate]]</f>
        <v>0</v>
      </c>
      <c r="BF160">
        <f>PART_NUMBER_GENERATOR_TABLE[[#This Row],[Project Risk Service Hours]]*PART_NUMBER_GENERATOR_TABLE[[#This Row],[Cost Rate]]</f>
        <v>0</v>
      </c>
      <c r="BG160">
        <f>PART_NUMBER_GENERATOR_TABLE[[#This Row],[SSE RISK TRAVEL]]</f>
        <v>0</v>
      </c>
      <c r="BH160">
        <f>PART_NUMBER_GENERATOR_TABLE[[#This Row],[Sell Rate]]*PART_NUMBER_GENERATOR_TABLE[[#This Row],[Project Risk Travel Hours]]</f>
        <v>0</v>
      </c>
      <c r="BI160">
        <f>PART_NUMBER_GENERATOR_TABLE[[#This Row],[Project Risk Travel Hours]]*PART_NUMBER_GENERATOR_TABLE[[#This Row],[Cost Rate]]</f>
        <v>0</v>
      </c>
      <c r="BJ160">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60">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60">
        <f>IFERROR(-VLOOKUP(INDEX(ENGINEER_ROLES,MATCH(PART_NUMBER_GENERATOR_TABLE[[#This Row],[Work Role]],settings.Table_Engineer.Roles[ID],0),1),Settings_Hidden!$H$359:$K$366,4,FALSE),0)</f>
        <v>0</v>
      </c>
      <c r="BM160" s="680">
        <f>-Summary!$C$66</f>
        <v>0</v>
      </c>
      <c r="BN160" s="465">
        <f>PART_NUMBER_GENERATOR_TABLE[[#This Row],[Total Base Price]]*MIN(PART_NUMBER_GENERATOR_TABLE[[#This Row],[Rate Service Discount]:[Flat Service Discount]])</f>
        <v>0</v>
      </c>
      <c r="BO160" s="451" t="str">
        <f>IF(PART_NUMBER_GENERATOR_TABLE[[#This Row],[Quantity]]&lt;&gt;0,MAX($BO$30:BO159)+1,"")</f>
        <v/>
      </c>
      <c r="BP160" t="str">
        <f>PART_NUMBER_GENERATOR_TABLE[[#This Row],[Part Number]]</f>
        <v>A-PS-C-SECURE-SA-AH</v>
      </c>
      <c r="BQ160">
        <f>PART_NUMBER_GENERATOR_TABLE[[#This Row],[Total Hours]]</f>
        <v>0</v>
      </c>
      <c r="BR160">
        <f>PART_NUMBER_GENERATOR_TABLE[[#This Row],[Cost Rate]]</f>
        <v>251.41552370953494</v>
      </c>
      <c r="BS160" s="465">
        <f>PART_NUMBER_GENERATOR_TABLE[[#This Row],[Sell Rate]]+(PART_NUMBER_GENERATOR_TABLE[[#This Row],[Sell Rate]]*MIN(PART_NUMBER_GENERATOR_TABLE[[#This Row],[Rate Service Discount]:[Flat Service Discount]]))</f>
        <v>472.5</v>
      </c>
    </row>
    <row r="161" spans="1:71">
      <c r="A161">
        <v>131</v>
      </c>
      <c r="C161" t="s">
        <v>1112</v>
      </c>
      <c r="D161" t="str" cm="1">
        <f t="array" ref="D161">INDEX(Table.Settings_Skill.List[Skill Name],MATCH(INDEX(_xlfn.TEXTSPLIT(C161,"-",,TRUE),4),Table.Settings_Skill.List[Skill Code],0),1)</f>
        <v>Secure Networking</v>
      </c>
      <c r="E161" t="str" cm="1">
        <f t="array" ref="E161">INDEX(_xlfn.TEXTSPLIT(C161,"-",,TRUE),5)</f>
        <v>SC</v>
      </c>
      <c r="F161" t="str">
        <f>IFERROR(INDEX(settings.Table_Engineer.Roles[Department Code],MATCH(PART_NUMBER_GENERATOR_TABLE[[#This Row],[Work Role]],settings.Table_Engineer.Roles[ID],0),1),"PMO")</f>
        <v>CON</v>
      </c>
      <c r="G161" t="str" cm="1">
        <f t="array" ref="G161">INDEX(_xlfn.TEXTSPLIT(C161,"-",,TRUE),6)</f>
        <v>AH</v>
      </c>
      <c r="H161">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61">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61" cm="1">
        <f t="array" ref="J161">IF(J$1&lt;&gt;PART_NUMBER_GENERATOR_TABLE[[#This Row],[Work Role]:[Work Role]],0,
IF(RIGHT(J$30,2)&lt;&gt;PART_NUMBER_GENERATOR_TABLE[[#This Row],[Work Type]:[Work Type]],0,
SUMIFS(Input_Tasks[R1 Business Hours],Input_Tasks[[Skill Required]:[Skill Required]],PART_NUMBER_GENERATOR_TABLE[[#This Row],[Tech]:[Tech]])))</f>
        <v>0</v>
      </c>
      <c r="K161" cm="1">
        <f t="array" ref="K161">IF(K$1&lt;&gt;PART_NUMBER_GENERATOR_TABLE[[#This Row],[Work Role]:[Work Role]],0,
IF(RIGHT(K$30,2)&lt;&gt;PART_NUMBER_GENERATOR_TABLE[[#This Row],[Work Type]:[Work Type]],0,
SUMIFS(Input_Tasks[R1 After Hours],Input_Tasks[[Skill Required]:[Skill Required]],PART_NUMBER_GENERATOR_TABLE[[#This Row],[Tech]:[Tech]])))</f>
        <v>0</v>
      </c>
      <c r="L161" cm="1">
        <f t="array" ref="L161">IF(L$1&lt;&gt;PART_NUMBER_GENERATOR_TABLE[[#This Row],[Work Role]:[Work Role]],0,
IF(RIGHT(L$30,2)&lt;&gt;PART_NUMBER_GENERATOR_TABLE[[#This Row],[Work Type]:[Work Type]],0,
SUMIFS(Input_Tasks[R2 Business Hours],Input_Tasks[[Skill Required]:[Skill Required]],PART_NUMBER_GENERATOR_TABLE[[#This Row],[Tech]:[Tech]])))</f>
        <v>0</v>
      </c>
      <c r="M161" cm="1">
        <f t="array" ref="M161">IF(M$1&lt;&gt;PART_NUMBER_GENERATOR_TABLE[[#This Row],[Work Role]:[Work Role]],0,
IF(RIGHT(M$30,2)&lt;&gt;PART_NUMBER_GENERATOR_TABLE[[#This Row],[Work Type]:[Work Type]],0,
SUMIFS(Input_Tasks[R2 After Hours],Input_Tasks[[Skill Required]:[Skill Required]],PART_NUMBER_GENERATOR_TABLE[[#This Row],[Tech]:[Tech]])))</f>
        <v>0</v>
      </c>
      <c r="N161" cm="1">
        <f t="array" ref="N161">IF(N$1&lt;&gt;PART_NUMBER_GENERATOR_TABLE[[#This Row],[Work Role]:[Work Role]],0,
IF(RIGHT(N$30,2)&lt;&gt;PART_NUMBER_GENERATOR_TABLE[[#This Row],[Work Type]:[Work Type]],0,
SUMIFS(Input_Tasks[R3 Business Hours],Input_Tasks[[Skill Required]:[Skill Required]],PART_NUMBER_GENERATOR_TABLE[[#This Row],[Tech]:[Tech]])))</f>
        <v>0</v>
      </c>
      <c r="O161" cm="1">
        <f t="array" ref="O161">IF(O$1&lt;&gt;PART_NUMBER_GENERATOR_TABLE[[#This Row],[Work Role]:[Work Role]],0,
IF(RIGHT(O$30,2)&lt;&gt;PART_NUMBER_GENERATOR_TABLE[[#This Row],[Work Type]:[Work Type]],0,
SUMIFS(Input_Tasks[R3 After Hours],Input_Tasks[[Skill Required]:[Skill Required]],PART_NUMBER_GENERATOR_TABLE[[#This Row],[Tech]:[Tech]])))</f>
        <v>0</v>
      </c>
      <c r="P161" cm="1">
        <f t="array" ref="P161">IF(P$1&lt;&gt;PART_NUMBER_GENERATOR_TABLE[[#This Row],[Work Role]:[Work Role]],0,
IF(RIGHT(P$30,2)&lt;&gt;PART_NUMBER_GENERATOR_TABLE[[#This Row],[Work Type]:[Work Type]],0,
SUMIFS(Input_Tasks[R4 Business Hours],Input_Tasks[[Skill Required]:[Skill Required]],PART_NUMBER_GENERATOR_TABLE[[#This Row],[Tech]:[Tech]])))</f>
        <v>0</v>
      </c>
      <c r="Q161" cm="1">
        <f t="array" ref="Q161">IF(Q$1&lt;&gt;PART_NUMBER_GENERATOR_TABLE[[#This Row],[Work Role]:[Work Role]],0,
IF(RIGHT(Q$30,2)&lt;&gt;PART_NUMBER_GENERATOR_TABLE[[#This Row],[Work Type]:[Work Type]],0,
SUMIFS(Input_Tasks[R4 After Hours],Input_Tasks[[Skill Required]:[Skill Required]],PART_NUMBER_GENERATOR_TABLE[[#This Row],[Tech]:[Tech]])))</f>
        <v>0</v>
      </c>
      <c r="R161" cm="1">
        <f t="array" ref="R161">IF(R$1&lt;&gt;PART_NUMBER_GENERATOR_TABLE[[#This Row],[Work Role]:[Work Role]],0,
IF(RIGHT(R$30,2)&lt;&gt;PART_NUMBER_GENERATOR_TABLE[[#This Row],[Work Type]:[Work Type]],0,
SUMIFS(Input_Tasks[R5 Business Hours],Input_Tasks[[Skill Required]:[Skill Required]],PART_NUMBER_GENERATOR_TABLE[[#This Row],[Tech]:[Tech]])))</f>
        <v>0</v>
      </c>
      <c r="S161" cm="1">
        <f t="array" ref="S161">IF(S$1&lt;&gt;PART_NUMBER_GENERATOR_TABLE[[#This Row],[Work Role]:[Work Role]],0,
IF(RIGHT(S$30,2)&lt;&gt;PART_NUMBER_GENERATOR_TABLE[[#This Row],[Work Type]:[Work Type]],0,
SUMIFS(Input_Tasks[R5 After Hours],Input_Tasks[[Skill Required]:[Skill Required]],PART_NUMBER_GENERATOR_TABLE[[#This Row],[Tech]:[Tech]])))</f>
        <v>0</v>
      </c>
      <c r="T161" cm="1">
        <f t="array" ref="T161">IF(PART_NUMBER_GENERATOR_TABLE[[#This Row],[Work Role]:[Work Role]]&lt;&gt;T$1,0,
IF(PART_NUMBER_GENERATOR_TABLE[[#This Row],[Work Type]:[Work Type]]&lt;&gt;"BH",0,
SUMIFS(T$9:T$24,$M$9:$M$24,PART_NUMBER_GENERATOR_TABLE[[#This Row],[Tech]:[Tech]])))</f>
        <v>0</v>
      </c>
      <c r="U161" cm="1">
        <f t="array" ref="U161">IF(PART_NUMBER_GENERATOR_TABLE[[#This Row],[Work Role]:[Work Role]]&lt;&gt;U$1,0,
IF(PART_NUMBER_GENERATOR_TABLE[[#This Row],[Work Type]:[Work Type]]&lt;&gt;"BH",0,
SUMIFS(U$9:U$24,$M$9:$M$24,PART_NUMBER_GENERATOR_TABLE[[#This Row],[Tech]:[Tech]])))</f>
        <v>0</v>
      </c>
      <c r="V161" cm="1">
        <f t="array" ref="V161">IF(PART_NUMBER_GENERATOR_TABLE[[#This Row],[Work Role]:[Work Role]]&lt;&gt;V$1,0,
IF(PART_NUMBER_GENERATOR_TABLE[[#This Row],[Work Type]:[Work Type]]&lt;&gt;"BH",0,
SUMIFS(V$9:V$24,$M$9:$M$24,PART_NUMBER_GENERATOR_TABLE[[#This Row],[Tech]:[Tech]])))</f>
        <v>0</v>
      </c>
      <c r="W161" cm="1">
        <f t="array" ref="W161">IF(PART_NUMBER_GENERATOR_TABLE[[#This Row],[Work Role]:[Work Role]]&lt;&gt;W$1,0,
IF(PART_NUMBER_GENERATOR_TABLE[[#This Row],[Work Type]:[Work Type]]&lt;&gt;"BH",0,
SUMIFS(W$9:W$24,$M$9:$M$24,PART_NUMBER_GENERATOR_TABLE[[#This Row],[Tech]:[Tech]])))</f>
        <v>0</v>
      </c>
      <c r="X161" cm="1">
        <f t="array" ref="X161">IF(PART_NUMBER_GENERATOR_TABLE[[#This Row],[Work Role]:[Work Role]]&lt;&gt;X$1,0,
IF(PART_NUMBER_GENERATOR_TABLE[[#This Row],[Work Type]:[Work Type]]&lt;&gt;"BH",0,
SUMIFS(X$9:X$24,$M$9:$M$24,PART_NUMBER_GENERATOR_TABLE[[#This Row],[Tech]:[Tech]])))</f>
        <v>0</v>
      </c>
      <c r="Y161" cm="1">
        <f t="array" ref="Y161">IF(PART_NUMBER_GENERATOR_TABLE[[#This Row],[Work Role]:[Work Role]]&lt;&gt;Y$1,0,
IF(PART_NUMBER_GENERATOR_TABLE[[#This Row],[Work Type]:[Work Type]]&lt;&gt;"BH",0,
SUMIFS(Y$9:Y$24,$M$9:$M$24,PART_NUMBER_GENERATOR_TABLE[[#This Row],[Tech]:[Tech]])))</f>
        <v>0</v>
      </c>
      <c r="Z161" cm="1">
        <f t="array" ref="Z161">IF(PART_NUMBER_GENERATOR_TABLE[[#This Row],[Work Role]:[Work Role]]&lt;&gt;Z$1,0,
IF(PART_NUMBER_GENERATOR_TABLE[[#This Row],[Work Type]:[Work Type]]&lt;&gt;"BH",0,
SUMIFS(Z$9:Z$24,$M$9:$M$24,PART_NUMBER_GENERATOR_TABLE[[#This Row],[Tech]:[Tech]])))</f>
        <v>0</v>
      </c>
      <c r="AA161" cm="1">
        <f t="array" ref="AA161">IF(PART_NUMBER_GENERATOR_TABLE[[#This Row],[Work Role]:[Work Role]]&lt;&gt;AA$1,0,
IF(PART_NUMBER_GENERATOR_TABLE[[#This Row],[Work Type]:[Work Type]]&lt;&gt;"BH",0,
SUMIFS(AA$9:AA$24,$M$9:$M$24,PART_NUMBER_GENERATOR_TABLE[[#This Row],[Tech]:[Tech]])))</f>
        <v>0</v>
      </c>
      <c r="AB161" cm="1">
        <f t="array" ref="AB161">IF(PART_NUMBER_GENERATOR_TABLE[[#This Row],[Work Role]:[Work Role]]&lt;&gt;AB$1,0,
IF(PART_NUMBER_GENERATOR_TABLE[[#This Row],[Work Type]:[Work Type]]&lt;&gt;"BH",0,
SUMIFS(AB$9:AB$24,$M$9:$M$24,PART_NUMBER_GENERATOR_TABLE[[#This Row],[Tech]:[Tech]])))</f>
        <v>0</v>
      </c>
      <c r="AC161" cm="1">
        <f t="array" ref="AC161">IF(PART_NUMBER_GENERATOR_TABLE[[#This Row],[Work Role]:[Work Role]]&lt;&gt;AC$1,0,
IF(PART_NUMBER_GENERATOR_TABLE[[#This Row],[Work Type]:[Work Type]]&lt;&gt;"BH",0,
SUMIFS(AC$9:AC$24,$M$9:$M$24,PART_NUMBER_GENERATOR_TABLE[[#This Row],[Tech]:[Tech]])))</f>
        <v>0</v>
      </c>
      <c r="AD161" cm="1">
        <f t="array" ref="AD161">IF(PART_NUMBER_GENERATOR_TABLE[[#This Row],[Work Role]:[Work Role]]&lt;&gt;AD$1,0,
IF(PART_NUMBER_GENERATOR_TABLE[[#This Row],[Work Type]:[Work Type]]&lt;&gt;"BH",0,
SUMIFS(AD$9:AD$24,$M$9:$M$24,PART_NUMBER_GENERATOR_TABLE[[#This Row],[Tech]:[Tech]])))</f>
        <v>0</v>
      </c>
      <c r="AE161" cm="1">
        <f t="array" ref="AE161">IF(PART_NUMBER_GENERATOR_TABLE[[#This Row],[Work Role]:[Work Role]]&lt;&gt;AE$1,0,
IF(PART_NUMBER_GENERATOR_TABLE[[#This Row],[Work Type]:[Work Type]]&lt;&gt;"BH",0,
SUMIFS(AE$9:AE$24,$M$9:$M$24,PART_NUMBER_GENERATOR_TABLE[[#This Row],[Tech]:[Tech]])))</f>
        <v>0</v>
      </c>
      <c r="AF161" cm="1">
        <f t="array" ref="AF161">IF(PART_NUMBER_GENERATOR_TABLE[[#This Row],[Work Role]:[Work Role]]&lt;&gt;AF$1,0,
IF(PART_NUMBER_GENERATOR_TABLE[[#This Row],[Work Type]:[Work Type]]&lt;&gt;"BH",0,
SUMIFS(AF$9:AF$24,$M$9:$M$24,PART_NUMBER_GENERATOR_TABLE[[#This Row],[Tech]:[Tech]])))</f>
        <v>0</v>
      </c>
      <c r="AG161" cm="1">
        <f t="array" ref="AG161">IF(PART_NUMBER_GENERATOR_TABLE[[#This Row],[Work Role]:[Work Role]]&lt;&gt;AG$1,0,
IF(PART_NUMBER_GENERATOR_TABLE[[#This Row],[Work Type]:[Work Type]]&lt;&gt;"AH",0,
SUMIFS(AG$9:AG$24,$M$9:$M$24,PART_NUMBER_GENERATOR_TABLE[[#This Row],[Tech]:[Tech]])))</f>
        <v>0</v>
      </c>
      <c r="AH161" cm="1">
        <f t="array" ref="AH161">IF(PART_NUMBER_GENERATOR_TABLE[[#This Row],[Work Role]:[Work Role]]&lt;&gt;AH$1,0,
IF(PART_NUMBER_GENERATOR_TABLE[[#This Row],[Work Type]:[Work Type]]&lt;&gt;"BH",0,
SUMIFS(AH$9:AH$24,$M$9:$M$24,PART_NUMBER_GENERATOR_TABLE[[#This Row],[Tech]:[Tech]])))</f>
        <v>0</v>
      </c>
      <c r="AI161" cm="1">
        <f t="array" ref="AI161">IF(PART_NUMBER_GENERATOR_TABLE[[#This Row],[Work Role]:[Work Role]]&lt;&gt;AI$1,0,
IF(PART_NUMBER_GENERATOR_TABLE[[#This Row],[Work Type]:[Work Type]]&lt;&gt;"BH",0,
SUMIFS(AI$9:AI$24,$M$9:$M$24,PART_NUMBER_GENERATOR_TABLE[[#This Row],[Tech]:[Tech]])))</f>
        <v>0</v>
      </c>
      <c r="AJ161" cm="1">
        <f t="array" ref="AJ161">IF(PART_NUMBER_GENERATOR_TABLE[[#This Row],[Work Role]:[Work Role]]&lt;&gt;AJ$1,0,
IF(PART_NUMBER_GENERATOR_TABLE[[#This Row],[Work Type]:[Work Type]]&lt;&gt;"BH",0,
SUMIFS(AJ$9:AJ$24,$M$9:$M$24,PART_NUMBER_GENERATOR_TABLE[[#This Row],[Tech]:[Tech]])))</f>
        <v>0</v>
      </c>
      <c r="AK161" cm="1">
        <f t="array" ref="AK161">IF(PART_NUMBER_GENERATOR_TABLE[[#This Row],[Work Role]:[Work Role]]&lt;&gt;AK$1,0,
IF(PART_NUMBER_GENERATOR_TABLE[[#This Row],[Work Type]:[Work Type]]&lt;&gt;"AH",0,
SUMIFS(AK$9:AK$24,$M$9:$M$24,PART_NUMBER_GENERATOR_TABLE[[#This Row],[Tech]:[Tech]])))</f>
        <v>0</v>
      </c>
      <c r="AL161" cm="1">
        <f t="array" ref="AL161">IF(PART_NUMBER_GENERATOR_TABLE[[#This Row],[Work Role]:[Work Role]]&lt;&gt;AL$1,0,
IF(PART_NUMBER_GENERATOR_TABLE[[#This Row],[Work Type]:[Work Type]]&lt;&gt;"BH",0,
SUMIFS(AL$9:AL$24,$M$9:$M$24,PART_NUMBER_GENERATOR_TABLE[[#This Row],[Tech]:[Tech]])))</f>
        <v>0</v>
      </c>
      <c r="AM161">
        <f>0</f>
        <v>0</v>
      </c>
      <c r="AN161" cm="1">
        <f t="array" ref="AN161">IF(PART_NUMBER_GENERATOR_TABLE[[#This Row],[Work Role]:[Work Role]]&lt;&gt;AN$1,0,
IF(PART_NUMBER_GENERATOR_TABLE[[#This Row],[Work Type]:[Work Type]]&lt;&gt;"BH",0,
SUMIFS(AN$24,$AM$24,PART_NUMBER_GENERATOR_TABLE[[#This Row],[Tech]:[Tech]])))</f>
        <v>0</v>
      </c>
      <c r="AO161" cm="1">
        <f t="array" ref="AO161">IF(PART_NUMBER_GENERATOR_TABLE[[#This Row],[Work Role]:[Work Role]]&lt;&gt;AO$1,0,
IF(PART_NUMBER_GENERATOR_TABLE[[#This Row],[Work Type]:[Work Type]]&lt;&gt;"BH",0,
SUMIFS(AO$24,$AM$24,PART_NUMBER_GENERATOR_TABLE[[#This Row],[Tech]:[Tech]])))</f>
        <v>0</v>
      </c>
      <c r="AP161" cm="1">
        <f t="array" ref="AP161">IF(PART_NUMBER_GENERATOR_TABLE[[#This Row],[Work Role]:[Work Role]]&lt;&gt;AP$1,0,
IF(PART_NUMBER_GENERATOR_TABLE[[#This Row],[Work Type]:[Work Type]]&lt;&gt;"BH",0,
SUMIFS(AP$24,$AM$24,PART_NUMBER_GENERATOR_TABLE[[#This Row],[Tech]:[Tech]])))</f>
        <v>0</v>
      </c>
      <c r="AQ161" cm="1">
        <f t="array" ref="AQ161">IF(PART_NUMBER_GENERATOR_TABLE[[#This Row],[Work Role]:[Work Role]]&lt;&gt;AQ$1,0,
IF(PART_NUMBER_GENERATOR_TABLE[[#This Row],[Work Type]:[Work Type]]&lt;&gt;"BH",0,
SUMIFS(AQ$24,$AM$24,PART_NUMBER_GENERATOR_TABLE[[#This Row],[Tech]:[Tech]])))</f>
        <v>0</v>
      </c>
      <c r="AR161" cm="1">
        <f t="array" ref="AR161">IF(PART_NUMBER_GENERATOR_TABLE[[#This Row],[Work Role]:[Work Role]]&lt;&gt;AR$1,0,
IF(PART_NUMBER_GENERATOR_TABLE[[#This Row],[Work Type]:[Work Type]]&lt;&gt;"BH",0,
SUMIFS(AR$24,$AM$24,PART_NUMBER_GENERATOR_TABLE[[#This Row],[Tech]:[Tech]])))</f>
        <v>0</v>
      </c>
      <c r="AS161" cm="1">
        <f t="array" ref="AS161">IF(PART_NUMBER_GENERATOR_TABLE[[#This Row],[Work Role]:[Work Role]]&lt;&gt;AS$1,0,
IF(PART_NUMBER_GENERATOR_TABLE[[#This Row],[Work Type]:[Work Type]]&lt;&gt;"BH",0,
SUMIFS(AS$24,$AM$24,PART_NUMBER_GENERATOR_TABLE[[#This Row],[Tech]:[Tech]])))</f>
        <v>0</v>
      </c>
      <c r="AT161" cm="1">
        <f t="array" ref="AT161">IF(PART_NUMBER_GENERATOR_TABLE[[#This Row],[Work Role]:[Work Role]]&lt;&gt;AS$1,0,
IF(PART_NUMBER_GENERATOR_TABLE[[#This Row],[Work Type]:[Work Type]]&lt;&gt;"BH",0,
SUMIFS(AT$24,$AM$24,PART_NUMBER_GENERATOR_TABLE[[#This Row],[Tech]:[Tech]])))</f>
        <v>0</v>
      </c>
      <c r="AU161">
        <f>SUM(PART_NUMBER_GENERATOR_TABLE[[#This Row],[Resource 1 BH]:[Resource 5 AH]],PART_NUMBER_GENERATOR_TABLE[[#This Row],[R1 Mandatory Tasks]:[R5 Mandatory Tasks]],PART_NUMBER_GENERATOR_TABLE[[#This Row],[R1 Remainder]:[R5 Remainder]])</f>
        <v>0</v>
      </c>
      <c r="AV161">
        <f>PART_NUMBER_GENERATOR_TABLE[[#This Row],[Professional Engineering Hours]]*PART_NUMBER_GENERATOR_TABLE[[#This Row],[Sell Rate]]</f>
        <v>0</v>
      </c>
      <c r="AW161">
        <f>PART_NUMBER_GENERATOR_TABLE[[#This Row],[Professional Engineering Hours]]*PART_NUMBER_GENERATOR_TABLE[[#This Row],[Cost Rate]]</f>
        <v>0</v>
      </c>
      <c r="AX161">
        <f>SUM(PART_NUMBER_GENERATOR_TABLE[[#This Row],[PM Trips]:[R5 Trips]])</f>
        <v>0</v>
      </c>
      <c r="AY161">
        <f>PART_NUMBER_GENERATOR_TABLE[[#This Row],[Travel &amp; Accommodation Hours]]*PART_NUMBER_GENERATOR_TABLE[[#This Row],[Sell Rate]]</f>
        <v>0</v>
      </c>
      <c r="AZ161">
        <f>PART_NUMBER_GENERATOR_TABLE[[#This Row],[Travel &amp; Accommodation Hours]]*PART_NUMBER_GENERATOR_TABLE[[#This Row],[Cost Rate]]</f>
        <v>0</v>
      </c>
      <c r="BA161">
        <f>PART_NUMBER_GENERATOR_TABLE[[#This Row],[PM Hours]]+PART_NUMBER_GENERATOR_TABLE[[#This Row],[PM Remainder]]</f>
        <v>0</v>
      </c>
      <c r="BB161">
        <f>PART_NUMBER_GENERATOR_TABLE[[#This Row],[Project Management Hours]]*PART_NUMBER_GENERATOR_TABLE[[#This Row],[Sell Rate]]</f>
        <v>0</v>
      </c>
      <c r="BC161">
        <f>PART_NUMBER_GENERATOR_TABLE[[#This Row],[Project Management Hours]]*PART_NUMBER_GENERATOR_TABLE[[#This Row],[Cost Rate]]</f>
        <v>0</v>
      </c>
      <c r="BD161">
        <f>SUM(PART_NUMBER_GENERATOR_TABLE[[#This Row],[SSE RISK BH]:[PM RISK]],PART_NUMBER_GENERATOR_TABLE[[#This Row],[SSE Remainder RISK BH]:[PM Remainder RISK]])</f>
        <v>0</v>
      </c>
      <c r="BE161">
        <f>PART_NUMBER_GENERATOR_TABLE[[#This Row],[Project Risk Service Hours]]*PART_NUMBER_GENERATOR_TABLE[[#This Row],[Sell Rate]]</f>
        <v>0</v>
      </c>
      <c r="BF161">
        <f>PART_NUMBER_GENERATOR_TABLE[[#This Row],[Project Risk Service Hours]]*PART_NUMBER_GENERATOR_TABLE[[#This Row],[Cost Rate]]</f>
        <v>0</v>
      </c>
      <c r="BG161">
        <f>PART_NUMBER_GENERATOR_TABLE[[#This Row],[SSE RISK TRAVEL]]</f>
        <v>0</v>
      </c>
      <c r="BH161">
        <f>PART_NUMBER_GENERATOR_TABLE[[#This Row],[Sell Rate]]*PART_NUMBER_GENERATOR_TABLE[[#This Row],[Project Risk Travel Hours]]</f>
        <v>0</v>
      </c>
      <c r="BI161">
        <f>PART_NUMBER_GENERATOR_TABLE[[#This Row],[Project Risk Travel Hours]]*PART_NUMBER_GENERATOR_TABLE[[#This Row],[Cost Rate]]</f>
        <v>0</v>
      </c>
      <c r="BJ161">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61">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61">
        <f>IFERROR(-VLOOKUP(INDEX(ENGINEER_ROLES,MATCH(PART_NUMBER_GENERATOR_TABLE[[#This Row],[Work Role]],settings.Table_Engineer.Roles[ID],0),1),Settings_Hidden!$H$359:$K$366,4,FALSE),0)</f>
        <v>0</v>
      </c>
      <c r="BM161" s="680">
        <f>-Summary!$C$66</f>
        <v>0</v>
      </c>
      <c r="BN161" s="465">
        <f>PART_NUMBER_GENERATOR_TABLE[[#This Row],[Total Base Price]]*MIN(PART_NUMBER_GENERATOR_TABLE[[#This Row],[Rate Service Discount]:[Flat Service Discount]])</f>
        <v>0</v>
      </c>
      <c r="BO161" s="451" t="str">
        <f>IF(PART_NUMBER_GENERATOR_TABLE[[#This Row],[Quantity]]&lt;&gt;0,MAX($BO$30:BO160)+1,"")</f>
        <v/>
      </c>
      <c r="BP161" t="str">
        <f>PART_NUMBER_GENERATOR_TABLE[[#This Row],[Part Number]]</f>
        <v>A-PS-C-SECURE-SC-AH</v>
      </c>
      <c r="BQ161">
        <f>PART_NUMBER_GENERATOR_TABLE[[#This Row],[Total Hours]]</f>
        <v>0</v>
      </c>
      <c r="BR161">
        <f>PART_NUMBER_GENERATOR_TABLE[[#This Row],[Cost Rate]]</f>
        <v>251.41552370953494</v>
      </c>
      <c r="BS161" s="465">
        <f>PART_NUMBER_GENERATOR_TABLE[[#This Row],[Sell Rate]]+(PART_NUMBER_GENERATOR_TABLE[[#This Row],[Sell Rate]]*MIN(PART_NUMBER_GENERATOR_TABLE[[#This Row],[Rate Service Discount]:[Flat Service Discount]]))</f>
        <v>472.5</v>
      </c>
    </row>
    <row r="162" spans="1:71">
      <c r="A162">
        <v>132</v>
      </c>
      <c r="C162" t="s">
        <v>1104</v>
      </c>
      <c r="D162" t="str" cm="1">
        <f t="array" ref="D162">INDEX(Table.Settings_Skill.List[Skill Name],MATCH(INDEX(_xlfn.TEXTSPLIT(C162,"-",,TRUE),4),Table.Settings_Skill.List[Skill Code],0),1)</f>
        <v>Secure Networking</v>
      </c>
      <c r="E162" t="str" cm="1">
        <f t="array" ref="E162">INDEX(_xlfn.TEXTSPLIT(C162,"-",,TRUE),5)</f>
        <v>AC</v>
      </c>
      <c r="F162" t="str">
        <f>IFERROR(INDEX(settings.Table_Engineer.Roles[Department Code],MATCH(PART_NUMBER_GENERATOR_TABLE[[#This Row],[Work Role]],settings.Table_Engineer.Roles[ID],0),1),"PMO")</f>
        <v>CON</v>
      </c>
      <c r="G162" t="str" cm="1">
        <f t="array" ref="G162">INDEX(_xlfn.TEXTSPLIT(C162,"-",,TRUE),6)</f>
        <v>AH</v>
      </c>
      <c r="H162">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62">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62" cm="1">
        <f t="array" ref="J162">IF(J$1&lt;&gt;PART_NUMBER_GENERATOR_TABLE[[#This Row],[Work Role]:[Work Role]],0,
IF(RIGHT(J$30,2)&lt;&gt;PART_NUMBER_GENERATOR_TABLE[[#This Row],[Work Type]:[Work Type]],0,
SUMIFS(Input_Tasks[R1 Business Hours],Input_Tasks[[Skill Required]:[Skill Required]],PART_NUMBER_GENERATOR_TABLE[[#This Row],[Tech]:[Tech]])))</f>
        <v>0</v>
      </c>
      <c r="K162" cm="1">
        <f t="array" ref="K162">IF(K$1&lt;&gt;PART_NUMBER_GENERATOR_TABLE[[#This Row],[Work Role]:[Work Role]],0,
IF(RIGHT(K$30,2)&lt;&gt;PART_NUMBER_GENERATOR_TABLE[[#This Row],[Work Type]:[Work Type]],0,
SUMIFS(Input_Tasks[R1 After Hours],Input_Tasks[[Skill Required]:[Skill Required]],PART_NUMBER_GENERATOR_TABLE[[#This Row],[Tech]:[Tech]])))</f>
        <v>0</v>
      </c>
      <c r="L162" cm="1">
        <f t="array" ref="L162">IF(L$1&lt;&gt;PART_NUMBER_GENERATOR_TABLE[[#This Row],[Work Role]:[Work Role]],0,
IF(RIGHT(L$30,2)&lt;&gt;PART_NUMBER_GENERATOR_TABLE[[#This Row],[Work Type]:[Work Type]],0,
SUMIFS(Input_Tasks[R2 Business Hours],Input_Tasks[[Skill Required]:[Skill Required]],PART_NUMBER_GENERATOR_TABLE[[#This Row],[Tech]:[Tech]])))</f>
        <v>0</v>
      </c>
      <c r="M162" cm="1">
        <f t="array" ref="M162">IF(M$1&lt;&gt;PART_NUMBER_GENERATOR_TABLE[[#This Row],[Work Role]:[Work Role]],0,
IF(RIGHT(M$30,2)&lt;&gt;PART_NUMBER_GENERATOR_TABLE[[#This Row],[Work Type]:[Work Type]],0,
SUMIFS(Input_Tasks[R2 After Hours],Input_Tasks[[Skill Required]:[Skill Required]],PART_NUMBER_GENERATOR_TABLE[[#This Row],[Tech]:[Tech]])))</f>
        <v>0</v>
      </c>
      <c r="N162" cm="1">
        <f t="array" ref="N162">IF(N$1&lt;&gt;PART_NUMBER_GENERATOR_TABLE[[#This Row],[Work Role]:[Work Role]],0,
IF(RIGHT(N$30,2)&lt;&gt;PART_NUMBER_GENERATOR_TABLE[[#This Row],[Work Type]:[Work Type]],0,
SUMIFS(Input_Tasks[R3 Business Hours],Input_Tasks[[Skill Required]:[Skill Required]],PART_NUMBER_GENERATOR_TABLE[[#This Row],[Tech]:[Tech]])))</f>
        <v>0</v>
      </c>
      <c r="O162" cm="1">
        <f t="array" ref="O162">IF(O$1&lt;&gt;PART_NUMBER_GENERATOR_TABLE[[#This Row],[Work Role]:[Work Role]],0,
IF(RIGHT(O$30,2)&lt;&gt;PART_NUMBER_GENERATOR_TABLE[[#This Row],[Work Type]:[Work Type]],0,
SUMIFS(Input_Tasks[R3 After Hours],Input_Tasks[[Skill Required]:[Skill Required]],PART_NUMBER_GENERATOR_TABLE[[#This Row],[Tech]:[Tech]])))</f>
        <v>0</v>
      </c>
      <c r="P162" cm="1">
        <f t="array" ref="P162">IF(P$1&lt;&gt;PART_NUMBER_GENERATOR_TABLE[[#This Row],[Work Role]:[Work Role]],0,
IF(RIGHT(P$30,2)&lt;&gt;PART_NUMBER_GENERATOR_TABLE[[#This Row],[Work Type]:[Work Type]],0,
SUMIFS(Input_Tasks[R4 Business Hours],Input_Tasks[[Skill Required]:[Skill Required]],PART_NUMBER_GENERATOR_TABLE[[#This Row],[Tech]:[Tech]])))</f>
        <v>0</v>
      </c>
      <c r="Q162" cm="1">
        <f t="array" ref="Q162">IF(Q$1&lt;&gt;PART_NUMBER_GENERATOR_TABLE[[#This Row],[Work Role]:[Work Role]],0,
IF(RIGHT(Q$30,2)&lt;&gt;PART_NUMBER_GENERATOR_TABLE[[#This Row],[Work Type]:[Work Type]],0,
SUMIFS(Input_Tasks[R4 After Hours],Input_Tasks[[Skill Required]:[Skill Required]],PART_NUMBER_GENERATOR_TABLE[[#This Row],[Tech]:[Tech]])))</f>
        <v>0</v>
      </c>
      <c r="R162" cm="1">
        <f t="array" ref="R162">IF(R$1&lt;&gt;PART_NUMBER_GENERATOR_TABLE[[#This Row],[Work Role]:[Work Role]],0,
IF(RIGHT(R$30,2)&lt;&gt;PART_NUMBER_GENERATOR_TABLE[[#This Row],[Work Type]:[Work Type]],0,
SUMIFS(Input_Tasks[R5 Business Hours],Input_Tasks[[Skill Required]:[Skill Required]],PART_NUMBER_GENERATOR_TABLE[[#This Row],[Tech]:[Tech]])))</f>
        <v>0</v>
      </c>
      <c r="S162" cm="1">
        <f t="array" ref="S162">IF(S$1&lt;&gt;PART_NUMBER_GENERATOR_TABLE[[#This Row],[Work Role]:[Work Role]],0,
IF(RIGHT(S$30,2)&lt;&gt;PART_NUMBER_GENERATOR_TABLE[[#This Row],[Work Type]:[Work Type]],0,
SUMIFS(Input_Tasks[R5 After Hours],Input_Tasks[[Skill Required]:[Skill Required]],PART_NUMBER_GENERATOR_TABLE[[#This Row],[Tech]:[Tech]])))</f>
        <v>0</v>
      </c>
      <c r="T162" cm="1">
        <f t="array" ref="T162">IF(PART_NUMBER_GENERATOR_TABLE[[#This Row],[Work Role]:[Work Role]]&lt;&gt;T$1,0,
IF(PART_NUMBER_GENERATOR_TABLE[[#This Row],[Work Type]:[Work Type]]&lt;&gt;"BH",0,
SUMIFS(T$9:T$24,$M$9:$M$24,PART_NUMBER_GENERATOR_TABLE[[#This Row],[Tech]:[Tech]])))</f>
        <v>0</v>
      </c>
      <c r="U162" cm="1">
        <f t="array" ref="U162">IF(PART_NUMBER_GENERATOR_TABLE[[#This Row],[Work Role]:[Work Role]]&lt;&gt;U$1,0,
IF(PART_NUMBER_GENERATOR_TABLE[[#This Row],[Work Type]:[Work Type]]&lt;&gt;"BH",0,
SUMIFS(U$9:U$24,$M$9:$M$24,PART_NUMBER_GENERATOR_TABLE[[#This Row],[Tech]:[Tech]])))</f>
        <v>0</v>
      </c>
      <c r="V162" cm="1">
        <f t="array" ref="V162">IF(PART_NUMBER_GENERATOR_TABLE[[#This Row],[Work Role]:[Work Role]]&lt;&gt;V$1,0,
IF(PART_NUMBER_GENERATOR_TABLE[[#This Row],[Work Type]:[Work Type]]&lt;&gt;"BH",0,
SUMIFS(V$9:V$24,$M$9:$M$24,PART_NUMBER_GENERATOR_TABLE[[#This Row],[Tech]:[Tech]])))</f>
        <v>0</v>
      </c>
      <c r="W162" cm="1">
        <f t="array" ref="W162">IF(PART_NUMBER_GENERATOR_TABLE[[#This Row],[Work Role]:[Work Role]]&lt;&gt;W$1,0,
IF(PART_NUMBER_GENERATOR_TABLE[[#This Row],[Work Type]:[Work Type]]&lt;&gt;"BH",0,
SUMIFS(W$9:W$24,$M$9:$M$24,PART_NUMBER_GENERATOR_TABLE[[#This Row],[Tech]:[Tech]])))</f>
        <v>0</v>
      </c>
      <c r="X162" cm="1">
        <f t="array" ref="X162">IF(PART_NUMBER_GENERATOR_TABLE[[#This Row],[Work Role]:[Work Role]]&lt;&gt;X$1,0,
IF(PART_NUMBER_GENERATOR_TABLE[[#This Row],[Work Type]:[Work Type]]&lt;&gt;"BH",0,
SUMIFS(X$9:X$24,$M$9:$M$24,PART_NUMBER_GENERATOR_TABLE[[#This Row],[Tech]:[Tech]])))</f>
        <v>0</v>
      </c>
      <c r="Y162" cm="1">
        <f t="array" ref="Y162">IF(PART_NUMBER_GENERATOR_TABLE[[#This Row],[Work Role]:[Work Role]]&lt;&gt;Y$1,0,
IF(PART_NUMBER_GENERATOR_TABLE[[#This Row],[Work Type]:[Work Type]]&lt;&gt;"BH",0,
SUMIFS(Y$9:Y$24,$M$9:$M$24,PART_NUMBER_GENERATOR_TABLE[[#This Row],[Tech]:[Tech]])))</f>
        <v>0</v>
      </c>
      <c r="Z162" cm="1">
        <f t="array" ref="Z162">IF(PART_NUMBER_GENERATOR_TABLE[[#This Row],[Work Role]:[Work Role]]&lt;&gt;Z$1,0,
IF(PART_NUMBER_GENERATOR_TABLE[[#This Row],[Work Type]:[Work Type]]&lt;&gt;"BH",0,
SUMIFS(Z$9:Z$24,$M$9:$M$24,PART_NUMBER_GENERATOR_TABLE[[#This Row],[Tech]:[Tech]])))</f>
        <v>0</v>
      </c>
      <c r="AA162" cm="1">
        <f t="array" ref="AA162">IF(PART_NUMBER_GENERATOR_TABLE[[#This Row],[Work Role]:[Work Role]]&lt;&gt;AA$1,0,
IF(PART_NUMBER_GENERATOR_TABLE[[#This Row],[Work Type]:[Work Type]]&lt;&gt;"BH",0,
SUMIFS(AA$9:AA$24,$M$9:$M$24,PART_NUMBER_GENERATOR_TABLE[[#This Row],[Tech]:[Tech]])))</f>
        <v>0</v>
      </c>
      <c r="AB162" cm="1">
        <f t="array" ref="AB162">IF(PART_NUMBER_GENERATOR_TABLE[[#This Row],[Work Role]:[Work Role]]&lt;&gt;AB$1,0,
IF(PART_NUMBER_GENERATOR_TABLE[[#This Row],[Work Type]:[Work Type]]&lt;&gt;"BH",0,
SUMIFS(AB$9:AB$24,$M$9:$M$24,PART_NUMBER_GENERATOR_TABLE[[#This Row],[Tech]:[Tech]])))</f>
        <v>0</v>
      </c>
      <c r="AC162" cm="1">
        <f t="array" ref="AC162">IF(PART_NUMBER_GENERATOR_TABLE[[#This Row],[Work Role]:[Work Role]]&lt;&gt;AC$1,0,
IF(PART_NUMBER_GENERATOR_TABLE[[#This Row],[Work Type]:[Work Type]]&lt;&gt;"BH",0,
SUMIFS(AC$9:AC$24,$M$9:$M$24,PART_NUMBER_GENERATOR_TABLE[[#This Row],[Tech]:[Tech]])))</f>
        <v>0</v>
      </c>
      <c r="AD162" cm="1">
        <f t="array" ref="AD162">IF(PART_NUMBER_GENERATOR_TABLE[[#This Row],[Work Role]:[Work Role]]&lt;&gt;AD$1,0,
IF(PART_NUMBER_GENERATOR_TABLE[[#This Row],[Work Type]:[Work Type]]&lt;&gt;"BH",0,
SUMIFS(AD$9:AD$24,$M$9:$M$24,PART_NUMBER_GENERATOR_TABLE[[#This Row],[Tech]:[Tech]])))</f>
        <v>0</v>
      </c>
      <c r="AE162" cm="1">
        <f t="array" ref="AE162">IF(PART_NUMBER_GENERATOR_TABLE[[#This Row],[Work Role]:[Work Role]]&lt;&gt;AE$1,0,
IF(PART_NUMBER_GENERATOR_TABLE[[#This Row],[Work Type]:[Work Type]]&lt;&gt;"BH",0,
SUMIFS(AE$9:AE$24,$M$9:$M$24,PART_NUMBER_GENERATOR_TABLE[[#This Row],[Tech]:[Tech]])))</f>
        <v>0</v>
      </c>
      <c r="AF162" cm="1">
        <f t="array" ref="AF162">IF(PART_NUMBER_GENERATOR_TABLE[[#This Row],[Work Role]:[Work Role]]&lt;&gt;AF$1,0,
IF(PART_NUMBER_GENERATOR_TABLE[[#This Row],[Work Type]:[Work Type]]&lt;&gt;"BH",0,
SUMIFS(AF$9:AF$24,$M$9:$M$24,PART_NUMBER_GENERATOR_TABLE[[#This Row],[Tech]:[Tech]])))</f>
        <v>0</v>
      </c>
      <c r="AG162" cm="1">
        <f t="array" ref="AG162">IF(PART_NUMBER_GENERATOR_TABLE[[#This Row],[Work Role]:[Work Role]]&lt;&gt;AG$1,0,
IF(PART_NUMBER_GENERATOR_TABLE[[#This Row],[Work Type]:[Work Type]]&lt;&gt;"AH",0,
SUMIFS(AG$9:AG$24,$M$9:$M$24,PART_NUMBER_GENERATOR_TABLE[[#This Row],[Tech]:[Tech]])))</f>
        <v>0</v>
      </c>
      <c r="AH162" cm="1">
        <f t="array" ref="AH162">IF(PART_NUMBER_GENERATOR_TABLE[[#This Row],[Work Role]:[Work Role]]&lt;&gt;AH$1,0,
IF(PART_NUMBER_GENERATOR_TABLE[[#This Row],[Work Type]:[Work Type]]&lt;&gt;"BH",0,
SUMIFS(AH$9:AH$24,$M$9:$M$24,PART_NUMBER_GENERATOR_TABLE[[#This Row],[Tech]:[Tech]])))</f>
        <v>0</v>
      </c>
      <c r="AI162" cm="1">
        <f t="array" ref="AI162">IF(PART_NUMBER_GENERATOR_TABLE[[#This Row],[Work Role]:[Work Role]]&lt;&gt;AI$1,0,
IF(PART_NUMBER_GENERATOR_TABLE[[#This Row],[Work Type]:[Work Type]]&lt;&gt;"BH",0,
SUMIFS(AI$9:AI$24,$M$9:$M$24,PART_NUMBER_GENERATOR_TABLE[[#This Row],[Tech]:[Tech]])))</f>
        <v>0</v>
      </c>
      <c r="AJ162" cm="1">
        <f t="array" ref="AJ162">IF(PART_NUMBER_GENERATOR_TABLE[[#This Row],[Work Role]:[Work Role]]&lt;&gt;AJ$1,0,
IF(PART_NUMBER_GENERATOR_TABLE[[#This Row],[Work Type]:[Work Type]]&lt;&gt;"BH",0,
SUMIFS(AJ$9:AJ$24,$M$9:$M$24,PART_NUMBER_GENERATOR_TABLE[[#This Row],[Tech]:[Tech]])))</f>
        <v>0</v>
      </c>
      <c r="AK162" cm="1">
        <f t="array" ref="AK162">IF(PART_NUMBER_GENERATOR_TABLE[[#This Row],[Work Role]:[Work Role]]&lt;&gt;AK$1,0,
IF(PART_NUMBER_GENERATOR_TABLE[[#This Row],[Work Type]:[Work Type]]&lt;&gt;"AH",0,
SUMIFS(AK$9:AK$24,$M$9:$M$24,PART_NUMBER_GENERATOR_TABLE[[#This Row],[Tech]:[Tech]])))</f>
        <v>0</v>
      </c>
      <c r="AL162" cm="1">
        <f t="array" ref="AL162">IF(PART_NUMBER_GENERATOR_TABLE[[#This Row],[Work Role]:[Work Role]]&lt;&gt;AL$1,0,
IF(PART_NUMBER_GENERATOR_TABLE[[#This Row],[Work Type]:[Work Type]]&lt;&gt;"BH",0,
SUMIFS(AL$9:AL$24,$M$9:$M$24,PART_NUMBER_GENERATOR_TABLE[[#This Row],[Tech]:[Tech]])))</f>
        <v>0</v>
      </c>
      <c r="AM162">
        <f>0</f>
        <v>0</v>
      </c>
      <c r="AN162" cm="1">
        <f t="array" ref="AN162">IF(PART_NUMBER_GENERATOR_TABLE[[#This Row],[Work Role]:[Work Role]]&lt;&gt;AN$1,0,
IF(PART_NUMBER_GENERATOR_TABLE[[#This Row],[Work Type]:[Work Type]]&lt;&gt;"BH",0,
SUMIFS(AN$24,$AM$24,PART_NUMBER_GENERATOR_TABLE[[#This Row],[Tech]:[Tech]])))</f>
        <v>0</v>
      </c>
      <c r="AO162" cm="1">
        <f t="array" ref="AO162">IF(PART_NUMBER_GENERATOR_TABLE[[#This Row],[Work Role]:[Work Role]]&lt;&gt;AO$1,0,
IF(PART_NUMBER_GENERATOR_TABLE[[#This Row],[Work Type]:[Work Type]]&lt;&gt;"BH",0,
SUMIFS(AO$24,$AM$24,PART_NUMBER_GENERATOR_TABLE[[#This Row],[Tech]:[Tech]])))</f>
        <v>0</v>
      </c>
      <c r="AP162" cm="1">
        <f t="array" ref="AP162">IF(PART_NUMBER_GENERATOR_TABLE[[#This Row],[Work Role]:[Work Role]]&lt;&gt;AP$1,0,
IF(PART_NUMBER_GENERATOR_TABLE[[#This Row],[Work Type]:[Work Type]]&lt;&gt;"BH",0,
SUMIFS(AP$24,$AM$24,PART_NUMBER_GENERATOR_TABLE[[#This Row],[Tech]:[Tech]])))</f>
        <v>0</v>
      </c>
      <c r="AQ162" cm="1">
        <f t="array" ref="AQ162">IF(PART_NUMBER_GENERATOR_TABLE[[#This Row],[Work Role]:[Work Role]]&lt;&gt;AQ$1,0,
IF(PART_NUMBER_GENERATOR_TABLE[[#This Row],[Work Type]:[Work Type]]&lt;&gt;"BH",0,
SUMIFS(AQ$24,$AM$24,PART_NUMBER_GENERATOR_TABLE[[#This Row],[Tech]:[Tech]])))</f>
        <v>0</v>
      </c>
      <c r="AR162" cm="1">
        <f t="array" ref="AR162">IF(PART_NUMBER_GENERATOR_TABLE[[#This Row],[Work Role]:[Work Role]]&lt;&gt;AR$1,0,
IF(PART_NUMBER_GENERATOR_TABLE[[#This Row],[Work Type]:[Work Type]]&lt;&gt;"BH",0,
SUMIFS(AR$24,$AM$24,PART_NUMBER_GENERATOR_TABLE[[#This Row],[Tech]:[Tech]])))</f>
        <v>0</v>
      </c>
      <c r="AS162" cm="1">
        <f t="array" ref="AS162">IF(PART_NUMBER_GENERATOR_TABLE[[#This Row],[Work Role]:[Work Role]]&lt;&gt;AS$1,0,
IF(PART_NUMBER_GENERATOR_TABLE[[#This Row],[Work Type]:[Work Type]]&lt;&gt;"BH",0,
SUMIFS(AS$24,$AM$24,PART_NUMBER_GENERATOR_TABLE[[#This Row],[Tech]:[Tech]])))</f>
        <v>0</v>
      </c>
      <c r="AT162" cm="1">
        <f t="array" ref="AT162">IF(PART_NUMBER_GENERATOR_TABLE[[#This Row],[Work Role]:[Work Role]]&lt;&gt;AS$1,0,
IF(PART_NUMBER_GENERATOR_TABLE[[#This Row],[Work Type]:[Work Type]]&lt;&gt;"BH",0,
SUMIFS(AT$24,$AM$24,PART_NUMBER_GENERATOR_TABLE[[#This Row],[Tech]:[Tech]])))</f>
        <v>0</v>
      </c>
      <c r="AU162">
        <f>SUM(PART_NUMBER_GENERATOR_TABLE[[#This Row],[Resource 1 BH]:[Resource 5 AH]],PART_NUMBER_GENERATOR_TABLE[[#This Row],[R1 Mandatory Tasks]:[R5 Mandatory Tasks]],PART_NUMBER_GENERATOR_TABLE[[#This Row],[R1 Remainder]:[R5 Remainder]])</f>
        <v>0</v>
      </c>
      <c r="AV162">
        <f>PART_NUMBER_GENERATOR_TABLE[[#This Row],[Professional Engineering Hours]]*PART_NUMBER_GENERATOR_TABLE[[#This Row],[Sell Rate]]</f>
        <v>0</v>
      </c>
      <c r="AW162">
        <f>PART_NUMBER_GENERATOR_TABLE[[#This Row],[Professional Engineering Hours]]*PART_NUMBER_GENERATOR_TABLE[[#This Row],[Cost Rate]]</f>
        <v>0</v>
      </c>
      <c r="AX162">
        <f>SUM(PART_NUMBER_GENERATOR_TABLE[[#This Row],[PM Trips]:[R5 Trips]])</f>
        <v>0</v>
      </c>
      <c r="AY162">
        <f>PART_NUMBER_GENERATOR_TABLE[[#This Row],[Travel &amp; Accommodation Hours]]*PART_NUMBER_GENERATOR_TABLE[[#This Row],[Sell Rate]]</f>
        <v>0</v>
      </c>
      <c r="AZ162">
        <f>PART_NUMBER_GENERATOR_TABLE[[#This Row],[Travel &amp; Accommodation Hours]]*PART_NUMBER_GENERATOR_TABLE[[#This Row],[Cost Rate]]</f>
        <v>0</v>
      </c>
      <c r="BA162">
        <f>PART_NUMBER_GENERATOR_TABLE[[#This Row],[PM Hours]]+PART_NUMBER_GENERATOR_TABLE[[#This Row],[PM Remainder]]</f>
        <v>0</v>
      </c>
      <c r="BB162">
        <f>PART_NUMBER_GENERATOR_TABLE[[#This Row],[Project Management Hours]]*PART_NUMBER_GENERATOR_TABLE[[#This Row],[Sell Rate]]</f>
        <v>0</v>
      </c>
      <c r="BC162">
        <f>PART_NUMBER_GENERATOR_TABLE[[#This Row],[Project Management Hours]]*PART_NUMBER_GENERATOR_TABLE[[#This Row],[Cost Rate]]</f>
        <v>0</v>
      </c>
      <c r="BD162">
        <f>SUM(PART_NUMBER_GENERATOR_TABLE[[#This Row],[SSE RISK BH]:[PM RISK]],PART_NUMBER_GENERATOR_TABLE[[#This Row],[SSE Remainder RISK BH]:[PM Remainder RISK]])</f>
        <v>0</v>
      </c>
      <c r="BE162">
        <f>PART_NUMBER_GENERATOR_TABLE[[#This Row],[Project Risk Service Hours]]*PART_NUMBER_GENERATOR_TABLE[[#This Row],[Sell Rate]]</f>
        <v>0</v>
      </c>
      <c r="BF162">
        <f>PART_NUMBER_GENERATOR_TABLE[[#This Row],[Project Risk Service Hours]]*PART_NUMBER_GENERATOR_TABLE[[#This Row],[Cost Rate]]</f>
        <v>0</v>
      </c>
      <c r="BG162">
        <f>PART_NUMBER_GENERATOR_TABLE[[#This Row],[SSE RISK TRAVEL]]</f>
        <v>0</v>
      </c>
      <c r="BH162">
        <f>PART_NUMBER_GENERATOR_TABLE[[#This Row],[Sell Rate]]*PART_NUMBER_GENERATOR_TABLE[[#This Row],[Project Risk Travel Hours]]</f>
        <v>0</v>
      </c>
      <c r="BI162">
        <f>PART_NUMBER_GENERATOR_TABLE[[#This Row],[Project Risk Travel Hours]]*PART_NUMBER_GENERATOR_TABLE[[#This Row],[Cost Rate]]</f>
        <v>0</v>
      </c>
      <c r="BJ162">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62">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62">
        <f>IFERROR(-VLOOKUP(INDEX(ENGINEER_ROLES,MATCH(PART_NUMBER_GENERATOR_TABLE[[#This Row],[Work Role]],settings.Table_Engineer.Roles[ID],0),1),Settings_Hidden!$H$359:$K$366,4,FALSE),0)</f>
        <v>0</v>
      </c>
      <c r="BM162" s="680">
        <f>-Summary!$C$66</f>
        <v>0</v>
      </c>
      <c r="BN162" s="465">
        <f>PART_NUMBER_GENERATOR_TABLE[[#This Row],[Total Base Price]]*MIN(PART_NUMBER_GENERATOR_TABLE[[#This Row],[Rate Service Discount]:[Flat Service Discount]])</f>
        <v>0</v>
      </c>
      <c r="BO162" s="451" t="str">
        <f>IF(PART_NUMBER_GENERATOR_TABLE[[#This Row],[Quantity]]&lt;&gt;0,MAX($BO$30:BO161)+1,"")</f>
        <v/>
      </c>
      <c r="BP162" t="str">
        <f>PART_NUMBER_GENERATOR_TABLE[[#This Row],[Part Number]]</f>
        <v>A-PS-C-SECURE-AC-AH</v>
      </c>
      <c r="BQ162">
        <f>PART_NUMBER_GENERATOR_TABLE[[#This Row],[Total Hours]]</f>
        <v>0</v>
      </c>
      <c r="BR162">
        <f>PART_NUMBER_GENERATOR_TABLE[[#This Row],[Cost Rate]]</f>
        <v>251.41552370953494</v>
      </c>
      <c r="BS162" s="465">
        <f>PART_NUMBER_GENERATOR_TABLE[[#This Row],[Sell Rate]]+(PART_NUMBER_GENERATOR_TABLE[[#This Row],[Sell Rate]]*MIN(PART_NUMBER_GENERATOR_TABLE[[#This Row],[Rate Service Discount]:[Flat Service Discount]]))</f>
        <v>472.5</v>
      </c>
    </row>
    <row r="163" spans="1:71">
      <c r="A163">
        <v>133</v>
      </c>
      <c r="C163" t="s">
        <v>1094</v>
      </c>
      <c r="D163" t="str" cm="1">
        <f t="array" ref="D163">INDEX(Table.Settings_Skill.List[Skill Name],MATCH(INDEX(_xlfn.TEXTSPLIT(C163,"-",,TRUE),4),Table.Settings_Skill.List[Skill Code],0),1)</f>
        <v>Security</v>
      </c>
      <c r="E163" t="str" cm="1">
        <f t="array" ref="E163">INDEX(_xlfn.TEXTSPLIT(C163,"-",,TRUE),5)</f>
        <v>SA</v>
      </c>
      <c r="F163" t="str">
        <f>IFERROR(INDEX(settings.Table_Engineer.Roles[Department Code],MATCH(PART_NUMBER_GENERATOR_TABLE[[#This Row],[Work Role]],settings.Table_Engineer.Roles[ID],0),1),"PMO")</f>
        <v>CON</v>
      </c>
      <c r="G163" t="str" cm="1">
        <f t="array" ref="G163">INDEX(_xlfn.TEXTSPLIT(C163,"-",,TRUE),6)</f>
        <v>AH</v>
      </c>
      <c r="H163">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63">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63" cm="1">
        <f t="array" ref="J163">IF(J$1&lt;&gt;PART_NUMBER_GENERATOR_TABLE[[#This Row],[Work Role]:[Work Role]],0,
IF(RIGHT(J$30,2)&lt;&gt;PART_NUMBER_GENERATOR_TABLE[[#This Row],[Work Type]:[Work Type]],0,
SUMIFS(Input_Tasks[R1 Business Hours],Input_Tasks[[Skill Required]:[Skill Required]],PART_NUMBER_GENERATOR_TABLE[[#This Row],[Tech]:[Tech]])))</f>
        <v>0</v>
      </c>
      <c r="K163" cm="1">
        <f t="array" ref="K163">IF(K$1&lt;&gt;PART_NUMBER_GENERATOR_TABLE[[#This Row],[Work Role]:[Work Role]],0,
IF(RIGHT(K$30,2)&lt;&gt;PART_NUMBER_GENERATOR_TABLE[[#This Row],[Work Type]:[Work Type]],0,
SUMIFS(Input_Tasks[R1 After Hours],Input_Tasks[[Skill Required]:[Skill Required]],PART_NUMBER_GENERATOR_TABLE[[#This Row],[Tech]:[Tech]])))</f>
        <v>0</v>
      </c>
      <c r="L163" cm="1">
        <f t="array" ref="L163">IF(L$1&lt;&gt;PART_NUMBER_GENERATOR_TABLE[[#This Row],[Work Role]:[Work Role]],0,
IF(RIGHT(L$30,2)&lt;&gt;PART_NUMBER_GENERATOR_TABLE[[#This Row],[Work Type]:[Work Type]],0,
SUMIFS(Input_Tasks[R2 Business Hours],Input_Tasks[[Skill Required]:[Skill Required]],PART_NUMBER_GENERATOR_TABLE[[#This Row],[Tech]:[Tech]])))</f>
        <v>0</v>
      </c>
      <c r="M163" cm="1">
        <f t="array" ref="M163">IF(M$1&lt;&gt;PART_NUMBER_GENERATOR_TABLE[[#This Row],[Work Role]:[Work Role]],0,
IF(RIGHT(M$30,2)&lt;&gt;PART_NUMBER_GENERATOR_TABLE[[#This Row],[Work Type]:[Work Type]],0,
SUMIFS(Input_Tasks[R2 After Hours],Input_Tasks[[Skill Required]:[Skill Required]],PART_NUMBER_GENERATOR_TABLE[[#This Row],[Tech]:[Tech]])))</f>
        <v>0</v>
      </c>
      <c r="N163" cm="1">
        <f t="array" ref="N163">IF(N$1&lt;&gt;PART_NUMBER_GENERATOR_TABLE[[#This Row],[Work Role]:[Work Role]],0,
IF(RIGHT(N$30,2)&lt;&gt;PART_NUMBER_GENERATOR_TABLE[[#This Row],[Work Type]:[Work Type]],0,
SUMIFS(Input_Tasks[R3 Business Hours],Input_Tasks[[Skill Required]:[Skill Required]],PART_NUMBER_GENERATOR_TABLE[[#This Row],[Tech]:[Tech]])))</f>
        <v>0</v>
      </c>
      <c r="O163" cm="1">
        <f t="array" ref="O163">IF(O$1&lt;&gt;PART_NUMBER_GENERATOR_TABLE[[#This Row],[Work Role]:[Work Role]],0,
IF(RIGHT(O$30,2)&lt;&gt;PART_NUMBER_GENERATOR_TABLE[[#This Row],[Work Type]:[Work Type]],0,
SUMIFS(Input_Tasks[R3 After Hours],Input_Tasks[[Skill Required]:[Skill Required]],PART_NUMBER_GENERATOR_TABLE[[#This Row],[Tech]:[Tech]])))</f>
        <v>0</v>
      </c>
      <c r="P163" cm="1">
        <f t="array" ref="P163">IF(P$1&lt;&gt;PART_NUMBER_GENERATOR_TABLE[[#This Row],[Work Role]:[Work Role]],0,
IF(RIGHT(P$30,2)&lt;&gt;PART_NUMBER_GENERATOR_TABLE[[#This Row],[Work Type]:[Work Type]],0,
SUMIFS(Input_Tasks[R4 Business Hours],Input_Tasks[[Skill Required]:[Skill Required]],PART_NUMBER_GENERATOR_TABLE[[#This Row],[Tech]:[Tech]])))</f>
        <v>0</v>
      </c>
      <c r="Q163" cm="1">
        <f t="array" ref="Q163">IF(Q$1&lt;&gt;PART_NUMBER_GENERATOR_TABLE[[#This Row],[Work Role]:[Work Role]],0,
IF(RIGHT(Q$30,2)&lt;&gt;PART_NUMBER_GENERATOR_TABLE[[#This Row],[Work Type]:[Work Type]],0,
SUMIFS(Input_Tasks[R4 After Hours],Input_Tasks[[Skill Required]:[Skill Required]],PART_NUMBER_GENERATOR_TABLE[[#This Row],[Tech]:[Tech]])))</f>
        <v>0</v>
      </c>
      <c r="R163" cm="1">
        <f t="array" ref="R163">IF(R$1&lt;&gt;PART_NUMBER_GENERATOR_TABLE[[#This Row],[Work Role]:[Work Role]],0,
IF(RIGHT(R$30,2)&lt;&gt;PART_NUMBER_GENERATOR_TABLE[[#This Row],[Work Type]:[Work Type]],0,
SUMIFS(Input_Tasks[R5 Business Hours],Input_Tasks[[Skill Required]:[Skill Required]],PART_NUMBER_GENERATOR_TABLE[[#This Row],[Tech]:[Tech]])))</f>
        <v>0</v>
      </c>
      <c r="S163" cm="1">
        <f t="array" ref="S163">IF(S$1&lt;&gt;PART_NUMBER_GENERATOR_TABLE[[#This Row],[Work Role]:[Work Role]],0,
IF(RIGHT(S$30,2)&lt;&gt;PART_NUMBER_GENERATOR_TABLE[[#This Row],[Work Type]:[Work Type]],0,
SUMIFS(Input_Tasks[R5 After Hours],Input_Tasks[[Skill Required]:[Skill Required]],PART_NUMBER_GENERATOR_TABLE[[#This Row],[Tech]:[Tech]])))</f>
        <v>0</v>
      </c>
      <c r="T163" cm="1">
        <f t="array" ref="T163">IF(PART_NUMBER_GENERATOR_TABLE[[#This Row],[Work Role]:[Work Role]]&lt;&gt;T$1,0,
IF(PART_NUMBER_GENERATOR_TABLE[[#This Row],[Work Type]:[Work Type]]&lt;&gt;"BH",0,
SUMIFS(T$9:T$24,$M$9:$M$24,PART_NUMBER_GENERATOR_TABLE[[#This Row],[Tech]:[Tech]])))</f>
        <v>0</v>
      </c>
      <c r="U163" cm="1">
        <f t="array" ref="U163">IF(PART_NUMBER_GENERATOR_TABLE[[#This Row],[Work Role]:[Work Role]]&lt;&gt;U$1,0,
IF(PART_NUMBER_GENERATOR_TABLE[[#This Row],[Work Type]:[Work Type]]&lt;&gt;"BH",0,
SUMIFS(U$9:U$24,$M$9:$M$24,PART_NUMBER_GENERATOR_TABLE[[#This Row],[Tech]:[Tech]])))</f>
        <v>0</v>
      </c>
      <c r="V163" cm="1">
        <f t="array" ref="V163">IF(PART_NUMBER_GENERATOR_TABLE[[#This Row],[Work Role]:[Work Role]]&lt;&gt;V$1,0,
IF(PART_NUMBER_GENERATOR_TABLE[[#This Row],[Work Type]:[Work Type]]&lt;&gt;"BH",0,
SUMIFS(V$9:V$24,$M$9:$M$24,PART_NUMBER_GENERATOR_TABLE[[#This Row],[Tech]:[Tech]])))</f>
        <v>0</v>
      </c>
      <c r="W163" cm="1">
        <f t="array" ref="W163">IF(PART_NUMBER_GENERATOR_TABLE[[#This Row],[Work Role]:[Work Role]]&lt;&gt;W$1,0,
IF(PART_NUMBER_GENERATOR_TABLE[[#This Row],[Work Type]:[Work Type]]&lt;&gt;"BH",0,
SUMIFS(W$9:W$24,$M$9:$M$24,PART_NUMBER_GENERATOR_TABLE[[#This Row],[Tech]:[Tech]])))</f>
        <v>0</v>
      </c>
      <c r="X163" cm="1">
        <f t="array" ref="X163">IF(PART_NUMBER_GENERATOR_TABLE[[#This Row],[Work Role]:[Work Role]]&lt;&gt;X$1,0,
IF(PART_NUMBER_GENERATOR_TABLE[[#This Row],[Work Type]:[Work Type]]&lt;&gt;"BH",0,
SUMIFS(X$9:X$24,$M$9:$M$24,PART_NUMBER_GENERATOR_TABLE[[#This Row],[Tech]:[Tech]])))</f>
        <v>0</v>
      </c>
      <c r="Y163" cm="1">
        <f t="array" ref="Y163">IF(PART_NUMBER_GENERATOR_TABLE[[#This Row],[Work Role]:[Work Role]]&lt;&gt;Y$1,0,
IF(PART_NUMBER_GENERATOR_TABLE[[#This Row],[Work Type]:[Work Type]]&lt;&gt;"BH",0,
SUMIFS(Y$9:Y$24,$M$9:$M$24,PART_NUMBER_GENERATOR_TABLE[[#This Row],[Tech]:[Tech]])))</f>
        <v>0</v>
      </c>
      <c r="Z163" cm="1">
        <f t="array" ref="Z163">IF(PART_NUMBER_GENERATOR_TABLE[[#This Row],[Work Role]:[Work Role]]&lt;&gt;Z$1,0,
IF(PART_NUMBER_GENERATOR_TABLE[[#This Row],[Work Type]:[Work Type]]&lt;&gt;"BH",0,
SUMIFS(Z$9:Z$24,$M$9:$M$24,PART_NUMBER_GENERATOR_TABLE[[#This Row],[Tech]:[Tech]])))</f>
        <v>0</v>
      </c>
      <c r="AA163" cm="1">
        <f t="array" ref="AA163">IF(PART_NUMBER_GENERATOR_TABLE[[#This Row],[Work Role]:[Work Role]]&lt;&gt;AA$1,0,
IF(PART_NUMBER_GENERATOR_TABLE[[#This Row],[Work Type]:[Work Type]]&lt;&gt;"BH",0,
SUMIFS(AA$9:AA$24,$M$9:$M$24,PART_NUMBER_GENERATOR_TABLE[[#This Row],[Tech]:[Tech]])))</f>
        <v>0</v>
      </c>
      <c r="AB163" cm="1">
        <f t="array" ref="AB163">IF(PART_NUMBER_GENERATOR_TABLE[[#This Row],[Work Role]:[Work Role]]&lt;&gt;AB$1,0,
IF(PART_NUMBER_GENERATOR_TABLE[[#This Row],[Work Type]:[Work Type]]&lt;&gt;"BH",0,
SUMIFS(AB$9:AB$24,$M$9:$M$24,PART_NUMBER_GENERATOR_TABLE[[#This Row],[Tech]:[Tech]])))</f>
        <v>0</v>
      </c>
      <c r="AC163" cm="1">
        <f t="array" ref="AC163">IF(PART_NUMBER_GENERATOR_TABLE[[#This Row],[Work Role]:[Work Role]]&lt;&gt;AC$1,0,
IF(PART_NUMBER_GENERATOR_TABLE[[#This Row],[Work Type]:[Work Type]]&lt;&gt;"BH",0,
SUMIFS(AC$9:AC$24,$M$9:$M$24,PART_NUMBER_GENERATOR_TABLE[[#This Row],[Tech]:[Tech]])))</f>
        <v>0</v>
      </c>
      <c r="AD163" cm="1">
        <f t="array" ref="AD163">IF(PART_NUMBER_GENERATOR_TABLE[[#This Row],[Work Role]:[Work Role]]&lt;&gt;AD$1,0,
IF(PART_NUMBER_GENERATOR_TABLE[[#This Row],[Work Type]:[Work Type]]&lt;&gt;"BH",0,
SUMIFS(AD$9:AD$24,$M$9:$M$24,PART_NUMBER_GENERATOR_TABLE[[#This Row],[Tech]:[Tech]])))</f>
        <v>0</v>
      </c>
      <c r="AE163" cm="1">
        <f t="array" ref="AE163">IF(PART_NUMBER_GENERATOR_TABLE[[#This Row],[Work Role]:[Work Role]]&lt;&gt;AE$1,0,
IF(PART_NUMBER_GENERATOR_TABLE[[#This Row],[Work Type]:[Work Type]]&lt;&gt;"BH",0,
SUMIFS(AE$9:AE$24,$M$9:$M$24,PART_NUMBER_GENERATOR_TABLE[[#This Row],[Tech]:[Tech]])))</f>
        <v>0</v>
      </c>
      <c r="AF163" cm="1">
        <f t="array" ref="AF163">IF(PART_NUMBER_GENERATOR_TABLE[[#This Row],[Work Role]:[Work Role]]&lt;&gt;AF$1,0,
IF(PART_NUMBER_GENERATOR_TABLE[[#This Row],[Work Type]:[Work Type]]&lt;&gt;"BH",0,
SUMIFS(AF$9:AF$24,$M$9:$M$24,PART_NUMBER_GENERATOR_TABLE[[#This Row],[Tech]:[Tech]])))</f>
        <v>0</v>
      </c>
      <c r="AG163" cm="1">
        <f t="array" ref="AG163">IF(PART_NUMBER_GENERATOR_TABLE[[#This Row],[Work Role]:[Work Role]]&lt;&gt;AG$1,0,
IF(PART_NUMBER_GENERATOR_TABLE[[#This Row],[Work Type]:[Work Type]]&lt;&gt;"AH",0,
SUMIFS(AG$9:AG$24,$M$9:$M$24,PART_NUMBER_GENERATOR_TABLE[[#This Row],[Tech]:[Tech]])))</f>
        <v>0</v>
      </c>
      <c r="AH163" cm="1">
        <f t="array" ref="AH163">IF(PART_NUMBER_GENERATOR_TABLE[[#This Row],[Work Role]:[Work Role]]&lt;&gt;AH$1,0,
IF(PART_NUMBER_GENERATOR_TABLE[[#This Row],[Work Type]:[Work Type]]&lt;&gt;"BH",0,
SUMIFS(AH$9:AH$24,$M$9:$M$24,PART_NUMBER_GENERATOR_TABLE[[#This Row],[Tech]:[Tech]])))</f>
        <v>0</v>
      </c>
      <c r="AI163" cm="1">
        <f t="array" ref="AI163">IF(PART_NUMBER_GENERATOR_TABLE[[#This Row],[Work Role]:[Work Role]]&lt;&gt;AI$1,0,
IF(PART_NUMBER_GENERATOR_TABLE[[#This Row],[Work Type]:[Work Type]]&lt;&gt;"BH",0,
SUMIFS(AI$9:AI$24,$M$9:$M$24,PART_NUMBER_GENERATOR_TABLE[[#This Row],[Tech]:[Tech]])))</f>
        <v>0</v>
      </c>
      <c r="AJ163" cm="1">
        <f t="array" ref="AJ163">IF(PART_NUMBER_GENERATOR_TABLE[[#This Row],[Work Role]:[Work Role]]&lt;&gt;AJ$1,0,
IF(PART_NUMBER_GENERATOR_TABLE[[#This Row],[Work Type]:[Work Type]]&lt;&gt;"BH",0,
SUMIFS(AJ$9:AJ$24,$M$9:$M$24,PART_NUMBER_GENERATOR_TABLE[[#This Row],[Tech]:[Tech]])))</f>
        <v>0</v>
      </c>
      <c r="AK163" cm="1">
        <f t="array" ref="AK163">IF(PART_NUMBER_GENERATOR_TABLE[[#This Row],[Work Role]:[Work Role]]&lt;&gt;AK$1,0,
IF(PART_NUMBER_GENERATOR_TABLE[[#This Row],[Work Type]:[Work Type]]&lt;&gt;"AH",0,
SUMIFS(AK$9:AK$24,$M$9:$M$24,PART_NUMBER_GENERATOR_TABLE[[#This Row],[Tech]:[Tech]])))</f>
        <v>0</v>
      </c>
      <c r="AL163" cm="1">
        <f t="array" ref="AL163">IF(PART_NUMBER_GENERATOR_TABLE[[#This Row],[Work Role]:[Work Role]]&lt;&gt;AL$1,0,
IF(PART_NUMBER_GENERATOR_TABLE[[#This Row],[Work Type]:[Work Type]]&lt;&gt;"BH",0,
SUMIFS(AL$9:AL$24,$M$9:$M$24,PART_NUMBER_GENERATOR_TABLE[[#This Row],[Tech]:[Tech]])))</f>
        <v>0</v>
      </c>
      <c r="AM163">
        <f>0</f>
        <v>0</v>
      </c>
      <c r="AN163" cm="1">
        <f t="array" ref="AN163">IF(PART_NUMBER_GENERATOR_TABLE[[#This Row],[Work Role]:[Work Role]]&lt;&gt;AN$1,0,
IF(PART_NUMBER_GENERATOR_TABLE[[#This Row],[Work Type]:[Work Type]]&lt;&gt;"BH",0,
SUMIFS(AN$24,$AM$24,PART_NUMBER_GENERATOR_TABLE[[#This Row],[Tech]:[Tech]])))</f>
        <v>0</v>
      </c>
      <c r="AO163" cm="1">
        <f t="array" ref="AO163">IF(PART_NUMBER_GENERATOR_TABLE[[#This Row],[Work Role]:[Work Role]]&lt;&gt;AO$1,0,
IF(PART_NUMBER_GENERATOR_TABLE[[#This Row],[Work Type]:[Work Type]]&lt;&gt;"BH",0,
SUMIFS(AO$24,$AM$24,PART_NUMBER_GENERATOR_TABLE[[#This Row],[Tech]:[Tech]])))</f>
        <v>0</v>
      </c>
      <c r="AP163" cm="1">
        <f t="array" ref="AP163">IF(PART_NUMBER_GENERATOR_TABLE[[#This Row],[Work Role]:[Work Role]]&lt;&gt;AP$1,0,
IF(PART_NUMBER_GENERATOR_TABLE[[#This Row],[Work Type]:[Work Type]]&lt;&gt;"BH",0,
SUMIFS(AP$24,$AM$24,PART_NUMBER_GENERATOR_TABLE[[#This Row],[Tech]:[Tech]])))</f>
        <v>0</v>
      </c>
      <c r="AQ163" cm="1">
        <f t="array" ref="AQ163">IF(PART_NUMBER_GENERATOR_TABLE[[#This Row],[Work Role]:[Work Role]]&lt;&gt;AQ$1,0,
IF(PART_NUMBER_GENERATOR_TABLE[[#This Row],[Work Type]:[Work Type]]&lt;&gt;"BH",0,
SUMIFS(AQ$24,$AM$24,PART_NUMBER_GENERATOR_TABLE[[#This Row],[Tech]:[Tech]])))</f>
        <v>0</v>
      </c>
      <c r="AR163" cm="1">
        <f t="array" ref="AR163">IF(PART_NUMBER_GENERATOR_TABLE[[#This Row],[Work Role]:[Work Role]]&lt;&gt;AR$1,0,
IF(PART_NUMBER_GENERATOR_TABLE[[#This Row],[Work Type]:[Work Type]]&lt;&gt;"BH",0,
SUMIFS(AR$24,$AM$24,PART_NUMBER_GENERATOR_TABLE[[#This Row],[Tech]:[Tech]])))</f>
        <v>0</v>
      </c>
      <c r="AS163" cm="1">
        <f t="array" ref="AS163">IF(PART_NUMBER_GENERATOR_TABLE[[#This Row],[Work Role]:[Work Role]]&lt;&gt;AS$1,0,
IF(PART_NUMBER_GENERATOR_TABLE[[#This Row],[Work Type]:[Work Type]]&lt;&gt;"BH",0,
SUMIFS(AS$24,$AM$24,PART_NUMBER_GENERATOR_TABLE[[#This Row],[Tech]:[Tech]])))</f>
        <v>0</v>
      </c>
      <c r="AT163" cm="1">
        <f t="array" ref="AT163">IF(PART_NUMBER_GENERATOR_TABLE[[#This Row],[Work Role]:[Work Role]]&lt;&gt;AS$1,0,
IF(PART_NUMBER_GENERATOR_TABLE[[#This Row],[Work Type]:[Work Type]]&lt;&gt;"BH",0,
SUMIFS(AT$24,$AM$24,PART_NUMBER_GENERATOR_TABLE[[#This Row],[Tech]:[Tech]])))</f>
        <v>0</v>
      </c>
      <c r="AU163">
        <f>SUM(PART_NUMBER_GENERATOR_TABLE[[#This Row],[Resource 1 BH]:[Resource 5 AH]],PART_NUMBER_GENERATOR_TABLE[[#This Row],[R1 Mandatory Tasks]:[R5 Mandatory Tasks]],PART_NUMBER_GENERATOR_TABLE[[#This Row],[R1 Remainder]:[R5 Remainder]])</f>
        <v>0</v>
      </c>
      <c r="AV163">
        <f>PART_NUMBER_GENERATOR_TABLE[[#This Row],[Professional Engineering Hours]]*PART_NUMBER_GENERATOR_TABLE[[#This Row],[Sell Rate]]</f>
        <v>0</v>
      </c>
      <c r="AW163">
        <f>PART_NUMBER_GENERATOR_TABLE[[#This Row],[Professional Engineering Hours]]*PART_NUMBER_GENERATOR_TABLE[[#This Row],[Cost Rate]]</f>
        <v>0</v>
      </c>
      <c r="AX163">
        <f>SUM(PART_NUMBER_GENERATOR_TABLE[[#This Row],[PM Trips]:[R5 Trips]])</f>
        <v>0</v>
      </c>
      <c r="AY163">
        <f>PART_NUMBER_GENERATOR_TABLE[[#This Row],[Travel &amp; Accommodation Hours]]*PART_NUMBER_GENERATOR_TABLE[[#This Row],[Sell Rate]]</f>
        <v>0</v>
      </c>
      <c r="AZ163">
        <f>PART_NUMBER_GENERATOR_TABLE[[#This Row],[Travel &amp; Accommodation Hours]]*PART_NUMBER_GENERATOR_TABLE[[#This Row],[Cost Rate]]</f>
        <v>0</v>
      </c>
      <c r="BA163">
        <f>PART_NUMBER_GENERATOR_TABLE[[#This Row],[PM Hours]]+PART_NUMBER_GENERATOR_TABLE[[#This Row],[PM Remainder]]</f>
        <v>0</v>
      </c>
      <c r="BB163">
        <f>PART_NUMBER_GENERATOR_TABLE[[#This Row],[Project Management Hours]]*PART_NUMBER_GENERATOR_TABLE[[#This Row],[Sell Rate]]</f>
        <v>0</v>
      </c>
      <c r="BC163">
        <f>PART_NUMBER_GENERATOR_TABLE[[#This Row],[Project Management Hours]]*PART_NUMBER_GENERATOR_TABLE[[#This Row],[Cost Rate]]</f>
        <v>0</v>
      </c>
      <c r="BD163">
        <f>SUM(PART_NUMBER_GENERATOR_TABLE[[#This Row],[SSE RISK BH]:[PM RISK]],PART_NUMBER_GENERATOR_TABLE[[#This Row],[SSE Remainder RISK BH]:[PM Remainder RISK]])</f>
        <v>0</v>
      </c>
      <c r="BE163">
        <f>PART_NUMBER_GENERATOR_TABLE[[#This Row],[Project Risk Service Hours]]*PART_NUMBER_GENERATOR_TABLE[[#This Row],[Sell Rate]]</f>
        <v>0</v>
      </c>
      <c r="BF163">
        <f>PART_NUMBER_GENERATOR_TABLE[[#This Row],[Project Risk Service Hours]]*PART_NUMBER_GENERATOR_TABLE[[#This Row],[Cost Rate]]</f>
        <v>0</v>
      </c>
      <c r="BG163">
        <f>PART_NUMBER_GENERATOR_TABLE[[#This Row],[SSE RISK TRAVEL]]</f>
        <v>0</v>
      </c>
      <c r="BH163">
        <f>PART_NUMBER_GENERATOR_TABLE[[#This Row],[Sell Rate]]*PART_NUMBER_GENERATOR_TABLE[[#This Row],[Project Risk Travel Hours]]</f>
        <v>0</v>
      </c>
      <c r="BI163">
        <f>PART_NUMBER_GENERATOR_TABLE[[#This Row],[Project Risk Travel Hours]]*PART_NUMBER_GENERATOR_TABLE[[#This Row],[Cost Rate]]</f>
        <v>0</v>
      </c>
      <c r="BJ163">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63">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63">
        <f>IFERROR(-VLOOKUP(INDEX(ENGINEER_ROLES,MATCH(PART_NUMBER_GENERATOR_TABLE[[#This Row],[Work Role]],settings.Table_Engineer.Roles[ID],0),1),Settings_Hidden!$H$359:$K$366,4,FALSE),0)</f>
        <v>0</v>
      </c>
      <c r="BM163" s="680">
        <f>-Summary!$C$66</f>
        <v>0</v>
      </c>
      <c r="BN163" s="465">
        <f>PART_NUMBER_GENERATOR_TABLE[[#This Row],[Total Base Price]]*MIN(PART_NUMBER_GENERATOR_TABLE[[#This Row],[Rate Service Discount]:[Flat Service Discount]])</f>
        <v>0</v>
      </c>
      <c r="BO163" s="451" t="str">
        <f>IF(PART_NUMBER_GENERATOR_TABLE[[#This Row],[Quantity]]&lt;&gt;0,MAX($BO$30:BO162)+1,"")</f>
        <v/>
      </c>
      <c r="BP163" t="str">
        <f>PART_NUMBER_GENERATOR_TABLE[[#This Row],[Part Number]]</f>
        <v>A-PS-C-SECNET-SA-AH</v>
      </c>
      <c r="BQ163">
        <f>PART_NUMBER_GENERATOR_TABLE[[#This Row],[Total Hours]]</f>
        <v>0</v>
      </c>
      <c r="BR163">
        <f>PART_NUMBER_GENERATOR_TABLE[[#This Row],[Cost Rate]]</f>
        <v>251.41552370953494</v>
      </c>
      <c r="BS163" s="465">
        <f>PART_NUMBER_GENERATOR_TABLE[[#This Row],[Sell Rate]]+(PART_NUMBER_GENERATOR_TABLE[[#This Row],[Sell Rate]]*MIN(PART_NUMBER_GENERATOR_TABLE[[#This Row],[Rate Service Discount]:[Flat Service Discount]]))</f>
        <v>472.5</v>
      </c>
    </row>
    <row r="164" spans="1:71">
      <c r="A164">
        <v>134</v>
      </c>
      <c r="C164" t="s">
        <v>1086</v>
      </c>
      <c r="D164" t="str" cm="1">
        <f t="array" ref="D164">INDEX(Table.Settings_Skill.List[Skill Name],MATCH(INDEX(_xlfn.TEXTSPLIT(C164,"-",,TRUE),4),Table.Settings_Skill.List[Skill Code],0),1)</f>
        <v>Security</v>
      </c>
      <c r="E164" t="str" cm="1">
        <f t="array" ref="E164">INDEX(_xlfn.TEXTSPLIT(C164,"-",,TRUE),5)</f>
        <v>SC</v>
      </c>
      <c r="F164" t="str">
        <f>IFERROR(INDEX(settings.Table_Engineer.Roles[Department Code],MATCH(PART_NUMBER_GENERATOR_TABLE[[#This Row],[Work Role]],settings.Table_Engineer.Roles[ID],0),1),"PMO")</f>
        <v>CON</v>
      </c>
      <c r="G164" t="str" cm="1">
        <f t="array" ref="G164">INDEX(_xlfn.TEXTSPLIT(C164,"-",,TRUE),6)</f>
        <v>AH</v>
      </c>
      <c r="H164">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64">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64" cm="1">
        <f t="array" ref="J164">IF(J$1&lt;&gt;PART_NUMBER_GENERATOR_TABLE[[#This Row],[Work Role]:[Work Role]],0,
IF(RIGHT(J$30,2)&lt;&gt;PART_NUMBER_GENERATOR_TABLE[[#This Row],[Work Type]:[Work Type]],0,
SUMIFS(Input_Tasks[R1 Business Hours],Input_Tasks[[Skill Required]:[Skill Required]],PART_NUMBER_GENERATOR_TABLE[[#This Row],[Tech]:[Tech]])))</f>
        <v>0</v>
      </c>
      <c r="K164" cm="1">
        <f t="array" ref="K164">IF(K$1&lt;&gt;PART_NUMBER_GENERATOR_TABLE[[#This Row],[Work Role]:[Work Role]],0,
IF(RIGHT(K$30,2)&lt;&gt;PART_NUMBER_GENERATOR_TABLE[[#This Row],[Work Type]:[Work Type]],0,
SUMIFS(Input_Tasks[R1 After Hours],Input_Tasks[[Skill Required]:[Skill Required]],PART_NUMBER_GENERATOR_TABLE[[#This Row],[Tech]:[Tech]])))</f>
        <v>0</v>
      </c>
      <c r="L164" cm="1">
        <f t="array" ref="L164">IF(L$1&lt;&gt;PART_NUMBER_GENERATOR_TABLE[[#This Row],[Work Role]:[Work Role]],0,
IF(RIGHT(L$30,2)&lt;&gt;PART_NUMBER_GENERATOR_TABLE[[#This Row],[Work Type]:[Work Type]],0,
SUMIFS(Input_Tasks[R2 Business Hours],Input_Tasks[[Skill Required]:[Skill Required]],PART_NUMBER_GENERATOR_TABLE[[#This Row],[Tech]:[Tech]])))</f>
        <v>0</v>
      </c>
      <c r="M164" cm="1">
        <f t="array" ref="M164">IF(M$1&lt;&gt;PART_NUMBER_GENERATOR_TABLE[[#This Row],[Work Role]:[Work Role]],0,
IF(RIGHT(M$30,2)&lt;&gt;PART_NUMBER_GENERATOR_TABLE[[#This Row],[Work Type]:[Work Type]],0,
SUMIFS(Input_Tasks[R2 After Hours],Input_Tasks[[Skill Required]:[Skill Required]],PART_NUMBER_GENERATOR_TABLE[[#This Row],[Tech]:[Tech]])))</f>
        <v>0</v>
      </c>
      <c r="N164" cm="1">
        <f t="array" ref="N164">IF(N$1&lt;&gt;PART_NUMBER_GENERATOR_TABLE[[#This Row],[Work Role]:[Work Role]],0,
IF(RIGHT(N$30,2)&lt;&gt;PART_NUMBER_GENERATOR_TABLE[[#This Row],[Work Type]:[Work Type]],0,
SUMIFS(Input_Tasks[R3 Business Hours],Input_Tasks[[Skill Required]:[Skill Required]],PART_NUMBER_GENERATOR_TABLE[[#This Row],[Tech]:[Tech]])))</f>
        <v>0</v>
      </c>
      <c r="O164" cm="1">
        <f t="array" ref="O164">IF(O$1&lt;&gt;PART_NUMBER_GENERATOR_TABLE[[#This Row],[Work Role]:[Work Role]],0,
IF(RIGHT(O$30,2)&lt;&gt;PART_NUMBER_GENERATOR_TABLE[[#This Row],[Work Type]:[Work Type]],0,
SUMIFS(Input_Tasks[R3 After Hours],Input_Tasks[[Skill Required]:[Skill Required]],PART_NUMBER_GENERATOR_TABLE[[#This Row],[Tech]:[Tech]])))</f>
        <v>0</v>
      </c>
      <c r="P164" cm="1">
        <f t="array" ref="P164">IF(P$1&lt;&gt;PART_NUMBER_GENERATOR_TABLE[[#This Row],[Work Role]:[Work Role]],0,
IF(RIGHT(P$30,2)&lt;&gt;PART_NUMBER_GENERATOR_TABLE[[#This Row],[Work Type]:[Work Type]],0,
SUMIFS(Input_Tasks[R4 Business Hours],Input_Tasks[[Skill Required]:[Skill Required]],PART_NUMBER_GENERATOR_TABLE[[#This Row],[Tech]:[Tech]])))</f>
        <v>0</v>
      </c>
      <c r="Q164" cm="1">
        <f t="array" ref="Q164">IF(Q$1&lt;&gt;PART_NUMBER_GENERATOR_TABLE[[#This Row],[Work Role]:[Work Role]],0,
IF(RIGHT(Q$30,2)&lt;&gt;PART_NUMBER_GENERATOR_TABLE[[#This Row],[Work Type]:[Work Type]],0,
SUMIFS(Input_Tasks[R4 After Hours],Input_Tasks[[Skill Required]:[Skill Required]],PART_NUMBER_GENERATOR_TABLE[[#This Row],[Tech]:[Tech]])))</f>
        <v>0</v>
      </c>
      <c r="R164" cm="1">
        <f t="array" ref="R164">IF(R$1&lt;&gt;PART_NUMBER_GENERATOR_TABLE[[#This Row],[Work Role]:[Work Role]],0,
IF(RIGHT(R$30,2)&lt;&gt;PART_NUMBER_GENERATOR_TABLE[[#This Row],[Work Type]:[Work Type]],0,
SUMIFS(Input_Tasks[R5 Business Hours],Input_Tasks[[Skill Required]:[Skill Required]],PART_NUMBER_GENERATOR_TABLE[[#This Row],[Tech]:[Tech]])))</f>
        <v>0</v>
      </c>
      <c r="S164" cm="1">
        <f t="array" ref="S164">IF(S$1&lt;&gt;PART_NUMBER_GENERATOR_TABLE[[#This Row],[Work Role]:[Work Role]],0,
IF(RIGHT(S$30,2)&lt;&gt;PART_NUMBER_GENERATOR_TABLE[[#This Row],[Work Type]:[Work Type]],0,
SUMIFS(Input_Tasks[R5 After Hours],Input_Tasks[[Skill Required]:[Skill Required]],PART_NUMBER_GENERATOR_TABLE[[#This Row],[Tech]:[Tech]])))</f>
        <v>0</v>
      </c>
      <c r="T164" cm="1">
        <f t="array" ref="T164">IF(PART_NUMBER_GENERATOR_TABLE[[#This Row],[Work Role]:[Work Role]]&lt;&gt;T$1,0,
IF(PART_NUMBER_GENERATOR_TABLE[[#This Row],[Work Type]:[Work Type]]&lt;&gt;"BH",0,
SUMIFS(T$9:T$24,$M$9:$M$24,PART_NUMBER_GENERATOR_TABLE[[#This Row],[Tech]:[Tech]])))</f>
        <v>0</v>
      </c>
      <c r="U164" cm="1">
        <f t="array" ref="U164">IF(PART_NUMBER_GENERATOR_TABLE[[#This Row],[Work Role]:[Work Role]]&lt;&gt;U$1,0,
IF(PART_NUMBER_GENERATOR_TABLE[[#This Row],[Work Type]:[Work Type]]&lt;&gt;"BH",0,
SUMIFS(U$9:U$24,$M$9:$M$24,PART_NUMBER_GENERATOR_TABLE[[#This Row],[Tech]:[Tech]])))</f>
        <v>0</v>
      </c>
      <c r="V164" cm="1">
        <f t="array" ref="V164">IF(PART_NUMBER_GENERATOR_TABLE[[#This Row],[Work Role]:[Work Role]]&lt;&gt;V$1,0,
IF(PART_NUMBER_GENERATOR_TABLE[[#This Row],[Work Type]:[Work Type]]&lt;&gt;"BH",0,
SUMIFS(V$9:V$24,$M$9:$M$24,PART_NUMBER_GENERATOR_TABLE[[#This Row],[Tech]:[Tech]])))</f>
        <v>0</v>
      </c>
      <c r="W164" cm="1">
        <f t="array" ref="W164">IF(PART_NUMBER_GENERATOR_TABLE[[#This Row],[Work Role]:[Work Role]]&lt;&gt;W$1,0,
IF(PART_NUMBER_GENERATOR_TABLE[[#This Row],[Work Type]:[Work Type]]&lt;&gt;"BH",0,
SUMIFS(W$9:W$24,$M$9:$M$24,PART_NUMBER_GENERATOR_TABLE[[#This Row],[Tech]:[Tech]])))</f>
        <v>0</v>
      </c>
      <c r="X164" cm="1">
        <f t="array" ref="X164">IF(PART_NUMBER_GENERATOR_TABLE[[#This Row],[Work Role]:[Work Role]]&lt;&gt;X$1,0,
IF(PART_NUMBER_GENERATOR_TABLE[[#This Row],[Work Type]:[Work Type]]&lt;&gt;"BH",0,
SUMIFS(X$9:X$24,$M$9:$M$24,PART_NUMBER_GENERATOR_TABLE[[#This Row],[Tech]:[Tech]])))</f>
        <v>0</v>
      </c>
      <c r="Y164" cm="1">
        <f t="array" ref="Y164">IF(PART_NUMBER_GENERATOR_TABLE[[#This Row],[Work Role]:[Work Role]]&lt;&gt;Y$1,0,
IF(PART_NUMBER_GENERATOR_TABLE[[#This Row],[Work Type]:[Work Type]]&lt;&gt;"BH",0,
SUMIFS(Y$9:Y$24,$M$9:$M$24,PART_NUMBER_GENERATOR_TABLE[[#This Row],[Tech]:[Tech]])))</f>
        <v>0</v>
      </c>
      <c r="Z164" cm="1">
        <f t="array" ref="Z164">IF(PART_NUMBER_GENERATOR_TABLE[[#This Row],[Work Role]:[Work Role]]&lt;&gt;Z$1,0,
IF(PART_NUMBER_GENERATOR_TABLE[[#This Row],[Work Type]:[Work Type]]&lt;&gt;"BH",0,
SUMIFS(Z$9:Z$24,$M$9:$M$24,PART_NUMBER_GENERATOR_TABLE[[#This Row],[Tech]:[Tech]])))</f>
        <v>0</v>
      </c>
      <c r="AA164" cm="1">
        <f t="array" ref="AA164">IF(PART_NUMBER_GENERATOR_TABLE[[#This Row],[Work Role]:[Work Role]]&lt;&gt;AA$1,0,
IF(PART_NUMBER_GENERATOR_TABLE[[#This Row],[Work Type]:[Work Type]]&lt;&gt;"BH",0,
SUMIFS(AA$9:AA$24,$M$9:$M$24,PART_NUMBER_GENERATOR_TABLE[[#This Row],[Tech]:[Tech]])))</f>
        <v>0</v>
      </c>
      <c r="AB164" cm="1">
        <f t="array" ref="AB164">IF(PART_NUMBER_GENERATOR_TABLE[[#This Row],[Work Role]:[Work Role]]&lt;&gt;AB$1,0,
IF(PART_NUMBER_GENERATOR_TABLE[[#This Row],[Work Type]:[Work Type]]&lt;&gt;"BH",0,
SUMIFS(AB$9:AB$24,$M$9:$M$24,PART_NUMBER_GENERATOR_TABLE[[#This Row],[Tech]:[Tech]])))</f>
        <v>0</v>
      </c>
      <c r="AC164" cm="1">
        <f t="array" ref="AC164">IF(PART_NUMBER_GENERATOR_TABLE[[#This Row],[Work Role]:[Work Role]]&lt;&gt;AC$1,0,
IF(PART_NUMBER_GENERATOR_TABLE[[#This Row],[Work Type]:[Work Type]]&lt;&gt;"BH",0,
SUMIFS(AC$9:AC$24,$M$9:$M$24,PART_NUMBER_GENERATOR_TABLE[[#This Row],[Tech]:[Tech]])))</f>
        <v>0</v>
      </c>
      <c r="AD164" cm="1">
        <f t="array" ref="AD164">IF(PART_NUMBER_GENERATOR_TABLE[[#This Row],[Work Role]:[Work Role]]&lt;&gt;AD$1,0,
IF(PART_NUMBER_GENERATOR_TABLE[[#This Row],[Work Type]:[Work Type]]&lt;&gt;"BH",0,
SUMIFS(AD$9:AD$24,$M$9:$M$24,PART_NUMBER_GENERATOR_TABLE[[#This Row],[Tech]:[Tech]])))</f>
        <v>0</v>
      </c>
      <c r="AE164" cm="1">
        <f t="array" ref="AE164">IF(PART_NUMBER_GENERATOR_TABLE[[#This Row],[Work Role]:[Work Role]]&lt;&gt;AE$1,0,
IF(PART_NUMBER_GENERATOR_TABLE[[#This Row],[Work Type]:[Work Type]]&lt;&gt;"BH",0,
SUMIFS(AE$9:AE$24,$M$9:$M$24,PART_NUMBER_GENERATOR_TABLE[[#This Row],[Tech]:[Tech]])))</f>
        <v>0</v>
      </c>
      <c r="AF164" cm="1">
        <f t="array" ref="AF164">IF(PART_NUMBER_GENERATOR_TABLE[[#This Row],[Work Role]:[Work Role]]&lt;&gt;AF$1,0,
IF(PART_NUMBER_GENERATOR_TABLE[[#This Row],[Work Type]:[Work Type]]&lt;&gt;"BH",0,
SUMIFS(AF$9:AF$24,$M$9:$M$24,PART_NUMBER_GENERATOR_TABLE[[#This Row],[Tech]:[Tech]])))</f>
        <v>0</v>
      </c>
      <c r="AG164" cm="1">
        <f t="array" ref="AG164">IF(PART_NUMBER_GENERATOR_TABLE[[#This Row],[Work Role]:[Work Role]]&lt;&gt;AG$1,0,
IF(PART_NUMBER_GENERATOR_TABLE[[#This Row],[Work Type]:[Work Type]]&lt;&gt;"AH",0,
SUMIFS(AG$9:AG$24,$M$9:$M$24,PART_NUMBER_GENERATOR_TABLE[[#This Row],[Tech]:[Tech]])))</f>
        <v>0</v>
      </c>
      <c r="AH164" cm="1">
        <f t="array" ref="AH164">IF(PART_NUMBER_GENERATOR_TABLE[[#This Row],[Work Role]:[Work Role]]&lt;&gt;AH$1,0,
IF(PART_NUMBER_GENERATOR_TABLE[[#This Row],[Work Type]:[Work Type]]&lt;&gt;"BH",0,
SUMIFS(AH$9:AH$24,$M$9:$M$24,PART_NUMBER_GENERATOR_TABLE[[#This Row],[Tech]:[Tech]])))</f>
        <v>0</v>
      </c>
      <c r="AI164" cm="1">
        <f t="array" ref="AI164">IF(PART_NUMBER_GENERATOR_TABLE[[#This Row],[Work Role]:[Work Role]]&lt;&gt;AI$1,0,
IF(PART_NUMBER_GENERATOR_TABLE[[#This Row],[Work Type]:[Work Type]]&lt;&gt;"BH",0,
SUMIFS(AI$9:AI$24,$M$9:$M$24,PART_NUMBER_GENERATOR_TABLE[[#This Row],[Tech]:[Tech]])))</f>
        <v>0</v>
      </c>
      <c r="AJ164" cm="1">
        <f t="array" ref="AJ164">IF(PART_NUMBER_GENERATOR_TABLE[[#This Row],[Work Role]:[Work Role]]&lt;&gt;AJ$1,0,
IF(PART_NUMBER_GENERATOR_TABLE[[#This Row],[Work Type]:[Work Type]]&lt;&gt;"BH",0,
SUMIFS(AJ$9:AJ$24,$M$9:$M$24,PART_NUMBER_GENERATOR_TABLE[[#This Row],[Tech]:[Tech]])))</f>
        <v>0</v>
      </c>
      <c r="AK164" cm="1">
        <f t="array" ref="AK164">IF(PART_NUMBER_GENERATOR_TABLE[[#This Row],[Work Role]:[Work Role]]&lt;&gt;AK$1,0,
IF(PART_NUMBER_GENERATOR_TABLE[[#This Row],[Work Type]:[Work Type]]&lt;&gt;"AH",0,
SUMIFS(AK$9:AK$24,$M$9:$M$24,PART_NUMBER_GENERATOR_TABLE[[#This Row],[Tech]:[Tech]])))</f>
        <v>0</v>
      </c>
      <c r="AL164" cm="1">
        <f t="array" ref="AL164">IF(PART_NUMBER_GENERATOR_TABLE[[#This Row],[Work Role]:[Work Role]]&lt;&gt;AL$1,0,
IF(PART_NUMBER_GENERATOR_TABLE[[#This Row],[Work Type]:[Work Type]]&lt;&gt;"BH",0,
SUMIFS(AL$9:AL$24,$M$9:$M$24,PART_NUMBER_GENERATOR_TABLE[[#This Row],[Tech]:[Tech]])))</f>
        <v>0</v>
      </c>
      <c r="AM164">
        <f>0</f>
        <v>0</v>
      </c>
      <c r="AN164" cm="1">
        <f t="array" ref="AN164">IF(PART_NUMBER_GENERATOR_TABLE[[#This Row],[Work Role]:[Work Role]]&lt;&gt;AN$1,0,
IF(PART_NUMBER_GENERATOR_TABLE[[#This Row],[Work Type]:[Work Type]]&lt;&gt;"BH",0,
SUMIFS(AN$24,$AM$24,PART_NUMBER_GENERATOR_TABLE[[#This Row],[Tech]:[Tech]])))</f>
        <v>0</v>
      </c>
      <c r="AO164" cm="1">
        <f t="array" ref="AO164">IF(PART_NUMBER_GENERATOR_TABLE[[#This Row],[Work Role]:[Work Role]]&lt;&gt;AO$1,0,
IF(PART_NUMBER_GENERATOR_TABLE[[#This Row],[Work Type]:[Work Type]]&lt;&gt;"BH",0,
SUMIFS(AO$24,$AM$24,PART_NUMBER_GENERATOR_TABLE[[#This Row],[Tech]:[Tech]])))</f>
        <v>0</v>
      </c>
      <c r="AP164" cm="1">
        <f t="array" ref="AP164">IF(PART_NUMBER_GENERATOR_TABLE[[#This Row],[Work Role]:[Work Role]]&lt;&gt;AP$1,0,
IF(PART_NUMBER_GENERATOR_TABLE[[#This Row],[Work Type]:[Work Type]]&lt;&gt;"BH",0,
SUMIFS(AP$24,$AM$24,PART_NUMBER_GENERATOR_TABLE[[#This Row],[Tech]:[Tech]])))</f>
        <v>0</v>
      </c>
      <c r="AQ164" cm="1">
        <f t="array" ref="AQ164">IF(PART_NUMBER_GENERATOR_TABLE[[#This Row],[Work Role]:[Work Role]]&lt;&gt;AQ$1,0,
IF(PART_NUMBER_GENERATOR_TABLE[[#This Row],[Work Type]:[Work Type]]&lt;&gt;"BH",0,
SUMIFS(AQ$24,$AM$24,PART_NUMBER_GENERATOR_TABLE[[#This Row],[Tech]:[Tech]])))</f>
        <v>0</v>
      </c>
      <c r="AR164" cm="1">
        <f t="array" ref="AR164">IF(PART_NUMBER_GENERATOR_TABLE[[#This Row],[Work Role]:[Work Role]]&lt;&gt;AR$1,0,
IF(PART_NUMBER_GENERATOR_TABLE[[#This Row],[Work Type]:[Work Type]]&lt;&gt;"BH",0,
SUMIFS(AR$24,$AM$24,PART_NUMBER_GENERATOR_TABLE[[#This Row],[Tech]:[Tech]])))</f>
        <v>0</v>
      </c>
      <c r="AS164" cm="1">
        <f t="array" ref="AS164">IF(PART_NUMBER_GENERATOR_TABLE[[#This Row],[Work Role]:[Work Role]]&lt;&gt;AS$1,0,
IF(PART_NUMBER_GENERATOR_TABLE[[#This Row],[Work Type]:[Work Type]]&lt;&gt;"BH",0,
SUMIFS(AS$24,$AM$24,PART_NUMBER_GENERATOR_TABLE[[#This Row],[Tech]:[Tech]])))</f>
        <v>0</v>
      </c>
      <c r="AT164" cm="1">
        <f t="array" ref="AT164">IF(PART_NUMBER_GENERATOR_TABLE[[#This Row],[Work Role]:[Work Role]]&lt;&gt;AS$1,0,
IF(PART_NUMBER_GENERATOR_TABLE[[#This Row],[Work Type]:[Work Type]]&lt;&gt;"BH",0,
SUMIFS(AT$24,$AM$24,PART_NUMBER_GENERATOR_TABLE[[#This Row],[Tech]:[Tech]])))</f>
        <v>0</v>
      </c>
      <c r="AU164">
        <f>SUM(PART_NUMBER_GENERATOR_TABLE[[#This Row],[Resource 1 BH]:[Resource 5 AH]],PART_NUMBER_GENERATOR_TABLE[[#This Row],[R1 Mandatory Tasks]:[R5 Mandatory Tasks]],PART_NUMBER_GENERATOR_TABLE[[#This Row],[R1 Remainder]:[R5 Remainder]])</f>
        <v>0</v>
      </c>
      <c r="AV164">
        <f>PART_NUMBER_GENERATOR_TABLE[[#This Row],[Professional Engineering Hours]]*PART_NUMBER_GENERATOR_TABLE[[#This Row],[Sell Rate]]</f>
        <v>0</v>
      </c>
      <c r="AW164">
        <f>PART_NUMBER_GENERATOR_TABLE[[#This Row],[Professional Engineering Hours]]*PART_NUMBER_GENERATOR_TABLE[[#This Row],[Cost Rate]]</f>
        <v>0</v>
      </c>
      <c r="AX164">
        <f>SUM(PART_NUMBER_GENERATOR_TABLE[[#This Row],[PM Trips]:[R5 Trips]])</f>
        <v>0</v>
      </c>
      <c r="AY164">
        <f>PART_NUMBER_GENERATOR_TABLE[[#This Row],[Travel &amp; Accommodation Hours]]*PART_NUMBER_GENERATOR_TABLE[[#This Row],[Sell Rate]]</f>
        <v>0</v>
      </c>
      <c r="AZ164">
        <f>PART_NUMBER_GENERATOR_TABLE[[#This Row],[Travel &amp; Accommodation Hours]]*PART_NUMBER_GENERATOR_TABLE[[#This Row],[Cost Rate]]</f>
        <v>0</v>
      </c>
      <c r="BA164">
        <f>PART_NUMBER_GENERATOR_TABLE[[#This Row],[PM Hours]]+PART_NUMBER_GENERATOR_TABLE[[#This Row],[PM Remainder]]</f>
        <v>0</v>
      </c>
      <c r="BB164">
        <f>PART_NUMBER_GENERATOR_TABLE[[#This Row],[Project Management Hours]]*PART_NUMBER_GENERATOR_TABLE[[#This Row],[Sell Rate]]</f>
        <v>0</v>
      </c>
      <c r="BC164">
        <f>PART_NUMBER_GENERATOR_TABLE[[#This Row],[Project Management Hours]]*PART_NUMBER_GENERATOR_TABLE[[#This Row],[Cost Rate]]</f>
        <v>0</v>
      </c>
      <c r="BD164">
        <f>SUM(PART_NUMBER_GENERATOR_TABLE[[#This Row],[SSE RISK BH]:[PM RISK]],PART_NUMBER_GENERATOR_TABLE[[#This Row],[SSE Remainder RISK BH]:[PM Remainder RISK]])</f>
        <v>0</v>
      </c>
      <c r="BE164">
        <f>PART_NUMBER_GENERATOR_TABLE[[#This Row],[Project Risk Service Hours]]*PART_NUMBER_GENERATOR_TABLE[[#This Row],[Sell Rate]]</f>
        <v>0</v>
      </c>
      <c r="BF164">
        <f>PART_NUMBER_GENERATOR_TABLE[[#This Row],[Project Risk Service Hours]]*PART_NUMBER_GENERATOR_TABLE[[#This Row],[Cost Rate]]</f>
        <v>0</v>
      </c>
      <c r="BG164">
        <f>PART_NUMBER_GENERATOR_TABLE[[#This Row],[SSE RISK TRAVEL]]</f>
        <v>0</v>
      </c>
      <c r="BH164">
        <f>PART_NUMBER_GENERATOR_TABLE[[#This Row],[Sell Rate]]*PART_NUMBER_GENERATOR_TABLE[[#This Row],[Project Risk Travel Hours]]</f>
        <v>0</v>
      </c>
      <c r="BI164">
        <f>PART_NUMBER_GENERATOR_TABLE[[#This Row],[Project Risk Travel Hours]]*PART_NUMBER_GENERATOR_TABLE[[#This Row],[Cost Rate]]</f>
        <v>0</v>
      </c>
      <c r="BJ164">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64">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64">
        <f>IFERROR(-VLOOKUP(INDEX(ENGINEER_ROLES,MATCH(PART_NUMBER_GENERATOR_TABLE[[#This Row],[Work Role]],settings.Table_Engineer.Roles[ID],0),1),Settings_Hidden!$H$359:$K$366,4,FALSE),0)</f>
        <v>0</v>
      </c>
      <c r="BM164" s="680">
        <f>-Summary!$C$66</f>
        <v>0</v>
      </c>
      <c r="BN164" s="465">
        <f>PART_NUMBER_GENERATOR_TABLE[[#This Row],[Total Base Price]]*MIN(PART_NUMBER_GENERATOR_TABLE[[#This Row],[Rate Service Discount]:[Flat Service Discount]])</f>
        <v>0</v>
      </c>
      <c r="BO164" s="451" t="str">
        <f>IF(PART_NUMBER_GENERATOR_TABLE[[#This Row],[Quantity]]&lt;&gt;0,MAX($BO$30:BO163)+1,"")</f>
        <v/>
      </c>
      <c r="BP164" t="str">
        <f>PART_NUMBER_GENERATOR_TABLE[[#This Row],[Part Number]]</f>
        <v>A-PS-C-SECNET-SC-AH</v>
      </c>
      <c r="BQ164">
        <f>PART_NUMBER_GENERATOR_TABLE[[#This Row],[Total Hours]]</f>
        <v>0</v>
      </c>
      <c r="BR164">
        <f>PART_NUMBER_GENERATOR_TABLE[[#This Row],[Cost Rate]]</f>
        <v>251.41552370953494</v>
      </c>
      <c r="BS164" s="465">
        <f>PART_NUMBER_GENERATOR_TABLE[[#This Row],[Sell Rate]]+(PART_NUMBER_GENERATOR_TABLE[[#This Row],[Sell Rate]]*MIN(PART_NUMBER_GENERATOR_TABLE[[#This Row],[Rate Service Discount]:[Flat Service Discount]]))</f>
        <v>472.5</v>
      </c>
    </row>
    <row r="165" spans="1:71">
      <c r="A165">
        <v>135</v>
      </c>
      <c r="C165" t="s">
        <v>1078</v>
      </c>
      <c r="D165" t="str" cm="1">
        <f t="array" ref="D165">INDEX(Table.Settings_Skill.List[Skill Name],MATCH(INDEX(_xlfn.TEXTSPLIT(C165,"-",,TRUE),4),Table.Settings_Skill.List[Skill Code],0),1)</f>
        <v>Security</v>
      </c>
      <c r="E165" t="str" cm="1">
        <f t="array" ref="E165">INDEX(_xlfn.TEXTSPLIT(C165,"-",,TRUE),5)</f>
        <v>AC</v>
      </c>
      <c r="F165" t="str">
        <f>IFERROR(INDEX(settings.Table_Engineer.Roles[Department Code],MATCH(PART_NUMBER_GENERATOR_TABLE[[#This Row],[Work Role]],settings.Table_Engineer.Roles[ID],0),1),"PMO")</f>
        <v>CON</v>
      </c>
      <c r="G165" t="str" cm="1">
        <f t="array" ref="G165">INDEX(_xlfn.TEXTSPLIT(C165,"-",,TRUE),6)</f>
        <v>AH</v>
      </c>
      <c r="H165">
        <f>IF(PART_NUMBER_GENERATOR_TABLE[[#This Row],[Tech]]=TRAVEL_CODE,VLOOKUP(TRAVEL_CODE,Settings_Hidden!$A$88:$D$97,3,FALSE),
IF(PART_NUMBER_GENERATOR_TABLE[[#This Row],[Work Type]]="BH",VLOOKUP(PART_NUMBER_GENERATOR_TABLE[[#This Row],[Work Role]],Settings_Hidden!$A$88:$D$97,3,FALSE),
IF(PART_NUMBER_GENERATOR_TABLE[[#This Row],[Work Type]]="AH",VLOOKUP(PART_NUMBER_GENERATOR_TABLE[[#This Row],[Work Role]],Settings_Hidden!$A$88:$D$97,4,FALSE),"ERROR")))</f>
        <v>472.5</v>
      </c>
      <c r="I165">
        <f>IF(PART_NUMBER_GENERATOR_TABLE[[#This Row],[Tech]]=TRAVEL_CODE,VLOOKUP(TRAVEL_CODE,Settings_Hidden!$A$102:$D$111,3,FALSE),
IF(PART_NUMBER_GENERATOR_TABLE[[#This Row],[Work Type]]="BH",VLOOKUP(PART_NUMBER_GENERATOR_TABLE[[#This Row],[Work Role]],Settings_Hidden!$A$101:$D$111,3,FALSE),
IF(PART_NUMBER_GENERATOR_TABLE[[#This Row],[Work Type]]="AH",VLOOKUP(PART_NUMBER_GENERATOR_TABLE[[#This Row],[Work Role]],Settings_Hidden!$A$101:$D$111,4,FALSE),"ERROR")))</f>
        <v>251.41552370953494</v>
      </c>
      <c r="J165" cm="1">
        <f t="array" ref="J165">IF(J$1&lt;&gt;PART_NUMBER_GENERATOR_TABLE[[#This Row],[Work Role]:[Work Role]],0,
IF(RIGHT(J$30,2)&lt;&gt;PART_NUMBER_GENERATOR_TABLE[[#This Row],[Work Type]:[Work Type]],0,
SUMIFS(Input_Tasks[R1 Business Hours],Input_Tasks[[Skill Required]:[Skill Required]],PART_NUMBER_GENERATOR_TABLE[[#This Row],[Tech]:[Tech]])))</f>
        <v>0</v>
      </c>
      <c r="K165" cm="1">
        <f t="array" ref="K165">IF(K$1&lt;&gt;PART_NUMBER_GENERATOR_TABLE[[#This Row],[Work Role]:[Work Role]],0,
IF(RIGHT(K$30,2)&lt;&gt;PART_NUMBER_GENERATOR_TABLE[[#This Row],[Work Type]:[Work Type]],0,
SUMIFS(Input_Tasks[R1 After Hours],Input_Tasks[[Skill Required]:[Skill Required]],PART_NUMBER_GENERATOR_TABLE[[#This Row],[Tech]:[Tech]])))</f>
        <v>0</v>
      </c>
      <c r="L165" cm="1">
        <f t="array" ref="L165">IF(L$1&lt;&gt;PART_NUMBER_GENERATOR_TABLE[[#This Row],[Work Role]:[Work Role]],0,
IF(RIGHT(L$30,2)&lt;&gt;PART_NUMBER_GENERATOR_TABLE[[#This Row],[Work Type]:[Work Type]],0,
SUMIFS(Input_Tasks[R2 Business Hours],Input_Tasks[[Skill Required]:[Skill Required]],PART_NUMBER_GENERATOR_TABLE[[#This Row],[Tech]:[Tech]])))</f>
        <v>0</v>
      </c>
      <c r="M165" cm="1">
        <f t="array" ref="M165">IF(M$1&lt;&gt;PART_NUMBER_GENERATOR_TABLE[[#This Row],[Work Role]:[Work Role]],0,
IF(RIGHT(M$30,2)&lt;&gt;PART_NUMBER_GENERATOR_TABLE[[#This Row],[Work Type]:[Work Type]],0,
SUMIFS(Input_Tasks[R2 After Hours],Input_Tasks[[Skill Required]:[Skill Required]],PART_NUMBER_GENERATOR_TABLE[[#This Row],[Tech]:[Tech]])))</f>
        <v>0</v>
      </c>
      <c r="N165" cm="1">
        <f t="array" ref="N165">IF(N$1&lt;&gt;PART_NUMBER_GENERATOR_TABLE[[#This Row],[Work Role]:[Work Role]],0,
IF(RIGHT(N$30,2)&lt;&gt;PART_NUMBER_GENERATOR_TABLE[[#This Row],[Work Type]:[Work Type]],0,
SUMIFS(Input_Tasks[R3 Business Hours],Input_Tasks[[Skill Required]:[Skill Required]],PART_NUMBER_GENERATOR_TABLE[[#This Row],[Tech]:[Tech]])))</f>
        <v>0</v>
      </c>
      <c r="O165" cm="1">
        <f t="array" ref="O165">IF(O$1&lt;&gt;PART_NUMBER_GENERATOR_TABLE[[#This Row],[Work Role]:[Work Role]],0,
IF(RIGHT(O$30,2)&lt;&gt;PART_NUMBER_GENERATOR_TABLE[[#This Row],[Work Type]:[Work Type]],0,
SUMIFS(Input_Tasks[R3 After Hours],Input_Tasks[[Skill Required]:[Skill Required]],PART_NUMBER_GENERATOR_TABLE[[#This Row],[Tech]:[Tech]])))</f>
        <v>0</v>
      </c>
      <c r="P165" cm="1">
        <f t="array" ref="P165">IF(P$1&lt;&gt;PART_NUMBER_GENERATOR_TABLE[[#This Row],[Work Role]:[Work Role]],0,
IF(RIGHT(P$30,2)&lt;&gt;PART_NUMBER_GENERATOR_TABLE[[#This Row],[Work Type]:[Work Type]],0,
SUMIFS(Input_Tasks[R4 Business Hours],Input_Tasks[[Skill Required]:[Skill Required]],PART_NUMBER_GENERATOR_TABLE[[#This Row],[Tech]:[Tech]])))</f>
        <v>0</v>
      </c>
      <c r="Q165" cm="1">
        <f t="array" ref="Q165">IF(Q$1&lt;&gt;PART_NUMBER_GENERATOR_TABLE[[#This Row],[Work Role]:[Work Role]],0,
IF(RIGHT(Q$30,2)&lt;&gt;PART_NUMBER_GENERATOR_TABLE[[#This Row],[Work Type]:[Work Type]],0,
SUMIFS(Input_Tasks[R4 After Hours],Input_Tasks[[Skill Required]:[Skill Required]],PART_NUMBER_GENERATOR_TABLE[[#This Row],[Tech]:[Tech]])))</f>
        <v>0</v>
      </c>
      <c r="R165" cm="1">
        <f t="array" ref="R165">IF(R$1&lt;&gt;PART_NUMBER_GENERATOR_TABLE[[#This Row],[Work Role]:[Work Role]],0,
IF(RIGHT(R$30,2)&lt;&gt;PART_NUMBER_GENERATOR_TABLE[[#This Row],[Work Type]:[Work Type]],0,
SUMIFS(Input_Tasks[R5 Business Hours],Input_Tasks[[Skill Required]:[Skill Required]],PART_NUMBER_GENERATOR_TABLE[[#This Row],[Tech]:[Tech]])))</f>
        <v>0</v>
      </c>
      <c r="S165" cm="1">
        <f t="array" ref="S165">IF(S$1&lt;&gt;PART_NUMBER_GENERATOR_TABLE[[#This Row],[Work Role]:[Work Role]],0,
IF(RIGHT(S$30,2)&lt;&gt;PART_NUMBER_GENERATOR_TABLE[[#This Row],[Work Type]:[Work Type]],0,
SUMIFS(Input_Tasks[R5 After Hours],Input_Tasks[[Skill Required]:[Skill Required]],PART_NUMBER_GENERATOR_TABLE[[#This Row],[Tech]:[Tech]])))</f>
        <v>0</v>
      </c>
      <c r="T165" cm="1">
        <f t="array" ref="T165">IF(PART_NUMBER_GENERATOR_TABLE[[#This Row],[Work Role]:[Work Role]]&lt;&gt;T$1,0,
IF(PART_NUMBER_GENERATOR_TABLE[[#This Row],[Work Type]:[Work Type]]&lt;&gt;"BH",0,
SUMIFS(T$9:T$24,$M$9:$M$24,PART_NUMBER_GENERATOR_TABLE[[#This Row],[Tech]:[Tech]])))</f>
        <v>0</v>
      </c>
      <c r="U165" cm="1">
        <f t="array" ref="U165">IF(PART_NUMBER_GENERATOR_TABLE[[#This Row],[Work Role]:[Work Role]]&lt;&gt;U$1,0,
IF(PART_NUMBER_GENERATOR_TABLE[[#This Row],[Work Type]:[Work Type]]&lt;&gt;"BH",0,
SUMIFS(U$9:U$24,$M$9:$M$24,PART_NUMBER_GENERATOR_TABLE[[#This Row],[Tech]:[Tech]])))</f>
        <v>0</v>
      </c>
      <c r="V165" cm="1">
        <f t="array" ref="V165">IF(PART_NUMBER_GENERATOR_TABLE[[#This Row],[Work Role]:[Work Role]]&lt;&gt;V$1,0,
IF(PART_NUMBER_GENERATOR_TABLE[[#This Row],[Work Type]:[Work Type]]&lt;&gt;"BH",0,
SUMIFS(V$9:V$24,$M$9:$M$24,PART_NUMBER_GENERATOR_TABLE[[#This Row],[Tech]:[Tech]])))</f>
        <v>0</v>
      </c>
      <c r="W165" cm="1">
        <f t="array" ref="W165">IF(PART_NUMBER_GENERATOR_TABLE[[#This Row],[Work Role]:[Work Role]]&lt;&gt;W$1,0,
IF(PART_NUMBER_GENERATOR_TABLE[[#This Row],[Work Type]:[Work Type]]&lt;&gt;"BH",0,
SUMIFS(W$9:W$24,$M$9:$M$24,PART_NUMBER_GENERATOR_TABLE[[#This Row],[Tech]:[Tech]])))</f>
        <v>0</v>
      </c>
      <c r="X165" cm="1">
        <f t="array" ref="X165">IF(PART_NUMBER_GENERATOR_TABLE[[#This Row],[Work Role]:[Work Role]]&lt;&gt;X$1,0,
IF(PART_NUMBER_GENERATOR_TABLE[[#This Row],[Work Type]:[Work Type]]&lt;&gt;"BH",0,
SUMIFS(X$9:X$24,$M$9:$M$24,PART_NUMBER_GENERATOR_TABLE[[#This Row],[Tech]:[Tech]])))</f>
        <v>0</v>
      </c>
      <c r="Y165" cm="1">
        <f t="array" ref="Y165">IF(PART_NUMBER_GENERATOR_TABLE[[#This Row],[Work Role]:[Work Role]]&lt;&gt;Y$1,0,
IF(PART_NUMBER_GENERATOR_TABLE[[#This Row],[Work Type]:[Work Type]]&lt;&gt;"BH",0,
SUMIFS(Y$9:Y$24,$M$9:$M$24,PART_NUMBER_GENERATOR_TABLE[[#This Row],[Tech]:[Tech]])))</f>
        <v>0</v>
      </c>
      <c r="Z165" cm="1">
        <f t="array" ref="Z165">IF(PART_NUMBER_GENERATOR_TABLE[[#This Row],[Work Role]:[Work Role]]&lt;&gt;Z$1,0,
IF(PART_NUMBER_GENERATOR_TABLE[[#This Row],[Work Type]:[Work Type]]&lt;&gt;"BH",0,
SUMIFS(Z$9:Z$24,$M$9:$M$24,PART_NUMBER_GENERATOR_TABLE[[#This Row],[Tech]:[Tech]])))</f>
        <v>0</v>
      </c>
      <c r="AA165" cm="1">
        <f t="array" ref="AA165">IF(PART_NUMBER_GENERATOR_TABLE[[#This Row],[Work Role]:[Work Role]]&lt;&gt;AA$1,0,
IF(PART_NUMBER_GENERATOR_TABLE[[#This Row],[Work Type]:[Work Type]]&lt;&gt;"BH",0,
SUMIFS(AA$9:AA$24,$M$9:$M$24,PART_NUMBER_GENERATOR_TABLE[[#This Row],[Tech]:[Tech]])))</f>
        <v>0</v>
      </c>
      <c r="AB165" cm="1">
        <f t="array" ref="AB165">IF(PART_NUMBER_GENERATOR_TABLE[[#This Row],[Work Role]:[Work Role]]&lt;&gt;AB$1,0,
IF(PART_NUMBER_GENERATOR_TABLE[[#This Row],[Work Type]:[Work Type]]&lt;&gt;"BH",0,
SUMIFS(AB$9:AB$24,$M$9:$M$24,PART_NUMBER_GENERATOR_TABLE[[#This Row],[Tech]:[Tech]])))</f>
        <v>0</v>
      </c>
      <c r="AC165" cm="1">
        <f t="array" ref="AC165">IF(PART_NUMBER_GENERATOR_TABLE[[#This Row],[Work Role]:[Work Role]]&lt;&gt;AC$1,0,
IF(PART_NUMBER_GENERATOR_TABLE[[#This Row],[Work Type]:[Work Type]]&lt;&gt;"BH",0,
SUMIFS(AC$9:AC$24,$M$9:$M$24,PART_NUMBER_GENERATOR_TABLE[[#This Row],[Tech]:[Tech]])))</f>
        <v>0</v>
      </c>
      <c r="AD165" cm="1">
        <f t="array" ref="AD165">IF(PART_NUMBER_GENERATOR_TABLE[[#This Row],[Work Role]:[Work Role]]&lt;&gt;AD$1,0,
IF(PART_NUMBER_GENERATOR_TABLE[[#This Row],[Work Type]:[Work Type]]&lt;&gt;"BH",0,
SUMIFS(AD$9:AD$24,$M$9:$M$24,PART_NUMBER_GENERATOR_TABLE[[#This Row],[Tech]:[Tech]])))</f>
        <v>0</v>
      </c>
      <c r="AE165" cm="1">
        <f t="array" ref="AE165">IF(PART_NUMBER_GENERATOR_TABLE[[#This Row],[Work Role]:[Work Role]]&lt;&gt;AE$1,0,
IF(PART_NUMBER_GENERATOR_TABLE[[#This Row],[Work Type]:[Work Type]]&lt;&gt;"BH",0,
SUMIFS(AE$9:AE$24,$M$9:$M$24,PART_NUMBER_GENERATOR_TABLE[[#This Row],[Tech]:[Tech]])))</f>
        <v>0</v>
      </c>
      <c r="AF165" cm="1">
        <f t="array" ref="AF165">IF(PART_NUMBER_GENERATOR_TABLE[[#This Row],[Work Role]:[Work Role]]&lt;&gt;AF$1,0,
IF(PART_NUMBER_GENERATOR_TABLE[[#This Row],[Work Type]:[Work Type]]&lt;&gt;"BH",0,
SUMIFS(AF$9:AF$24,$M$9:$M$24,PART_NUMBER_GENERATOR_TABLE[[#This Row],[Tech]:[Tech]])))</f>
        <v>0</v>
      </c>
      <c r="AG165" cm="1">
        <f t="array" ref="AG165">IF(PART_NUMBER_GENERATOR_TABLE[[#This Row],[Work Role]:[Work Role]]&lt;&gt;AG$1,0,
IF(PART_NUMBER_GENERATOR_TABLE[[#This Row],[Work Type]:[Work Type]]&lt;&gt;"AH",0,
SUMIFS(AG$9:AG$24,$M$9:$M$24,PART_NUMBER_GENERATOR_TABLE[[#This Row],[Tech]:[Tech]])))</f>
        <v>0</v>
      </c>
      <c r="AH165" cm="1">
        <f t="array" ref="AH165">IF(PART_NUMBER_GENERATOR_TABLE[[#This Row],[Work Role]:[Work Role]]&lt;&gt;AH$1,0,
IF(PART_NUMBER_GENERATOR_TABLE[[#This Row],[Work Type]:[Work Type]]&lt;&gt;"BH",0,
SUMIFS(AH$9:AH$24,$M$9:$M$24,PART_NUMBER_GENERATOR_TABLE[[#This Row],[Tech]:[Tech]])))</f>
        <v>0</v>
      </c>
      <c r="AI165" cm="1">
        <f t="array" ref="AI165">IF(PART_NUMBER_GENERATOR_TABLE[[#This Row],[Work Role]:[Work Role]]&lt;&gt;AI$1,0,
IF(PART_NUMBER_GENERATOR_TABLE[[#This Row],[Work Type]:[Work Type]]&lt;&gt;"BH",0,
SUMIFS(AI$9:AI$24,$M$9:$M$24,PART_NUMBER_GENERATOR_TABLE[[#This Row],[Tech]:[Tech]])))</f>
        <v>0</v>
      </c>
      <c r="AJ165" cm="1">
        <f t="array" ref="AJ165">IF(PART_NUMBER_GENERATOR_TABLE[[#This Row],[Work Role]:[Work Role]]&lt;&gt;AJ$1,0,
IF(PART_NUMBER_GENERATOR_TABLE[[#This Row],[Work Type]:[Work Type]]&lt;&gt;"BH",0,
SUMIFS(AJ$9:AJ$24,$M$9:$M$24,PART_NUMBER_GENERATOR_TABLE[[#This Row],[Tech]:[Tech]])))</f>
        <v>0</v>
      </c>
      <c r="AK165" cm="1">
        <f t="array" ref="AK165">IF(PART_NUMBER_GENERATOR_TABLE[[#This Row],[Work Role]:[Work Role]]&lt;&gt;AK$1,0,
IF(PART_NUMBER_GENERATOR_TABLE[[#This Row],[Work Type]:[Work Type]]&lt;&gt;"AH",0,
SUMIFS(AK$9:AK$24,$M$9:$M$24,PART_NUMBER_GENERATOR_TABLE[[#This Row],[Tech]:[Tech]])))</f>
        <v>0</v>
      </c>
      <c r="AL165" cm="1">
        <f t="array" ref="AL165">IF(PART_NUMBER_GENERATOR_TABLE[[#This Row],[Work Role]:[Work Role]]&lt;&gt;AL$1,0,
IF(PART_NUMBER_GENERATOR_TABLE[[#This Row],[Work Type]:[Work Type]]&lt;&gt;"BH",0,
SUMIFS(AL$9:AL$24,$M$9:$M$24,PART_NUMBER_GENERATOR_TABLE[[#This Row],[Tech]:[Tech]])))</f>
        <v>0</v>
      </c>
      <c r="AM165">
        <f>0</f>
        <v>0</v>
      </c>
      <c r="AN165" cm="1">
        <f t="array" ref="AN165">IF(PART_NUMBER_GENERATOR_TABLE[[#This Row],[Work Role]:[Work Role]]&lt;&gt;AN$1,0,
IF(PART_NUMBER_GENERATOR_TABLE[[#This Row],[Work Type]:[Work Type]]&lt;&gt;"BH",0,
SUMIFS(AN$24,$AM$24,PART_NUMBER_GENERATOR_TABLE[[#This Row],[Tech]:[Tech]])))</f>
        <v>0</v>
      </c>
      <c r="AO165" cm="1">
        <f t="array" ref="AO165">IF(PART_NUMBER_GENERATOR_TABLE[[#This Row],[Work Role]:[Work Role]]&lt;&gt;AO$1,0,
IF(PART_NUMBER_GENERATOR_TABLE[[#This Row],[Work Type]:[Work Type]]&lt;&gt;"BH",0,
SUMIFS(AO$24,$AM$24,PART_NUMBER_GENERATOR_TABLE[[#This Row],[Tech]:[Tech]])))</f>
        <v>0</v>
      </c>
      <c r="AP165" cm="1">
        <f t="array" ref="AP165">IF(PART_NUMBER_GENERATOR_TABLE[[#This Row],[Work Role]:[Work Role]]&lt;&gt;AP$1,0,
IF(PART_NUMBER_GENERATOR_TABLE[[#This Row],[Work Type]:[Work Type]]&lt;&gt;"BH",0,
SUMIFS(AP$24,$AM$24,PART_NUMBER_GENERATOR_TABLE[[#This Row],[Tech]:[Tech]])))</f>
        <v>0</v>
      </c>
      <c r="AQ165" cm="1">
        <f t="array" ref="AQ165">IF(PART_NUMBER_GENERATOR_TABLE[[#This Row],[Work Role]:[Work Role]]&lt;&gt;AQ$1,0,
IF(PART_NUMBER_GENERATOR_TABLE[[#This Row],[Work Type]:[Work Type]]&lt;&gt;"BH",0,
SUMIFS(AQ$24,$AM$24,PART_NUMBER_GENERATOR_TABLE[[#This Row],[Tech]:[Tech]])))</f>
        <v>0</v>
      </c>
      <c r="AR165" cm="1">
        <f t="array" ref="AR165">IF(PART_NUMBER_GENERATOR_TABLE[[#This Row],[Work Role]:[Work Role]]&lt;&gt;AR$1,0,
IF(PART_NUMBER_GENERATOR_TABLE[[#This Row],[Work Type]:[Work Type]]&lt;&gt;"BH",0,
SUMIFS(AR$24,$AM$24,PART_NUMBER_GENERATOR_TABLE[[#This Row],[Tech]:[Tech]])))</f>
        <v>0</v>
      </c>
      <c r="AS165" cm="1">
        <f t="array" ref="AS165">IF(PART_NUMBER_GENERATOR_TABLE[[#This Row],[Work Role]:[Work Role]]&lt;&gt;AS$1,0,
IF(PART_NUMBER_GENERATOR_TABLE[[#This Row],[Work Type]:[Work Type]]&lt;&gt;"BH",0,
SUMIFS(AS$24,$AM$24,PART_NUMBER_GENERATOR_TABLE[[#This Row],[Tech]:[Tech]])))</f>
        <v>0</v>
      </c>
      <c r="AT165" cm="1">
        <f t="array" ref="AT165">IF(PART_NUMBER_GENERATOR_TABLE[[#This Row],[Work Role]:[Work Role]]&lt;&gt;AS$1,0,
IF(PART_NUMBER_GENERATOR_TABLE[[#This Row],[Work Type]:[Work Type]]&lt;&gt;"BH",0,
SUMIFS(AT$24,$AM$24,PART_NUMBER_GENERATOR_TABLE[[#This Row],[Tech]:[Tech]])))</f>
        <v>0</v>
      </c>
      <c r="AU165">
        <f>SUM(PART_NUMBER_GENERATOR_TABLE[[#This Row],[Resource 1 BH]:[Resource 5 AH]],PART_NUMBER_GENERATOR_TABLE[[#This Row],[R1 Mandatory Tasks]:[R5 Mandatory Tasks]],PART_NUMBER_GENERATOR_TABLE[[#This Row],[R1 Remainder]:[R5 Remainder]])</f>
        <v>0</v>
      </c>
      <c r="AV165">
        <f>PART_NUMBER_GENERATOR_TABLE[[#This Row],[Professional Engineering Hours]]*PART_NUMBER_GENERATOR_TABLE[[#This Row],[Sell Rate]]</f>
        <v>0</v>
      </c>
      <c r="AW165">
        <f>PART_NUMBER_GENERATOR_TABLE[[#This Row],[Professional Engineering Hours]]*PART_NUMBER_GENERATOR_TABLE[[#This Row],[Cost Rate]]</f>
        <v>0</v>
      </c>
      <c r="AX165">
        <f>SUM(PART_NUMBER_GENERATOR_TABLE[[#This Row],[PM Trips]:[R5 Trips]])</f>
        <v>0</v>
      </c>
      <c r="AY165">
        <f>PART_NUMBER_GENERATOR_TABLE[[#This Row],[Travel &amp; Accommodation Hours]]*PART_NUMBER_GENERATOR_TABLE[[#This Row],[Sell Rate]]</f>
        <v>0</v>
      </c>
      <c r="AZ165">
        <f>PART_NUMBER_GENERATOR_TABLE[[#This Row],[Travel &amp; Accommodation Hours]]*PART_NUMBER_GENERATOR_TABLE[[#This Row],[Cost Rate]]</f>
        <v>0</v>
      </c>
      <c r="BA165">
        <f>PART_NUMBER_GENERATOR_TABLE[[#This Row],[PM Hours]]+PART_NUMBER_GENERATOR_TABLE[[#This Row],[PM Remainder]]</f>
        <v>0</v>
      </c>
      <c r="BB165">
        <f>PART_NUMBER_GENERATOR_TABLE[[#This Row],[Project Management Hours]]*PART_NUMBER_GENERATOR_TABLE[[#This Row],[Sell Rate]]</f>
        <v>0</v>
      </c>
      <c r="BC165">
        <f>PART_NUMBER_GENERATOR_TABLE[[#This Row],[Project Management Hours]]*PART_NUMBER_GENERATOR_TABLE[[#This Row],[Cost Rate]]</f>
        <v>0</v>
      </c>
      <c r="BD165">
        <f>SUM(PART_NUMBER_GENERATOR_TABLE[[#This Row],[SSE RISK BH]:[PM RISK]],PART_NUMBER_GENERATOR_TABLE[[#This Row],[SSE Remainder RISK BH]:[PM Remainder RISK]])</f>
        <v>0</v>
      </c>
      <c r="BE165">
        <f>PART_NUMBER_GENERATOR_TABLE[[#This Row],[Project Risk Service Hours]]*PART_NUMBER_GENERATOR_TABLE[[#This Row],[Sell Rate]]</f>
        <v>0</v>
      </c>
      <c r="BF165">
        <f>PART_NUMBER_GENERATOR_TABLE[[#This Row],[Project Risk Service Hours]]*PART_NUMBER_GENERATOR_TABLE[[#This Row],[Cost Rate]]</f>
        <v>0</v>
      </c>
      <c r="BG165">
        <f>PART_NUMBER_GENERATOR_TABLE[[#This Row],[SSE RISK TRAVEL]]</f>
        <v>0</v>
      </c>
      <c r="BH165">
        <f>PART_NUMBER_GENERATOR_TABLE[[#This Row],[Sell Rate]]*PART_NUMBER_GENERATOR_TABLE[[#This Row],[Project Risk Travel Hours]]</f>
        <v>0</v>
      </c>
      <c r="BI165">
        <f>PART_NUMBER_GENERATOR_TABLE[[#This Row],[Project Risk Travel Hours]]*PART_NUMBER_GENERATOR_TABLE[[#This Row],[Cost Rate]]</f>
        <v>0</v>
      </c>
      <c r="BJ165">
        <f>PART_NUMBER_GENERATOR_TABLE[[#This Row],[Professional Engineering Hours]]+PART_NUMBER_GENERATOR_TABLE[[#This Row],[Travel &amp; Accommodation Hours]]+PART_NUMBER_GENERATOR_TABLE[[#This Row],[Project Management Hours]]+PART_NUMBER_GENERATOR_TABLE[[#This Row],[Project Risk Service Hours]]+PART_NUMBER_GENERATOR_TABLE[[#This Row],[Project Risk Travel Hours]]</f>
        <v>0</v>
      </c>
      <c r="BK165">
        <f>PART_NUMBER_GENERATOR_TABLE[[#This Row],[Professional Engineering Price]]+PART_NUMBER_GENERATOR_TABLE[[#This Row],[Project Management Price]]+PART_NUMBER_GENERATOR_TABLE[[#This Row],[Travel &amp; Accommodation Price]]+PART_NUMBER_GENERATOR_TABLE[[#This Row],[Project Risk Service Price]]+PART_NUMBER_GENERATOR_TABLE[[#This Row],[Project Risk Travel Price]]</f>
        <v>0</v>
      </c>
      <c r="BL165">
        <f>IFERROR(-VLOOKUP(INDEX(ENGINEER_ROLES,MATCH(PART_NUMBER_GENERATOR_TABLE[[#This Row],[Work Role]],settings.Table_Engineer.Roles[ID],0),1),Settings_Hidden!$H$359:$K$366,4,FALSE),0)</f>
        <v>0</v>
      </c>
      <c r="BM165" s="680">
        <f>-Summary!$C$66</f>
        <v>0</v>
      </c>
      <c r="BN165" s="465">
        <f>PART_NUMBER_GENERATOR_TABLE[[#This Row],[Total Base Price]]*MIN(PART_NUMBER_GENERATOR_TABLE[[#This Row],[Rate Service Discount]:[Flat Service Discount]])</f>
        <v>0</v>
      </c>
      <c r="BO165" s="451" t="str">
        <f>IF(PART_NUMBER_GENERATOR_TABLE[[#This Row],[Quantity]]&lt;&gt;0,MAX($BO$30:BO164)+1,"")</f>
        <v/>
      </c>
      <c r="BP165" t="str">
        <f>PART_NUMBER_GENERATOR_TABLE[[#This Row],[Part Number]]</f>
        <v>A-PS-C-SECNET-AC-AH</v>
      </c>
      <c r="BQ165">
        <f>PART_NUMBER_GENERATOR_TABLE[[#This Row],[Total Hours]]</f>
        <v>0</v>
      </c>
      <c r="BR165">
        <f>PART_NUMBER_GENERATOR_TABLE[[#This Row],[Cost Rate]]</f>
        <v>251.41552370953494</v>
      </c>
      <c r="BS165" s="465">
        <f>PART_NUMBER_GENERATOR_TABLE[[#This Row],[Sell Rate]]+(PART_NUMBER_GENERATOR_TABLE[[#This Row],[Sell Rate]]*MIN(PART_NUMBER_GENERATOR_TABLE[[#This Row],[Rate Service Discount]:[Flat Service Discount]]))</f>
        <v>472.5</v>
      </c>
    </row>
    <row r="166" spans="1:71">
      <c r="A166">
        <v>136</v>
      </c>
    </row>
    <row r="167" spans="1:71">
      <c r="A167">
        <v>137</v>
      </c>
      <c r="BD167" s="451"/>
    </row>
    <row r="168" spans="1:71">
      <c r="A168">
        <v>138</v>
      </c>
    </row>
    <row r="169" spans="1:71">
      <c r="A169">
        <v>139</v>
      </c>
    </row>
    <row r="170" spans="1:71">
      <c r="A170">
        <v>140</v>
      </c>
    </row>
    <row r="171" spans="1:71">
      <c r="A171">
        <v>141</v>
      </c>
    </row>
    <row r="172" spans="1:71">
      <c r="A172">
        <v>142</v>
      </c>
    </row>
    <row r="173" spans="1:71">
      <c r="A173">
        <v>143</v>
      </c>
    </row>
    <row r="174" spans="1:71">
      <c r="A174">
        <v>144</v>
      </c>
    </row>
    <row r="175" spans="1:71">
      <c r="A175">
        <v>145</v>
      </c>
    </row>
    <row r="176" spans="1:71">
      <c r="A176">
        <v>146</v>
      </c>
    </row>
    <row r="177" spans="1:1">
      <c r="A177">
        <v>147</v>
      </c>
    </row>
    <row r="178" spans="1:1">
      <c r="A178">
        <v>148</v>
      </c>
    </row>
    <row r="179" spans="1:1">
      <c r="A179">
        <v>149</v>
      </c>
    </row>
    <row r="180" spans="1:1">
      <c r="A180">
        <v>150</v>
      </c>
    </row>
  </sheetData>
  <phoneticPr fontId="1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12A19-D086-4EFD-9781-DE03E8FC0501}">
  <sheetPr codeName="Sheet12"/>
  <dimension ref="A1:AO716"/>
  <sheetViews>
    <sheetView topLeftCell="A336" zoomScale="70" zoomScaleNormal="100" workbookViewId="0">
      <selection activeCell="J366" sqref="J366"/>
    </sheetView>
  </sheetViews>
  <sheetFormatPr defaultRowHeight="15.6"/>
  <cols>
    <col min="1" max="1" width="31.3984375" style="61" customWidth="1"/>
    <col min="2" max="2" width="39.59765625" bestFit="1" customWidth="1"/>
    <col min="3" max="4" width="25.09765625" customWidth="1"/>
    <col min="5" max="5" width="51" bestFit="1" customWidth="1"/>
    <col min="6" max="6" width="25.09765625" customWidth="1"/>
    <col min="7" max="7" width="21" customWidth="1"/>
    <col min="8" max="8" width="16" bestFit="1" customWidth="1"/>
    <col min="9" max="9" width="10.69921875" bestFit="1" customWidth="1"/>
    <col min="21" max="21" width="15" customWidth="1"/>
    <col min="22" max="22" width="32.8984375" customWidth="1"/>
  </cols>
  <sheetData>
    <row r="1" spans="1:3" ht="23.4">
      <c r="A1" s="2" t="s">
        <v>206</v>
      </c>
    </row>
    <row r="2" spans="1:3" s="521" customFormat="1">
      <c r="A2" s="520" t="s">
        <v>1271</v>
      </c>
      <c r="B2" s="522"/>
      <c r="C2" s="522"/>
    </row>
    <row r="3" spans="1:3">
      <c r="A3" s="61" t="s">
        <v>1272</v>
      </c>
      <c r="B3" t="s">
        <v>1273</v>
      </c>
    </row>
    <row r="5" spans="1:3" s="521" customFormat="1">
      <c r="A5" s="520" t="s">
        <v>832</v>
      </c>
      <c r="B5" s="522"/>
      <c r="C5" s="522"/>
    </row>
    <row r="6" spans="1:3">
      <c r="A6" s="60" t="s">
        <v>661</v>
      </c>
      <c r="B6" s="510" t="s">
        <v>798</v>
      </c>
      <c r="C6" s="510" t="s">
        <v>799</v>
      </c>
    </row>
    <row r="7" spans="1:3">
      <c r="A7" s="61" t="s">
        <v>800</v>
      </c>
      <c r="B7" t="s">
        <v>728</v>
      </c>
      <c r="C7" s="582" t="s">
        <v>801</v>
      </c>
    </row>
    <row r="8" spans="1:3">
      <c r="A8" s="61" t="s">
        <v>794</v>
      </c>
      <c r="B8" t="s">
        <v>729</v>
      </c>
      <c r="C8" s="582" t="s">
        <v>802</v>
      </c>
    </row>
    <row r="9" spans="1:3">
      <c r="A9" s="61" t="s">
        <v>795</v>
      </c>
      <c r="B9" t="s">
        <v>728</v>
      </c>
      <c r="C9" s="582" t="s">
        <v>801</v>
      </c>
    </row>
    <row r="10" spans="1:3">
      <c r="A10" s="61" t="s">
        <v>796</v>
      </c>
      <c r="B10" t="s">
        <v>805</v>
      </c>
      <c r="C10" s="582" t="s">
        <v>803</v>
      </c>
    </row>
    <row r="11" spans="1:3">
      <c r="A11" s="61" t="s">
        <v>797</v>
      </c>
      <c r="B11" t="s">
        <v>727</v>
      </c>
      <c r="C11" s="582" t="s">
        <v>804</v>
      </c>
    </row>
    <row r="16" spans="1:3" s="521" customFormat="1">
      <c r="A16" s="520" t="s">
        <v>172</v>
      </c>
      <c r="B16" s="522" t="s">
        <v>173</v>
      </c>
      <c r="C16" s="522" t="s">
        <v>40</v>
      </c>
    </row>
    <row r="17" spans="1:3" ht="62.4">
      <c r="A17" s="61" t="s">
        <v>325</v>
      </c>
      <c r="B17" s="29" t="s">
        <v>86</v>
      </c>
      <c r="C17" s="59" t="s">
        <v>85</v>
      </c>
    </row>
    <row r="18" spans="1:3" ht="46.8">
      <c r="A18" s="61" t="s">
        <v>466</v>
      </c>
      <c r="B18" s="29" t="s">
        <v>87</v>
      </c>
      <c r="C18" s="59" t="s">
        <v>88</v>
      </c>
    </row>
    <row r="20" spans="1:3">
      <c r="A20"/>
    </row>
    <row r="21" spans="1:3" ht="17.399999999999999">
      <c r="A21" s="61" t="s">
        <v>709</v>
      </c>
      <c r="B21" s="83" t="s">
        <v>669</v>
      </c>
      <c r="C21" s="475" t="b">
        <v>0</v>
      </c>
    </row>
    <row r="22" spans="1:3">
      <c r="A22" s="61" t="s">
        <v>336</v>
      </c>
      <c r="B22" s="273">
        <f>SUM(Settings_Hidden!C182:C186)</f>
        <v>0</v>
      </c>
    </row>
    <row r="23" spans="1:3" ht="31.2">
      <c r="A23" s="61" t="s">
        <v>337</v>
      </c>
      <c r="B23" s="273">
        <f>VLOOKUP(B22,$B$25:$C$29,2,TRUE)</f>
        <v>0.1</v>
      </c>
    </row>
    <row r="24" spans="1:3">
      <c r="B24" s="29" t="str">
        <f t="shared" ref="B24:B29" si="0">B150</f>
        <v>Project Engineer Hours</v>
      </c>
      <c r="C24" t="s">
        <v>335</v>
      </c>
    </row>
    <row r="25" spans="1:3">
      <c r="B25" s="273">
        <f t="shared" si="0"/>
        <v>0</v>
      </c>
      <c r="C25" s="81">
        <v>0.1</v>
      </c>
    </row>
    <row r="26" spans="1:3">
      <c r="B26" s="273">
        <f t="shared" si="0"/>
        <v>10</v>
      </c>
      <c r="C26" s="81">
        <v>0.2</v>
      </c>
    </row>
    <row r="27" spans="1:3">
      <c r="B27" s="273">
        <f t="shared" si="0"/>
        <v>35</v>
      </c>
      <c r="C27" s="81">
        <v>0.4</v>
      </c>
    </row>
    <row r="28" spans="1:3">
      <c r="B28" s="273">
        <f t="shared" si="0"/>
        <v>100</v>
      </c>
      <c r="C28" s="81">
        <v>0.6</v>
      </c>
    </row>
    <row r="29" spans="1:3">
      <c r="B29" s="273">
        <f t="shared" si="0"/>
        <v>200</v>
      </c>
      <c r="C29" s="81">
        <v>0.8</v>
      </c>
    </row>
    <row r="30" spans="1:3">
      <c r="B30" s="334"/>
      <c r="C30" s="81"/>
    </row>
    <row r="31" spans="1:3">
      <c r="B31" s="335"/>
      <c r="C31" s="336"/>
    </row>
    <row r="32" spans="1:3">
      <c r="B32" s="335" t="s">
        <v>760</v>
      </c>
      <c r="C32" s="337">
        <f>COUNTIF(Settings_Hidden!$C$182:$C$186,"&gt;"&amp;0)</f>
        <v>0</v>
      </c>
    </row>
    <row r="33" spans="1:3">
      <c r="B33" s="83" t="s">
        <v>98</v>
      </c>
      <c r="C33" s="337">
        <f>1+COUNTIF(Settings_Hidden!$C$182:$C$186,"&gt;"&amp;0)</f>
        <v>1</v>
      </c>
    </row>
    <row r="34" spans="1:3">
      <c r="A34" s="60"/>
      <c r="B34" s="96"/>
      <c r="C34" s="374"/>
    </row>
    <row r="35" spans="1:3" s="521" customFormat="1">
      <c r="A35" s="523" t="s">
        <v>419</v>
      </c>
    </row>
    <row r="36" spans="1:3">
      <c r="B36" s="273" t="s">
        <v>420</v>
      </c>
      <c r="C36" s="81" t="s">
        <v>732</v>
      </c>
    </row>
    <row r="37" spans="1:3">
      <c r="B37" s="273" t="s">
        <v>421</v>
      </c>
      <c r="C37" s="81" t="s">
        <v>425</v>
      </c>
    </row>
    <row r="38" spans="1:3">
      <c r="B38" s="273" t="s">
        <v>422</v>
      </c>
      <c r="C38" s="81" t="s">
        <v>733</v>
      </c>
    </row>
    <row r="39" spans="1:3">
      <c r="B39" s="273" t="s">
        <v>423</v>
      </c>
      <c r="C39" s="81" t="s">
        <v>730</v>
      </c>
    </row>
    <row r="40" spans="1:3">
      <c r="B40" s="273" t="s">
        <v>424</v>
      </c>
      <c r="C40" s="81" t="s">
        <v>731</v>
      </c>
    </row>
    <row r="41" spans="1:3">
      <c r="A41"/>
    </row>
    <row r="42" spans="1:3" s="521" customFormat="1" ht="31.2">
      <c r="A42" s="520" t="s">
        <v>253</v>
      </c>
    </row>
    <row r="43" spans="1:3" ht="31.2">
      <c r="A43" s="61" t="s">
        <v>214</v>
      </c>
      <c r="B43" s="68">
        <v>3</v>
      </c>
    </row>
    <row r="44" spans="1:3" ht="46.8">
      <c r="A44" s="61" t="s">
        <v>215</v>
      </c>
      <c r="B44" s="68">
        <v>2.5000000000000001E-2</v>
      </c>
    </row>
    <row r="45" spans="1:3">
      <c r="A45" s="61" t="s">
        <v>216</v>
      </c>
      <c r="B45" s="68">
        <v>0.5</v>
      </c>
    </row>
    <row r="46" spans="1:3" ht="31.2">
      <c r="A46" s="61" t="s">
        <v>217</v>
      </c>
      <c r="B46" s="68">
        <v>0.01</v>
      </c>
    </row>
    <row r="48" spans="1:3" s="521" customFormat="1" ht="31.2">
      <c r="A48" s="520" t="s">
        <v>341</v>
      </c>
    </row>
    <row r="49" spans="1:5">
      <c r="B49" s="510" t="s">
        <v>661</v>
      </c>
      <c r="C49" s="510" t="s">
        <v>720</v>
      </c>
      <c r="D49" s="510" t="s">
        <v>788</v>
      </c>
      <c r="E49" s="510" t="s">
        <v>1199</v>
      </c>
    </row>
    <row r="50" spans="1:5">
      <c r="B50" t="str">
        <f>B88</f>
        <v>Technical Assistant</v>
      </c>
      <c r="C50" t="s">
        <v>721</v>
      </c>
      <c r="D50">
        <f>SUMIFS(Table6[Hours],Table6[Type],settings.Table_Engineer.Roles[[#This Row],[Role]])
+IF(settings.Table_Engineer.Roles[[#This Row],[Role]]=RESOURCE_1_TYPE,SUM(Input_Tasks[[R1 Business Hours]:[R1 After Hours]]))
+IF(settings.Table_Engineer.Roles[[#This Row],[Role]]=RESOURCE_2_TYPE,SUM(Input_Tasks[[R2 Business Hours]:[R2 After Hours]]))
+IF(settings.Table_Engineer.Roles[[#This Row],[Role]]=RESOURCE_3_TYPE,SUM(Input_Tasks[[R3 Business Hours]:[R3 After Hours]]))
+IF(settings.Table_Engineer.Roles[[#This Row],[Role]]=RESOURCE_4_TYPE,SUM(Input_Tasks[[R4 Business Hours]:[R4 After Hours]]))
+IF(settings.Table_Engineer.Roles[[#This Row],[Role]]=RESOURCE_5_TYPE,SUM(Input_Tasks[[R5 Business Hours]:[R5 After Hours]]))</f>
        <v>0</v>
      </c>
      <c r="E50" t="s">
        <v>1200</v>
      </c>
    </row>
    <row r="51" spans="1:5">
      <c r="B51" t="str">
        <f>B89</f>
        <v>Systems Engineer (Professional Services)</v>
      </c>
      <c r="C51" t="s">
        <v>722</v>
      </c>
      <c r="D51">
        <f>SUMIFS(Table6[Hours],Table6[Type],settings.Table_Engineer.Roles[[#This Row],[Role]])
+IF(settings.Table_Engineer.Roles[[#This Row],[Role]]=RESOURCE_1_TYPE,SUM(Input_Tasks[[R1 Business Hours]:[R1 After Hours]]))
+IF(settings.Table_Engineer.Roles[[#This Row],[Role]]=RESOURCE_2_TYPE,SUM(Input_Tasks[[R2 Business Hours]:[R2 After Hours]]))
+IF(settings.Table_Engineer.Roles[[#This Row],[Role]]=RESOURCE_3_TYPE,SUM(Input_Tasks[[R3 Business Hours]:[R3 After Hours]]))
+IF(settings.Table_Engineer.Roles[[#This Row],[Role]]=RESOURCE_4_TYPE,SUM(Input_Tasks[[R4 Business Hours]:[R4 After Hours]]))
+IF(settings.Table_Engineer.Roles[[#This Row],[Role]]=RESOURCE_5_TYPE,SUM(Input_Tasks[[R5 Business Hours]:[R5 After Hours]]))</f>
        <v>0</v>
      </c>
      <c r="E51" t="s">
        <v>1200</v>
      </c>
    </row>
    <row r="52" spans="1:5">
      <c r="B52" t="str">
        <f>B90</f>
        <v>Senior Systems Engineer (Professional Services)</v>
      </c>
      <c r="C52" t="s">
        <v>723</v>
      </c>
      <c r="D52">
        <f>SUMIFS(Table6[Hours],Table6[Type],settings.Table_Engineer.Roles[[#This Row],[Role]])
+IF(settings.Table_Engineer.Roles[[#This Row],[Role]]=RESOURCE_1_TYPE,SUM(Input_Tasks[[R1 Business Hours]:[R1 After Hours]]))
+IF(settings.Table_Engineer.Roles[[#This Row],[Role]]=RESOURCE_2_TYPE,SUM(Input_Tasks[[R2 Business Hours]:[R2 After Hours]]))
+IF(settings.Table_Engineer.Roles[[#This Row],[Role]]=RESOURCE_3_TYPE,SUM(Input_Tasks[[R3 Business Hours]:[R3 After Hours]]))
+IF(settings.Table_Engineer.Roles[[#This Row],[Role]]=RESOURCE_4_TYPE,SUM(Input_Tasks[[R4 Business Hours]:[R4 After Hours]]))
+IF(settings.Table_Engineer.Roles[[#This Row],[Role]]=RESOURCE_5_TYPE,SUM(Input_Tasks[[R5 Business Hours]:[R5 After Hours]]))</f>
        <v>0</v>
      </c>
      <c r="E52" t="s">
        <v>1200</v>
      </c>
    </row>
    <row r="53" spans="1:5">
      <c r="B53" t="s">
        <v>734</v>
      </c>
      <c r="C53" t="s">
        <v>882</v>
      </c>
      <c r="D53">
        <f>SUMIFS(Table6[Hours],Table6[Type],settings.Table_Engineer.Roles[[#This Row],[Role]])
+IF(settings.Table_Engineer.Roles[[#This Row],[Role]]=RESOURCE_1_TYPE,SUM(Input_Tasks[[R1 Business Hours]:[R1 After Hours]]))
+IF(settings.Table_Engineer.Roles[[#This Row],[Role]]=RESOURCE_2_TYPE,SUM(Input_Tasks[[R2 Business Hours]:[R2 After Hours]]))
+IF(settings.Table_Engineer.Roles[[#This Row],[Role]]=RESOURCE_3_TYPE,SUM(Input_Tasks[[R3 Business Hours]:[R3 After Hours]]))
+IF(settings.Table_Engineer.Roles[[#This Row],[Role]]=RESOURCE_4_TYPE,SUM(Input_Tasks[[R4 Business Hours]:[R4 After Hours]]))
+IF(settings.Table_Engineer.Roles[[#This Row],[Role]]=RESOURCE_5_TYPE,SUM(Input_Tasks[[R5 Business Hours]:[R5 After Hours]]))</f>
        <v>0</v>
      </c>
      <c r="E53" t="s">
        <v>1200</v>
      </c>
    </row>
    <row r="54" spans="1:5">
      <c r="B54" t="str">
        <f>B92</f>
        <v>Solution Architect</v>
      </c>
      <c r="C54" t="s">
        <v>724</v>
      </c>
      <c r="D54">
        <f>SUMIFS(Table6[Hours],Table6[Type],settings.Table_Engineer.Roles[[#This Row],[Role]])
+IF(settings.Table_Engineer.Roles[[#This Row],[Role]]=RESOURCE_1_TYPE,SUM(Input_Tasks[[R1 Business Hours]:[R1 After Hours]]))
+IF(settings.Table_Engineer.Roles[[#This Row],[Role]]=RESOURCE_2_TYPE,SUM(Input_Tasks[[R2 Business Hours]:[R2 After Hours]]))
+IF(settings.Table_Engineer.Roles[[#This Row],[Role]]=RESOURCE_3_TYPE,SUM(Input_Tasks[[R3 Business Hours]:[R3 After Hours]]))
+IF(settings.Table_Engineer.Roles[[#This Row],[Role]]=RESOURCE_4_TYPE,SUM(Input_Tasks[[R4 Business Hours]:[R4 After Hours]]))
+IF(settings.Table_Engineer.Roles[[#This Row],[Role]]=RESOURCE_5_TYPE,SUM(Input_Tasks[[R5 Business Hours]:[R5 After Hours]]))</f>
        <v>0</v>
      </c>
      <c r="E54" t="s">
        <v>1201</v>
      </c>
    </row>
    <row r="55" spans="1:5">
      <c r="B55" t="s">
        <v>735</v>
      </c>
      <c r="C55" t="s">
        <v>880</v>
      </c>
      <c r="D55">
        <f>SUMIFS(Table6[Hours],Table6[Type],settings.Table_Engineer.Roles[[#This Row],[Role]])
+IF(settings.Table_Engineer.Roles[[#This Row],[Role]]=RESOURCE_1_TYPE,SUM(Input_Tasks[[R1 Business Hours]:[R1 After Hours]]))
+IF(settings.Table_Engineer.Roles[[#This Row],[Role]]=RESOURCE_2_TYPE,SUM(Input_Tasks[[R2 Business Hours]:[R2 After Hours]]))
+IF(settings.Table_Engineer.Roles[[#This Row],[Role]]=RESOURCE_3_TYPE,SUM(Input_Tasks[[R3 Business Hours]:[R3 After Hours]]))
+IF(settings.Table_Engineer.Roles[[#This Row],[Role]]=RESOURCE_4_TYPE,SUM(Input_Tasks[[R4 Business Hours]:[R4 After Hours]]))
+IF(settings.Table_Engineer.Roles[[#This Row],[Role]]=RESOURCE_5_TYPE,SUM(Input_Tasks[[R5 Business Hours]:[R5 After Hours]]))</f>
        <v>0</v>
      </c>
      <c r="E55" t="s">
        <v>1201</v>
      </c>
    </row>
    <row r="56" spans="1:5">
      <c r="B56" t="str">
        <f>B94</f>
        <v>Senior Consultant</v>
      </c>
      <c r="C56" t="s">
        <v>881</v>
      </c>
      <c r="D56">
        <f>SUMIFS(Table6[Hours],Table6[Type],settings.Table_Engineer.Roles[[#This Row],[Role]])
+IF(settings.Table_Engineer.Roles[[#This Row],[Role]]=RESOURCE_1_TYPE,SUM(Input_Tasks[[R1 Business Hours]:[R1 After Hours]]))
+IF(settings.Table_Engineer.Roles[[#This Row],[Role]]=RESOURCE_2_TYPE,SUM(Input_Tasks[[R2 Business Hours]:[R2 After Hours]]))
+IF(settings.Table_Engineer.Roles[[#This Row],[Role]]=RESOURCE_3_TYPE,SUM(Input_Tasks[[R3 Business Hours]:[R3 After Hours]]))
+IF(settings.Table_Engineer.Roles[[#This Row],[Role]]=RESOURCE_4_TYPE,SUM(Input_Tasks[[R4 Business Hours]:[R4 After Hours]]))
+IF(settings.Table_Engineer.Roles[[#This Row],[Role]]=RESOURCE_5_TYPE,SUM(Input_Tasks[[R5 Business Hours]:[R5 After Hours]]))</f>
        <v>0</v>
      </c>
      <c r="E56" t="s">
        <v>1201</v>
      </c>
    </row>
    <row r="57" spans="1:5" s="521" customFormat="1" ht="31.2">
      <c r="A57" s="520" t="s">
        <v>738</v>
      </c>
    </row>
    <row r="58" spans="1:5">
      <c r="B58" s="558" t="s">
        <v>661</v>
      </c>
      <c r="C58" s="558" t="s">
        <v>720</v>
      </c>
      <c r="D58" s="558" t="s">
        <v>788</v>
      </c>
      <c r="E58" s="558" t="s">
        <v>1199</v>
      </c>
    </row>
    <row r="59" spans="1:5">
      <c r="B59" s="557" t="str">
        <f>B95</f>
        <v>Project Manager</v>
      </c>
      <c r="C59" s="557" t="s">
        <v>739</v>
      </c>
      <c r="D59">
        <f>IF(Management!$B$13=Settings.Table_PM.Roles[[#This Row],[Role]],Summary!$D$46,0)</f>
        <v>1.5</v>
      </c>
      <c r="E59" t="s">
        <v>1202</v>
      </c>
    </row>
    <row r="60" spans="1:5">
      <c r="B60" t="str">
        <f>B96</f>
        <v>Senior Project Manager</v>
      </c>
      <c r="C60" s="559" t="s">
        <v>740</v>
      </c>
      <c r="D60">
        <f>IF(Management!$B$13=Settings.Table_PM.Roles[[#This Row],[Role]],Summary!$D$46,0)</f>
        <v>0</v>
      </c>
      <c r="E60" t="s">
        <v>1202</v>
      </c>
    </row>
    <row r="64" spans="1:5" s="521" customFormat="1">
      <c r="A64" s="520" t="s">
        <v>789</v>
      </c>
    </row>
    <row r="65" spans="1:10">
      <c r="B65" s="558" t="s">
        <v>661</v>
      </c>
      <c r="C65" s="558" t="s">
        <v>720</v>
      </c>
      <c r="D65" s="558" t="s">
        <v>788</v>
      </c>
    </row>
    <row r="66" spans="1:10">
      <c r="B66" s="559" t="s">
        <v>96</v>
      </c>
      <c r="C66" s="559" t="s">
        <v>96</v>
      </c>
      <c r="D66" s="451">
        <f>Summary!H25</f>
        <v>0</v>
      </c>
    </row>
    <row r="67" spans="1:10">
      <c r="D67" s="451"/>
    </row>
    <row r="68" spans="1:10" s="521" customFormat="1">
      <c r="A68" s="524" t="s">
        <v>1274</v>
      </c>
    </row>
    <row r="69" spans="1:10">
      <c r="D69" s="451"/>
    </row>
    <row r="70" spans="1:10">
      <c r="D70" s="451"/>
    </row>
    <row r="71" spans="1:10" ht="28.8">
      <c r="B71" s="705" t="s">
        <v>661</v>
      </c>
      <c r="C71" s="706" t="s">
        <v>1275</v>
      </c>
      <c r="D71" s="707" t="s">
        <v>1276</v>
      </c>
      <c r="E71" s="706" t="s">
        <v>1277</v>
      </c>
      <c r="F71" s="706" t="s">
        <v>1278</v>
      </c>
      <c r="G71" s="708" t="s">
        <v>167</v>
      </c>
      <c r="H71" s="708" t="s">
        <v>1279</v>
      </c>
      <c r="I71" s="708" t="s">
        <v>1280</v>
      </c>
      <c r="J71" s="708" t="s">
        <v>1281</v>
      </c>
    </row>
    <row r="72" spans="1:10">
      <c r="B72" s="29" t="s">
        <v>8</v>
      </c>
      <c r="C72" s="709">
        <v>145</v>
      </c>
      <c r="D72" s="710">
        <v>155</v>
      </c>
      <c r="E72" s="711">
        <v>0.4751819414179439</v>
      </c>
      <c r="F72" s="712">
        <v>6.8965517241379226E-2</v>
      </c>
      <c r="G72" s="713">
        <f>D72*(1-E72)</f>
        <v>81.346799080218702</v>
      </c>
      <c r="H72" s="713">
        <f>G72*J72</f>
        <v>122.02019862032805</v>
      </c>
      <c r="I72" s="713">
        <f>D72*J72</f>
        <v>232.5</v>
      </c>
      <c r="J72" s="713">
        <v>1.5</v>
      </c>
    </row>
    <row r="73" spans="1:10">
      <c r="B73" s="29" t="s">
        <v>1282</v>
      </c>
      <c r="C73" s="709">
        <v>221</v>
      </c>
      <c r="D73" s="710">
        <v>228</v>
      </c>
      <c r="E73" s="711">
        <v>0.52445433572363864</v>
      </c>
      <c r="F73" s="712">
        <v>3.167420814479649E-2</v>
      </c>
      <c r="G73" s="713">
        <f t="shared" ref="G73:G82" si="1">D73*(1-E73)</f>
        <v>108.42441145501039</v>
      </c>
      <c r="H73" s="713">
        <f t="shared" ref="H73:H82" si="2">G73*J73</f>
        <v>162.63661718251558</v>
      </c>
      <c r="I73" s="713">
        <f t="shared" ref="I73:I82" si="3">D73*J73</f>
        <v>342</v>
      </c>
      <c r="J73" s="713">
        <f>J72</f>
        <v>1.5</v>
      </c>
    </row>
    <row r="74" spans="1:10">
      <c r="B74" s="29" t="s">
        <v>1283</v>
      </c>
      <c r="C74" s="709">
        <v>255</v>
      </c>
      <c r="D74" s="710">
        <v>260</v>
      </c>
      <c r="E74" s="711">
        <v>0.43426742326217721</v>
      </c>
      <c r="F74" s="712">
        <v>1.9607843137254832E-2</v>
      </c>
      <c r="G74" s="713">
        <f t="shared" si="1"/>
        <v>147.09046995183391</v>
      </c>
      <c r="H74" s="713">
        <f t="shared" si="2"/>
        <v>220.63570492775085</v>
      </c>
      <c r="I74" s="713">
        <f t="shared" si="3"/>
        <v>390</v>
      </c>
      <c r="J74" s="713">
        <f t="shared" ref="J74:J82" si="4">J73</f>
        <v>1.5</v>
      </c>
    </row>
    <row r="75" spans="1:10">
      <c r="B75" s="29" t="s">
        <v>1284</v>
      </c>
      <c r="C75" s="709">
        <v>221</v>
      </c>
      <c r="D75" s="710">
        <v>235</v>
      </c>
      <c r="E75" s="711">
        <v>0.46332527966681664</v>
      </c>
      <c r="F75" s="712">
        <v>6.3348416289592757E-2</v>
      </c>
      <c r="G75" s="713">
        <f t="shared" si="1"/>
        <v>126.11855927829811</v>
      </c>
      <c r="H75" s="713">
        <f t="shared" si="2"/>
        <v>189.17783891744716</v>
      </c>
      <c r="I75" s="713">
        <f t="shared" si="3"/>
        <v>352.5</v>
      </c>
      <c r="J75" s="713">
        <f t="shared" si="4"/>
        <v>1.5</v>
      </c>
    </row>
    <row r="76" spans="1:10">
      <c r="B76" s="29" t="s">
        <v>1285</v>
      </c>
      <c r="C76" s="709">
        <v>255</v>
      </c>
      <c r="D76" s="710">
        <v>280.5</v>
      </c>
      <c r="E76" s="711">
        <v>0.46553158436911257</v>
      </c>
      <c r="F76" s="712">
        <v>0.10000000000000009</v>
      </c>
      <c r="G76" s="713">
        <f t="shared" si="1"/>
        <v>149.91839058446394</v>
      </c>
      <c r="H76" s="713">
        <f t="shared" si="2"/>
        <v>224.87758587669589</v>
      </c>
      <c r="I76" s="713">
        <f t="shared" si="3"/>
        <v>420.75</v>
      </c>
      <c r="J76" s="713">
        <f t="shared" si="4"/>
        <v>1.5</v>
      </c>
    </row>
    <row r="77" spans="1:10">
      <c r="B77" s="29" t="s">
        <v>9</v>
      </c>
      <c r="C77" s="709">
        <v>199</v>
      </c>
      <c r="D77" s="710">
        <v>225</v>
      </c>
      <c r="E77" s="711">
        <v>0.34418652780280468</v>
      </c>
      <c r="F77" s="712">
        <v>0.13065326633165819</v>
      </c>
      <c r="G77" s="713">
        <f t="shared" si="1"/>
        <v>147.55803124436895</v>
      </c>
      <c r="H77" s="713">
        <f t="shared" si="2"/>
        <v>221.33704686655341</v>
      </c>
      <c r="I77" s="713">
        <f t="shared" si="3"/>
        <v>337.5</v>
      </c>
      <c r="J77" s="713">
        <f>J80</f>
        <v>1.5</v>
      </c>
    </row>
    <row r="78" spans="1:10">
      <c r="B78" s="29" t="s">
        <v>736</v>
      </c>
      <c r="C78" s="709">
        <v>220</v>
      </c>
      <c r="D78" s="710">
        <v>259</v>
      </c>
      <c r="E78" s="711">
        <v>0.31065599871063937</v>
      </c>
      <c r="F78" s="712">
        <v>0.17727272727272725</v>
      </c>
      <c r="G78" s="713">
        <f t="shared" si="1"/>
        <v>178.54009633394438</v>
      </c>
      <c r="H78" s="713">
        <f t="shared" si="2"/>
        <v>267.81014450091658</v>
      </c>
      <c r="I78" s="713">
        <f t="shared" si="3"/>
        <v>388.5</v>
      </c>
      <c r="J78" s="713">
        <f t="shared" si="4"/>
        <v>1.5</v>
      </c>
    </row>
    <row r="79" spans="1:10">
      <c r="B79" s="29" t="s">
        <v>734</v>
      </c>
      <c r="C79" s="709">
        <v>280</v>
      </c>
      <c r="D79" s="710">
        <v>315</v>
      </c>
      <c r="E79" s="711">
        <v>0.46790365352479374</v>
      </c>
      <c r="F79" s="712">
        <v>0.125</v>
      </c>
      <c r="G79" s="713">
        <f>D79*(1-E79)</f>
        <v>167.61034913968996</v>
      </c>
      <c r="H79" s="713">
        <f>G79*J79</f>
        <v>251.41552370953494</v>
      </c>
      <c r="I79" s="713">
        <f>D79*J79</f>
        <v>472.5</v>
      </c>
      <c r="J79" s="713">
        <f>J76</f>
        <v>1.5</v>
      </c>
    </row>
    <row r="80" spans="1:10">
      <c r="B80" s="29" t="s">
        <v>735</v>
      </c>
      <c r="C80" s="709">
        <v>298</v>
      </c>
      <c r="D80" s="710">
        <v>315</v>
      </c>
      <c r="E80" s="711">
        <v>0.46790365352479374</v>
      </c>
      <c r="F80" s="712">
        <v>5.7046979865771785E-2</v>
      </c>
      <c r="G80" s="713">
        <f>D80*(1-E80)</f>
        <v>167.61034913968996</v>
      </c>
      <c r="H80" s="713">
        <f>G80*J80</f>
        <v>251.41552370953494</v>
      </c>
      <c r="I80" s="713">
        <f>D80*J80</f>
        <v>472.5</v>
      </c>
      <c r="J80" s="713">
        <f>J79</f>
        <v>1.5</v>
      </c>
    </row>
    <row r="81" spans="1:10">
      <c r="B81" s="29" t="s">
        <v>725</v>
      </c>
      <c r="C81" s="709">
        <v>255</v>
      </c>
      <c r="D81" s="710">
        <v>315</v>
      </c>
      <c r="E81" s="711">
        <v>0.46790365352479374</v>
      </c>
      <c r="F81" s="712">
        <v>0.23529411764705888</v>
      </c>
      <c r="G81" s="713">
        <f t="shared" si="1"/>
        <v>167.61034913968996</v>
      </c>
      <c r="H81" s="713">
        <f t="shared" si="2"/>
        <v>251.41552370953494</v>
      </c>
      <c r="I81" s="713">
        <f t="shared" si="3"/>
        <v>472.5</v>
      </c>
      <c r="J81" s="713">
        <f>J78</f>
        <v>1.5</v>
      </c>
    </row>
    <row r="82" spans="1:10">
      <c r="B82" s="29" t="s">
        <v>674</v>
      </c>
      <c r="C82" s="709">
        <v>285</v>
      </c>
      <c r="D82" s="710">
        <v>315</v>
      </c>
      <c r="E82" s="711">
        <v>0.46790365352479374</v>
      </c>
      <c r="F82" s="712">
        <v>0.10526315789473695</v>
      </c>
      <c r="G82" s="713">
        <f t="shared" si="1"/>
        <v>167.61034913968996</v>
      </c>
      <c r="H82" s="713">
        <f t="shared" si="2"/>
        <v>251.41552370953494</v>
      </c>
      <c r="I82" s="713">
        <f t="shared" si="3"/>
        <v>472.5</v>
      </c>
      <c r="J82" s="713">
        <f t="shared" si="4"/>
        <v>1.5</v>
      </c>
    </row>
    <row r="83" spans="1:10">
      <c r="D83" s="451"/>
    </row>
    <row r="84" spans="1:10">
      <c r="D84" s="451"/>
    </row>
    <row r="85" spans="1:10" s="521" customFormat="1">
      <c r="A85" s="524" t="s">
        <v>197</v>
      </c>
    </row>
    <row r="86" spans="1:10">
      <c r="A86" s="73"/>
      <c r="B86" s="74"/>
      <c r="C86" s="74"/>
      <c r="D86" s="7"/>
    </row>
    <row r="87" spans="1:10">
      <c r="A87" s="61" t="s">
        <v>720</v>
      </c>
      <c r="B87" s="64" t="s">
        <v>798</v>
      </c>
      <c r="C87" s="29" t="s">
        <v>7</v>
      </c>
      <c r="D87" s="29" t="s">
        <v>11</v>
      </c>
      <c r="E87" s="29" t="s">
        <v>1281</v>
      </c>
    </row>
    <row r="88" spans="1:10">
      <c r="A88" s="61" t="str">
        <f>IFERROR(IFERROR(VLOOKUP(B88,settings.Table_Engineer.Roles[[Role]:[ID]],2,FALSE),VLOOKUP(B88,Settings.Table_PM.Roles[[Role]:[ID]],2,FALSE)),B88)</f>
        <v>TA</v>
      </c>
      <c r="B88" s="64" t="s">
        <v>8</v>
      </c>
      <c r="C88" s="84">
        <f>INDEX($D$72:$D$82,MATCH(B88,$B$72:$B$82,0),1)</f>
        <v>155</v>
      </c>
      <c r="D88" s="84">
        <f>INDEX($I$72:$I$82,MATCH(B88,$B$72:$B$82,0),1)</f>
        <v>232.5</v>
      </c>
      <c r="E88">
        <f>D88/C88</f>
        <v>1.5</v>
      </c>
    </row>
    <row r="89" spans="1:10">
      <c r="A89" s="61" t="str">
        <f>IFERROR(IFERROR(VLOOKUP(B89,settings.Table_Engineer.Roles[[Role]:[ID]],2,FALSE),VLOOKUP(B89,Settings.Table_PM.Roles[[Role]:[ID]],2,FALSE)),B89)</f>
        <v>SE</v>
      </c>
      <c r="B89" s="29" t="s">
        <v>1284</v>
      </c>
      <c r="C89" s="84">
        <f>INDEX($D$72:$D$82,MATCH(B89,$B$72:$B$82,0),1)</f>
        <v>235</v>
      </c>
      <c r="D89" s="84">
        <f t="shared" ref="D89:D96" si="5">INDEX($I$72:$I$82,MATCH(B89,$B$72:$B$82,0),1)</f>
        <v>352.5</v>
      </c>
      <c r="E89">
        <f t="shared" ref="E89:E97" si="6">D89/C89</f>
        <v>1.5</v>
      </c>
    </row>
    <row r="90" spans="1:10">
      <c r="A90" s="61" t="str">
        <f>IFERROR(IFERROR(VLOOKUP(B90,settings.Table_Engineer.Roles[[Role]:[ID]],2,FALSE),VLOOKUP(B90,Settings.Table_PM.Roles[[Role]:[ID]],2,FALSE)),B90)</f>
        <v>SSE</v>
      </c>
      <c r="B90" s="29" t="s">
        <v>1285</v>
      </c>
      <c r="C90" s="84">
        <f t="shared" ref="C90:C96" si="7">INDEX($D$72:$D$82,MATCH(B90,$B$72:$B$82,0),1)</f>
        <v>280.5</v>
      </c>
      <c r="D90" s="84">
        <f t="shared" si="5"/>
        <v>420.75</v>
      </c>
      <c r="E90">
        <f t="shared" si="6"/>
        <v>1.5</v>
      </c>
    </row>
    <row r="91" spans="1:10">
      <c r="A91" s="61" t="str">
        <f>IFERROR(IFERROR(VLOOKUP(B91,settings.Table_Engineer.Roles[[Role]:[ID]],2,FALSE),VLOOKUP(B91,Settings.Table_PM.Roles[[Role]:[ID]],2,FALSE)),B91)</f>
        <v>SCE</v>
      </c>
      <c r="B91" s="515" t="s">
        <v>734</v>
      </c>
      <c r="C91" s="84">
        <f t="shared" si="7"/>
        <v>315</v>
      </c>
      <c r="D91" s="84">
        <f t="shared" si="5"/>
        <v>472.5</v>
      </c>
      <c r="E91">
        <f t="shared" si="6"/>
        <v>1.5</v>
      </c>
    </row>
    <row r="92" spans="1:10">
      <c r="A92" s="61" t="str">
        <f>IFERROR(IFERROR(VLOOKUP(B92,settings.Table_Engineer.Roles[[Role]:[ID]],2,FALSE),VLOOKUP(B92,Settings.Table_PM.Roles[[Role]:[ID]],2,FALSE)),B92)</f>
        <v>SA</v>
      </c>
      <c r="B92" s="64" t="s">
        <v>725</v>
      </c>
      <c r="C92" s="84">
        <f t="shared" si="7"/>
        <v>315</v>
      </c>
      <c r="D92" s="84">
        <f t="shared" si="5"/>
        <v>472.5</v>
      </c>
      <c r="E92">
        <f t="shared" si="6"/>
        <v>1.5</v>
      </c>
    </row>
    <row r="93" spans="1:10">
      <c r="A93" s="61" t="str">
        <f>IFERROR(IFERROR(VLOOKUP(B93,settings.Table_Engineer.Roles[[Role]:[ID]],2,FALSE),VLOOKUP(B93,Settings.Table_PM.Roles[[Role]:[ID]],2,FALSE)),B93)</f>
        <v>AC</v>
      </c>
      <c r="B93" s="515" t="s">
        <v>735</v>
      </c>
      <c r="C93" s="84">
        <f t="shared" si="7"/>
        <v>315</v>
      </c>
      <c r="D93" s="84">
        <f t="shared" si="5"/>
        <v>472.5</v>
      </c>
      <c r="E93">
        <f t="shared" si="6"/>
        <v>1.5</v>
      </c>
    </row>
    <row r="94" spans="1:10">
      <c r="A94" s="61" t="str">
        <f>IFERROR(IFERROR(VLOOKUP(B94,settings.Table_Engineer.Roles[[Role]:[ID]],2,FALSE),VLOOKUP(B94,Settings.Table_PM.Roles[[Role]:[ID]],2,FALSE)),B94)</f>
        <v>SC</v>
      </c>
      <c r="B94" s="64" t="s">
        <v>674</v>
      </c>
      <c r="C94" s="84">
        <f t="shared" si="7"/>
        <v>315</v>
      </c>
      <c r="D94" s="84">
        <f t="shared" si="5"/>
        <v>472.5</v>
      </c>
      <c r="E94">
        <f t="shared" si="6"/>
        <v>1.5</v>
      </c>
    </row>
    <row r="95" spans="1:10">
      <c r="A95" s="61" t="str">
        <f>IFERROR(IFERROR(VLOOKUP(B95,settings.Table_Engineer.Roles[[Role]:[ID]],2,FALSE),VLOOKUP(B95,Settings.Table_PM.Roles[[Role]:[ID]],2,FALSE)),B95)</f>
        <v>PM</v>
      </c>
      <c r="B95" s="64" t="s">
        <v>9</v>
      </c>
      <c r="C95" s="84">
        <f t="shared" si="7"/>
        <v>225</v>
      </c>
      <c r="D95" s="84">
        <f t="shared" si="5"/>
        <v>337.5</v>
      </c>
      <c r="E95">
        <f t="shared" si="6"/>
        <v>1.5</v>
      </c>
    </row>
    <row r="96" spans="1:10">
      <c r="A96" s="61" t="str">
        <f>IFERROR(IFERROR(VLOOKUP(B96,settings.Table_Engineer.Roles[[Role]:[ID]],2,FALSE),VLOOKUP(B96,Settings.Table_PM.Roles[[Role]:[ID]],2,FALSE)),B96)</f>
        <v>SPM</v>
      </c>
      <c r="B96" s="64" t="s">
        <v>736</v>
      </c>
      <c r="C96" s="84">
        <f t="shared" si="7"/>
        <v>259</v>
      </c>
      <c r="D96" s="84">
        <f t="shared" si="5"/>
        <v>388.5</v>
      </c>
      <c r="E96">
        <f t="shared" si="6"/>
        <v>1.5</v>
      </c>
    </row>
    <row r="97" spans="1:12">
      <c r="A97" s="61" t="str">
        <f>IFERROR(IFERROR(VLOOKUP(B97,settings.Table_Engineer.Roles[[Role]:[ID]],2,FALSE),VLOOKUP(B97,Settings.Table_PM.Roles[[Role]:[ID]],2,FALSE)),B97)</f>
        <v>Travel</v>
      </c>
      <c r="B97" s="76" t="s">
        <v>96</v>
      </c>
      <c r="C97" s="714">
        <f>D75</f>
        <v>235</v>
      </c>
      <c r="D97" s="714">
        <f>I75</f>
        <v>352.5</v>
      </c>
      <c r="E97">
        <f t="shared" si="6"/>
        <v>1.5</v>
      </c>
    </row>
    <row r="98" spans="1:12">
      <c r="A98" s="63"/>
      <c r="B98" s="7"/>
      <c r="C98" s="75"/>
      <c r="D98" s="7"/>
    </row>
    <row r="99" spans="1:12" s="521" customFormat="1">
      <c r="A99" s="525" t="s">
        <v>198</v>
      </c>
      <c r="B99" s="526"/>
      <c r="C99" s="527"/>
      <c r="D99" s="526"/>
      <c r="E99" s="526"/>
      <c r="F99" s="526"/>
      <c r="G99" s="526"/>
      <c r="H99" s="526"/>
      <c r="I99" s="526"/>
      <c r="J99" s="526"/>
      <c r="K99" s="526"/>
      <c r="L99" s="526"/>
    </row>
    <row r="100" spans="1:12">
      <c r="B100" s="74"/>
      <c r="C100" s="74"/>
      <c r="D100" s="74"/>
      <c r="E100" s="7"/>
      <c r="F100" s="7"/>
      <c r="G100" s="7"/>
      <c r="H100" s="7"/>
      <c r="I100" s="7"/>
      <c r="J100" s="7"/>
      <c r="K100" s="7"/>
      <c r="L100" s="7"/>
    </row>
    <row r="101" spans="1:12">
      <c r="A101" s="61" t="s">
        <v>720</v>
      </c>
      <c r="B101" s="29" t="s">
        <v>798</v>
      </c>
      <c r="C101" s="29" t="s">
        <v>7</v>
      </c>
      <c r="D101" s="29" t="s">
        <v>11</v>
      </c>
      <c r="E101" s="7"/>
      <c r="F101" s="7"/>
      <c r="G101" s="7"/>
      <c r="H101" s="7"/>
      <c r="I101" s="7"/>
      <c r="J101" s="7"/>
      <c r="K101" s="7"/>
      <c r="L101" s="7"/>
    </row>
    <row r="102" spans="1:12">
      <c r="A102" s="61" t="str">
        <f>IFERROR(IFERROR(VLOOKUP(B102,settings.Table_Engineer.Roles[[Role]:[ID]],2,FALSE),VLOOKUP(B102,Settings.Table_PM.Roles[[Role]:[ID]],2,FALSE)),B102)</f>
        <v>TA</v>
      </c>
      <c r="B102" s="29" t="s">
        <v>8</v>
      </c>
      <c r="C102" s="85">
        <f>INDEX($G$72:$G$82,MATCH(B102,$B$72:$B$82,0),1)</f>
        <v>81.346799080218702</v>
      </c>
      <c r="D102" s="85">
        <f>INDEX($H$72:$H$82,MATCH(B102,$B$72:$B$82,0),1)</f>
        <v>122.02019862032805</v>
      </c>
      <c r="E102" s="513"/>
      <c r="F102" s="513"/>
      <c r="G102" s="513"/>
      <c r="H102" s="513"/>
      <c r="I102" s="513"/>
      <c r="J102" s="513"/>
      <c r="K102" s="513"/>
      <c r="L102" s="513"/>
    </row>
    <row r="103" spans="1:12">
      <c r="A103" s="61" t="str">
        <f>IFERROR(IFERROR(VLOOKUP(B103,settings.Table_Engineer.Roles[[Role]:[ID]],2,FALSE),VLOOKUP(B103,Settings.Table_PM.Roles[[Role]:[ID]],2,FALSE)),B103)</f>
        <v>SE</v>
      </c>
      <c r="B103" s="29" t="s">
        <v>1284</v>
      </c>
      <c r="C103" s="85">
        <f t="shared" ref="C103:C110" si="8">INDEX($G$72:$G$82,MATCH(B103,$B$72:$B$82,0),1)</f>
        <v>126.11855927829811</v>
      </c>
      <c r="D103" s="85">
        <f t="shared" ref="D103:D110" si="9">INDEX($H$72:$H$82,MATCH(B103,$B$72:$B$82,0),1)</f>
        <v>189.17783891744716</v>
      </c>
      <c r="E103" s="513"/>
      <c r="F103" s="513"/>
      <c r="G103" s="513"/>
      <c r="H103" s="513"/>
      <c r="I103" s="513"/>
      <c r="J103" s="513"/>
      <c r="K103" s="513"/>
      <c r="L103" s="513"/>
    </row>
    <row r="104" spans="1:12">
      <c r="A104" s="61" t="str">
        <f>IFERROR(IFERROR(VLOOKUP(B104,settings.Table_Engineer.Roles[[Role]:[ID]],2,FALSE),VLOOKUP(B104,Settings.Table_PM.Roles[[Role]:[ID]],2,FALSE)),B104)</f>
        <v>SSE</v>
      </c>
      <c r="B104" s="29" t="s">
        <v>1285</v>
      </c>
      <c r="C104" s="85">
        <f t="shared" si="8"/>
        <v>149.91839058446394</v>
      </c>
      <c r="D104" s="85">
        <f t="shared" si="9"/>
        <v>224.87758587669589</v>
      </c>
      <c r="E104" s="513"/>
      <c r="F104" s="513"/>
      <c r="G104" s="513"/>
      <c r="H104" s="513"/>
      <c r="I104" s="513"/>
      <c r="J104" s="513"/>
      <c r="K104" s="513"/>
      <c r="L104" s="513"/>
    </row>
    <row r="105" spans="1:12">
      <c r="A105" s="61" t="str">
        <f>IFERROR(IFERROR(VLOOKUP(B105,settings.Table_Engineer.Roles[[Role]:[ID]],2,FALSE),VLOOKUP(B105,Settings.Table_PM.Roles[[Role]:[ID]],2,FALSE)),B105)</f>
        <v>SCE</v>
      </c>
      <c r="B105" s="64" t="s">
        <v>734</v>
      </c>
      <c r="C105" s="85">
        <f t="shared" si="8"/>
        <v>167.61034913968996</v>
      </c>
      <c r="D105" s="85">
        <f t="shared" si="9"/>
        <v>251.41552370953494</v>
      </c>
      <c r="E105" s="513"/>
      <c r="F105" s="513"/>
      <c r="G105" s="513"/>
      <c r="H105" s="513"/>
      <c r="I105" s="513"/>
      <c r="J105" s="513"/>
      <c r="K105" s="513"/>
      <c r="L105" s="513"/>
    </row>
    <row r="106" spans="1:12">
      <c r="A106" s="61" t="str">
        <f>IFERROR(IFERROR(VLOOKUP(B106,settings.Table_Engineer.Roles[[Role]:[ID]],2,FALSE),VLOOKUP(B106,Settings.Table_PM.Roles[[Role]:[ID]],2,FALSE)),B106)</f>
        <v>SA</v>
      </c>
      <c r="B106" s="29" t="s">
        <v>725</v>
      </c>
      <c r="C106" s="85">
        <f t="shared" si="8"/>
        <v>167.61034913968996</v>
      </c>
      <c r="D106" s="85">
        <f t="shared" si="9"/>
        <v>251.41552370953494</v>
      </c>
      <c r="E106" s="513"/>
      <c r="F106" s="7"/>
      <c r="G106" s="7"/>
      <c r="H106" s="7"/>
      <c r="I106" s="7"/>
    </row>
    <row r="107" spans="1:12">
      <c r="A107" s="61" t="str">
        <f>IFERROR(IFERROR(VLOOKUP(B107,settings.Table_Engineer.Roles[[Role]:[ID]],2,FALSE),VLOOKUP(B107,Settings.Table_PM.Roles[[Role]:[ID]],2,FALSE)),B107)</f>
        <v>AC</v>
      </c>
      <c r="B107" s="515" t="s">
        <v>735</v>
      </c>
      <c r="C107" s="85">
        <f t="shared" si="8"/>
        <v>167.61034913968996</v>
      </c>
      <c r="D107" s="85">
        <f t="shared" si="9"/>
        <v>251.41552370953494</v>
      </c>
      <c r="E107" s="513"/>
      <c r="F107" s="7"/>
      <c r="G107" s="7"/>
      <c r="H107" s="7"/>
      <c r="I107" s="7"/>
    </row>
    <row r="108" spans="1:12">
      <c r="A108" s="61" t="str">
        <f>IFERROR(IFERROR(VLOOKUP(B108,settings.Table_Engineer.Roles[[Role]:[ID]],2,FALSE),VLOOKUP(B108,Settings.Table_PM.Roles[[Role]:[ID]],2,FALSE)),B108)</f>
        <v>SC</v>
      </c>
      <c r="B108" s="29" t="s">
        <v>674</v>
      </c>
      <c r="C108" s="85">
        <f t="shared" si="8"/>
        <v>167.61034913968996</v>
      </c>
      <c r="D108" s="85">
        <f t="shared" si="9"/>
        <v>251.41552370953494</v>
      </c>
      <c r="E108" s="513"/>
      <c r="F108" s="7"/>
      <c r="G108" s="7"/>
      <c r="H108" s="7"/>
      <c r="I108" s="7"/>
    </row>
    <row r="109" spans="1:12">
      <c r="A109" s="61" t="str">
        <f>IFERROR(IFERROR(VLOOKUP(B109,settings.Table_Engineer.Roles[[Role]:[ID]],2,FALSE),VLOOKUP(B109,Settings.Table_PM.Roles[[Role]:[ID]],2,FALSE)),B109)</f>
        <v>PM</v>
      </c>
      <c r="B109" s="29" t="s">
        <v>9</v>
      </c>
      <c r="C109" s="85">
        <f t="shared" si="8"/>
        <v>147.55803124436895</v>
      </c>
      <c r="D109" s="85">
        <f t="shared" si="9"/>
        <v>221.33704686655341</v>
      </c>
      <c r="E109" s="513"/>
      <c r="F109" s="513"/>
      <c r="G109" s="513"/>
      <c r="H109" s="513"/>
      <c r="I109" s="513"/>
      <c r="J109" s="513"/>
      <c r="K109" s="513"/>
      <c r="L109" s="513"/>
    </row>
    <row r="110" spans="1:12">
      <c r="A110" s="61" t="str">
        <f>IFERROR(IFERROR(VLOOKUP(B110,settings.Table_Engineer.Roles[[Role]:[ID]],2,FALSE),VLOOKUP(B110,Settings.Table_PM.Roles[[Role]:[ID]],2,FALSE)),B110)</f>
        <v>SPM</v>
      </c>
      <c r="B110" s="64" t="s">
        <v>736</v>
      </c>
      <c r="C110" s="85">
        <f t="shared" si="8"/>
        <v>178.54009633394438</v>
      </c>
      <c r="D110" s="85">
        <f t="shared" si="9"/>
        <v>267.81014450091658</v>
      </c>
      <c r="E110" s="513"/>
      <c r="F110" s="513"/>
      <c r="G110" s="513"/>
      <c r="H110" s="513"/>
      <c r="I110" s="513"/>
      <c r="J110" s="513"/>
      <c r="K110" s="513"/>
      <c r="L110" s="513"/>
    </row>
    <row r="111" spans="1:12">
      <c r="A111" s="61" t="str">
        <f>IFERROR(IFERROR(VLOOKUP(B111,settings.Table_Engineer.Roles[[Role]:[ID]],2,FALSE),VLOOKUP(B111,Settings.Table_PM.Roles[[Role]:[ID]],2,FALSE)),B111)</f>
        <v>Travel</v>
      </c>
      <c r="B111" s="77" t="s">
        <v>96</v>
      </c>
      <c r="C111" s="715">
        <f>G75</f>
        <v>126.11855927829811</v>
      </c>
      <c r="D111" s="715">
        <f>H75</f>
        <v>189.17783891744716</v>
      </c>
      <c r="E111" s="513"/>
      <c r="F111" s="7"/>
      <c r="G111" s="7"/>
      <c r="H111" s="7"/>
      <c r="I111" s="7"/>
    </row>
    <row r="112" spans="1:12">
      <c r="B112" s="7"/>
      <c r="C112" s="7"/>
      <c r="D112" s="75"/>
      <c r="E112" s="7"/>
      <c r="F112" s="7"/>
      <c r="G112" s="7"/>
      <c r="H112" s="7"/>
      <c r="I112" s="7"/>
    </row>
    <row r="113" spans="1:18" s="521" customFormat="1">
      <c r="A113" s="525" t="s">
        <v>279</v>
      </c>
      <c r="B113" s="526"/>
      <c r="C113" s="528"/>
      <c r="D113" s="526"/>
      <c r="E113" s="526"/>
      <c r="F113" s="526"/>
      <c r="G113" s="526"/>
      <c r="H113" s="526"/>
      <c r="I113" s="526"/>
    </row>
    <row r="114" spans="1:18">
      <c r="A114" s="78"/>
      <c r="B114" s="7"/>
      <c r="C114" s="75"/>
      <c r="D114" s="7"/>
      <c r="E114" s="7"/>
      <c r="F114" s="7"/>
      <c r="G114" s="7"/>
      <c r="H114" s="7"/>
      <c r="I114" s="7"/>
    </row>
    <row r="115" spans="1:18" s="3" customFormat="1" ht="31.2">
      <c r="B115" s="79" t="s">
        <v>323</v>
      </c>
      <c r="C115" s="267">
        <f>ROUNDUP(IF(('Project Technical Tasks'!B13*2)&lt;100,('Project Technical Tasks'!B13*2)/55,100/55+(('Project Technical Tasks'!B13*2)-100)/90)*4,0)/4</f>
        <v>0</v>
      </c>
      <c r="I115" s="25"/>
      <c r="J115" s="25"/>
      <c r="K115" s="5"/>
      <c r="L115" s="5"/>
      <c r="M115" s="5"/>
      <c r="N115" s="5"/>
      <c r="O115" s="5"/>
      <c r="P115" s="5"/>
      <c r="Q115" s="5"/>
      <c r="R115" s="5"/>
    </row>
    <row r="116" spans="1:18" s="3" customFormat="1" ht="31.2">
      <c r="B116" s="79" t="s">
        <v>468</v>
      </c>
      <c r="C116" s="267" t="str">
        <f>IF('Project Technical Tasks'!B13&gt;Settings_Hidden!C120,"Yes","No")</f>
        <v>No</v>
      </c>
      <c r="I116" s="5"/>
      <c r="J116" s="5"/>
      <c r="K116" s="5"/>
      <c r="L116" s="5"/>
      <c r="M116" s="5"/>
      <c r="N116" s="5"/>
      <c r="O116" s="5"/>
      <c r="P116" s="5"/>
      <c r="Q116" s="5"/>
      <c r="R116" s="5"/>
    </row>
    <row r="117" spans="1:18">
      <c r="A117" s="63"/>
      <c r="B117" s="79" t="s">
        <v>38</v>
      </c>
      <c r="C117" s="86">
        <v>1</v>
      </c>
      <c r="D117" s="7"/>
      <c r="E117" s="7"/>
      <c r="F117" s="7"/>
      <c r="G117" s="7"/>
      <c r="H117" s="7"/>
      <c r="I117" s="7"/>
    </row>
    <row r="118" spans="1:18" ht="31.2">
      <c r="A118" s="63"/>
      <c r="B118" s="79" t="s">
        <v>469</v>
      </c>
      <c r="C118" s="86"/>
      <c r="D118" s="7"/>
      <c r="E118" s="7"/>
      <c r="F118" s="7"/>
      <c r="G118" s="7"/>
      <c r="H118" s="7"/>
      <c r="I118" s="7"/>
    </row>
    <row r="119" spans="1:18">
      <c r="A119" s="63"/>
      <c r="B119" s="79" t="s">
        <v>470</v>
      </c>
      <c r="C119" s="86">
        <v>270</v>
      </c>
      <c r="D119" s="7"/>
      <c r="E119" s="7"/>
      <c r="F119" s="7"/>
      <c r="G119" s="7"/>
      <c r="H119" s="7"/>
      <c r="I119" s="7"/>
    </row>
    <row r="120" spans="1:18">
      <c r="A120" s="63"/>
      <c r="B120" s="79" t="s">
        <v>471</v>
      </c>
      <c r="C120" s="80">
        <v>100</v>
      </c>
      <c r="D120" s="7"/>
      <c r="E120" s="7"/>
      <c r="F120" s="7"/>
      <c r="G120" s="7"/>
      <c r="H120" s="7"/>
      <c r="I120" s="7"/>
    </row>
    <row r="121" spans="1:18" ht="31.2">
      <c r="A121" s="63"/>
      <c r="B121" s="79" t="s">
        <v>472</v>
      </c>
      <c r="C121" s="80">
        <v>8</v>
      </c>
      <c r="D121" s="7"/>
      <c r="E121" s="7"/>
      <c r="F121" s="7"/>
      <c r="G121" s="7"/>
      <c r="H121" s="7"/>
      <c r="I121" s="7"/>
    </row>
    <row r="122" spans="1:18" ht="31.2">
      <c r="A122" s="63"/>
      <c r="B122" s="79" t="s">
        <v>473</v>
      </c>
      <c r="C122" s="80">
        <v>8</v>
      </c>
      <c r="D122" s="7"/>
      <c r="E122" s="7"/>
      <c r="F122" s="7"/>
      <c r="G122" s="7"/>
      <c r="H122" s="7"/>
      <c r="I122" s="7"/>
    </row>
    <row r="123" spans="1:18">
      <c r="B123" s="76" t="s">
        <v>474</v>
      </c>
      <c r="C123" s="59">
        <v>5</v>
      </c>
      <c r="D123" s="7"/>
      <c r="E123" s="7"/>
      <c r="F123" s="7"/>
      <c r="G123" s="7"/>
      <c r="H123" s="7"/>
      <c r="I123" s="7"/>
    </row>
    <row r="124" spans="1:18">
      <c r="C124" s="8"/>
      <c r="D124" s="7"/>
      <c r="E124" s="7"/>
      <c r="F124" s="7"/>
      <c r="G124" s="7"/>
      <c r="H124" s="7"/>
      <c r="I124" s="7"/>
    </row>
    <row r="125" spans="1:18">
      <c r="B125" s="73" t="s">
        <v>741</v>
      </c>
      <c r="C125" s="546">
        <f>SUM(Input_Tasks[Onsite Round Trips])</f>
        <v>0</v>
      </c>
      <c r="D125" s="7"/>
      <c r="E125" s="7"/>
      <c r="F125" s="7"/>
      <c r="G125" s="7"/>
      <c r="H125" s="7"/>
      <c r="I125" s="7"/>
    </row>
    <row r="126" spans="1:18">
      <c r="B126" s="73" t="s">
        <v>742</v>
      </c>
      <c r="C126" s="546">
        <f>SUM(Management!B15)</f>
        <v>0</v>
      </c>
      <c r="D126" s="7"/>
      <c r="E126" s="7"/>
      <c r="F126" s="7"/>
      <c r="G126" s="7"/>
      <c r="H126" s="7"/>
      <c r="I126" s="7"/>
    </row>
    <row r="127" spans="1:18">
      <c r="B127" s="73" t="s">
        <v>743</v>
      </c>
      <c r="C127" s="546">
        <f>SUM(C125:C126)</f>
        <v>0</v>
      </c>
      <c r="D127" s="7"/>
      <c r="E127" s="7"/>
      <c r="F127" s="7"/>
      <c r="G127" s="7"/>
      <c r="H127" s="7"/>
      <c r="I127" s="7"/>
    </row>
    <row r="128" spans="1:18">
      <c r="B128" s="73"/>
      <c r="C128" s="545"/>
      <c r="D128" s="7"/>
      <c r="E128" s="7"/>
      <c r="F128" s="7"/>
      <c r="G128" s="7"/>
      <c r="H128" s="7"/>
      <c r="I128" s="7"/>
    </row>
    <row r="129" spans="1:9">
      <c r="B129" s="73" t="s">
        <v>744</v>
      </c>
      <c r="C129" s="546">
        <f>SUM(Input_Tasks[Overnight Stays])</f>
        <v>0</v>
      </c>
      <c r="D129" s="7"/>
      <c r="E129" s="7"/>
      <c r="F129" s="7"/>
      <c r="G129" s="7"/>
      <c r="H129" s="7"/>
      <c r="I129" s="7"/>
    </row>
    <row r="130" spans="1:9">
      <c r="B130" s="73" t="s">
        <v>707</v>
      </c>
      <c r="C130" s="546">
        <f>Management!B14</f>
        <v>0</v>
      </c>
      <c r="D130" s="7"/>
      <c r="E130" s="7"/>
      <c r="F130" s="7"/>
      <c r="G130" s="7"/>
      <c r="H130" s="7"/>
      <c r="I130" s="7"/>
    </row>
    <row r="131" spans="1:9">
      <c r="B131" s="73" t="s">
        <v>745</v>
      </c>
      <c r="C131" s="546">
        <f>SUM(C129:C130)</f>
        <v>0</v>
      </c>
      <c r="D131" s="7"/>
      <c r="E131" s="7"/>
      <c r="F131" s="7"/>
      <c r="G131" s="7"/>
      <c r="H131" s="7"/>
      <c r="I131" s="7"/>
    </row>
    <row r="132" spans="1:9" s="521" customFormat="1">
      <c r="A132" s="520" t="s">
        <v>255</v>
      </c>
      <c r="C132" s="527"/>
      <c r="D132" s="526"/>
      <c r="E132" s="526"/>
      <c r="F132" s="526"/>
      <c r="G132" s="526"/>
      <c r="H132" s="526"/>
      <c r="I132" s="526"/>
    </row>
    <row r="133" spans="1:9">
      <c r="C133" s="8"/>
      <c r="D133" s="7"/>
      <c r="E133" s="7"/>
      <c r="F133" s="7"/>
      <c r="G133" s="7"/>
      <c r="H133" s="7"/>
      <c r="I133" s="7"/>
    </row>
    <row r="134" spans="1:9">
      <c r="B134" s="64" t="s">
        <v>256</v>
      </c>
      <c r="C134" s="80" t="s">
        <v>259</v>
      </c>
      <c r="D134" s="7"/>
      <c r="E134" s="7"/>
      <c r="F134" s="7"/>
      <c r="G134" s="7"/>
      <c r="H134" s="7"/>
      <c r="I134" s="7"/>
    </row>
    <row r="135" spans="1:9">
      <c r="B135" s="64" t="s">
        <v>257</v>
      </c>
      <c r="C135" s="80" t="s">
        <v>134</v>
      </c>
      <c r="D135" s="7"/>
      <c r="E135" s="7"/>
      <c r="F135" s="7"/>
      <c r="G135" s="7"/>
      <c r="H135" s="7"/>
      <c r="I135" s="7"/>
    </row>
    <row r="136" spans="1:9">
      <c r="B136" s="64" t="s">
        <v>258</v>
      </c>
      <c r="C136" s="80" t="s">
        <v>133</v>
      </c>
      <c r="D136" s="7"/>
      <c r="E136" s="7"/>
      <c r="F136" s="7"/>
      <c r="G136" s="7"/>
      <c r="H136" s="7"/>
      <c r="I136" s="7"/>
    </row>
    <row r="137" spans="1:9">
      <c r="C137" s="8"/>
      <c r="D137" s="7"/>
      <c r="E137" s="7"/>
      <c r="F137" s="7"/>
      <c r="G137" s="7"/>
      <c r="H137" s="7"/>
      <c r="I137" s="7"/>
    </row>
    <row r="138" spans="1:9" s="521" customFormat="1">
      <c r="A138" s="520" t="s">
        <v>254</v>
      </c>
    </row>
    <row r="139" spans="1:9">
      <c r="C139" s="8"/>
      <c r="D139" s="7"/>
      <c r="E139" s="7"/>
      <c r="F139" s="7"/>
      <c r="G139" s="7"/>
      <c r="H139" s="7"/>
      <c r="I139" s="7"/>
    </row>
    <row r="140" spans="1:9" s="95" customFormat="1" ht="33.6" customHeight="1">
      <c r="B140" s="128" t="s">
        <v>229</v>
      </c>
      <c r="C140" s="812" t="s">
        <v>227</v>
      </c>
      <c r="D140" s="812"/>
      <c r="E140" s="812"/>
      <c r="F140" s="812"/>
    </row>
    <row r="141" spans="1:9" s="95" customFormat="1" ht="33.6" customHeight="1">
      <c r="B141" s="128" t="s">
        <v>230</v>
      </c>
      <c r="C141" s="812" t="s">
        <v>432</v>
      </c>
      <c r="D141" s="812"/>
      <c r="E141" s="812"/>
      <c r="F141" s="812"/>
    </row>
    <row r="142" spans="1:9" s="95" customFormat="1" ht="48.6" customHeight="1">
      <c r="B142" s="128" t="s">
        <v>231</v>
      </c>
      <c r="C142" s="812" t="s">
        <v>475</v>
      </c>
      <c r="D142" s="812"/>
      <c r="E142" s="812"/>
      <c r="F142" s="812"/>
    </row>
    <row r="143" spans="1:9" s="95" customFormat="1" ht="47.4" customHeight="1">
      <c r="B143" s="128" t="s">
        <v>232</v>
      </c>
      <c r="C143" s="812" t="s">
        <v>435</v>
      </c>
      <c r="D143" s="812"/>
      <c r="E143" s="812"/>
      <c r="F143" s="812"/>
    </row>
    <row r="144" spans="1:9" s="95" customFormat="1">
      <c r="A144" s="96"/>
      <c r="B144" s="96"/>
      <c r="C144" s="96"/>
      <c r="D144" s="96"/>
      <c r="E144" s="96"/>
    </row>
    <row r="145" spans="1:5" s="549" customFormat="1">
      <c r="A145" s="547" t="s">
        <v>261</v>
      </c>
      <c r="B145" s="548"/>
      <c r="C145" s="548"/>
      <c r="D145" s="548"/>
      <c r="E145" s="548"/>
    </row>
    <row r="146" spans="1:5">
      <c r="B146" s="64" t="s">
        <v>233</v>
      </c>
      <c r="C146" s="70" t="s">
        <v>225</v>
      </c>
    </row>
    <row r="147" spans="1:5">
      <c r="B147" s="64" t="s">
        <v>234</v>
      </c>
      <c r="C147" s="70" t="s">
        <v>226</v>
      </c>
    </row>
    <row r="149" spans="1:5" s="521" customFormat="1" ht="31.2">
      <c r="A149" s="547" t="s">
        <v>101</v>
      </c>
    </row>
    <row r="150" spans="1:5" ht="62.4">
      <c r="A150" s="61" t="s">
        <v>188</v>
      </c>
      <c r="B150" t="s">
        <v>103</v>
      </c>
      <c r="C150" t="s">
        <v>108</v>
      </c>
      <c r="D150" t="s">
        <v>119</v>
      </c>
      <c r="E150" t="s">
        <v>749</v>
      </c>
    </row>
    <row r="151" spans="1:5" ht="46.8">
      <c r="A151" s="61" t="s">
        <v>465</v>
      </c>
      <c r="B151" s="70">
        <v>0</v>
      </c>
      <c r="C151" s="71" t="s">
        <v>102</v>
      </c>
      <c r="D151" s="71">
        <v>0</v>
      </c>
      <c r="E151" s="71" t="s">
        <v>9</v>
      </c>
    </row>
    <row r="152" spans="1:5" ht="46.8">
      <c r="A152" s="61" t="s">
        <v>189</v>
      </c>
      <c r="B152" s="70">
        <v>10</v>
      </c>
      <c r="C152" s="71" t="s">
        <v>41</v>
      </c>
      <c r="D152" s="71">
        <v>1</v>
      </c>
      <c r="E152" s="71" t="s">
        <v>9</v>
      </c>
    </row>
    <row r="153" spans="1:5">
      <c r="B153" s="70">
        <v>35</v>
      </c>
      <c r="C153" s="71" t="s">
        <v>308</v>
      </c>
      <c r="D153" s="71">
        <v>2</v>
      </c>
      <c r="E153" s="71" t="s">
        <v>9</v>
      </c>
    </row>
    <row r="154" spans="1:5">
      <c r="B154" s="70">
        <v>100</v>
      </c>
      <c r="C154" s="71" t="s">
        <v>309</v>
      </c>
      <c r="D154" s="71">
        <v>3</v>
      </c>
      <c r="E154" s="71" t="s">
        <v>9</v>
      </c>
    </row>
    <row r="155" spans="1:5">
      <c r="B155" s="70">
        <v>200</v>
      </c>
      <c r="C155" s="71" t="s">
        <v>310</v>
      </c>
      <c r="D155" s="71">
        <v>4</v>
      </c>
      <c r="E155" s="71" t="s">
        <v>736</v>
      </c>
    </row>
    <row r="157" spans="1:5" s="521" customFormat="1" ht="31.2">
      <c r="A157" s="520" t="s">
        <v>190</v>
      </c>
    </row>
    <row r="158" spans="1:5" ht="70.95" customHeight="1">
      <c r="A158" s="811" t="s">
        <v>753</v>
      </c>
      <c r="B158" s="811"/>
      <c r="C158" s="811"/>
      <c r="D158" s="811"/>
      <c r="E158" s="811"/>
    </row>
    <row r="159" spans="1:5">
      <c r="A159" s="61" t="s">
        <v>813</v>
      </c>
      <c r="B159" s="70">
        <f>32</f>
        <v>32</v>
      </c>
    </row>
    <row r="162" spans="1:6" ht="31.2">
      <c r="B162" s="61" t="s">
        <v>107</v>
      </c>
      <c r="C162" s="61" t="s">
        <v>109</v>
      </c>
      <c r="D162" t="s">
        <v>754</v>
      </c>
      <c r="E162" s="61"/>
      <c r="F162" s="61"/>
    </row>
    <row r="163" spans="1:6">
      <c r="B163" s="70">
        <v>0</v>
      </c>
      <c r="C163" s="70">
        <v>12</v>
      </c>
      <c r="D163" s="70" t="s">
        <v>814</v>
      </c>
    </row>
    <row r="164" spans="1:6">
      <c r="B164" s="70">
        <v>6</v>
      </c>
      <c r="C164" s="70">
        <v>4</v>
      </c>
      <c r="D164" s="70" t="s">
        <v>755</v>
      </c>
    </row>
    <row r="165" spans="1:6">
      <c r="B165" s="70">
        <v>14</v>
      </c>
      <c r="C165" s="70">
        <v>2</v>
      </c>
      <c r="D165" s="70" t="s">
        <v>756</v>
      </c>
    </row>
    <row r="166" spans="1:6">
      <c r="B166" s="70">
        <v>28</v>
      </c>
      <c r="C166" s="70">
        <v>1</v>
      </c>
      <c r="D166" s="70" t="s">
        <v>757</v>
      </c>
    </row>
    <row r="167" spans="1:6">
      <c r="B167" s="70">
        <v>56</v>
      </c>
      <c r="C167" s="70">
        <v>0.5</v>
      </c>
      <c r="D167" s="70" t="s">
        <v>758</v>
      </c>
    </row>
    <row r="168" spans="1:6">
      <c r="B168" s="70">
        <v>90</v>
      </c>
      <c r="C168" s="70">
        <v>0.4</v>
      </c>
      <c r="D168" s="70" t="s">
        <v>824</v>
      </c>
    </row>
    <row r="169" spans="1:6">
      <c r="B169" s="70">
        <v>160</v>
      </c>
      <c r="C169" s="70">
        <v>0.2</v>
      </c>
      <c r="D169" s="70" t="s">
        <v>759</v>
      </c>
    </row>
    <row r="171" spans="1:6" s="564" customFormat="1">
      <c r="A171" s="563" t="s">
        <v>810</v>
      </c>
    </row>
    <row r="172" spans="1:6" s="521" customFormat="1" ht="31.2">
      <c r="A172" s="520" t="s">
        <v>174</v>
      </c>
    </row>
    <row r="173" spans="1:6">
      <c r="A173" t="s">
        <v>467</v>
      </c>
    </row>
    <row r="174" spans="1:6">
      <c r="B174" s="29" t="s">
        <v>338</v>
      </c>
      <c r="C174" s="65">
        <v>14</v>
      </c>
      <c r="D174" t="s">
        <v>178</v>
      </c>
    </row>
    <row r="175" spans="1:6">
      <c r="B175" s="82" t="s">
        <v>179</v>
      </c>
      <c r="C175" s="67">
        <f>B23</f>
        <v>0.1</v>
      </c>
      <c r="D175" t="s">
        <v>180</v>
      </c>
    </row>
    <row r="176" spans="1:6">
      <c r="B176" s="82" t="s">
        <v>181</v>
      </c>
      <c r="C176" s="68">
        <v>7.6</v>
      </c>
      <c r="D176" t="s">
        <v>182</v>
      </c>
    </row>
    <row r="177" spans="1:25">
      <c r="B177" s="82" t="s">
        <v>183</v>
      </c>
      <c r="C177" s="69">
        <v>0</v>
      </c>
      <c r="D177" t="s">
        <v>184</v>
      </c>
    </row>
    <row r="178" spans="1:25">
      <c r="B178" s="83" t="s">
        <v>185</v>
      </c>
      <c r="C178" s="68">
        <f>7/5</f>
        <v>1.4</v>
      </c>
      <c r="D178" t="s">
        <v>186</v>
      </c>
    </row>
    <row r="179" spans="1:25">
      <c r="B179" s="29" t="s">
        <v>811</v>
      </c>
      <c r="C179" s="66">
        <f>((1/C175/C176)*(1+C177))*C178</f>
        <v>1.8421052631578947</v>
      </c>
      <c r="D179" t="s">
        <v>187</v>
      </c>
    </row>
    <row r="180" spans="1:25">
      <c r="B180" s="29" t="s">
        <v>816</v>
      </c>
      <c r="C180" s="66">
        <f>Setting_Engineer_Hours_per_day*Setting_Default_Engineer_Allocation*5</f>
        <v>3.8</v>
      </c>
      <c r="D180" s="61"/>
    </row>
    <row r="181" spans="1:25">
      <c r="B181" s="61"/>
      <c r="C181" s="29" t="s">
        <v>177</v>
      </c>
      <c r="D181" s="29" t="s">
        <v>176</v>
      </c>
      <c r="E181" s="29" t="s">
        <v>812</v>
      </c>
    </row>
    <row r="182" spans="1:25">
      <c r="B182" s="29" t="s">
        <v>62</v>
      </c>
      <c r="C182" s="66">
        <f>SUM(Input_Tasks[[R1 Business Hours]:[R1 After Hours]])+'Project Technical Tasks'!D33</f>
        <v>0</v>
      </c>
      <c r="D182" s="66">
        <f>IFERROR(ROUND(C182/$C$191,1),0)</f>
        <v>0</v>
      </c>
      <c r="E182" s="66">
        <f>ROUNDUP(C182*Setting_Scaling_Duration,0)</f>
        <v>0</v>
      </c>
    </row>
    <row r="183" spans="1:25">
      <c r="B183" s="29" t="s">
        <v>3</v>
      </c>
      <c r="C183" s="66">
        <f>SUM(Input_Tasks[[R2 Business Hours]:[R2 After Hours]])+'Project Technical Tasks'!D34</f>
        <v>0</v>
      </c>
      <c r="D183" s="66">
        <f>IFERROR(ROUND(C183/$C$191,1),0)</f>
        <v>0</v>
      </c>
      <c r="E183" s="66">
        <f>ROUNDUP(C183*Setting_Scaling_Duration,0)</f>
        <v>0</v>
      </c>
    </row>
    <row r="184" spans="1:25">
      <c r="B184" s="29" t="s">
        <v>4</v>
      </c>
      <c r="C184" s="66">
        <f>SUM(Input_Tasks[[R3 Business Hours]:[R3 After Hours]])+'Project Technical Tasks'!D35</f>
        <v>0</v>
      </c>
      <c r="D184" s="66">
        <f>IFERROR(ROUND(C184/$C$191,1),0)</f>
        <v>0</v>
      </c>
      <c r="E184" s="66">
        <f>ROUNDUP(C184*Setting_Scaling_Duration,0)</f>
        <v>0</v>
      </c>
    </row>
    <row r="185" spans="1:25">
      <c r="B185" s="29" t="s">
        <v>5</v>
      </c>
      <c r="C185" s="66">
        <f>SUM(Input_Tasks[[R4 Business Hours]:[R4 After Hours]])+'Project Technical Tasks'!D36</f>
        <v>0</v>
      </c>
      <c r="D185" s="66">
        <f>IFERROR(ROUND(C185/$C$191,1),0)</f>
        <v>0</v>
      </c>
      <c r="E185" s="66">
        <f>ROUNDUP(C185*Setting_Scaling_Duration,0)</f>
        <v>0</v>
      </c>
    </row>
    <row r="186" spans="1:25">
      <c r="B186" s="29" t="s">
        <v>6</v>
      </c>
      <c r="C186" s="66">
        <f>SUM(Input_Tasks[[R5 Business Hours]:[R5 After Hours]])+'Project Technical Tasks'!D37</f>
        <v>0</v>
      </c>
      <c r="D186" s="66">
        <f>IFERROR(ROUND(C186/$C$191,1),0)</f>
        <v>0</v>
      </c>
      <c r="E186" s="66">
        <f>ROUNDUP(C186*Setting_Scaling_Duration,0)</f>
        <v>0</v>
      </c>
    </row>
    <row r="187" spans="1:25">
      <c r="B187" s="96"/>
    </row>
    <row r="188" spans="1:25">
      <c r="B188" t="s">
        <v>815</v>
      </c>
      <c r="C188" s="65">
        <f>ROUNDUP(MAX(Setting_Base_Duration,E182:E186)/7,0)</f>
        <v>2</v>
      </c>
    </row>
    <row r="189" spans="1:25" s="3" customFormat="1" ht="17.399999999999999">
      <c r="A189" s="61"/>
      <c r="B189" s="29" t="s">
        <v>817</v>
      </c>
      <c r="C189" s="586" t="e">
        <f>ROUND((Management!$B$19-Management!$B$18)/7,1)</f>
        <v>#VALUE!</v>
      </c>
      <c r="D189"/>
      <c r="E189"/>
      <c r="F189"/>
      <c r="G189"/>
      <c r="H189"/>
      <c r="I189"/>
      <c r="J189"/>
      <c r="K189"/>
      <c r="L189"/>
      <c r="M189"/>
      <c r="N189"/>
      <c r="O189"/>
      <c r="P189"/>
      <c r="Q189"/>
      <c r="R189"/>
      <c r="S189" s="5"/>
      <c r="Y189" s="5"/>
    </row>
    <row r="190" spans="1:25" s="3" customFormat="1" ht="17.399999999999999">
      <c r="A190" s="61"/>
      <c r="B190" s="29" t="s">
        <v>773</v>
      </c>
      <c r="C190" s="586">
        <f>Management!B22</f>
        <v>0</v>
      </c>
      <c r="D190"/>
      <c r="E190"/>
      <c r="F190"/>
      <c r="G190"/>
      <c r="H190"/>
      <c r="I190"/>
      <c r="J190"/>
      <c r="K190"/>
      <c r="L190"/>
      <c r="M190"/>
      <c r="N190"/>
      <c r="O190"/>
      <c r="P190"/>
      <c r="Q190"/>
      <c r="R190"/>
      <c r="S190" s="5"/>
      <c r="Y190" s="5"/>
    </row>
    <row r="191" spans="1:25" s="3" customFormat="1" ht="17.399999999999999">
      <c r="A191" s="61"/>
      <c r="B191" s="29" t="s">
        <v>767</v>
      </c>
      <c r="C191" s="586" t="e">
        <f>ROUND((Management!$B$19-Management!$B$18)/7,1)-Management!B22</f>
        <v>#VALUE!</v>
      </c>
      <c r="D191"/>
      <c r="E191"/>
      <c r="F191"/>
      <c r="G191"/>
      <c r="H191"/>
      <c r="I191"/>
      <c r="J191"/>
      <c r="K191"/>
      <c r="L191"/>
      <c r="M191"/>
      <c r="N191"/>
      <c r="O191"/>
      <c r="P191"/>
      <c r="Q191"/>
      <c r="R191"/>
      <c r="Y191" s="5"/>
    </row>
    <row r="192" spans="1:25" s="61" customFormat="1"/>
    <row r="193" spans="1:4" s="564" customFormat="1">
      <c r="A193" s="587" t="s">
        <v>821</v>
      </c>
    </row>
    <row r="194" spans="1:4">
      <c r="B194" t="s">
        <v>329</v>
      </c>
      <c r="C194" s="273">
        <f>MAX(Settings_Hidden!D182:D186)</f>
        <v>0</v>
      </c>
    </row>
    <row r="195" spans="1:4">
      <c r="B195" t="s">
        <v>334</v>
      </c>
      <c r="C195" s="273">
        <f>VLOOKUP($C$194,$B$198:$D$201,2,TRUE)</f>
        <v>0</v>
      </c>
    </row>
    <row r="196" spans="1:4">
      <c r="B196" t="s">
        <v>332</v>
      </c>
      <c r="C196" s="273" t="str">
        <f>IF(VLOOKUP($C$194,$B$198:$D$201,3,TRUE)="","",VLOOKUP($C$194,$B$198:$D$201,3,TRUE))</f>
        <v/>
      </c>
    </row>
    <row r="197" spans="1:4">
      <c r="B197" t="s">
        <v>330</v>
      </c>
      <c r="C197" t="s">
        <v>331</v>
      </c>
      <c r="D197" t="s">
        <v>333</v>
      </c>
    </row>
    <row r="198" spans="1:4">
      <c r="B198" s="435">
        <v>0</v>
      </c>
      <c r="C198" s="273">
        <v>0</v>
      </c>
      <c r="D198" s="435"/>
    </row>
    <row r="199" spans="1:4">
      <c r="B199" s="435">
        <v>28</v>
      </c>
      <c r="C199" s="273">
        <v>1</v>
      </c>
      <c r="D199" s="70" t="s">
        <v>825</v>
      </c>
    </row>
    <row r="200" spans="1:4">
      <c r="B200" s="435">
        <v>32</v>
      </c>
      <c r="C200" s="273">
        <v>2</v>
      </c>
      <c r="D200" s="70" t="str">
        <f>"Warning - You are committing a resource to this project full time - this requires approval from "&amp;Role.Engineering.Leader.Name&amp;"
Send an email with a justification for the resourcing requirement (and the PSE attached) to "&amp;Role.Engineering.Leader.Email</f>
        <v>Warning - You are committing a resource to this project full time - this requires approval from Steve McCann
Send an email with a justification for the resourcing requirement (and the PSE attached) to steve.mccann@architech.net.au</v>
      </c>
    </row>
    <row r="201" spans="1:4">
      <c r="B201" s="435">
        <v>38</v>
      </c>
      <c r="C201" s="273">
        <v>3</v>
      </c>
      <c r="D201" s="70" t="str">
        <f>"Warning - This timeline is not feasible without overtime - this requires approval from "&amp;Role.Engineering.Leader.Name&amp;"
Send an email with a justification for the resourcing requirement (and the PSE attached) to "&amp;Role.Engineering.Leader.Email</f>
        <v>Warning - This timeline is not feasible without overtime - this requires approval from Steve McCann
Send an email with a justification for the resourcing requirement (and the PSE attached) to steve.mccann@architech.net.au</v>
      </c>
    </row>
    <row r="203" spans="1:4" s="564" customFormat="1" ht="31.2">
      <c r="A203" s="563" t="s">
        <v>819</v>
      </c>
    </row>
    <row r="204" spans="1:4">
      <c r="B204" s="273" t="s">
        <v>343</v>
      </c>
      <c r="C204" s="273" t="str">
        <f>Management!B11</f>
        <v>None</v>
      </c>
    </row>
    <row r="205" spans="1:4">
      <c r="B205" s="273" t="s">
        <v>344</v>
      </c>
      <c r="C205" s="273" t="str">
        <f>Settings_Management_Hidden!C62</f>
        <v>None</v>
      </c>
    </row>
    <row r="206" spans="1:4">
      <c r="B206" s="273" t="s">
        <v>345</v>
      </c>
      <c r="C206" s="273">
        <f>MATCH(C204,PROJECT_TIERS,0)</f>
        <v>1</v>
      </c>
    </row>
    <row r="207" spans="1:4">
      <c r="B207" s="273" t="s">
        <v>346</v>
      </c>
      <c r="C207" s="273">
        <f>MATCH(C205,PROJECT_TIERS,0)</f>
        <v>1</v>
      </c>
    </row>
    <row r="209" spans="1:4">
      <c r="B209" s="273" t="s">
        <v>347</v>
      </c>
      <c r="C209" s="273" t="b">
        <f>IF(C206&lt;C207,TRUE,FALSE)</f>
        <v>0</v>
      </c>
    </row>
    <row r="210" spans="1:4">
      <c r="B210" s="273" t="s">
        <v>333</v>
      </c>
      <c r="C210" s="70" t="str">
        <f>"Warning: Setting the Project Management Tier below the recommended level requires approval from "&amp;Role.PMO.Leader.Name&amp;"
Send an email with a justification for the resourcing requirement (and the PSE attached) to "&amp;Role.PMO.Leader.email</f>
        <v>Warning: Setting the Project Management Tier below the recommended level requires approval from Stephen McDonald
Send an email with a justification for the resourcing requirement (and the PSE attached) to stephen.mcdonald@architech.net.au</v>
      </c>
    </row>
    <row r="212" spans="1:4" s="564" customFormat="1" ht="31.2">
      <c r="A212" s="563" t="s">
        <v>820</v>
      </c>
    </row>
    <row r="213" spans="1:4">
      <c r="B213" s="273" t="s">
        <v>372</v>
      </c>
      <c r="C213" s="273">
        <f>Settings_Management_Hidden!B64</f>
        <v>1</v>
      </c>
    </row>
    <row r="214" spans="1:4">
      <c r="B214" s="273" t="s">
        <v>369</v>
      </c>
      <c r="C214" s="273">
        <f>Settings_Management_Hidden!C64</f>
        <v>1</v>
      </c>
    </row>
    <row r="215" spans="1:4">
      <c r="B215" s="273" t="s">
        <v>370</v>
      </c>
      <c r="C215" s="273">
        <f>C213</f>
        <v>1</v>
      </c>
    </row>
    <row r="216" spans="1:4">
      <c r="B216" s="273" t="s">
        <v>371</v>
      </c>
      <c r="C216" s="273">
        <f>C214</f>
        <v>1</v>
      </c>
    </row>
    <row r="218" spans="1:4">
      <c r="B218" s="273" t="s">
        <v>347</v>
      </c>
      <c r="C218" s="273" t="b">
        <f>IF(C215&gt;C216,TRUE,FALSE)</f>
        <v>0</v>
      </c>
    </row>
    <row r="219" spans="1:4">
      <c r="B219" s="273" t="s">
        <v>333</v>
      </c>
      <c r="C219" s="70" t="str">
        <f>"Warning: Setting a Project Management Cycle Frequency below the recommended frequency requires approval from "&amp;Role.PMO.Leader.Name&amp;"
Send an email with a justification for the resourcing requirement (and the PSE attached) to "&amp;Role.PMO.Leader.email</f>
        <v>Warning: Setting a Project Management Cycle Frequency below the recommended frequency requires approval from Stephen McDonald
Send an email with a justification for the resourcing requirement (and the PSE attached) to stephen.mcdonald@architech.net.au</v>
      </c>
    </row>
    <row r="220" spans="1:4">
      <c r="B220" s="61"/>
      <c r="C220" s="61"/>
      <c r="D220" s="61"/>
    </row>
    <row r="221" spans="1:4" s="521" customFormat="1" ht="31.2">
      <c r="A221" s="520" t="s">
        <v>822</v>
      </c>
    </row>
    <row r="222" spans="1:4">
      <c r="A222" t="s">
        <v>761</v>
      </c>
    </row>
    <row r="223" spans="1:4">
      <c r="B223">
        <v>0</v>
      </c>
      <c r="C223" t="s">
        <v>806</v>
      </c>
    </row>
    <row r="224" spans="1:4">
      <c r="B224">
        <v>10</v>
      </c>
      <c r="C224" t="s">
        <v>807</v>
      </c>
    </row>
    <row r="225" spans="1:3">
      <c r="B225">
        <v>20</v>
      </c>
      <c r="C225" t="str">
        <f>"Note: The allocation of work per engineer per engagement cycle is not optimal. You can improve the balance of project manager-to-engineer time by shortening the target project timeline or reducing the engagement frequency."&amp;IF(C32&gt;1," Note: when reducing timeline, rebalancing work across engineers may also be nessesary to avoid overloading any one team member.","")</f>
        <v>Note: The allocation of work per engineer per engagement cycle is not optimal. You can improve the balance of project manager-to-engineer time by shortening the target project timeline or reducing the engagement frequency.</v>
      </c>
    </row>
    <row r="226" spans="1:3">
      <c r="B226">
        <v>24</v>
      </c>
    </row>
    <row r="227" spans="1:3">
      <c r="B227">
        <v>40</v>
      </c>
      <c r="C227" t="s">
        <v>830</v>
      </c>
    </row>
    <row r="228" spans="1:3">
      <c r="B228">
        <v>60</v>
      </c>
      <c r="C228" t="s">
        <v>808</v>
      </c>
    </row>
    <row r="230" spans="1:3">
      <c r="B230" t="s">
        <v>818</v>
      </c>
      <c r="C230" s="273" t="str">
        <f>Management!B29</f>
        <v>TBD</v>
      </c>
    </row>
    <row r="231" spans="1:3">
      <c r="B231" t="s">
        <v>764</v>
      </c>
      <c r="C231" s="451" t="str">
        <f>IFERROR(IF(VLOOKUP(C230,$B$223:$C$228,2,TRUE)="","",VLOOKUP(C230,$B$223:$C$228,2,TRUE)),"")</f>
        <v/>
      </c>
    </row>
    <row r="233" spans="1:3" s="564" customFormat="1">
      <c r="A233" s="565" t="s">
        <v>823</v>
      </c>
    </row>
    <row r="235" spans="1:3">
      <c r="C235" s="566" t="str">
        <f>_xlfn.TEXTJOIN(CHAR(10)&amp;CHAR(10),TRUE,IF(C209=FALSE,"",C210),IF(C218=FALSE,"",C219),C231,C196)</f>
        <v/>
      </c>
    </row>
    <row r="237" spans="1:3" s="564" customFormat="1">
      <c r="A237" s="564" t="s">
        <v>775</v>
      </c>
    </row>
    <row r="238" spans="1:3">
      <c r="B238" t="s">
        <v>776</v>
      </c>
      <c r="C238" s="573">
        <v>220</v>
      </c>
    </row>
    <row r="239" spans="1:3">
      <c r="B239" s="96"/>
    </row>
    <row r="243" spans="1:41" s="3" customFormat="1" ht="17.399999999999999">
      <c r="A243" s="61"/>
      <c r="B243"/>
      <c r="C243"/>
      <c r="D243"/>
      <c r="E243"/>
      <c r="F243"/>
      <c r="G243"/>
      <c r="H243"/>
      <c r="I243"/>
      <c r="J243"/>
      <c r="K243"/>
      <c r="L243"/>
      <c r="M243"/>
      <c r="N243"/>
      <c r="O243"/>
      <c r="P243"/>
      <c r="Q243"/>
      <c r="R243"/>
      <c r="S243" s="5"/>
      <c r="Y243" s="5"/>
    </row>
    <row r="244" spans="1:41" s="3" customFormat="1" ht="17.399999999999999">
      <c r="A244" s="61"/>
      <c r="B244"/>
      <c r="D244"/>
      <c r="E244"/>
      <c r="F244"/>
      <c r="G244"/>
      <c r="H244"/>
      <c r="I244"/>
      <c r="J244"/>
      <c r="K244"/>
      <c r="L244"/>
      <c r="M244"/>
      <c r="N244"/>
      <c r="O244"/>
      <c r="P244"/>
      <c r="Q244"/>
      <c r="R244"/>
      <c r="S244" s="5"/>
      <c r="Y244" s="5"/>
    </row>
    <row r="245" spans="1:41" s="3" customFormat="1" ht="17.399999999999999">
      <c r="A245" s="61"/>
      <c r="B245"/>
      <c r="C245"/>
      <c r="D245"/>
      <c r="E245"/>
      <c r="F245"/>
      <c r="G245"/>
      <c r="H245"/>
      <c r="I245"/>
      <c r="J245"/>
      <c r="K245"/>
      <c r="L245"/>
      <c r="M245"/>
      <c r="N245"/>
      <c r="O245"/>
      <c r="P245"/>
      <c r="Q245"/>
      <c r="R245"/>
      <c r="S245" s="5"/>
      <c r="Y245" s="5"/>
      <c r="AO245" s="41"/>
    </row>
    <row r="246" spans="1:41" s="3" customFormat="1" ht="17.399999999999999">
      <c r="A246" s="61"/>
      <c r="B246"/>
      <c r="C246"/>
      <c r="D246"/>
      <c r="E246"/>
      <c r="F246"/>
      <c r="G246"/>
      <c r="H246"/>
      <c r="I246"/>
      <c r="J246"/>
      <c r="K246"/>
      <c r="L246"/>
      <c r="M246"/>
      <c r="N246"/>
      <c r="O246"/>
      <c r="P246"/>
      <c r="Q246"/>
      <c r="R246"/>
      <c r="S246" s="5"/>
      <c r="Y246" s="5"/>
      <c r="AO246" s="41"/>
    </row>
    <row r="247" spans="1:41" s="3" customFormat="1" ht="17.399999999999999">
      <c r="A247" s="61"/>
      <c r="B247"/>
      <c r="C247"/>
      <c r="D247"/>
      <c r="E247"/>
      <c r="F247"/>
      <c r="G247"/>
      <c r="H247"/>
      <c r="I247"/>
      <c r="J247"/>
      <c r="K247"/>
      <c r="L247"/>
      <c r="M247"/>
      <c r="N247"/>
      <c r="O247"/>
      <c r="P247"/>
      <c r="Q247"/>
      <c r="R247"/>
      <c r="S247" s="5"/>
      <c r="Y247" s="5"/>
      <c r="AO247" s="41"/>
    </row>
    <row r="248" spans="1:41" s="3" customFormat="1" ht="17.399999999999999">
      <c r="A248" s="61"/>
      <c r="B248"/>
      <c r="C248"/>
      <c r="D248"/>
      <c r="E248"/>
      <c r="F248"/>
      <c r="G248"/>
      <c r="H248"/>
      <c r="I248"/>
      <c r="J248"/>
      <c r="K248"/>
      <c r="L248"/>
      <c r="M248"/>
      <c r="N248"/>
      <c r="O248"/>
      <c r="P248"/>
      <c r="Q248"/>
      <c r="R248"/>
      <c r="S248" s="5"/>
      <c r="Y248" s="5"/>
      <c r="AO248" s="41"/>
    </row>
    <row r="249" spans="1:41" s="3" customFormat="1" ht="17.399999999999999">
      <c r="A249" s="61"/>
      <c r="B249"/>
      <c r="C249"/>
      <c r="D249"/>
      <c r="E249"/>
      <c r="F249"/>
      <c r="G249"/>
      <c r="H249"/>
      <c r="I249"/>
      <c r="J249"/>
      <c r="K249"/>
      <c r="L249"/>
      <c r="M249"/>
      <c r="N249"/>
      <c r="O249"/>
      <c r="P249"/>
      <c r="Q249"/>
      <c r="R249"/>
      <c r="S249" s="5"/>
      <c r="Y249" s="5"/>
      <c r="AO249" s="41"/>
    </row>
    <row r="250" spans="1:41" s="3" customFormat="1" ht="17.399999999999999">
      <c r="A250" s="61"/>
      <c r="B250"/>
      <c r="C250"/>
      <c r="D250"/>
      <c r="E250"/>
      <c r="F250"/>
      <c r="G250"/>
      <c r="H250"/>
      <c r="I250"/>
      <c r="J250"/>
      <c r="K250"/>
      <c r="L250"/>
      <c r="M250"/>
      <c r="N250"/>
      <c r="O250"/>
      <c r="P250"/>
      <c r="Q250"/>
      <c r="R250"/>
      <c r="S250" s="5"/>
      <c r="Y250" s="5"/>
    </row>
    <row r="251" spans="1:41" s="3" customFormat="1" ht="17.399999999999999">
      <c r="A251" s="61"/>
      <c r="B251"/>
      <c r="C251"/>
      <c r="D251"/>
      <c r="E251"/>
      <c r="F251"/>
      <c r="G251"/>
      <c r="H251"/>
      <c r="I251"/>
      <c r="J251"/>
      <c r="K251"/>
      <c r="L251"/>
      <c r="M251"/>
      <c r="N251"/>
      <c r="O251"/>
      <c r="P251"/>
      <c r="Q251"/>
      <c r="R251"/>
      <c r="S251" s="5"/>
      <c r="Y251" s="5"/>
    </row>
    <row r="252" spans="1:41" s="3" customFormat="1" ht="17.399999999999999">
      <c r="A252" s="61"/>
      <c r="B252"/>
      <c r="C252"/>
      <c r="D252"/>
      <c r="E252"/>
      <c r="F252"/>
      <c r="G252"/>
      <c r="H252"/>
      <c r="I252"/>
      <c r="J252"/>
      <c r="K252"/>
      <c r="L252"/>
      <c r="M252"/>
      <c r="N252"/>
      <c r="O252"/>
      <c r="P252"/>
      <c r="Q252"/>
      <c r="R252"/>
      <c r="S252" s="5"/>
      <c r="Y252" s="5"/>
    </row>
    <row r="253" spans="1:41" s="3" customFormat="1" ht="17.399999999999999">
      <c r="A253" s="61"/>
      <c r="B253"/>
      <c r="C253"/>
      <c r="D253"/>
      <c r="E253"/>
      <c r="F253"/>
      <c r="G253"/>
      <c r="H253"/>
      <c r="I253"/>
      <c r="J253"/>
      <c r="K253"/>
      <c r="L253"/>
      <c r="M253"/>
      <c r="N253"/>
      <c r="O253"/>
      <c r="P253"/>
      <c r="Q253"/>
      <c r="R253"/>
      <c r="S253" s="5"/>
      <c r="Y253" s="5"/>
    </row>
    <row r="254" spans="1:41" s="3" customFormat="1" ht="17.399999999999999">
      <c r="A254" s="61"/>
      <c r="B254" s="61"/>
      <c r="C254"/>
      <c r="D254"/>
      <c r="E254"/>
      <c r="F254"/>
      <c r="G254"/>
      <c r="H254"/>
      <c r="I254"/>
      <c r="J254"/>
      <c r="K254"/>
      <c r="L254"/>
      <c r="M254"/>
      <c r="N254"/>
      <c r="O254"/>
      <c r="P254"/>
      <c r="Q254"/>
      <c r="R254"/>
      <c r="S254" s="5"/>
      <c r="T254" s="5"/>
      <c r="U254" s="5"/>
      <c r="V254" s="5"/>
      <c r="W254" s="5"/>
      <c r="X254" s="5"/>
      <c r="Y254" s="5"/>
      <c r="Z254" s="5"/>
      <c r="AA254" s="5"/>
      <c r="AB254" s="5"/>
      <c r="AC254" s="5"/>
      <c r="AD254" s="5"/>
      <c r="AE254" s="5"/>
      <c r="AF254" s="5"/>
      <c r="AG254" s="5"/>
      <c r="AH254" s="5"/>
      <c r="AI254" s="5"/>
    </row>
    <row r="256" spans="1:41" s="521" customFormat="1">
      <c r="A256" s="520" t="s">
        <v>263</v>
      </c>
      <c r="B256" s="523"/>
      <c r="C256" s="550" t="s">
        <v>245</v>
      </c>
      <c r="D256" s="521" t="s">
        <v>246</v>
      </c>
      <c r="E256" s="521" t="s">
        <v>247</v>
      </c>
      <c r="F256" s="521" t="s">
        <v>248</v>
      </c>
      <c r="G256" s="521" t="s">
        <v>249</v>
      </c>
    </row>
    <row r="257" spans="1:9">
      <c r="B257" s="64" t="s">
        <v>244</v>
      </c>
      <c r="C257" s="81" t="s">
        <v>1285</v>
      </c>
      <c r="D257" s="29">
        <f>VLOOKUP($C257,$B$102:$D$111,2,FALSE)</f>
        <v>149.91839058446394</v>
      </c>
      <c r="E257" s="29">
        <f>VLOOKUP($C257,$B$102:$D$111,3,FALSE)</f>
        <v>224.87758587669589</v>
      </c>
      <c r="F257" s="29">
        <f>VLOOKUP($C257,$B$88:$D$97,2,FALSE)</f>
        <v>280.5</v>
      </c>
      <c r="G257" s="29">
        <f>VLOOKUP($C257,$B$88:$D$97,3,FALSE)</f>
        <v>420.75</v>
      </c>
    </row>
    <row r="258" spans="1:9">
      <c r="B258" s="64" t="s">
        <v>833</v>
      </c>
      <c r="C258" s="81" t="str">
        <f>Settings_Management_Hidden!B65</f>
        <v>Project Manager</v>
      </c>
      <c r="D258" s="29">
        <f>VLOOKUP($C258,$B$102:$D$111,2,FALSE)</f>
        <v>147.55803124436895</v>
      </c>
      <c r="E258" s="29">
        <f>VLOOKUP($C258,$B$102:$D$111,3,FALSE)</f>
        <v>221.33704686655341</v>
      </c>
      <c r="F258" s="29">
        <f>VLOOKUP($C258,$B$88:$D$97,2,FALSE)</f>
        <v>225</v>
      </c>
      <c r="G258" s="29">
        <f>VLOOKUP($C258,$B$88:$D$97,3,FALSE)</f>
        <v>337.5</v>
      </c>
    </row>
    <row r="259" spans="1:9">
      <c r="B259" s="97"/>
    </row>
    <row r="260" spans="1:9" s="521" customFormat="1">
      <c r="A260" s="520" t="s">
        <v>196</v>
      </c>
    </row>
    <row r="261" spans="1:9" ht="31.2">
      <c r="B261" s="61" t="s">
        <v>228</v>
      </c>
    </row>
    <row r="262" spans="1:9">
      <c r="B262" s="29" t="s">
        <v>41</v>
      </c>
      <c r="C262" s="70">
        <v>0.5</v>
      </c>
    </row>
    <row r="263" spans="1:9">
      <c r="B263" s="29" t="s">
        <v>42</v>
      </c>
      <c r="C263" s="70">
        <v>0.5</v>
      </c>
    </row>
    <row r="264" spans="1:9">
      <c r="B264" s="29" t="s">
        <v>43</v>
      </c>
      <c r="C264" s="70">
        <v>1</v>
      </c>
    </row>
    <row r="265" spans="1:9">
      <c r="B265" s="29" t="s">
        <v>54</v>
      </c>
      <c r="C265" s="70">
        <v>2</v>
      </c>
    </row>
    <row r="266" spans="1:9" s="521" customFormat="1" ht="31.2">
      <c r="A266" s="520" t="str">
        <f>Settings_Management_Hidden!A3&amp;" Settings"</f>
        <v>1. Minimum Management Overhead Settings</v>
      </c>
      <c r="B266" s="523"/>
    </row>
    <row r="267" spans="1:9" ht="16.2" thickBot="1">
      <c r="A267" s="60"/>
      <c r="B267" s="61" t="s">
        <v>264</v>
      </c>
      <c r="C267" t="s">
        <v>265</v>
      </c>
      <c r="D267" t="s">
        <v>266</v>
      </c>
      <c r="E267" t="s">
        <v>275</v>
      </c>
      <c r="F267" t="s">
        <v>274</v>
      </c>
      <c r="G267" t="s">
        <v>276</v>
      </c>
      <c r="H267" t="s">
        <v>277</v>
      </c>
      <c r="I267" t="s">
        <v>278</v>
      </c>
    </row>
    <row r="268" spans="1:9" ht="31.2">
      <c r="A268" s="60"/>
      <c r="B268" s="102" t="str">
        <f>Settings_Management_Hidden!A18</f>
        <v>ConnectWise Work - Setup &amp; Ongoing Management</v>
      </c>
      <c r="C268" s="103" t="s">
        <v>267</v>
      </c>
      <c r="D268" s="104">
        <v>0.5</v>
      </c>
      <c r="E268" s="105" t="s">
        <v>104</v>
      </c>
      <c r="F268" s="105">
        <f>IFERROR(VLOOKUP(E268,Settings_Management_Hidden!$A$5:$B$11,2,FALSE),"")</f>
        <v>0</v>
      </c>
      <c r="G268" s="106">
        <f>Settings_Management_Hidden!C18</f>
        <v>0.5</v>
      </c>
      <c r="H268" s="120">
        <v>1000</v>
      </c>
      <c r="I268" s="121">
        <f>MAX(Settings_Hidden!$D$268,ROUND(H268*Settings_Hidden!D269,1))</f>
        <v>20</v>
      </c>
    </row>
    <row r="269" spans="1:9" ht="31.8" thickBot="1">
      <c r="A269" s="60"/>
      <c r="B269" s="107" t="str">
        <f>Settings_Management_Hidden!A18</f>
        <v>ConnectWise Work - Setup &amp; Ongoing Management</v>
      </c>
      <c r="C269" s="108" t="s">
        <v>268</v>
      </c>
      <c r="D269" s="109">
        <f>1/50</f>
        <v>0.02</v>
      </c>
      <c r="E269" s="110"/>
      <c r="F269" s="110" t="str">
        <f>IFERROR(VLOOKUP(E269,Settings_Management_Hidden!$A$5:$B$11,2,FALSE),"")</f>
        <v/>
      </c>
      <c r="G269" s="111"/>
      <c r="H269" s="122"/>
      <c r="I269" s="123"/>
    </row>
    <row r="270" spans="1:9" ht="31.2">
      <c r="A270" s="60"/>
      <c r="B270" s="102" t="str">
        <f>Settings_Management_Hidden!A19</f>
        <v>Lead Engineer + Manager BOM, Quote &amp; PSE Validation Effort</v>
      </c>
      <c r="C270" s="103" t="s">
        <v>267</v>
      </c>
      <c r="D270" s="104">
        <v>0.25</v>
      </c>
      <c r="E270" s="105" t="s">
        <v>104</v>
      </c>
      <c r="F270" s="105">
        <f>IFERROR(VLOOKUP(E270,Settings_Management_Hidden!$A$5:$B$11,2,FALSE),"")</f>
        <v>0</v>
      </c>
      <c r="G270" s="106">
        <f>Settings_Management_Hidden!C19</f>
        <v>0.25</v>
      </c>
      <c r="H270" s="120">
        <v>1000</v>
      </c>
      <c r="I270" s="121">
        <f>MAX(Settings_Hidden!$D$270,ROUND(Settings_Hidden!$D$271*H270,1))</f>
        <v>20</v>
      </c>
    </row>
    <row r="271" spans="1:9" ht="31.8" thickBot="1">
      <c r="A271" s="60"/>
      <c r="B271" s="250" t="str">
        <f>Settings_Management_Hidden!A19</f>
        <v>Lead Engineer + Manager BOM, Quote &amp; PSE Validation Effort</v>
      </c>
      <c r="C271" s="251" t="s">
        <v>268</v>
      </c>
      <c r="D271" s="252">
        <f>1/50</f>
        <v>0.02</v>
      </c>
      <c r="E271" s="253"/>
      <c r="F271" s="253" t="str">
        <f>IFERROR(VLOOKUP(E271,Settings_Management_Hidden!$A$5:$B$11,2,FALSE),"")</f>
        <v/>
      </c>
      <c r="G271" s="254"/>
      <c r="H271" s="122"/>
      <c r="I271" s="123"/>
    </row>
    <row r="272" spans="1:9">
      <c r="A272" s="60"/>
      <c r="B272" s="102" t="str">
        <f>Settings_Management_Hidden!A20</f>
        <v>Sales Handover</v>
      </c>
      <c r="C272" s="103" t="s">
        <v>267</v>
      </c>
      <c r="D272" s="262">
        <v>0.25</v>
      </c>
      <c r="E272" s="105"/>
      <c r="F272" s="105"/>
      <c r="G272" s="143"/>
      <c r="H272" s="144"/>
      <c r="I272" s="106"/>
    </row>
    <row r="273" spans="1:9">
      <c r="A273" s="60"/>
      <c r="B273" s="115" t="str">
        <f>Settings_Management_Hidden!A20</f>
        <v>Sales Handover</v>
      </c>
      <c r="C273" s="64" t="s">
        <v>269</v>
      </c>
      <c r="D273" s="261">
        <v>1</v>
      </c>
      <c r="E273" s="29"/>
      <c r="F273" s="29"/>
      <c r="G273" s="263"/>
      <c r="H273" s="264"/>
      <c r="I273" s="116"/>
    </row>
    <row r="274" spans="1:9" ht="16.2" thickBot="1">
      <c r="A274" s="60"/>
      <c r="B274" s="145" t="str">
        <f>Settings_Management_Hidden!A20</f>
        <v>Sales Handover</v>
      </c>
      <c r="C274" s="110" t="s">
        <v>268</v>
      </c>
      <c r="D274" s="109">
        <f>0.5/100</f>
        <v>5.0000000000000001E-3</v>
      </c>
      <c r="E274" s="110" t="s">
        <v>105</v>
      </c>
      <c r="F274" s="110">
        <f>IFERROR(VLOOKUP(E274,Settings_Management_Hidden!$A$5:$B$11,2,FALSE),"")</f>
        <v>1</v>
      </c>
      <c r="G274" s="130">
        <f>Settings_Management_Hidden!C20</f>
        <v>0.25</v>
      </c>
      <c r="H274" s="145">
        <v>10</v>
      </c>
      <c r="I274" s="111">
        <f>H274*Settings_Hidden!D273</f>
        <v>10</v>
      </c>
    </row>
    <row r="275" spans="1:9">
      <c r="A275" s="60"/>
      <c r="B275" s="255" t="str">
        <f>Settings_Management_Hidden!A21</f>
        <v>Bookings &amp; Expense Management</v>
      </c>
      <c r="C275" s="256" t="s">
        <v>270</v>
      </c>
      <c r="D275" s="257">
        <v>0.12</v>
      </c>
      <c r="E275" s="258" t="s">
        <v>14</v>
      </c>
      <c r="F275" s="259">
        <f>IFERROR(VLOOKUP(E275,Settings_Management_Hidden!$A$5:$B$11,2,FALSE),"")</f>
        <v>0</v>
      </c>
      <c r="G275" s="260">
        <f>Settings_Management_Hidden!C21</f>
        <v>0</v>
      </c>
      <c r="H275" s="122">
        <v>20</v>
      </c>
      <c r="I275" s="123">
        <f>(H275*Settings_Hidden!$D$275)+IF(H276&gt;0,Settings_Hidden!$D$276+(H276*Settings_Hidden!$D$277),0)</f>
        <v>5.15</v>
      </c>
    </row>
    <row r="276" spans="1:9">
      <c r="A276" s="60"/>
      <c r="B276" s="115" t="str">
        <f>Settings_Management_Hidden!A21</f>
        <v>Bookings &amp; Expense Management</v>
      </c>
      <c r="C276" s="64" t="s">
        <v>272</v>
      </c>
      <c r="D276" s="70">
        <v>0.25</v>
      </c>
      <c r="E276" s="29" t="s">
        <v>12</v>
      </c>
      <c r="F276" s="101">
        <f>IFERROR(VLOOKUP(E276,Settings_Management_Hidden!$A$5:$B$11,2,FALSE),"")</f>
        <v>0</v>
      </c>
      <c r="G276" s="116"/>
      <c r="H276" s="122">
        <v>10</v>
      </c>
      <c r="I276" s="123"/>
    </row>
    <row r="277" spans="1:9" ht="16.2" thickBot="1">
      <c r="A277" s="60"/>
      <c r="B277" s="107" t="str">
        <f>Settings_Management_Hidden!A21</f>
        <v>Bookings &amp; Expense Management</v>
      </c>
      <c r="C277" s="108" t="s">
        <v>271</v>
      </c>
      <c r="D277" s="109">
        <v>0.25</v>
      </c>
      <c r="E277" s="110"/>
      <c r="F277" s="117" t="str">
        <f>IFERROR(VLOOKUP(E277,Settings_Management_Hidden!$A$5:$B$11,2,FALSE),"")</f>
        <v/>
      </c>
      <c r="G277" s="111"/>
      <c r="H277" s="124"/>
      <c r="I277" s="125"/>
    </row>
    <row r="278" spans="1:9" ht="16.2" thickBot="1">
      <c r="A278" s="60"/>
      <c r="B278" s="118" t="str">
        <f>Settings_Management_Hidden!A22</f>
        <v>Invoicing and Financial Reporting Effort</v>
      </c>
      <c r="C278" s="112" t="s">
        <v>273</v>
      </c>
      <c r="D278" s="119">
        <v>0.25</v>
      </c>
      <c r="E278" s="113" t="s">
        <v>24</v>
      </c>
      <c r="F278" s="113">
        <f>IFERROR(VLOOKUP(E278,Settings_Management_Hidden!$A$5:$B$11,2,FALSE),"")</f>
        <v>0</v>
      </c>
      <c r="G278" s="114">
        <f>Settings_Management_Hidden!C22</f>
        <v>0</v>
      </c>
      <c r="H278" s="126">
        <v>60</v>
      </c>
      <c r="I278" s="127">
        <f>H278*Settings_Hidden!D278</f>
        <v>15</v>
      </c>
    </row>
    <row r="279" spans="1:9">
      <c r="A279" s="60"/>
      <c r="B279" s="102" t="str">
        <f>Settings_Management_Hidden!A23</f>
        <v>Project Close</v>
      </c>
      <c r="C279" s="103" t="s">
        <v>267</v>
      </c>
      <c r="D279" s="104">
        <v>0.5</v>
      </c>
      <c r="E279" s="105" t="s">
        <v>104</v>
      </c>
      <c r="F279" s="105">
        <f>IFERROR(VLOOKUP(E279,Settings_Management_Hidden!$A$5:$B$11,2,FALSE),"")</f>
        <v>0</v>
      </c>
      <c r="G279" s="106">
        <f>Settings_Management_Hidden!C23</f>
        <v>0.5</v>
      </c>
      <c r="H279" s="120">
        <v>1000</v>
      </c>
      <c r="I279" s="121">
        <f>MAX(Settings_Hidden!D279,ROUND(Settings_Hidden!D280*H279,1))</f>
        <v>10</v>
      </c>
    </row>
    <row r="280" spans="1:9" ht="16.2" thickBot="1">
      <c r="A280" s="60"/>
      <c r="B280" s="107" t="str">
        <f>Settings_Management_Hidden!A23</f>
        <v>Project Close</v>
      </c>
      <c r="C280" s="108" t="s">
        <v>268</v>
      </c>
      <c r="D280" s="109">
        <f>1/100</f>
        <v>0.01</v>
      </c>
      <c r="E280" s="110"/>
      <c r="F280" s="110" t="str">
        <f>IFERROR(VLOOKUP(E280,Settings_Management_Hidden!$A$5:$B$11,2,FALSE),"")</f>
        <v/>
      </c>
      <c r="G280" s="111"/>
      <c r="H280" s="124"/>
      <c r="I280" s="125"/>
    </row>
    <row r="281" spans="1:9" ht="31.8" thickBot="1">
      <c r="A281" s="60"/>
      <c r="B281" s="107" t="str">
        <f>Settings_Management_Hidden!A24</f>
        <v>Project Oversight - Budget, Resource Bookings, Status</v>
      </c>
      <c r="C281" s="108" t="s">
        <v>273</v>
      </c>
      <c r="D281" s="109">
        <v>0.5</v>
      </c>
      <c r="E281" s="110"/>
      <c r="F281" s="110" t="str">
        <f>IFERROR(VLOOKUP(E281,Settings_Management_Hidden!$A$5:$B$11,2,FALSE),"")</f>
        <v/>
      </c>
      <c r="G281" s="111"/>
      <c r="H281" s="124"/>
      <c r="I281" s="125"/>
    </row>
    <row r="282" spans="1:9">
      <c r="A282" s="60"/>
      <c r="B282" s="61"/>
    </row>
    <row r="283" spans="1:9" s="521" customFormat="1" ht="31.8" thickBot="1">
      <c r="A283" s="520" t="str">
        <f>Settings_Management_Hidden!A31&amp;" Settings"</f>
        <v>2. Subcontractor Project Management Settings</v>
      </c>
      <c r="B283" s="523" t="s">
        <v>264</v>
      </c>
      <c r="C283" s="521" t="s">
        <v>265</v>
      </c>
      <c r="D283" s="521" t="s">
        <v>266</v>
      </c>
      <c r="E283" s="521" t="s">
        <v>275</v>
      </c>
      <c r="F283" s="521" t="s">
        <v>274</v>
      </c>
      <c r="G283" s="521" t="s">
        <v>276</v>
      </c>
      <c r="H283" s="521" t="s">
        <v>277</v>
      </c>
      <c r="I283" s="521" t="s">
        <v>278</v>
      </c>
    </row>
    <row r="284" spans="1:9">
      <c r="A284" s="60"/>
      <c r="B284" s="102" t="str">
        <f>Settings_Management_Hidden!A42</f>
        <v>Subcontractor Engagement</v>
      </c>
      <c r="C284" s="105" t="s">
        <v>286</v>
      </c>
      <c r="D284" s="105">
        <v>2</v>
      </c>
      <c r="E284" s="105" t="str">
        <f>VLOOKUP(B284,Subcontractor_Management_Costs[[Task]:[Scales With]],4,FALSE)</f>
        <v>Subcontractor Sub-project duration estimate (weeks) Total</v>
      </c>
      <c r="F284" s="105">
        <f>VLOOKUP(E284,Settings_Management_Hidden!$A$33:$B$38,2,FALSE)</f>
        <v>0</v>
      </c>
      <c r="G284" s="143">
        <f>VLOOKUP(B284,Subcontractor_Management_Costs[[Task]:[Scales With]],3,FALSE)</f>
        <v>0</v>
      </c>
      <c r="H284" s="144">
        <v>60</v>
      </c>
      <c r="I284" s="106">
        <f>ROUND(IF(H284&gt;0,Settings_Hidden!$D$284,0)+Settings_Hidden!$D$285*H284,1)</f>
        <v>32</v>
      </c>
    </row>
    <row r="285" spans="1:9" ht="16.2" thickBot="1">
      <c r="A285" s="60"/>
      <c r="B285" s="107" t="str">
        <f>Settings_Management_Hidden!A42</f>
        <v>Subcontractor Engagement</v>
      </c>
      <c r="C285" s="108" t="s">
        <v>282</v>
      </c>
      <c r="D285" s="109">
        <v>0.5</v>
      </c>
      <c r="E285" s="129" t="str">
        <f>VLOOKUP(B285,Subcontractor_Management_Costs[[Task]:[Scales With]],4,FALSE)</f>
        <v>Subcontractor Sub-project duration estimate (weeks) Total</v>
      </c>
      <c r="F285" s="110">
        <f>VLOOKUP(E285,Settings_Management_Hidden!$A$33:$B$38,2,FALSE)</f>
        <v>0</v>
      </c>
      <c r="G285" s="130">
        <f>VLOOKUP(B285,Subcontractor_Management_Costs[[Task]:[Scales With]],3,FALSE)</f>
        <v>0</v>
      </c>
      <c r="H285" s="145"/>
      <c r="I285" s="111"/>
    </row>
    <row r="286" spans="1:9" ht="16.2" thickBot="1">
      <c r="A286" s="60"/>
      <c r="B286" s="131" t="str">
        <f>Settings_Management_Hidden!A43</f>
        <v>Subcontractor Workshops</v>
      </c>
      <c r="C286" s="132" t="s">
        <v>283</v>
      </c>
      <c r="D286" s="142">
        <v>2</v>
      </c>
      <c r="E286" s="134" t="str">
        <f>VLOOKUP(B286,Subcontractor_Management_Costs[[Task]:[Scales With]],4,FALSE)</f>
        <v>Client/3rd Party Workshops Total</v>
      </c>
      <c r="F286" s="137">
        <f>VLOOKUP(E286,Settings_Management_Hidden!$A$33:$B$38,2,FALSE)</f>
        <v>0</v>
      </c>
      <c r="G286" s="137">
        <f>VLOOKUP(B286,Subcontractor_Management_Costs[[Task]:[Scales With]],3,FALSE)</f>
        <v>0</v>
      </c>
      <c r="H286" s="141"/>
      <c r="I286" s="138">
        <f>ROUND(H286*Settings_Hidden!$F$286,1)</f>
        <v>0</v>
      </c>
    </row>
    <row r="287" spans="1:9" ht="31.8" thickBot="1">
      <c r="A287" s="60"/>
      <c r="B287" s="118" t="str">
        <f>Settings_Management_Hidden!A44</f>
        <v>Document Reviews</v>
      </c>
      <c r="C287" s="112" t="s">
        <v>284</v>
      </c>
      <c r="D287" s="119">
        <v>2.5</v>
      </c>
      <c r="E287" s="139" t="str">
        <f>VLOOKUP(B287,Subcontractor_Management_Costs[[Task]:[Scales With]],4,FALSE)</f>
        <v>Document Output QTY Total</v>
      </c>
      <c r="F287" s="113">
        <f>VLOOKUP(E287,Settings_Management_Hidden!$A$33:$B$38,2,FALSE)</f>
        <v>0</v>
      </c>
      <c r="G287" s="113">
        <f>VLOOKUP(B287,Subcontractor_Management_Costs[[Task]:[Scales With]],3,FALSE)</f>
        <v>0</v>
      </c>
      <c r="H287" s="140">
        <v>15</v>
      </c>
      <c r="I287" s="114">
        <f>ROUND(H287*Settings_Hidden!$D$287,1)</f>
        <v>37.5</v>
      </c>
    </row>
    <row r="288" spans="1:9" ht="16.2" thickBot="1">
      <c r="A288" s="60"/>
      <c r="B288" s="131" t="str">
        <f>Settings_Management_Hidden!A45</f>
        <v>QA Oversight</v>
      </c>
      <c r="C288" s="132" t="s">
        <v>285</v>
      </c>
      <c r="D288" s="133">
        <f>ROUND((1/C90)*0.15,6)</f>
        <v>5.3499999999999999E-4</v>
      </c>
      <c r="E288" s="134" t="str">
        <f>VLOOKUP(B288,Subcontractor_Management_Costs[[Task]:[Scales With]],4,FALSE)</f>
        <v>Subcontractor Sell Price (Total)</v>
      </c>
      <c r="F288" s="135">
        <f>VLOOKUP(E288,Settings_Management_Hidden!$A$33:$B$38,2,FALSE)</f>
        <v>0</v>
      </c>
      <c r="G288" s="136">
        <f>VLOOKUP(B288,Subcontractor_Management_Costs[[Task]:[Scales With]],3,FALSE)</f>
        <v>0</v>
      </c>
      <c r="H288" s="141"/>
      <c r="I288" s="138">
        <f>ROUND(H288*Settings_Hidden!I328,1)</f>
        <v>0</v>
      </c>
    </row>
    <row r="289" spans="1:3">
      <c r="A289" s="60"/>
      <c r="B289" s="61"/>
    </row>
    <row r="291" spans="1:3" s="521" customFormat="1">
      <c r="A291" s="520" t="s">
        <v>262</v>
      </c>
      <c r="B291" s="521" t="s">
        <v>243</v>
      </c>
    </row>
    <row r="292" spans="1:3">
      <c r="B292" s="329" t="s">
        <v>54</v>
      </c>
      <c r="C292" s="98"/>
    </row>
    <row r="293" spans="1:3">
      <c r="B293" s="329" t="s">
        <v>43</v>
      </c>
      <c r="C293" s="98">
        <v>0.1</v>
      </c>
    </row>
    <row r="294" spans="1:3">
      <c r="B294" s="329" t="s">
        <v>42</v>
      </c>
      <c r="C294" s="98">
        <v>0.15</v>
      </c>
    </row>
    <row r="295" spans="1:3">
      <c r="B295" s="329" t="s">
        <v>318</v>
      </c>
      <c r="C295" s="98">
        <v>0.2</v>
      </c>
    </row>
    <row r="296" spans="1:3">
      <c r="B296" s="97"/>
    </row>
    <row r="297" spans="1:3" s="552" customFormat="1">
      <c r="A297" s="551" t="s">
        <v>328</v>
      </c>
    </row>
    <row r="298" spans="1:3">
      <c r="A298" s="60" t="s">
        <v>162</v>
      </c>
    </row>
    <row r="299" spans="1:3" ht="46.8">
      <c r="A299" s="61" t="s">
        <v>193</v>
      </c>
      <c r="B299" t="s">
        <v>191</v>
      </c>
      <c r="C299" t="s">
        <v>192</v>
      </c>
    </row>
    <row r="300" spans="1:3" ht="62.4">
      <c r="A300" s="61" t="s">
        <v>194</v>
      </c>
      <c r="B300" s="72">
        <v>0</v>
      </c>
      <c r="C300" s="70" t="s">
        <v>163</v>
      </c>
    </row>
    <row r="301" spans="1:3" ht="124.8">
      <c r="A301" s="61" t="s">
        <v>195</v>
      </c>
      <c r="B301" s="72">
        <v>1E-4</v>
      </c>
      <c r="C301" s="435" t="str">
        <f>"Service Discounts require email authorisation from "&amp;Role.Sales.Department.Leader.Name&amp;"
Send an email with a justification for the discount (and the PSE attached) to "&amp;Role.Sales.Department.Leader.email</f>
        <v>Service Discounts require email authorisation from Rob Russell
Send an email with a justification for the discount (and the PSE attached) to rob.russell@architech.net.au</v>
      </c>
    </row>
    <row r="302" spans="1:3" ht="124.8">
      <c r="A302" s="62"/>
      <c r="B302" s="72">
        <v>0.09</v>
      </c>
      <c r="C302" s="435" t="str">
        <f>"Discounts in excess of 9% require email authorisation from "&amp;Role.Company.Executive.Name&amp;". Send an email with a justification for the discount (and the PSE attached) to "&amp;Role.Company.Executive.Email</f>
        <v>Discounts in excess of 9% require email authorisation from Rob Russell. Send an email with a justification for the discount (and the PSE attached) to rob.russell@architech.net.au</v>
      </c>
    </row>
    <row r="304" spans="1:3">
      <c r="A304" s="60" t="s">
        <v>501</v>
      </c>
      <c r="B304" s="70" t="str">
        <f>Role.Engineering.Leader.Name</f>
        <v>Steve McCann</v>
      </c>
    </row>
    <row r="305" spans="1:3">
      <c r="B305" s="70" t="str">
        <f>Role.Delivery.Department.Leader</f>
        <v>Sujith Kumar</v>
      </c>
    </row>
    <row r="310" spans="1:3">
      <c r="A310" s="60" t="s">
        <v>500</v>
      </c>
      <c r="B310" s="70" t="str">
        <f>Role.Sales.Department.Leader</f>
        <v>Rob Russell</v>
      </c>
    </row>
    <row r="311" spans="1:3">
      <c r="B311" s="70" t="str">
        <f>Role.Company.Executive.Name</f>
        <v>Rob Russell</v>
      </c>
    </row>
    <row r="316" spans="1:3">
      <c r="A316" s="61" t="s">
        <v>523</v>
      </c>
      <c r="B316" s="433" t="s">
        <v>316</v>
      </c>
      <c r="C316" s="434">
        <v>1.1000000000000001</v>
      </c>
    </row>
    <row r="317" spans="1:3">
      <c r="B317" s="433" t="s">
        <v>524</v>
      </c>
      <c r="C317" s="434">
        <v>1.1000000000000001</v>
      </c>
    </row>
    <row r="318" spans="1:3">
      <c r="B318" s="433" t="s">
        <v>525</v>
      </c>
      <c r="C318" s="434">
        <v>1.1000000000000001</v>
      </c>
    </row>
    <row r="320" spans="1:3">
      <c r="A320" s="61" t="s">
        <v>539</v>
      </c>
      <c r="B320" s="433" t="s">
        <v>554</v>
      </c>
      <c r="C320" t="str">
        <f>INDEX(B321:B330,MATCH(TRUE,C321:C330,0),1)</f>
        <v>Engineer-Only Project</v>
      </c>
    </row>
    <row r="321" spans="1:4">
      <c r="B321" s="433" t="s">
        <v>540</v>
      </c>
      <c r="C321" t="b">
        <f>AND(B332&gt;=8,B334&gt;B333)</f>
        <v>0</v>
      </c>
      <c r="D321" t="s">
        <v>550</v>
      </c>
    </row>
    <row r="322" spans="1:4">
      <c r="B322" s="433" t="s">
        <v>541</v>
      </c>
      <c r="C322" t="b">
        <f>AND(B332&lt;8,B334&gt;B333)</f>
        <v>0</v>
      </c>
      <c r="D322" t="s">
        <v>551</v>
      </c>
    </row>
    <row r="323" spans="1:4">
      <c r="B323" s="433" t="s">
        <v>542</v>
      </c>
      <c r="C323" t="b">
        <v>0</v>
      </c>
      <c r="D323" t="s">
        <v>552</v>
      </c>
    </row>
    <row r="324" spans="1:4">
      <c r="B324" s="433" t="s">
        <v>543</v>
      </c>
      <c r="C324" t="b">
        <v>0</v>
      </c>
      <c r="D324" t="s">
        <v>552</v>
      </c>
    </row>
    <row r="325" spans="1:4">
      <c r="B325" s="433" t="s">
        <v>544</v>
      </c>
      <c r="C325" t="b">
        <f>B335="None"</f>
        <v>1</v>
      </c>
      <c r="D325" t="s">
        <v>553</v>
      </c>
    </row>
    <row r="326" spans="1:4">
      <c r="B326" s="433" t="s">
        <v>545</v>
      </c>
      <c r="C326" t="b">
        <f>AND(B333=0,B334&gt;0)</f>
        <v>0</v>
      </c>
      <c r="D326" t="s">
        <v>552</v>
      </c>
    </row>
    <row r="327" spans="1:4">
      <c r="B327" s="433" t="s">
        <v>310</v>
      </c>
      <c r="C327" t="b">
        <f>$B$335=B327</f>
        <v>0</v>
      </c>
      <c r="D327" t="str">
        <f>"Category = "&amp;B327</f>
        <v>Category = Large Project</v>
      </c>
    </row>
    <row r="328" spans="1:4">
      <c r="B328" s="433" t="s">
        <v>309</v>
      </c>
      <c r="C328" t="b">
        <f t="shared" ref="C328:C330" si="10">$B$335=B328</f>
        <v>0</v>
      </c>
      <c r="D328" t="str">
        <f t="shared" ref="D328:D330" si="11">"Category = "&amp;B328</f>
        <v>Category = Medium Project</v>
      </c>
    </row>
    <row r="329" spans="1:4">
      <c r="B329" s="433" t="s">
        <v>546</v>
      </c>
      <c r="C329" t="b">
        <f t="shared" si="10"/>
        <v>0</v>
      </c>
      <c r="D329" t="str">
        <f t="shared" si="11"/>
        <v>Category = Oversight Project</v>
      </c>
    </row>
    <row r="330" spans="1:4">
      <c r="B330" s="433" t="s">
        <v>308</v>
      </c>
      <c r="C330" t="b">
        <f t="shared" si="10"/>
        <v>0</v>
      </c>
      <c r="D330" t="str">
        <f t="shared" si="11"/>
        <v>Category = Small Project</v>
      </c>
    </row>
    <row r="332" spans="1:4">
      <c r="A332" s="61" t="s">
        <v>547</v>
      </c>
      <c r="B332" s="451">
        <f>Summary!D46</f>
        <v>1.5</v>
      </c>
    </row>
    <row r="333" spans="1:4">
      <c r="A333" s="61" t="s">
        <v>548</v>
      </c>
      <c r="B333" s="451">
        <f>Summary!H16</f>
        <v>0</v>
      </c>
    </row>
    <row r="334" spans="1:4">
      <c r="A334" s="61" t="s">
        <v>549</v>
      </c>
      <c r="B334" s="451">
        <f>Table_Subcontractors[[#Totals],[Sell Price (Ex. GST)]]/199</f>
        <v>0</v>
      </c>
    </row>
    <row r="335" spans="1:4">
      <c r="A335" s="61" t="s">
        <v>358</v>
      </c>
      <c r="B335" t="str">
        <f>Management!B11</f>
        <v>None</v>
      </c>
    </row>
    <row r="338" spans="2:7">
      <c r="B338" t="s">
        <v>564</v>
      </c>
      <c r="C338">
        <f>'Project Technical Tasks'!B17</f>
        <v>0</v>
      </c>
    </row>
    <row r="339" spans="2:7">
      <c r="B339" t="s">
        <v>626</v>
      </c>
      <c r="C339">
        <f ca="1">MAX(Milestones!B26:B27)</f>
        <v>1</v>
      </c>
    </row>
    <row r="340" spans="2:7">
      <c r="B340" t="s">
        <v>627</v>
      </c>
      <c r="C340" t="b">
        <f>Settings_Hidden!C21</f>
        <v>0</v>
      </c>
    </row>
    <row r="342" spans="2:7">
      <c r="C342" t="s">
        <v>624</v>
      </c>
      <c r="D342" t="s">
        <v>630</v>
      </c>
      <c r="E342" t="s">
        <v>628</v>
      </c>
      <c r="F342" t="s">
        <v>629</v>
      </c>
    </row>
    <row r="343" spans="2:7">
      <c r="B343" t="s">
        <v>603</v>
      </c>
      <c r="C343" t="s">
        <v>134</v>
      </c>
      <c r="D343" t="b">
        <f>C343=$C$338</f>
        <v>0</v>
      </c>
      <c r="E343" t="b">
        <f ca="1">$C$339&gt;1</f>
        <v>0</v>
      </c>
      <c r="F343" t="b">
        <f>C340=FALSE</f>
        <v>1</v>
      </c>
      <c r="G343">
        <f ca="1">D343*E343*F343</f>
        <v>0</v>
      </c>
    </row>
    <row r="344" spans="2:7">
      <c r="B344" t="s">
        <v>604</v>
      </c>
      <c r="C344" t="s">
        <v>134</v>
      </c>
      <c r="D344" t="b">
        <f t="shared" ref="D344:D351" si="12">C344=$C$338</f>
        <v>0</v>
      </c>
      <c r="E344" t="b">
        <f ca="1">C339=1</f>
        <v>1</v>
      </c>
      <c r="F344" t="b">
        <f>C340=TRUE</f>
        <v>0</v>
      </c>
      <c r="G344">
        <f t="shared" ref="G344:G351" ca="1" si="13">D344*E344*F344</f>
        <v>0</v>
      </c>
    </row>
    <row r="345" spans="2:7">
      <c r="B345" t="s">
        <v>605</v>
      </c>
      <c r="C345" t="s">
        <v>134</v>
      </c>
      <c r="D345" t="b">
        <f t="shared" si="12"/>
        <v>0</v>
      </c>
      <c r="E345" t="b">
        <f ca="1">C339=1</f>
        <v>1</v>
      </c>
      <c r="F345" t="b">
        <f>C340=FALSE</f>
        <v>1</v>
      </c>
      <c r="G345">
        <f t="shared" ca="1" si="13"/>
        <v>0</v>
      </c>
    </row>
    <row r="346" spans="2:7">
      <c r="B346" t="s">
        <v>606</v>
      </c>
      <c r="C346" t="s">
        <v>623</v>
      </c>
      <c r="D346" t="b">
        <f t="shared" si="12"/>
        <v>0</v>
      </c>
      <c r="G346">
        <f t="shared" si="13"/>
        <v>0</v>
      </c>
    </row>
    <row r="347" spans="2:7">
      <c r="B347" t="s">
        <v>607</v>
      </c>
      <c r="C347" t="s">
        <v>623</v>
      </c>
      <c r="D347" t="b">
        <f t="shared" si="12"/>
        <v>0</v>
      </c>
      <c r="G347">
        <f t="shared" si="13"/>
        <v>0</v>
      </c>
    </row>
    <row r="348" spans="2:7">
      <c r="B348" t="s">
        <v>608</v>
      </c>
      <c r="C348" t="s">
        <v>623</v>
      </c>
      <c r="D348" t="b">
        <f t="shared" si="12"/>
        <v>0</v>
      </c>
      <c r="G348">
        <f t="shared" si="13"/>
        <v>0</v>
      </c>
    </row>
    <row r="349" spans="2:7">
      <c r="B349" t="s">
        <v>609</v>
      </c>
      <c r="C349" t="s">
        <v>623</v>
      </c>
      <c r="D349" t="b">
        <f t="shared" si="12"/>
        <v>0</v>
      </c>
      <c r="G349">
        <f t="shared" si="13"/>
        <v>0</v>
      </c>
    </row>
    <row r="350" spans="2:7">
      <c r="B350" t="s">
        <v>610</v>
      </c>
      <c r="C350" t="s">
        <v>134</v>
      </c>
      <c r="D350" t="b">
        <f t="shared" si="12"/>
        <v>0</v>
      </c>
      <c r="G350">
        <f t="shared" si="13"/>
        <v>0</v>
      </c>
    </row>
    <row r="351" spans="2:7">
      <c r="B351" t="s">
        <v>611</v>
      </c>
      <c r="C351" t="s">
        <v>625</v>
      </c>
      <c r="D351" t="b">
        <f t="shared" si="12"/>
        <v>0</v>
      </c>
      <c r="G351">
        <f t="shared" si="13"/>
        <v>0</v>
      </c>
    </row>
    <row r="352" spans="2:7">
      <c r="B352" t="s">
        <v>631</v>
      </c>
      <c r="G352">
        <v>1</v>
      </c>
    </row>
    <row r="355" spans="1:13">
      <c r="C355" s="451"/>
    </row>
    <row r="356" spans="1:13">
      <c r="C356" s="451"/>
    </row>
    <row r="357" spans="1:13">
      <c r="C357" s="451"/>
    </row>
    <row r="358" spans="1:13" ht="21.6" thickBot="1">
      <c r="A358" s="61" t="s">
        <v>675</v>
      </c>
      <c r="H358" s="277" t="s">
        <v>685</v>
      </c>
      <c r="I358" s="5"/>
      <c r="J358" s="5"/>
      <c r="K358" s="162"/>
      <c r="L358" s="162"/>
      <c r="M358" s="162"/>
    </row>
    <row r="359" spans="1:13" ht="18" thickBot="1">
      <c r="A359" t="s">
        <v>676</v>
      </c>
      <c r="B359" t="s">
        <v>677</v>
      </c>
      <c r="C359" t="s">
        <v>678</v>
      </c>
      <c r="D359" t="s">
        <v>679</v>
      </c>
      <c r="E359" t="s">
        <v>245</v>
      </c>
      <c r="F359" t="s">
        <v>701</v>
      </c>
      <c r="H359" s="478" t="s">
        <v>661</v>
      </c>
      <c r="I359" s="495" t="s">
        <v>684</v>
      </c>
      <c r="J359" s="495" t="s">
        <v>679</v>
      </c>
      <c r="K359" s="495" t="s">
        <v>191</v>
      </c>
      <c r="L359" s="315" t="s">
        <v>686</v>
      </c>
      <c r="M359" s="494" t="s">
        <v>687</v>
      </c>
    </row>
    <row r="360" spans="1:13" ht="17.399999999999999">
      <c r="A360" t="str">
        <f>B50</f>
        <v>Technical Assistant</v>
      </c>
      <c r="B360" t="str">
        <f>Table.Settings_Role.Discounts[[#This Row],[Work Role]]</f>
        <v>Technical Assistant</v>
      </c>
      <c r="C360">
        <f t="shared" ref="C360:C366" si="14">VLOOKUP(B360,$B$88:$C$97,2,FALSE)</f>
        <v>155</v>
      </c>
      <c r="D360">
        <f>VLOOKUP(B360,Settings_Hidden!$H$360:$J$368,3,FALSE)</f>
        <v>155</v>
      </c>
      <c r="E360">
        <f>D360</f>
        <v>155</v>
      </c>
      <c r="F360" t="str">
        <f>IF(C360&lt;&gt;D360,MAX($F$359:F359)+1,"")</f>
        <v/>
      </c>
      <c r="H360" s="241" t="str">
        <f>Settings_Hidden!A360</f>
        <v>Technical Assistant</v>
      </c>
      <c r="I360" s="620">
        <f>INDEX(Table.Settings_Role.Discounts[Base Rate],MATCH(Settings_Hidden!H360,Table.Settings_Role.Discounts[Work Role],0),1)</f>
        <v>155</v>
      </c>
      <c r="J360" s="621">
        <f t="shared" ref="J360:J366" si="15">I360</f>
        <v>155</v>
      </c>
      <c r="K360" s="622">
        <f t="shared" ref="K360:K366" si="16">(I360-J360)/I360</f>
        <v>0</v>
      </c>
      <c r="L360" s="623">
        <f ca="1">SUMIF(Summary!$P$11:$P$55,H360,Summary!$F$11:$F$54)</f>
        <v>0</v>
      </c>
      <c r="M360" s="624">
        <f t="shared" ref="M360:M366" ca="1" si="17">L360*K360</f>
        <v>0</v>
      </c>
    </row>
    <row r="361" spans="1:13" ht="17.399999999999999">
      <c r="A361" t="str">
        <f t="shared" ref="A361:A366" si="18">B51</f>
        <v>Systems Engineer (Professional Services)</v>
      </c>
      <c r="B361" t="str">
        <f>Table.Settings_Role.Discounts[[#This Row],[Work Role]]</f>
        <v>Systems Engineer (Professional Services)</v>
      </c>
      <c r="C361">
        <f t="shared" si="14"/>
        <v>235</v>
      </c>
      <c r="D361">
        <f>VLOOKUP(B361,Settings_Hidden!$H$360:$J$368,3,FALSE)</f>
        <v>235</v>
      </c>
      <c r="E361">
        <f>D361</f>
        <v>235</v>
      </c>
      <c r="F361" t="str">
        <f>IF(C361&lt;&gt;D361,MAX($F$359:F360)+1,"")</f>
        <v/>
      </c>
      <c r="H361" s="243" t="str">
        <f>Settings_Hidden!A361</f>
        <v>Systems Engineer (Professional Services)</v>
      </c>
      <c r="I361" s="723">
        <f>INDEX(Table.Settings_Role.Discounts[Base Rate],MATCH(Settings_Hidden!H361,Table.Settings_Role.Discounts[Work Role],0),1)</f>
        <v>235</v>
      </c>
      <c r="J361" s="496">
        <f t="shared" si="15"/>
        <v>235</v>
      </c>
      <c r="K361" s="724">
        <f t="shared" si="16"/>
        <v>0</v>
      </c>
      <c r="L361" s="169">
        <f ca="1">SUMIF(Summary!$P$11:$P$55,H361,Summary!$F$11:$F$54)</f>
        <v>0</v>
      </c>
      <c r="M361" s="497">
        <f t="shared" ca="1" si="17"/>
        <v>0</v>
      </c>
    </row>
    <row r="362" spans="1:13" ht="17.399999999999999">
      <c r="A362" t="str">
        <f t="shared" si="18"/>
        <v>Senior Systems Engineer (Professional Services)</v>
      </c>
      <c r="B362" t="str">
        <f>Table.Settings_Role.Discounts[[#This Row],[Work Role]]</f>
        <v>Senior Systems Engineer (Professional Services)</v>
      </c>
      <c r="C362">
        <f t="shared" si="14"/>
        <v>280.5</v>
      </c>
      <c r="D362">
        <f>VLOOKUP(B362,Settings_Hidden!$H$360:$J$368,3,FALSE)</f>
        <v>280.5</v>
      </c>
      <c r="E362">
        <f t="shared" ref="E362:E366" si="19">D362</f>
        <v>280.5</v>
      </c>
      <c r="F362" t="str">
        <f>IF(C362&lt;&gt;D362,MAX($F$359:F360)+1,"")</f>
        <v/>
      </c>
      <c r="H362" s="243" t="str">
        <f>Settings_Hidden!A362</f>
        <v>Senior Systems Engineer (Professional Services)</v>
      </c>
      <c r="I362" s="723">
        <f>INDEX(Table.Settings_Role.Discounts[Base Rate],MATCH(Settings_Hidden!H362,Table.Settings_Role.Discounts[Work Role],0),1)</f>
        <v>280.5</v>
      </c>
      <c r="J362" s="496">
        <f t="shared" si="15"/>
        <v>280.5</v>
      </c>
      <c r="K362" s="724">
        <f t="shared" si="16"/>
        <v>0</v>
      </c>
      <c r="L362" s="169">
        <f ca="1">SUMIF(Summary!$P$11:$P$55,H362,Summary!$F$11:$F$54)</f>
        <v>0</v>
      </c>
      <c r="M362" s="497">
        <f t="shared" ca="1" si="17"/>
        <v>0</v>
      </c>
    </row>
    <row r="363" spans="1:13" ht="17.399999999999999">
      <c r="A363" t="str">
        <f t="shared" si="18"/>
        <v>Security Engineer</v>
      </c>
      <c r="B363" t="str">
        <f>Table.Settings_Role.Discounts[[#This Row],[Work Role]]</f>
        <v>Security Engineer</v>
      </c>
      <c r="C363">
        <f t="shared" si="14"/>
        <v>315</v>
      </c>
      <c r="D363">
        <f>VLOOKUP(B363,Settings_Hidden!$H$360:$J$368,3,FALSE)</f>
        <v>315</v>
      </c>
      <c r="E363">
        <f t="shared" si="19"/>
        <v>315</v>
      </c>
      <c r="F363" t="str">
        <f>IF(C363&lt;&gt;D363,MAX($F$359:F362)+1,"")</f>
        <v/>
      </c>
      <c r="H363" s="243" t="str">
        <f>Settings_Hidden!A363</f>
        <v>Security Engineer</v>
      </c>
      <c r="I363" s="723">
        <f>INDEX(Table.Settings_Role.Discounts[Base Rate],MATCH(Settings_Hidden!H363,Table.Settings_Role.Discounts[Work Role],0),1)</f>
        <v>315</v>
      </c>
      <c r="J363" s="496">
        <f t="shared" si="15"/>
        <v>315</v>
      </c>
      <c r="K363" s="724">
        <f t="shared" si="16"/>
        <v>0</v>
      </c>
      <c r="L363" s="169">
        <f ca="1">SUMIF(Summary!$P$11:$P$55,H363,Summary!$F$11:$F$54)</f>
        <v>0</v>
      </c>
      <c r="M363" s="497">
        <f t="shared" ca="1" si="17"/>
        <v>0</v>
      </c>
    </row>
    <row r="364" spans="1:13" ht="17.399999999999999">
      <c r="A364" t="str">
        <f t="shared" si="18"/>
        <v>Solution Architect</v>
      </c>
      <c r="B364" t="str">
        <f>Table.Settings_Role.Discounts[[#This Row],[Work Role]]</f>
        <v>Solution Architect</v>
      </c>
      <c r="C364">
        <f t="shared" si="14"/>
        <v>315</v>
      </c>
      <c r="D364">
        <f>VLOOKUP(B364,Settings_Hidden!$H$360:$J$368,3,FALSE)</f>
        <v>315</v>
      </c>
      <c r="E364">
        <f t="shared" si="19"/>
        <v>315</v>
      </c>
      <c r="F364" t="str">
        <f>IF(C364&lt;&gt;D364,MAX($F$359:F363)+1,"")</f>
        <v/>
      </c>
      <c r="H364" s="243" t="str">
        <f>Settings_Hidden!A364</f>
        <v>Solution Architect</v>
      </c>
      <c r="I364" s="723">
        <f>INDEX(Table.Settings_Role.Discounts[Base Rate],MATCH(Settings_Hidden!H364,Table.Settings_Role.Discounts[Work Role],0),1)</f>
        <v>315</v>
      </c>
      <c r="J364" s="496">
        <f t="shared" si="15"/>
        <v>315</v>
      </c>
      <c r="K364" s="724">
        <f t="shared" si="16"/>
        <v>0</v>
      </c>
      <c r="L364" s="169">
        <f ca="1">SUMIF(Summary!$P$11:$P$55,H364,Summary!$F$11:$F$54)</f>
        <v>0</v>
      </c>
      <c r="M364" s="497">
        <f t="shared" ca="1" si="17"/>
        <v>0</v>
      </c>
    </row>
    <row r="365" spans="1:13" ht="17.399999999999999">
      <c r="A365" t="str">
        <f t="shared" si="18"/>
        <v>Security Advisor / Consultant</v>
      </c>
      <c r="B365" t="str">
        <f>Table.Settings_Role.Discounts[[#This Row],[Work Role]]</f>
        <v>Security Advisor / Consultant</v>
      </c>
      <c r="C365">
        <f t="shared" si="14"/>
        <v>315</v>
      </c>
      <c r="D365">
        <f>VLOOKUP(B365,Settings_Hidden!$H$360:$J$368,3,FALSE)</f>
        <v>315</v>
      </c>
      <c r="E365">
        <f t="shared" si="19"/>
        <v>315</v>
      </c>
      <c r="F365" t="str">
        <f>IF(C365&lt;&gt;D365,MAX($F$359:F364)+1,"")</f>
        <v/>
      </c>
      <c r="H365" s="243" t="str">
        <f>Settings_Hidden!A365</f>
        <v>Security Advisor / Consultant</v>
      </c>
      <c r="I365" s="723">
        <f>INDEX(Table.Settings_Role.Discounts[Base Rate],MATCH(Settings_Hidden!H365,Table.Settings_Role.Discounts[Work Role],0),1)</f>
        <v>315</v>
      </c>
      <c r="J365" s="496">
        <f t="shared" si="15"/>
        <v>315</v>
      </c>
      <c r="K365" s="724">
        <f t="shared" si="16"/>
        <v>0</v>
      </c>
      <c r="L365" s="169">
        <f ca="1">SUMIF(Summary!$P$11:$P$55,H365,Summary!$F$11:$F$54)</f>
        <v>0</v>
      </c>
      <c r="M365" s="497">
        <f t="shared" ca="1" si="17"/>
        <v>0</v>
      </c>
    </row>
    <row r="366" spans="1:13" ht="18" thickBot="1">
      <c r="A366" t="str">
        <f t="shared" si="18"/>
        <v>Senior Consultant</v>
      </c>
      <c r="B366" t="str">
        <f>Table.Settings_Role.Discounts[[#This Row],[Work Role]]</f>
        <v>Senior Consultant</v>
      </c>
      <c r="C366">
        <f t="shared" si="14"/>
        <v>315</v>
      </c>
      <c r="D366">
        <f>VLOOKUP(B366,Settings_Hidden!$H$360:$J$368,3,FALSE)</f>
        <v>315</v>
      </c>
      <c r="E366">
        <f t="shared" si="19"/>
        <v>315</v>
      </c>
      <c r="F366" t="str">
        <f>IF(C366&lt;&gt;D366,MAX($F$359:F365)+1,"")</f>
        <v/>
      </c>
      <c r="H366" s="244" t="str">
        <f>Settings_Hidden!A366</f>
        <v>Senior Consultant</v>
      </c>
      <c r="I366" s="577">
        <f>INDEX(Table.Settings_Role.Discounts[Base Rate],MATCH(Settings_Hidden!H366,Table.Settings_Role.Discounts[Work Role],0),1)</f>
        <v>315</v>
      </c>
      <c r="J366" s="578">
        <f t="shared" si="15"/>
        <v>315</v>
      </c>
      <c r="K366" s="579">
        <f t="shared" si="16"/>
        <v>0</v>
      </c>
      <c r="L366" s="580">
        <f ca="1">SUMIF(Summary!$P$11:$P$55,H366,Summary!$F$11:$F$54)</f>
        <v>0</v>
      </c>
      <c r="M366" s="581">
        <f t="shared" ca="1" si="17"/>
        <v>0</v>
      </c>
    </row>
    <row r="367" spans="1:13">
      <c r="H367" s="480"/>
      <c r="I367" s="480"/>
      <c r="J367" s="480"/>
      <c r="K367" s="480"/>
      <c r="L367" s="480"/>
      <c r="M367" s="480"/>
    </row>
    <row r="368" spans="1:13">
      <c r="A368" s="61" t="s">
        <v>718</v>
      </c>
      <c r="D368" s="61"/>
      <c r="H368" s="162"/>
      <c r="I368" s="162"/>
      <c r="J368" s="162"/>
      <c r="K368" s="162"/>
      <c r="L368" s="604">
        <f ca="1">SUM(L360:L367)</f>
        <v>0</v>
      </c>
      <c r="M368" s="604">
        <f ca="1">SUM(M360:M367)</f>
        <v>0</v>
      </c>
    </row>
    <row r="369" spans="1:4" ht="16.2" thickBot="1">
      <c r="A369" s="511" t="s">
        <v>719</v>
      </c>
      <c r="B369" t="s">
        <v>878</v>
      </c>
      <c r="D369" s="61" t="s">
        <v>1187</v>
      </c>
    </row>
    <row r="370" spans="1:4" ht="16.2" thickBot="1">
      <c r="A370" t="s">
        <v>733</v>
      </c>
      <c r="B370" s="511" t="s">
        <v>877</v>
      </c>
      <c r="D370" s="672" t="str">
        <f>A377</f>
        <v>Travel</v>
      </c>
    </row>
    <row r="371" spans="1:4">
      <c r="A371" t="s">
        <v>872</v>
      </c>
      <c r="B371" s="511" t="s">
        <v>1140</v>
      </c>
    </row>
    <row r="372" spans="1:4">
      <c r="A372" t="s">
        <v>873</v>
      </c>
      <c r="B372" s="511" t="s">
        <v>1141</v>
      </c>
    </row>
    <row r="373" spans="1:4">
      <c r="A373" t="s">
        <v>425</v>
      </c>
      <c r="B373" s="511" t="s">
        <v>879</v>
      </c>
    </row>
    <row r="374" spans="1:4">
      <c r="A374" t="s">
        <v>730</v>
      </c>
      <c r="B374" s="511" t="s">
        <v>1144</v>
      </c>
    </row>
    <row r="375" spans="1:4">
      <c r="A375" t="s">
        <v>874</v>
      </c>
      <c r="B375" s="511" t="s">
        <v>1142</v>
      </c>
    </row>
    <row r="376" spans="1:4">
      <c r="A376" t="s">
        <v>875</v>
      </c>
      <c r="B376" s="511" t="s">
        <v>1143</v>
      </c>
    </row>
    <row r="377" spans="1:4">
      <c r="A377" s="662" t="s">
        <v>96</v>
      </c>
      <c r="B377" s="511" t="s">
        <v>1145</v>
      </c>
    </row>
    <row r="380" spans="1:4">
      <c r="A380" s="61" t="s">
        <v>1239</v>
      </c>
    </row>
    <row r="381" spans="1:4">
      <c r="A381" t="s">
        <v>888</v>
      </c>
    </row>
    <row r="382" spans="1:4">
      <c r="A382" t="s">
        <v>889</v>
      </c>
    </row>
    <row r="383" spans="1:4">
      <c r="A383" t="s">
        <v>890</v>
      </c>
    </row>
    <row r="384" spans="1:4">
      <c r="A384" t="s">
        <v>891</v>
      </c>
    </row>
    <row r="385" spans="1:27">
      <c r="A385" t="s">
        <v>892</v>
      </c>
    </row>
    <row r="386" spans="1:27">
      <c r="A386" t="s">
        <v>893</v>
      </c>
    </row>
    <row r="387" spans="1:27">
      <c r="A387" t="s">
        <v>894</v>
      </c>
    </row>
    <row r="388" spans="1:27">
      <c r="A388" t="s">
        <v>895</v>
      </c>
    </row>
    <row r="389" spans="1:27">
      <c r="A389" t="s">
        <v>896</v>
      </c>
    </row>
    <row r="390" spans="1:27">
      <c r="A390" t="s">
        <v>897</v>
      </c>
    </row>
    <row r="391" spans="1:27">
      <c r="A391" t="s">
        <v>898</v>
      </c>
    </row>
    <row r="392" spans="1:27">
      <c r="A392" t="s">
        <v>899</v>
      </c>
    </row>
    <row r="393" spans="1:27">
      <c r="A393" t="s">
        <v>900</v>
      </c>
    </row>
    <row r="394" spans="1:27">
      <c r="A394" t="s">
        <v>901</v>
      </c>
      <c r="U394" s="61"/>
      <c r="V394" s="61"/>
      <c r="W394" s="451"/>
    </row>
    <row r="395" spans="1:27">
      <c r="A395" t="s">
        <v>902</v>
      </c>
      <c r="U395" s="61"/>
      <c r="V395" s="61"/>
      <c r="W395" s="451"/>
    </row>
    <row r="396" spans="1:27">
      <c r="A396" t="s">
        <v>903</v>
      </c>
      <c r="U396" s="61"/>
      <c r="V396" s="61"/>
      <c r="Z396" s="512"/>
      <c r="AA396" s="512"/>
    </row>
    <row r="397" spans="1:27">
      <c r="A397" t="s">
        <v>904</v>
      </c>
      <c r="U397" s="61"/>
      <c r="V397" s="61"/>
      <c r="Z397" s="512"/>
      <c r="AA397" s="512"/>
    </row>
    <row r="398" spans="1:27">
      <c r="A398" t="s">
        <v>905</v>
      </c>
      <c r="U398" s="61"/>
      <c r="V398" s="61"/>
      <c r="Z398" s="512"/>
      <c r="AA398" s="512"/>
    </row>
    <row r="399" spans="1:27">
      <c r="A399" t="s">
        <v>906</v>
      </c>
      <c r="U399" s="61"/>
      <c r="V399" s="61"/>
      <c r="Z399" s="512"/>
      <c r="AA399" s="512"/>
    </row>
    <row r="400" spans="1:27">
      <c r="A400" t="s">
        <v>907</v>
      </c>
      <c r="U400" s="61"/>
      <c r="V400" s="61"/>
      <c r="Z400" s="512"/>
      <c r="AA400" s="512"/>
    </row>
    <row r="401" spans="1:22">
      <c r="A401" t="s">
        <v>908</v>
      </c>
    </row>
    <row r="402" spans="1:22">
      <c r="A402" t="s">
        <v>909</v>
      </c>
    </row>
    <row r="403" spans="1:22">
      <c r="A403" t="s">
        <v>910</v>
      </c>
    </row>
    <row r="404" spans="1:22">
      <c r="A404" t="s">
        <v>911</v>
      </c>
      <c r="V404" s="61"/>
    </row>
    <row r="405" spans="1:22">
      <c r="A405" t="s">
        <v>912</v>
      </c>
    </row>
    <row r="406" spans="1:22">
      <c r="A406" t="s">
        <v>913</v>
      </c>
    </row>
    <row r="407" spans="1:22">
      <c r="A407" t="s">
        <v>914</v>
      </c>
    </row>
    <row r="408" spans="1:22">
      <c r="A408" t="s">
        <v>915</v>
      </c>
    </row>
    <row r="409" spans="1:22">
      <c r="A409" t="s">
        <v>916</v>
      </c>
    </row>
    <row r="410" spans="1:22">
      <c r="A410" t="s">
        <v>917</v>
      </c>
    </row>
    <row r="411" spans="1:22">
      <c r="A411" t="s">
        <v>918</v>
      </c>
    </row>
    <row r="412" spans="1:22">
      <c r="A412" t="s">
        <v>919</v>
      </c>
    </row>
    <row r="413" spans="1:22">
      <c r="A413" t="s">
        <v>920</v>
      </c>
    </row>
    <row r="414" spans="1:22">
      <c r="A414" t="s">
        <v>921</v>
      </c>
    </row>
    <row r="415" spans="1:22">
      <c r="A415" t="s">
        <v>922</v>
      </c>
    </row>
    <row r="416" spans="1:22">
      <c r="A416" t="s">
        <v>923</v>
      </c>
    </row>
    <row r="417" spans="1:1">
      <c r="A417" t="s">
        <v>924</v>
      </c>
    </row>
    <row r="418" spans="1:1">
      <c r="A418" t="s">
        <v>925</v>
      </c>
    </row>
    <row r="419" spans="1:1">
      <c r="A419" t="s">
        <v>926</v>
      </c>
    </row>
    <row r="420" spans="1:1">
      <c r="A420" t="s">
        <v>927</v>
      </c>
    </row>
    <row r="421" spans="1:1">
      <c r="A421" t="s">
        <v>928</v>
      </c>
    </row>
    <row r="422" spans="1:1">
      <c r="A422" t="s">
        <v>929</v>
      </c>
    </row>
    <row r="423" spans="1:1">
      <c r="A423" t="s">
        <v>930</v>
      </c>
    </row>
    <row r="424" spans="1:1">
      <c r="A424" t="s">
        <v>931</v>
      </c>
    </row>
    <row r="425" spans="1:1">
      <c r="A425" t="s">
        <v>932</v>
      </c>
    </row>
    <row r="426" spans="1:1">
      <c r="A426" t="s">
        <v>933</v>
      </c>
    </row>
    <row r="427" spans="1:1">
      <c r="A427" t="s">
        <v>934</v>
      </c>
    </row>
    <row r="428" spans="1:1">
      <c r="A428" t="s">
        <v>935</v>
      </c>
    </row>
    <row r="429" spans="1:1">
      <c r="A429" t="s">
        <v>936</v>
      </c>
    </row>
    <row r="430" spans="1:1">
      <c r="A430" t="s">
        <v>937</v>
      </c>
    </row>
    <row r="431" spans="1:1">
      <c r="A431" t="s">
        <v>938</v>
      </c>
    </row>
    <row r="432" spans="1:1">
      <c r="A432" t="s">
        <v>939</v>
      </c>
    </row>
    <row r="433" spans="1:1">
      <c r="A433" t="s">
        <v>940</v>
      </c>
    </row>
    <row r="434" spans="1:1">
      <c r="A434" t="s">
        <v>941</v>
      </c>
    </row>
    <row r="435" spans="1:1">
      <c r="A435" t="s">
        <v>942</v>
      </c>
    </row>
    <row r="436" spans="1:1">
      <c r="A436" t="s">
        <v>943</v>
      </c>
    </row>
    <row r="437" spans="1:1">
      <c r="A437" t="s">
        <v>944</v>
      </c>
    </row>
    <row r="438" spans="1:1">
      <c r="A438" t="s">
        <v>945</v>
      </c>
    </row>
    <row r="439" spans="1:1">
      <c r="A439" t="s">
        <v>946</v>
      </c>
    </row>
    <row r="440" spans="1:1">
      <c r="A440" t="s">
        <v>947</v>
      </c>
    </row>
    <row r="441" spans="1:1">
      <c r="A441" t="s">
        <v>948</v>
      </c>
    </row>
    <row r="442" spans="1:1">
      <c r="A442" t="s">
        <v>949</v>
      </c>
    </row>
    <row r="443" spans="1:1">
      <c r="A443" t="s">
        <v>950</v>
      </c>
    </row>
    <row r="444" spans="1:1">
      <c r="A444" t="s">
        <v>951</v>
      </c>
    </row>
    <row r="445" spans="1:1">
      <c r="A445" t="s">
        <v>952</v>
      </c>
    </row>
    <row r="446" spans="1:1">
      <c r="A446" t="s">
        <v>953</v>
      </c>
    </row>
    <row r="447" spans="1:1">
      <c r="A447" t="s">
        <v>954</v>
      </c>
    </row>
    <row r="448" spans="1:1">
      <c r="A448" t="s">
        <v>955</v>
      </c>
    </row>
    <row r="449" spans="1:1">
      <c r="A449" t="s">
        <v>956</v>
      </c>
    </row>
    <row r="450" spans="1:1">
      <c r="A450" t="s">
        <v>957</v>
      </c>
    </row>
    <row r="451" spans="1:1">
      <c r="A451" t="s">
        <v>958</v>
      </c>
    </row>
    <row r="452" spans="1:1">
      <c r="A452" t="s">
        <v>959</v>
      </c>
    </row>
    <row r="453" spans="1:1">
      <c r="A453" t="s">
        <v>960</v>
      </c>
    </row>
    <row r="454" spans="1:1">
      <c r="A454" t="s">
        <v>961</v>
      </c>
    </row>
    <row r="455" spans="1:1">
      <c r="A455" t="s">
        <v>962</v>
      </c>
    </row>
    <row r="456" spans="1:1">
      <c r="A456" t="s">
        <v>963</v>
      </c>
    </row>
    <row r="457" spans="1:1">
      <c r="A457" t="s">
        <v>964</v>
      </c>
    </row>
    <row r="458" spans="1:1">
      <c r="A458" t="s">
        <v>965</v>
      </c>
    </row>
    <row r="459" spans="1:1">
      <c r="A459" t="s">
        <v>966</v>
      </c>
    </row>
    <row r="460" spans="1:1">
      <c r="A460" t="s">
        <v>967</v>
      </c>
    </row>
    <row r="461" spans="1:1">
      <c r="A461" t="s">
        <v>968</v>
      </c>
    </row>
    <row r="462" spans="1:1">
      <c r="A462" t="s">
        <v>969</v>
      </c>
    </row>
    <row r="463" spans="1:1">
      <c r="A463" t="s">
        <v>970</v>
      </c>
    </row>
    <row r="464" spans="1:1">
      <c r="A464" t="s">
        <v>971</v>
      </c>
    </row>
    <row r="465" spans="1:1">
      <c r="A465" t="s">
        <v>972</v>
      </c>
    </row>
    <row r="466" spans="1:1">
      <c r="A466" t="s">
        <v>973</v>
      </c>
    </row>
    <row r="467" spans="1:1">
      <c r="A467" t="s">
        <v>974</v>
      </c>
    </row>
    <row r="468" spans="1:1">
      <c r="A468" t="s">
        <v>975</v>
      </c>
    </row>
    <row r="469" spans="1:1">
      <c r="A469" t="s">
        <v>976</v>
      </c>
    </row>
    <row r="470" spans="1:1">
      <c r="A470" t="s">
        <v>977</v>
      </c>
    </row>
    <row r="471" spans="1:1">
      <c r="A471" t="s">
        <v>978</v>
      </c>
    </row>
    <row r="472" spans="1:1">
      <c r="A472" t="s">
        <v>979</v>
      </c>
    </row>
    <row r="473" spans="1:1">
      <c r="A473" t="s">
        <v>980</v>
      </c>
    </row>
    <row r="474" spans="1:1">
      <c r="A474" t="s">
        <v>981</v>
      </c>
    </row>
    <row r="475" spans="1:1">
      <c r="A475" t="s">
        <v>982</v>
      </c>
    </row>
    <row r="476" spans="1:1">
      <c r="A476" t="s">
        <v>983</v>
      </c>
    </row>
    <row r="477" spans="1:1">
      <c r="A477" t="s">
        <v>984</v>
      </c>
    </row>
    <row r="478" spans="1:1">
      <c r="A478" t="s">
        <v>985</v>
      </c>
    </row>
    <row r="479" spans="1:1">
      <c r="A479" t="s">
        <v>986</v>
      </c>
    </row>
    <row r="480" spans="1:1">
      <c r="A480" t="s">
        <v>987</v>
      </c>
    </row>
    <row r="481" spans="1:1">
      <c r="A481" t="s">
        <v>988</v>
      </c>
    </row>
    <row r="482" spans="1:1">
      <c r="A482" t="s">
        <v>989</v>
      </c>
    </row>
    <row r="483" spans="1:1">
      <c r="A483" t="s">
        <v>990</v>
      </c>
    </row>
    <row r="484" spans="1:1">
      <c r="A484" t="s">
        <v>991</v>
      </c>
    </row>
    <row r="485" spans="1:1">
      <c r="A485" t="s">
        <v>992</v>
      </c>
    </row>
    <row r="486" spans="1:1">
      <c r="A486" t="s">
        <v>993</v>
      </c>
    </row>
    <row r="487" spans="1:1">
      <c r="A487" t="s">
        <v>994</v>
      </c>
    </row>
    <row r="488" spans="1:1">
      <c r="A488" t="s">
        <v>995</v>
      </c>
    </row>
    <row r="489" spans="1:1">
      <c r="A489" t="s">
        <v>996</v>
      </c>
    </row>
    <row r="490" spans="1:1">
      <c r="A490" t="s">
        <v>997</v>
      </c>
    </row>
    <row r="491" spans="1:1">
      <c r="A491" t="s">
        <v>998</v>
      </c>
    </row>
    <row r="492" spans="1:1">
      <c r="A492" t="s">
        <v>999</v>
      </c>
    </row>
    <row r="493" spans="1:1">
      <c r="A493" t="s">
        <v>1000</v>
      </c>
    </row>
    <row r="494" spans="1:1">
      <c r="A494" t="s">
        <v>1001</v>
      </c>
    </row>
    <row r="495" spans="1:1">
      <c r="A495" t="s">
        <v>1002</v>
      </c>
    </row>
    <row r="496" spans="1:1">
      <c r="A496" t="s">
        <v>1003</v>
      </c>
    </row>
    <row r="497" spans="1:1">
      <c r="A497" t="s">
        <v>1004</v>
      </c>
    </row>
    <row r="498" spans="1:1">
      <c r="A498" t="s">
        <v>1005</v>
      </c>
    </row>
    <row r="499" spans="1:1">
      <c r="A499" t="s">
        <v>1006</v>
      </c>
    </row>
    <row r="500" spans="1:1">
      <c r="A500" t="s">
        <v>1007</v>
      </c>
    </row>
    <row r="501" spans="1:1">
      <c r="A501" t="s">
        <v>1008</v>
      </c>
    </row>
    <row r="502" spans="1:1">
      <c r="A502" t="s">
        <v>1009</v>
      </c>
    </row>
    <row r="503" spans="1:1">
      <c r="A503" t="s">
        <v>1010</v>
      </c>
    </row>
    <row r="504" spans="1:1">
      <c r="A504" t="s">
        <v>1011</v>
      </c>
    </row>
    <row r="505" spans="1:1">
      <c r="A505" t="s">
        <v>1012</v>
      </c>
    </row>
    <row r="506" spans="1:1">
      <c r="A506" t="s">
        <v>1013</v>
      </c>
    </row>
    <row r="507" spans="1:1">
      <c r="A507" t="s">
        <v>1014</v>
      </c>
    </row>
    <row r="508" spans="1:1">
      <c r="A508" t="s">
        <v>1015</v>
      </c>
    </row>
    <row r="509" spans="1:1">
      <c r="A509" t="s">
        <v>1016</v>
      </c>
    </row>
    <row r="510" spans="1:1">
      <c r="A510" t="s">
        <v>1017</v>
      </c>
    </row>
    <row r="511" spans="1:1">
      <c r="A511" t="s">
        <v>1078</v>
      </c>
    </row>
    <row r="512" spans="1:1">
      <c r="A512" t="s">
        <v>1079</v>
      </c>
    </row>
    <row r="513" spans="1:1">
      <c r="A513" t="s">
        <v>1080</v>
      </c>
    </row>
    <row r="514" spans="1:1">
      <c r="A514" t="s">
        <v>1081</v>
      </c>
    </row>
    <row r="515" spans="1:1">
      <c r="A515" t="s">
        <v>1082</v>
      </c>
    </row>
    <row r="516" spans="1:1">
      <c r="A516" t="s">
        <v>1083</v>
      </c>
    </row>
    <row r="517" spans="1:1">
      <c r="A517" t="s">
        <v>1084</v>
      </c>
    </row>
    <row r="518" spans="1:1">
      <c r="A518" t="s">
        <v>1085</v>
      </c>
    </row>
    <row r="519" spans="1:1">
      <c r="A519" t="s">
        <v>1086</v>
      </c>
    </row>
    <row r="520" spans="1:1">
      <c r="A520" t="s">
        <v>1087</v>
      </c>
    </row>
    <row r="521" spans="1:1">
      <c r="A521" t="s">
        <v>1088</v>
      </c>
    </row>
    <row r="522" spans="1:1">
      <c r="A522" t="s">
        <v>1089</v>
      </c>
    </row>
    <row r="523" spans="1:1">
      <c r="A523" t="s">
        <v>1090</v>
      </c>
    </row>
    <row r="524" spans="1:1">
      <c r="A524" t="s">
        <v>1091</v>
      </c>
    </row>
    <row r="525" spans="1:1">
      <c r="A525" t="s">
        <v>1092</v>
      </c>
    </row>
    <row r="526" spans="1:1">
      <c r="A526" t="s">
        <v>1093</v>
      </c>
    </row>
    <row r="527" spans="1:1">
      <c r="A527" t="s">
        <v>1094</v>
      </c>
    </row>
    <row r="528" spans="1:1">
      <c r="A528" t="s">
        <v>1095</v>
      </c>
    </row>
    <row r="529" spans="1:1">
      <c r="A529" t="s">
        <v>1096</v>
      </c>
    </row>
    <row r="530" spans="1:1">
      <c r="A530" t="s">
        <v>1097</v>
      </c>
    </row>
    <row r="531" spans="1:1">
      <c r="A531" t="s">
        <v>1098</v>
      </c>
    </row>
    <row r="532" spans="1:1">
      <c r="A532" t="s">
        <v>1099</v>
      </c>
    </row>
    <row r="533" spans="1:1">
      <c r="A533" t="s">
        <v>1100</v>
      </c>
    </row>
    <row r="534" spans="1:1">
      <c r="A534" t="s">
        <v>1101</v>
      </c>
    </row>
    <row r="535" spans="1:1">
      <c r="A535" t="s">
        <v>1102</v>
      </c>
    </row>
    <row r="536" spans="1:1">
      <c r="A536" t="s">
        <v>1103</v>
      </c>
    </row>
    <row r="537" spans="1:1">
      <c r="A537" t="s">
        <v>1104</v>
      </c>
    </row>
    <row r="538" spans="1:1">
      <c r="A538" t="s">
        <v>1105</v>
      </c>
    </row>
    <row r="539" spans="1:1">
      <c r="A539" t="s">
        <v>1106</v>
      </c>
    </row>
    <row r="540" spans="1:1">
      <c r="A540" t="s">
        <v>1107</v>
      </c>
    </row>
    <row r="541" spans="1:1">
      <c r="A541" t="s">
        <v>1108</v>
      </c>
    </row>
    <row r="542" spans="1:1">
      <c r="A542" t="s">
        <v>1109</v>
      </c>
    </row>
    <row r="543" spans="1:1">
      <c r="A543" t="s">
        <v>1110</v>
      </c>
    </row>
    <row r="544" spans="1:1">
      <c r="A544" t="s">
        <v>1111</v>
      </c>
    </row>
    <row r="545" spans="1:1">
      <c r="A545" t="s">
        <v>1112</v>
      </c>
    </row>
    <row r="546" spans="1:1">
      <c r="A546" t="s">
        <v>1113</v>
      </c>
    </row>
    <row r="547" spans="1:1">
      <c r="A547" t="s">
        <v>1114</v>
      </c>
    </row>
    <row r="548" spans="1:1">
      <c r="A548" t="s">
        <v>1115</v>
      </c>
    </row>
    <row r="549" spans="1:1">
      <c r="A549" t="s">
        <v>1116</v>
      </c>
    </row>
    <row r="550" spans="1:1">
      <c r="A550" t="s">
        <v>1117</v>
      </c>
    </row>
    <row r="551" spans="1:1">
      <c r="A551" t="s">
        <v>1118</v>
      </c>
    </row>
    <row r="552" spans="1:1">
      <c r="A552" t="s">
        <v>1119</v>
      </c>
    </row>
    <row r="553" spans="1:1">
      <c r="A553" t="s">
        <v>1120</v>
      </c>
    </row>
    <row r="554" spans="1:1">
      <c r="A554" t="s">
        <v>1121</v>
      </c>
    </row>
    <row r="555" spans="1:1">
      <c r="A555" t="s">
        <v>1122</v>
      </c>
    </row>
    <row r="556" spans="1:1">
      <c r="A556" t="s">
        <v>1123</v>
      </c>
    </row>
    <row r="557" spans="1:1">
      <c r="A557" t="s">
        <v>1124</v>
      </c>
    </row>
    <row r="558" spans="1:1">
      <c r="A558" t="s">
        <v>1125</v>
      </c>
    </row>
    <row r="559" spans="1:1">
      <c r="A559" t="s">
        <v>1126</v>
      </c>
    </row>
    <row r="560" spans="1:1">
      <c r="A560" t="s">
        <v>1127</v>
      </c>
    </row>
    <row r="561" spans="1:1">
      <c r="A561" t="s">
        <v>1128</v>
      </c>
    </row>
    <row r="562" spans="1:1">
      <c r="A562" t="s">
        <v>1129</v>
      </c>
    </row>
    <row r="563" spans="1:1">
      <c r="A563" t="s">
        <v>1130</v>
      </c>
    </row>
    <row r="564" spans="1:1">
      <c r="A564" t="s">
        <v>1131</v>
      </c>
    </row>
    <row r="565" spans="1:1">
      <c r="A565" t="s">
        <v>1132</v>
      </c>
    </row>
    <row r="566" spans="1:1">
      <c r="A566" t="s">
        <v>1133</v>
      </c>
    </row>
    <row r="567" spans="1:1">
      <c r="A567" t="s">
        <v>1134</v>
      </c>
    </row>
    <row r="568" spans="1:1">
      <c r="A568" t="s">
        <v>1135</v>
      </c>
    </row>
    <row r="569" spans="1:1">
      <c r="A569" t="s">
        <v>1136</v>
      </c>
    </row>
    <row r="570" spans="1:1">
      <c r="A570" t="s">
        <v>1137</v>
      </c>
    </row>
    <row r="571" spans="1:1">
      <c r="A571" t="s">
        <v>1138</v>
      </c>
    </row>
    <row r="572" spans="1:1">
      <c r="A572" t="s">
        <v>1018</v>
      </c>
    </row>
    <row r="573" spans="1:1">
      <c r="A573" t="s">
        <v>1019</v>
      </c>
    </row>
    <row r="574" spans="1:1">
      <c r="A574" t="s">
        <v>1020</v>
      </c>
    </row>
    <row r="575" spans="1:1">
      <c r="A575" t="s">
        <v>1021</v>
      </c>
    </row>
    <row r="576" spans="1:1">
      <c r="A576" t="s">
        <v>1022</v>
      </c>
    </row>
    <row r="577" spans="1:1">
      <c r="A577" t="s">
        <v>1023</v>
      </c>
    </row>
    <row r="578" spans="1:1">
      <c r="A578" t="s">
        <v>1024</v>
      </c>
    </row>
    <row r="579" spans="1:1">
      <c r="A579" t="s">
        <v>1025</v>
      </c>
    </row>
    <row r="580" spans="1:1">
      <c r="A580" t="s">
        <v>1026</v>
      </c>
    </row>
    <row r="581" spans="1:1">
      <c r="A581" t="s">
        <v>1027</v>
      </c>
    </row>
    <row r="582" spans="1:1">
      <c r="A582" t="s">
        <v>1028</v>
      </c>
    </row>
    <row r="583" spans="1:1">
      <c r="A583" t="s">
        <v>1029</v>
      </c>
    </row>
    <row r="584" spans="1:1">
      <c r="A584" t="s">
        <v>1030</v>
      </c>
    </row>
    <row r="585" spans="1:1">
      <c r="A585" t="s">
        <v>1031</v>
      </c>
    </row>
    <row r="586" spans="1:1">
      <c r="A586" t="s">
        <v>1032</v>
      </c>
    </row>
    <row r="587" spans="1:1">
      <c r="A587" t="s">
        <v>1033</v>
      </c>
    </row>
    <row r="588" spans="1:1">
      <c r="A588" t="s">
        <v>1034</v>
      </c>
    </row>
    <row r="589" spans="1:1">
      <c r="A589" t="s">
        <v>1035</v>
      </c>
    </row>
    <row r="590" spans="1:1">
      <c r="A590" t="s">
        <v>1036</v>
      </c>
    </row>
    <row r="591" spans="1:1">
      <c r="A591" t="s">
        <v>1037</v>
      </c>
    </row>
    <row r="592" spans="1:1">
      <c r="A592" t="s">
        <v>1038</v>
      </c>
    </row>
    <row r="593" spans="1:1">
      <c r="A593" t="s">
        <v>1039</v>
      </c>
    </row>
    <row r="594" spans="1:1">
      <c r="A594" t="s">
        <v>1040</v>
      </c>
    </row>
    <row r="595" spans="1:1">
      <c r="A595" t="s">
        <v>1041</v>
      </c>
    </row>
    <row r="596" spans="1:1">
      <c r="A596" t="s">
        <v>1042</v>
      </c>
    </row>
    <row r="597" spans="1:1">
      <c r="A597" t="s">
        <v>1043</v>
      </c>
    </row>
    <row r="598" spans="1:1">
      <c r="A598" t="s">
        <v>1044</v>
      </c>
    </row>
    <row r="599" spans="1:1">
      <c r="A599" t="s">
        <v>1045</v>
      </c>
    </row>
    <row r="600" spans="1:1">
      <c r="A600" t="s">
        <v>1046</v>
      </c>
    </row>
    <row r="601" spans="1:1">
      <c r="A601" t="s">
        <v>1047</v>
      </c>
    </row>
    <row r="602" spans="1:1">
      <c r="A602" t="s">
        <v>1048</v>
      </c>
    </row>
    <row r="603" spans="1:1">
      <c r="A603" t="s">
        <v>1049</v>
      </c>
    </row>
    <row r="604" spans="1:1">
      <c r="A604" t="s">
        <v>1050</v>
      </c>
    </row>
    <row r="605" spans="1:1">
      <c r="A605" t="s">
        <v>1051</v>
      </c>
    </row>
    <row r="606" spans="1:1">
      <c r="A606" t="s">
        <v>1052</v>
      </c>
    </row>
    <row r="607" spans="1:1">
      <c r="A607" t="s">
        <v>1053</v>
      </c>
    </row>
    <row r="608" spans="1:1">
      <c r="A608" t="s">
        <v>1054</v>
      </c>
    </row>
    <row r="609" spans="1:1">
      <c r="A609" t="s">
        <v>1055</v>
      </c>
    </row>
    <row r="610" spans="1:1">
      <c r="A610" t="s">
        <v>1056</v>
      </c>
    </row>
    <row r="611" spans="1:1">
      <c r="A611" t="s">
        <v>1057</v>
      </c>
    </row>
    <row r="612" spans="1:1">
      <c r="A612" t="s">
        <v>1058</v>
      </c>
    </row>
    <row r="613" spans="1:1">
      <c r="A613" t="s">
        <v>1059</v>
      </c>
    </row>
    <row r="614" spans="1:1">
      <c r="A614" t="s">
        <v>1060</v>
      </c>
    </row>
    <row r="615" spans="1:1">
      <c r="A615" t="s">
        <v>1061</v>
      </c>
    </row>
    <row r="616" spans="1:1">
      <c r="A616" t="s">
        <v>1062</v>
      </c>
    </row>
    <row r="617" spans="1:1">
      <c r="A617" t="s">
        <v>1063</v>
      </c>
    </row>
    <row r="618" spans="1:1">
      <c r="A618" t="s">
        <v>1064</v>
      </c>
    </row>
    <row r="619" spans="1:1">
      <c r="A619" t="s">
        <v>1065</v>
      </c>
    </row>
    <row r="620" spans="1:1">
      <c r="A620" t="s">
        <v>1066</v>
      </c>
    </row>
    <row r="621" spans="1:1">
      <c r="A621" t="s">
        <v>1067</v>
      </c>
    </row>
    <row r="622" spans="1:1">
      <c r="A622" t="s">
        <v>1068</v>
      </c>
    </row>
    <row r="623" spans="1:1">
      <c r="A623" t="s">
        <v>1069</v>
      </c>
    </row>
    <row r="624" spans="1:1">
      <c r="A624" t="s">
        <v>1070</v>
      </c>
    </row>
    <row r="625" spans="1:1">
      <c r="A625" t="s">
        <v>1071</v>
      </c>
    </row>
    <row r="626" spans="1:1">
      <c r="A626" t="s">
        <v>1072</v>
      </c>
    </row>
    <row r="627" spans="1:1">
      <c r="A627" t="s">
        <v>1073</v>
      </c>
    </row>
    <row r="628" spans="1:1">
      <c r="A628" t="s">
        <v>1240</v>
      </c>
    </row>
    <row r="629" spans="1:1">
      <c r="A629" t="s">
        <v>1074</v>
      </c>
    </row>
    <row r="630" spans="1:1">
      <c r="A630" t="s">
        <v>1241</v>
      </c>
    </row>
    <row r="631" spans="1:1">
      <c r="A631" t="s">
        <v>1075</v>
      </c>
    </row>
    <row r="632" spans="1:1">
      <c r="A632" t="s">
        <v>1242</v>
      </c>
    </row>
    <row r="633" spans="1:1">
      <c r="A633" t="s">
        <v>1076</v>
      </c>
    </row>
    <row r="634" spans="1:1">
      <c r="A634" t="s">
        <v>1243</v>
      </c>
    </row>
    <row r="635" spans="1:1">
      <c r="A635" t="s">
        <v>1077</v>
      </c>
    </row>
    <row r="636" spans="1:1">
      <c r="A636" t="s">
        <v>1232</v>
      </c>
    </row>
    <row r="637" spans="1:1">
      <c r="A637" t="s">
        <v>1228</v>
      </c>
    </row>
    <row r="638" spans="1:1">
      <c r="A638" t="s">
        <v>1231</v>
      </c>
    </row>
    <row r="639" spans="1:1">
      <c r="A639" t="s">
        <v>1229</v>
      </c>
    </row>
    <row r="640" spans="1:1">
      <c r="A640" t="s">
        <v>1230</v>
      </c>
    </row>
    <row r="641" spans="1:1">
      <c r="A641" t="s">
        <v>1244</v>
      </c>
    </row>
    <row r="642" spans="1:1">
      <c r="A642" t="s">
        <v>1245</v>
      </c>
    </row>
    <row r="643" spans="1:1">
      <c r="A643" t="s">
        <v>1246</v>
      </c>
    </row>
    <row r="644" spans="1:1">
      <c r="A644" t="s">
        <v>1247</v>
      </c>
    </row>
    <row r="645" spans="1:1">
      <c r="A645" t="s">
        <v>1248</v>
      </c>
    </row>
    <row r="646" spans="1:1">
      <c r="A646" t="s">
        <v>1249</v>
      </c>
    </row>
    <row r="647" spans="1:1">
      <c r="A647" t="s">
        <v>1250</v>
      </c>
    </row>
    <row r="648" spans="1:1">
      <c r="A648" t="s">
        <v>1251</v>
      </c>
    </row>
    <row r="649" spans="1:1">
      <c r="A649"/>
    </row>
    <row r="650" spans="1:1">
      <c r="A650"/>
    </row>
    <row r="651" spans="1:1">
      <c r="A651"/>
    </row>
    <row r="652" spans="1:1">
      <c r="A652"/>
    </row>
    <row r="653" spans="1:1">
      <c r="A653"/>
    </row>
    <row r="654" spans="1:1">
      <c r="A654"/>
    </row>
    <row r="655" spans="1:1">
      <c r="A655"/>
    </row>
    <row r="656" spans="1:1">
      <c r="A656"/>
    </row>
    <row r="657" spans="1:1">
      <c r="A657"/>
    </row>
    <row r="658" spans="1:1">
      <c r="A658"/>
    </row>
    <row r="659" spans="1:1">
      <c r="A659"/>
    </row>
    <row r="660" spans="1:1">
      <c r="A660"/>
    </row>
    <row r="661" spans="1:1">
      <c r="A661"/>
    </row>
    <row r="662" spans="1:1">
      <c r="A662"/>
    </row>
    <row r="663" spans="1:1">
      <c r="A663"/>
    </row>
    <row r="664" spans="1:1">
      <c r="A664"/>
    </row>
    <row r="665" spans="1:1">
      <c r="A665"/>
    </row>
    <row r="666" spans="1:1">
      <c r="A666"/>
    </row>
    <row r="667" spans="1:1">
      <c r="A667"/>
    </row>
    <row r="668" spans="1:1">
      <c r="A668"/>
    </row>
    <row r="669" spans="1:1">
      <c r="A669"/>
    </row>
    <row r="670" spans="1:1">
      <c r="A670"/>
    </row>
    <row r="671" spans="1:1">
      <c r="A671"/>
    </row>
    <row r="672" spans="1:1">
      <c r="A672"/>
    </row>
    <row r="673" spans="1:1">
      <c r="A673"/>
    </row>
    <row r="674" spans="1:1">
      <c r="A674"/>
    </row>
    <row r="675" spans="1:1">
      <c r="A675"/>
    </row>
    <row r="676" spans="1:1">
      <c r="A676"/>
    </row>
    <row r="677" spans="1:1">
      <c r="A677"/>
    </row>
    <row r="678" spans="1:1">
      <c r="A678"/>
    </row>
    <row r="679" spans="1:1">
      <c r="A679"/>
    </row>
    <row r="680" spans="1:1">
      <c r="A680"/>
    </row>
    <row r="681" spans="1:1">
      <c r="A681"/>
    </row>
    <row r="682" spans="1:1">
      <c r="A682"/>
    </row>
    <row r="683" spans="1:1">
      <c r="A683"/>
    </row>
    <row r="684" spans="1:1">
      <c r="A684"/>
    </row>
    <row r="685" spans="1:1">
      <c r="A685"/>
    </row>
    <row r="686" spans="1:1">
      <c r="A686"/>
    </row>
    <row r="687" spans="1:1">
      <c r="A687"/>
    </row>
    <row r="688" spans="1:1">
      <c r="A688"/>
    </row>
    <row r="689" spans="1:1">
      <c r="A689"/>
    </row>
    <row r="690" spans="1:1">
      <c r="A690"/>
    </row>
    <row r="691" spans="1:1">
      <c r="A691"/>
    </row>
    <row r="692" spans="1:1">
      <c r="A692"/>
    </row>
    <row r="693" spans="1:1">
      <c r="A693"/>
    </row>
    <row r="694" spans="1:1">
      <c r="A694"/>
    </row>
    <row r="695" spans="1:1">
      <c r="A695"/>
    </row>
    <row r="696" spans="1:1">
      <c r="A696"/>
    </row>
    <row r="697" spans="1:1">
      <c r="A697"/>
    </row>
    <row r="698" spans="1:1">
      <c r="A698"/>
    </row>
    <row r="699" spans="1:1">
      <c r="A699"/>
    </row>
    <row r="700" spans="1:1">
      <c r="A700"/>
    </row>
    <row r="701" spans="1:1">
      <c r="A701"/>
    </row>
    <row r="702" spans="1:1">
      <c r="A702"/>
    </row>
    <row r="703" spans="1:1">
      <c r="A703"/>
    </row>
    <row r="704" spans="1:1">
      <c r="A704"/>
    </row>
    <row r="705" spans="1:1">
      <c r="A705"/>
    </row>
    <row r="706" spans="1:1">
      <c r="A706"/>
    </row>
    <row r="707" spans="1:1">
      <c r="A707"/>
    </row>
    <row r="708" spans="1:1">
      <c r="A708"/>
    </row>
    <row r="709" spans="1:1">
      <c r="A709"/>
    </row>
    <row r="710" spans="1:1">
      <c r="A710"/>
    </row>
    <row r="711" spans="1:1">
      <c r="A711"/>
    </row>
    <row r="712" spans="1:1">
      <c r="A712"/>
    </row>
    <row r="713" spans="1:1">
      <c r="A713"/>
    </row>
    <row r="714" spans="1:1">
      <c r="A714"/>
    </row>
    <row r="715" spans="1:1">
      <c r="A715"/>
    </row>
    <row r="716" spans="1:1">
      <c r="A716"/>
    </row>
  </sheetData>
  <mergeCells count="5">
    <mergeCell ref="C140:F140"/>
    <mergeCell ref="C141:F141"/>
    <mergeCell ref="C142:F142"/>
    <mergeCell ref="C143:F143"/>
    <mergeCell ref="A158:E158"/>
  </mergeCells>
  <phoneticPr fontId="13" type="noConversion"/>
  <conditionalFormatting sqref="C21">
    <cfRule type="expression" dxfId="5" priority="6">
      <formula>C21=""</formula>
    </cfRule>
  </conditionalFormatting>
  <dataValidations count="6">
    <dataValidation type="list" allowBlank="1" showInputMessage="1" showErrorMessage="1" sqref="C257" xr:uid="{199E51FF-615D-4D3B-A527-EF691DB8E549}">
      <formula1>Rate_Types</formula1>
    </dataValidation>
    <dataValidation type="decimal" errorStyle="warning" allowBlank="1" showErrorMessage="1" errorTitle="Customer Travel time" error="This cell is set to accept values between 0 and 10._x000a__x000a_Please enter the number of hours it takes to travel onsite and back between the site you have selected under 'ArchiTech Primary Office' and the customer's primary site" sqref="C115" xr:uid="{C5F1280B-D534-4DD7-AAD4-A308E30296D7}">
      <formula1>0</formula1>
      <formula2>10</formula2>
    </dataValidation>
    <dataValidation type="list" errorStyle="warning" allowBlank="1" showErrorMessage="1" errorTitle="Customer Distance" error="This cell is set to accept numbers between 1 and 1000. Please enter the number of Kilometers between the project's Primary ArchiTech Office and the Customer Site." sqref="C116" xr:uid="{A6152906-056D-41CA-80A1-35614A4835E5}">
      <formula1>"Yes,No"</formula1>
    </dataValidation>
    <dataValidation type="whole" allowBlank="1" showInputMessage="1" showErrorMessage="1" sqref="C33:C34" xr:uid="{57BE8CA9-4695-4A51-BDB2-109374D63B8A}">
      <formula1>1</formula1>
      <formula2>10</formula2>
    </dataValidation>
    <dataValidation type="list" errorStyle="warning" allowBlank="1" showErrorMessage="1" errorTitle="Invalid Date" error="This field is set to accept dates between Today +7 days and Today +650 days." sqref="C21" xr:uid="{BE1F15B9-786F-4068-8364-A526B35B8874}">
      <formula1>"True,False"</formula1>
    </dataValidation>
    <dataValidation type="list" errorStyle="warning" allowBlank="1" showInputMessage="1" showErrorMessage="1" sqref="C258" xr:uid="{AA6C3882-C39B-4475-93C3-BA9BDA280C9E}">
      <formula1>Rate_Types</formula1>
    </dataValidation>
  </dataValidations>
  <hyperlinks>
    <hyperlink ref="C7" r:id="rId1" xr:uid="{5A0B6703-698B-4509-A24A-2C8C5BB8FB81}"/>
    <hyperlink ref="C8" r:id="rId2" xr:uid="{557C1CC7-3A96-4165-B297-2A8CA5F01B18}"/>
    <hyperlink ref="C9" r:id="rId3" xr:uid="{D0473DD3-3CD8-4EF9-BE75-9C1CF7288620}"/>
    <hyperlink ref="C10" r:id="rId4" xr:uid="{891CA564-E80B-461E-963E-C0C9194A3B36}"/>
    <hyperlink ref="C11" r:id="rId5" xr:uid="{F8F3892A-77B9-43CA-826F-4B5E07FAAEE3}"/>
  </hyperlinks>
  <pageMargins left="0.7" right="0.7" top="0.75" bottom="0.75" header="0.3" footer="0.3"/>
  <pageSetup paperSize="9" orientation="portrait" horizontalDpi="4294967293" verticalDpi="300" r:id="rId6"/>
  <ignoredErrors>
    <ignoredError sqref="J77 J79:J81" formula="1"/>
    <ignoredError sqref="C189 C191" evalError="1"/>
  </ignoredErrors>
  <tableParts count="6">
    <tablePart r:id="rId7"/>
    <tablePart r:id="rId8"/>
    <tablePart r:id="rId9"/>
    <tablePart r:id="rId10"/>
    <tablePart r:id="rId11"/>
    <tablePart r:id="rId12"/>
  </tableParts>
  <extLst>
    <ext xmlns:x14="http://schemas.microsoft.com/office/spreadsheetml/2009/9/main" uri="{78C0D931-6437-407d-A8EE-F0AAD7539E65}">
      <x14:conditionalFormattings>
        <x14:conditionalFormatting xmlns:xm="http://schemas.microsoft.com/office/excel/2006/main">
          <x14:cfRule type="expression" priority="28" id="{82732506-AB25-448B-B825-B4E313C9261B}">
            <xm:f>NOT('Project Risk'!$E$22=$C$146)</xm:f>
            <x14:dxf/>
          </x14:cfRule>
          <xm:sqref>A43</xm:sqref>
        </x14:conditionalFormatting>
        <x14:conditionalFormatting xmlns:xm="http://schemas.microsoft.com/office/excel/2006/main">
          <x14:cfRule type="expression" priority="25" id="{D4F9EF46-187A-4825-948D-BDB303995D50}">
            <xm:f>NOT('Project Risk'!$E$18=$C$147)</xm:f>
            <x14:dxf/>
          </x14:cfRule>
          <xm:sqref>D177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C55E3-ADA0-4031-B7F2-62DA14AC6F45}">
  <sheetPr codeName="Sheet1"/>
  <dimension ref="A1:S123"/>
  <sheetViews>
    <sheetView topLeftCell="E73" zoomScale="61" zoomScaleNormal="70" zoomScalePageLayoutView="90" workbookViewId="0">
      <selection activeCell="S86" sqref="S86"/>
    </sheetView>
  </sheetViews>
  <sheetFormatPr defaultColWidth="10.69921875" defaultRowHeight="17.399999999999999" customHeight="1"/>
  <cols>
    <col min="1" max="1" width="67.69921875" style="3" bestFit="1" customWidth="1"/>
    <col min="2" max="2" width="73.19921875" style="3" customWidth="1"/>
    <col min="3" max="3" width="19.09765625" style="3" customWidth="1"/>
    <col min="4" max="4" width="49.69921875" style="3" customWidth="1"/>
    <col min="5" max="8" width="22.09765625" style="3" customWidth="1"/>
    <col min="9" max="9" width="30.3984375" style="3" customWidth="1"/>
    <col min="10" max="10" width="14.3984375" style="3" bestFit="1" customWidth="1"/>
    <col min="11" max="12" width="13.8984375" style="3" customWidth="1"/>
    <col min="13" max="14" width="15.5" style="3" customWidth="1"/>
    <col min="15" max="16" width="14.8984375" style="3" customWidth="1"/>
    <col min="17" max="18" width="10.69921875" style="3"/>
    <col min="19" max="19" width="24.3984375" style="3" customWidth="1"/>
    <col min="20" max="16384" width="10.69921875" style="3"/>
  </cols>
  <sheetData>
    <row r="1" spans="1:5" ht="23.4">
      <c r="A1" s="2" t="s">
        <v>200</v>
      </c>
    </row>
    <row r="3" spans="1:5" ht="22.8">
      <c r="A3" s="20" t="s">
        <v>210</v>
      </c>
    </row>
    <row r="4" spans="1:5" ht="22.8">
      <c r="A4" s="20"/>
    </row>
    <row r="5" spans="1:5" ht="17.399999999999999" customHeight="1">
      <c r="A5" s="4" t="s">
        <v>24</v>
      </c>
      <c r="B5" s="11">
        <f>IF(OR(Management!B18=0,Management!B19=0),0,Settings_Hidden!$C$191)</f>
        <v>0</v>
      </c>
      <c r="D5" s="61"/>
      <c r="E5" s="61"/>
    </row>
    <row r="6" spans="1:5" ht="17.399999999999999" customHeight="1">
      <c r="A6" s="4" t="s">
        <v>105</v>
      </c>
      <c r="B6" s="11">
        <f>Settings_Hidden!$C$33</f>
        <v>1</v>
      </c>
    </row>
    <row r="7" spans="1:5" ht="17.399999999999999" customHeight="1">
      <c r="A7" s="4" t="s">
        <v>14</v>
      </c>
      <c r="B7" s="11">
        <f>SUM(Input_Tasks[Onsite Round Trips])</f>
        <v>0</v>
      </c>
    </row>
    <row r="8" spans="1:5" ht="17.399999999999999" customHeight="1">
      <c r="A8" s="4" t="s">
        <v>12</v>
      </c>
      <c r="B8" s="12">
        <f>SUM(Input_Tasks[Overnight Stays])</f>
        <v>0</v>
      </c>
    </row>
    <row r="9" spans="1:5" ht="17.399999999999999" customHeight="1">
      <c r="A9" s="4" t="s">
        <v>104</v>
      </c>
      <c r="B9" s="94">
        <f>SUM(Summary!C11:D15)</f>
        <v>0</v>
      </c>
    </row>
    <row r="10" spans="1:5" ht="17.399999999999999" customHeight="1">
      <c r="A10" s="4" t="s">
        <v>106</v>
      </c>
      <c r="B10" s="12" t="str">
        <f>IFERROR(ROUND(B9/B5,1),"-")</f>
        <v>-</v>
      </c>
    </row>
    <row r="11" spans="1:5" ht="17.399999999999999" customHeight="1">
      <c r="A11" s="4" t="s">
        <v>136</v>
      </c>
      <c r="B11" s="12">
        <f>SUM(Input_Tasks[Finished Document Outputs])</f>
        <v>0</v>
      </c>
    </row>
    <row r="12" spans="1:5" ht="17.399999999999999" customHeight="1">
      <c r="A12" s="4" t="s">
        <v>305</v>
      </c>
      <c r="B12" s="12">
        <f>COUNTA(Input_Tasks[Task Type])</f>
        <v>0</v>
      </c>
    </row>
    <row r="13" spans="1:5" ht="17.399999999999999" customHeight="1">
      <c r="A13" s="4" t="s">
        <v>533</v>
      </c>
      <c r="B13" s="445">
        <f>'Project Technical Tasks'!B22</f>
        <v>0</v>
      </c>
    </row>
    <row r="14" spans="1:5" ht="17.399999999999999" customHeight="1">
      <c r="A14" s="4" t="s">
        <v>534</v>
      </c>
      <c r="B14" s="446">
        <f>IF(B13="Yes",0,1)</f>
        <v>1</v>
      </c>
    </row>
    <row r="15" spans="1:5" ht="17.399999999999999" customHeight="1">
      <c r="A15" s="4" t="s">
        <v>737</v>
      </c>
      <c r="B15" s="518"/>
    </row>
    <row r="16" spans="1:5" ht="17.399999999999999" customHeight="1">
      <c r="A16" s="4"/>
    </row>
    <row r="17" spans="1:11" s="14" customFormat="1">
      <c r="A17" s="13" t="s">
        <v>16</v>
      </c>
      <c r="B17" s="13" t="s">
        <v>97</v>
      </c>
      <c r="C17" s="13" t="s">
        <v>25</v>
      </c>
      <c r="D17" s="13" t="s">
        <v>110</v>
      </c>
      <c r="E17" s="13" t="s">
        <v>167</v>
      </c>
      <c r="F17" s="13" t="s">
        <v>166</v>
      </c>
      <c r="G17" s="13" t="s">
        <v>164</v>
      </c>
      <c r="H17" s="15" t="s">
        <v>13</v>
      </c>
      <c r="I17" s="15" t="s">
        <v>204</v>
      </c>
      <c r="J17" s="15" t="s">
        <v>205</v>
      </c>
      <c r="K17" s="15" t="s">
        <v>851</v>
      </c>
    </row>
    <row r="18" spans="1:11" ht="17.399999999999999" customHeight="1">
      <c r="A18" s="9" t="s">
        <v>478</v>
      </c>
      <c r="B18" s="9" t="str">
        <f>$B$65</f>
        <v>Project Manager</v>
      </c>
      <c r="C18" s="9">
        <f>MAX(Settings_Hidden!$D$268,ROUND(Settings_Management_Hidden!B9*Settings_Hidden!D269,1))*$B$14</f>
        <v>0.5</v>
      </c>
      <c r="D18" s="9" t="str">
        <f>A9</f>
        <v>Total Engineer Hours</v>
      </c>
      <c r="E18" s="43">
        <f>IFERROR(VLOOKUP(Management_Costs[[#This Row],[Rate Type]],Settings_Hidden!$B$102:$D$111,2,FALSE),0)</f>
        <v>147.55803124436895</v>
      </c>
      <c r="F18" s="43">
        <f>IFERROR(VLOOKUP(Management_Costs[[#This Row],[Rate Type]],Settings_Hidden!$B$88:$C$97,2,FALSE),0)</f>
        <v>225</v>
      </c>
      <c r="G18" s="43">
        <f>Management_Costs[[#This Row],[Cost Rate]]*Management_Costs[[#This Row],[Effort (Hours)]]</f>
        <v>73.779015622184474</v>
      </c>
      <c r="H18" s="17">
        <f>IFERROR(Management_Costs[[#This Row],[Effort (Hours)]]*Management_Costs[[#This Row],[Sell Rate]],"-")</f>
        <v>112.5</v>
      </c>
      <c r="I18" s="88" t="s">
        <v>202</v>
      </c>
      <c r="J18" s="90">
        <v>2</v>
      </c>
      <c r="K18" s="648" t="s">
        <v>863</v>
      </c>
    </row>
    <row r="19" spans="1:11" ht="17.399999999999999" customHeight="1">
      <c r="A19" s="9" t="s">
        <v>113</v>
      </c>
      <c r="B19" s="9" t="str">
        <f t="shared" ref="B19:B24" si="0">$B$65</f>
        <v>Project Manager</v>
      </c>
      <c r="C19" s="9">
        <f>MAX(Settings_Hidden!$D$270,ROUND(Settings_Hidden!$D$271*Settings_Management_Hidden!$B$9,1))</f>
        <v>0.25</v>
      </c>
      <c r="D19" s="9" t="str">
        <f>A9</f>
        <v>Total Engineer Hours</v>
      </c>
      <c r="E19" s="43">
        <f>IFERROR(VLOOKUP(Management_Costs[[#This Row],[Rate Type]],Settings_Hidden!$B$102:$D$111,2,FALSE),0)</f>
        <v>147.55803124436895</v>
      </c>
      <c r="F19" s="43">
        <f>IFERROR(VLOOKUP(Management_Costs[[#This Row],[Rate Type]],Settings_Hidden!$B$88:$C$97,2,FALSE),0)</f>
        <v>225</v>
      </c>
      <c r="G19" s="43">
        <f>Management_Costs[[#This Row],[Cost Rate]]*Management_Costs[[#This Row],[Effort (Hours)]]</f>
        <v>36.889507811092237</v>
      </c>
      <c r="H19" s="17">
        <f>IFERROR(Management_Costs[[#This Row],[Effort (Hours)]]*Management_Costs[[#This Row],[Sell Rate]],"-")</f>
        <v>56.25</v>
      </c>
      <c r="I19" s="88" t="s">
        <v>202</v>
      </c>
      <c r="J19" s="90">
        <v>3</v>
      </c>
      <c r="K19" s="648" t="s">
        <v>862</v>
      </c>
    </row>
    <row r="20" spans="1:11" ht="17.399999999999999" customHeight="1">
      <c r="A20" s="9" t="s">
        <v>116</v>
      </c>
      <c r="B20" s="9" t="str">
        <f t="shared" si="0"/>
        <v>Project Manager</v>
      </c>
      <c r="C20" s="9">
        <f>ROUND(MAX(Settings_Hidden!D272,($B$6*Settings_Hidden!D273-IF(B62=Settings_Hidden!C151,1,0))*($B$9*Settings_Hidden!$D$274)),2)*B14</f>
        <v>0.25</v>
      </c>
      <c r="D20" s="9" t="str">
        <f>A6</f>
        <v>Resources (inc. Manager)</v>
      </c>
      <c r="E20" s="43">
        <f>IFERROR(VLOOKUP(Management_Costs[[#This Row],[Rate Type]],Settings_Hidden!$B$102:$D$111,2,FALSE),0)</f>
        <v>147.55803124436895</v>
      </c>
      <c r="F20" s="43">
        <f>IFERROR(VLOOKUP(Management_Costs[[#This Row],[Rate Type]],Settings_Hidden!$B$88:$C$97,2,FALSE),0)</f>
        <v>225</v>
      </c>
      <c r="G20" s="43">
        <f>Management_Costs[[#This Row],[Cost Rate]]*Management_Costs[[#This Row],[Effort (Hours)]]</f>
        <v>36.889507811092237</v>
      </c>
      <c r="H20" s="17">
        <f>IFERROR(Management_Costs[[#This Row],[Effort (Hours)]]*Management_Costs[[#This Row],[Sell Rate]],"-")</f>
        <v>56.25</v>
      </c>
      <c r="I20" s="88" t="s">
        <v>202</v>
      </c>
      <c r="J20" s="90">
        <v>6</v>
      </c>
      <c r="K20" s="648" t="s">
        <v>861</v>
      </c>
    </row>
    <row r="21" spans="1:11" ht="17.399999999999999" customHeight="1">
      <c r="A21" s="9" t="s">
        <v>27</v>
      </c>
      <c r="B21" s="9" t="str">
        <f t="shared" si="0"/>
        <v>Project Manager</v>
      </c>
      <c r="C21" s="9">
        <f>($B$7*Settings_Hidden!$D$275)+IF($B$8&gt;0,Settings_Hidden!$D$276+($B$8*Settings_Hidden!$D$277),0)*B14</f>
        <v>0</v>
      </c>
      <c r="D21" s="9" t="str">
        <f>A7&amp;" + "&amp;A8</f>
        <v>Onsite Trips + Overnight Stays</v>
      </c>
      <c r="E21" s="43">
        <f>IFERROR(VLOOKUP(Management_Costs[[#This Row],[Rate Type]],Settings_Hidden!$B$102:$D$111,2,FALSE),0)</f>
        <v>147.55803124436895</v>
      </c>
      <c r="F21" s="43">
        <f>IFERROR(VLOOKUP(Management_Costs[[#This Row],[Rate Type]],Settings_Hidden!$B$88:$C$97,2,FALSE),0)</f>
        <v>225</v>
      </c>
      <c r="G21" s="43">
        <f>Management_Costs[[#This Row],[Cost Rate]]*Management_Costs[[#This Row],[Effort (Hours)]]</f>
        <v>0</v>
      </c>
      <c r="H21" s="17">
        <f>IFERROR(Management_Costs[[#This Row],[Effort (Hours)]]*Management_Costs[[#This Row],[Sell Rate]],"-")</f>
        <v>0</v>
      </c>
      <c r="I21" s="88" t="s">
        <v>203</v>
      </c>
      <c r="J21" s="90">
        <v>9</v>
      </c>
      <c r="K21" s="648" t="s">
        <v>857</v>
      </c>
    </row>
    <row r="22" spans="1:11" ht="17.399999999999999" customHeight="1">
      <c r="A22" s="9" t="s">
        <v>57</v>
      </c>
      <c r="B22" s="9" t="str">
        <f t="shared" si="0"/>
        <v>Project Manager</v>
      </c>
      <c r="C22" s="9">
        <f>B5*Settings_Hidden!D278</f>
        <v>0</v>
      </c>
      <c r="D22" s="9" t="str">
        <f>A5</f>
        <v>Duration (weeks)</v>
      </c>
      <c r="E22" s="43">
        <f>IFERROR(VLOOKUP(Management_Costs[[#This Row],[Rate Type]],Settings_Hidden!$B$102:$D$111,2,FALSE),0)</f>
        <v>147.55803124436895</v>
      </c>
      <c r="F22" s="43">
        <f>IFERROR(VLOOKUP(Management_Costs[[#This Row],[Rate Type]],Settings_Hidden!$B$88:$C$97,2,FALSE),0)</f>
        <v>225</v>
      </c>
      <c r="G22" s="43">
        <f>Management_Costs[[#This Row],[Cost Rate]]*Management_Costs[[#This Row],[Effort (Hours)]]</f>
        <v>0</v>
      </c>
      <c r="H22" s="17">
        <f>IFERROR(Management_Costs[[#This Row],[Effort (Hours)]]*Management_Costs[[#This Row],[Sell Rate]],"-")</f>
        <v>0</v>
      </c>
      <c r="I22" s="87" t="s">
        <v>202</v>
      </c>
      <c r="J22" s="90">
        <v>10</v>
      </c>
      <c r="K22" s="648" t="s">
        <v>860</v>
      </c>
    </row>
    <row r="23" spans="1:11" ht="17.399999999999999" customHeight="1">
      <c r="A23" s="9" t="s">
        <v>211</v>
      </c>
      <c r="B23" s="9" t="str">
        <f t="shared" si="0"/>
        <v>Project Manager</v>
      </c>
      <c r="C23" s="9">
        <f>MAX(Settings_Hidden!D279,ROUND(Settings_Hidden!D280*B9,1))*B14</f>
        <v>0.5</v>
      </c>
      <c r="D23" s="9" t="str">
        <f>A9</f>
        <v>Total Engineer Hours</v>
      </c>
      <c r="E23" s="43">
        <f>IFERROR(VLOOKUP(Management_Costs[[#This Row],[Rate Type]],Settings_Hidden!$B$102:$D$111,2,FALSE),0)</f>
        <v>147.55803124436895</v>
      </c>
      <c r="F23" s="43">
        <f>IFERROR(VLOOKUP(Management_Costs[[#This Row],[Rate Type]],Settings_Hidden!$B$88:$C$97,2,FALSE),0)</f>
        <v>225</v>
      </c>
      <c r="G23" s="43">
        <f>Management_Costs[[#This Row],[Cost Rate]]*Management_Costs[[#This Row],[Effort (Hours)]]</f>
        <v>73.779015622184474</v>
      </c>
      <c r="H23" s="17">
        <f>IFERROR(Management_Costs[[#This Row],[Effort (Hours)]]*Management_Costs[[#This Row],[Sell Rate]],"-")</f>
        <v>112.5</v>
      </c>
      <c r="I23" s="87" t="s">
        <v>202</v>
      </c>
      <c r="J23" s="90">
        <v>11</v>
      </c>
      <c r="K23" s="648" t="s">
        <v>859</v>
      </c>
    </row>
    <row r="24" spans="1:11" ht="17.399999999999999" customHeight="1">
      <c r="A24" s="9" t="s">
        <v>320</v>
      </c>
      <c r="B24" s="9" t="str">
        <f t="shared" si="0"/>
        <v>Project Manager</v>
      </c>
      <c r="C24" s="9">
        <f>B5*Settings_Hidden!$D$281*B14</f>
        <v>0</v>
      </c>
      <c r="D24" s="23" t="str">
        <f>A5</f>
        <v>Duration (weeks)</v>
      </c>
      <c r="E24" s="39">
        <f>IFERROR(VLOOKUP(Management_Costs[[#This Row],[Rate Type]],Settings_Hidden!$B$102:$D$111,2,FALSE),0)</f>
        <v>147.55803124436895</v>
      </c>
      <c r="F24" s="39">
        <f>IFERROR(VLOOKUP(Management_Costs[[#This Row],[Rate Type]],Settings_Hidden!$B$88:$C$97,2,FALSE),0)</f>
        <v>225</v>
      </c>
      <c r="G24" s="39">
        <f>Management_Costs[[#This Row],[Cost Rate]]*Management_Costs[[#This Row],[Effort (Hours)]]</f>
        <v>0</v>
      </c>
      <c r="H24" s="18">
        <f>IFERROR(Management_Costs[[#This Row],[Effort (Hours)]]*Management_Costs[[#This Row],[Sell Rate]],"-")</f>
        <v>0</v>
      </c>
      <c r="I24" s="89"/>
      <c r="J24" s="91"/>
      <c r="K24" s="648" t="s">
        <v>858</v>
      </c>
    </row>
    <row r="25" spans="1:11" ht="17.399999999999999" customHeight="1">
      <c r="A25" s="9"/>
      <c r="B25" s="9"/>
      <c r="C25" s="9"/>
      <c r="D25" s="23"/>
      <c r="E25" s="39">
        <f>IFERROR(VLOOKUP(Management_Costs[[#This Row],[Rate Type]],Settings_Hidden!$B$102:$D$111,2,FALSE),0)</f>
        <v>0</v>
      </c>
      <c r="F25" s="39">
        <f>IFERROR(VLOOKUP(Management_Costs[[#This Row],[Rate Type]],Settings_Hidden!$B$88:$C$97,2,FALSE),0)</f>
        <v>0</v>
      </c>
      <c r="G25" s="39">
        <f>Management_Costs[[#This Row],[Cost Rate]]*Management_Costs[[#This Row],[Effort (Hours)]]</f>
        <v>0</v>
      </c>
      <c r="H25" s="18">
        <f>IFERROR(Management_Costs[[#This Row],[Effort (Hours)]]*Management_Costs[[#This Row],[Sell Rate]],"-")</f>
        <v>0</v>
      </c>
      <c r="I25" s="89"/>
      <c r="J25" s="91"/>
      <c r="K25" s="648"/>
    </row>
    <row r="26" spans="1:11" ht="17.399999999999999" customHeight="1">
      <c r="A26" s="9"/>
      <c r="B26" s="9"/>
      <c r="C26" s="9"/>
      <c r="D26" s="23"/>
      <c r="E26" s="39">
        <f>IFERROR(VLOOKUP(Management_Costs[[#This Row],[Rate Type]],Settings_Hidden!$B$102:$D$111,2,FALSE),0)</f>
        <v>0</v>
      </c>
      <c r="F26" s="39">
        <f>IFERROR(VLOOKUP(Management_Costs[[#This Row],[Rate Type]],Settings_Hidden!$B$88:$C$97,2,FALSE),0)</f>
        <v>0</v>
      </c>
      <c r="G26" s="39">
        <f>Management_Costs[[#This Row],[Cost Rate]]*Management_Costs[[#This Row],[Effort (Hours)]]</f>
        <v>0</v>
      </c>
      <c r="H26" s="18">
        <f>IFERROR(Management_Costs[[#This Row],[Effort (Hours)]]*Management_Costs[[#This Row],[Sell Rate]],"-")</f>
        <v>0</v>
      </c>
      <c r="I26" s="89"/>
      <c r="J26" s="91"/>
      <c r="K26" s="648"/>
    </row>
    <row r="27" spans="1:11" ht="17.399999999999999" customHeight="1">
      <c r="A27" s="9"/>
      <c r="B27" s="9"/>
      <c r="C27" s="9"/>
      <c r="D27" s="23"/>
      <c r="E27" s="39">
        <f>IFERROR(VLOOKUP(Management_Costs[[#This Row],[Rate Type]],Settings_Hidden!$B$102:$D$111,2,FALSE),0)</f>
        <v>0</v>
      </c>
      <c r="F27" s="39">
        <f>IFERROR(VLOOKUP(Management_Costs[[#This Row],[Rate Type]],Settings_Hidden!$B$88:$C$97,2,FALSE),0)</f>
        <v>0</v>
      </c>
      <c r="G27" s="39">
        <f>Management_Costs[[#This Row],[Cost Rate]]*Management_Costs[[#This Row],[Effort (Hours)]]</f>
        <v>0</v>
      </c>
      <c r="H27" s="18">
        <f>IFERROR(Management_Costs[[#This Row],[Effort (Hours)]]*Management_Costs[[#This Row],[Sell Rate]],"-")</f>
        <v>0</v>
      </c>
      <c r="I27" s="89"/>
      <c r="J27" s="91"/>
      <c r="K27" s="648"/>
    </row>
    <row r="28" spans="1:11" ht="17.399999999999999" customHeight="1">
      <c r="A28" s="9"/>
      <c r="B28" s="9"/>
      <c r="C28" s="9"/>
      <c r="D28" s="23"/>
      <c r="E28" s="39">
        <f>IFERROR(VLOOKUP(Management_Costs[[#This Row],[Rate Type]],Settings_Hidden!$B$102:$D$111,2,FALSE),0)</f>
        <v>0</v>
      </c>
      <c r="F28" s="39">
        <f>IFERROR(VLOOKUP(Management_Costs[[#This Row],[Rate Type]],Settings_Hidden!$B$88:$C$97,2,FALSE),0)</f>
        <v>0</v>
      </c>
      <c r="G28" s="39">
        <f>Management_Costs[[#This Row],[Cost Rate]]*Management_Costs[[#This Row],[Effort (Hours)]]</f>
        <v>0</v>
      </c>
      <c r="H28" s="18">
        <f>IFERROR(Management_Costs[[#This Row],[Effort (Hours)]]*Management_Costs[[#This Row],[Sell Rate]],"-")</f>
        <v>0</v>
      </c>
      <c r="I28" s="89"/>
      <c r="J28" s="91"/>
      <c r="K28" s="648"/>
    </row>
    <row r="29" spans="1:11" ht="17.399999999999999" customHeight="1">
      <c r="A29" s="16" t="s">
        <v>31</v>
      </c>
      <c r="B29" s="16"/>
      <c r="C29" s="16">
        <f>SUBTOTAL(109,Management_Costs[Effort (Hours)])</f>
        <v>1.5</v>
      </c>
      <c r="D29" s="16"/>
      <c r="E29" s="16"/>
      <c r="F29" s="16"/>
      <c r="G29" s="21">
        <f>SUBTOTAL(109,Management_Costs[Cost Price])</f>
        <v>221.33704686655341</v>
      </c>
      <c r="H29" s="21">
        <f>SUBTOTAL(109,Management_Costs[Sell Price])</f>
        <v>337.5</v>
      </c>
      <c r="I29" s="16"/>
      <c r="J29" s="92"/>
      <c r="K29"/>
    </row>
    <row r="31" spans="1:11" ht="22.8">
      <c r="A31" s="20" t="s">
        <v>288</v>
      </c>
    </row>
    <row r="32" spans="1:11" ht="22.8">
      <c r="A32" s="20"/>
      <c r="B32" s="3" t="s">
        <v>296</v>
      </c>
      <c r="C32" s="3" t="s">
        <v>295</v>
      </c>
    </row>
    <row r="33" spans="1:10" ht="17.399999999999999" customHeight="1">
      <c r="A33" s="4" t="s">
        <v>132</v>
      </c>
      <c r="B33" s="12">
        <f>C33-COUNTIFS(Table_Subcontractors[Subcontractor],"&lt;&gt;"&amp;"",Table_Subcontractors[Includes PM + Direct Client &amp; Third party engagement],"Yes")</f>
        <v>0</v>
      </c>
      <c r="C33" s="3">
        <f>COUNTIF(Table_Subcontractors[Subcontractor],"&lt;&gt;"&amp;"")</f>
        <v>0</v>
      </c>
    </row>
    <row r="34" spans="1:10" ht="17.399999999999999" customHeight="1">
      <c r="A34" s="4" t="s">
        <v>280</v>
      </c>
      <c r="B34" s="153">
        <f>C34-SUMIF(Table_Subcontractors[Includes PM + Direct Client &amp; Third party engagement],"Yes",Table_Subcontractors[Buy Price (ex. GST)])</f>
        <v>0</v>
      </c>
      <c r="C34" s="3">
        <f>Table_Subcontractors[[#Totals],[Buy Price (ex. GST)]]</f>
        <v>0</v>
      </c>
    </row>
    <row r="35" spans="1:10" ht="17.399999999999999" customHeight="1">
      <c r="A35" s="4" t="s">
        <v>281</v>
      </c>
      <c r="B35" s="153">
        <f>C35-SUMIF(Table_Subcontractors[Includes PM + Direct Client &amp; Third party engagement],"Yes",Table_Subcontractors[Sell Price (Ex. GST)])</f>
        <v>0</v>
      </c>
      <c r="C35" s="3">
        <f>Table_Subcontractors[[#Totals],[Sell Price (Ex. GST)]]</f>
        <v>0</v>
      </c>
    </row>
    <row r="36" spans="1:10" ht="17.399999999999999" customHeight="1">
      <c r="A36" s="4" t="str">
        <f>Table_Subcontractors[[#Headers],[Subcontractor Sub-project duration estimate (weeks)]]&amp;" Total"</f>
        <v>Subcontractor Sub-project duration estimate (weeks) Total</v>
      </c>
      <c r="B36" s="12">
        <f>C36-SUMIF(Table_Subcontractors[Includes PM + Direct Client &amp; Third party engagement],"Yes",Table_Subcontractors[Subcontractor Sub-project duration estimate (weeks)])</f>
        <v>0</v>
      </c>
      <c r="C36" s="3">
        <f>Table_Subcontractors[[#Totals],[Subcontractor Sub-project duration estimate (weeks)]]</f>
        <v>0</v>
      </c>
    </row>
    <row r="37" spans="1:10" ht="17.399999999999999" customHeight="1">
      <c r="A37" s="4" t="str">
        <f>Table_Subcontractors[[#Headers],[Document Output QTY]]&amp;" Total"</f>
        <v>Document Output QTY Total</v>
      </c>
      <c r="B37" s="12">
        <f>C37-SUMIF(Table_Subcontractors[Includes PM + Direct Client &amp; Third party engagement],"Yes",Table_Subcontractors[Document Output QTY])</f>
        <v>0</v>
      </c>
      <c r="C37" s="3">
        <f>Table_Subcontractors[[#Totals],[Document Output QTY]]</f>
        <v>0</v>
      </c>
    </row>
    <row r="38" spans="1:10" ht="17.399999999999999" customHeight="1">
      <c r="A38" s="4" t="str">
        <f>Table_Subcontractors[[#Headers],[Client/3rd Party Workshops]]&amp;" Total"</f>
        <v>Client/3rd Party Workshops Total</v>
      </c>
      <c r="B38" s="12">
        <f>C38-SUMIF(Table_Subcontractors[Includes PM + Direct Client &amp; Third party engagement],"Yes",Table_Subcontractors[Client/3rd Party Workshops])</f>
        <v>0</v>
      </c>
      <c r="C38" s="3">
        <f>Table_Subcontractors[[#Totals],[Client/3rd Party Workshops]]</f>
        <v>0</v>
      </c>
    </row>
    <row r="39" spans="1:10" ht="17.399999999999999" customHeight="1">
      <c r="A39" s="4" t="s">
        <v>737</v>
      </c>
      <c r="B39" s="519"/>
    </row>
    <row r="40" spans="1:10" ht="17.399999999999999" customHeight="1">
      <c r="A40" s="20"/>
    </row>
    <row r="41" spans="1:10" ht="17.399999999999999" customHeight="1">
      <c r="A41" s="35" t="s">
        <v>16</v>
      </c>
      <c r="B41" s="36" t="s">
        <v>97</v>
      </c>
      <c r="C41" s="36" t="s">
        <v>25</v>
      </c>
      <c r="D41" s="36" t="s">
        <v>110</v>
      </c>
      <c r="E41" s="13" t="s">
        <v>167</v>
      </c>
      <c r="F41" s="13" t="s">
        <v>166</v>
      </c>
      <c r="G41" s="13" t="s">
        <v>164</v>
      </c>
      <c r="H41" s="15" t="s">
        <v>13</v>
      </c>
      <c r="I41" s="36" t="s">
        <v>205</v>
      </c>
      <c r="J41" s="36" t="s">
        <v>851</v>
      </c>
    </row>
    <row r="42" spans="1:10" ht="17.399999999999999" customHeight="1">
      <c r="A42" s="9" t="s">
        <v>137</v>
      </c>
      <c r="B42" s="9" t="str">
        <f t="shared" ref="B42:B45" si="1">$B$65</f>
        <v>Project Manager</v>
      </c>
      <c r="C42" s="9">
        <f>ROUND(IF(B36&gt;0,Settings_Hidden!$D$284,0)+Settings_Hidden!$D$285*B36,1)</f>
        <v>0</v>
      </c>
      <c r="D42" s="9" t="str">
        <f>A36</f>
        <v>Subcontractor Sub-project duration estimate (weeks) Total</v>
      </c>
      <c r="E42" s="43">
        <f>IFERROR(VLOOKUP(Subcontractor_Management_Costs[[#This Row],[Rate Type]],Settings_Hidden!$B$102:$D$111,2,FALSE),0)</f>
        <v>147.55803124436895</v>
      </c>
      <c r="F42" s="43">
        <f>IFERROR(VLOOKUP(Subcontractor_Management_Costs[[#This Row],[Rate Type]],Settings_Hidden!$B$88:$C$97,2,FALSE),0)</f>
        <v>225</v>
      </c>
      <c r="G42" s="43">
        <f>Subcontractor_Management_Costs[[#This Row],[Cost Rate]]*Subcontractor_Management_Costs[[#This Row],[Effort (Hours)]]</f>
        <v>0</v>
      </c>
      <c r="H42" s="44">
        <f>IFERROR(Subcontractor_Management_Costs[[#This Row],[Effort (Hours)]]*Subcontractor_Management_Costs[[#This Row],[Sell Rate]],"-")</f>
        <v>0</v>
      </c>
      <c r="I42" s="57">
        <v>1</v>
      </c>
      <c r="J42" s="57" t="s">
        <v>864</v>
      </c>
    </row>
    <row r="43" spans="1:10" ht="17.399999999999999" customHeight="1">
      <c r="A43" s="10" t="s">
        <v>251</v>
      </c>
      <c r="B43" s="9" t="str">
        <f t="shared" si="1"/>
        <v>Project Manager</v>
      </c>
      <c r="C43" s="9">
        <f>ROUND(B38*Settings_Hidden!$F$286,1)</f>
        <v>0</v>
      </c>
      <c r="D43" s="9" t="str">
        <f>A38</f>
        <v>Client/3rd Party Workshops Total</v>
      </c>
      <c r="E43" s="43">
        <f>IFERROR(VLOOKUP(Subcontractor_Management_Costs[[#This Row],[Rate Type]],Settings_Hidden!$B$102:$D$111,2,FALSE),0)</f>
        <v>147.55803124436895</v>
      </c>
      <c r="F43" s="43">
        <f>IFERROR(VLOOKUP(Subcontractor_Management_Costs[[#This Row],[Rate Type]],Settings_Hidden!$B$88:$C$97,2,FALSE),0)</f>
        <v>225</v>
      </c>
      <c r="G43" s="43">
        <f>Subcontractor_Management_Costs[[#This Row],[Cost Rate]]*Subcontractor_Management_Costs[[#This Row],[Effort (Hours)]]</f>
        <v>0</v>
      </c>
      <c r="H43" s="44">
        <f>IFERROR(Subcontractor_Management_Costs[[#This Row],[Effort (Hours)]]*Subcontractor_Management_Costs[[#This Row],[Sell Rate]],"-")</f>
        <v>0</v>
      </c>
      <c r="I43" s="57">
        <v>2</v>
      </c>
      <c r="J43" s="57" t="s">
        <v>865</v>
      </c>
    </row>
    <row r="44" spans="1:10" ht="17.399999999999999" customHeight="1">
      <c r="A44" s="10" t="s">
        <v>138</v>
      </c>
      <c r="B44" s="9" t="str">
        <f t="shared" si="1"/>
        <v>Project Manager</v>
      </c>
      <c r="C44" s="9">
        <f>ROUND(B37*Settings_Hidden!$D$287,1)</f>
        <v>0</v>
      </c>
      <c r="D44" s="9" t="str">
        <f>A37</f>
        <v>Document Output QTY Total</v>
      </c>
      <c r="E44" s="43">
        <f>IFERROR(VLOOKUP(Subcontractor_Management_Costs[[#This Row],[Rate Type]],Settings_Hidden!$B$102:$D$111,2,FALSE),0)</f>
        <v>147.55803124436895</v>
      </c>
      <c r="F44" s="43">
        <f>IFERROR(VLOOKUP(Subcontractor_Management_Costs[[#This Row],[Rate Type]],Settings_Hidden!$B$88:$C$97,2,FALSE),0)</f>
        <v>225</v>
      </c>
      <c r="G44" s="43">
        <f>Subcontractor_Management_Costs[[#This Row],[Cost Rate]]*Subcontractor_Management_Costs[[#This Row],[Effort (Hours)]]</f>
        <v>0</v>
      </c>
      <c r="H44" s="44">
        <f>IFERROR(Subcontractor_Management_Costs[[#This Row],[Effort (Hours)]]*Subcontractor_Management_Costs[[#This Row],[Sell Rate]],"-")</f>
        <v>0</v>
      </c>
      <c r="I44" s="57">
        <v>3</v>
      </c>
      <c r="J44" s="57" t="s">
        <v>866</v>
      </c>
    </row>
    <row r="45" spans="1:10" ht="17.399999999999999" customHeight="1">
      <c r="A45" s="10" t="s">
        <v>139</v>
      </c>
      <c r="B45" s="9" t="str">
        <f t="shared" si="1"/>
        <v>Project Manager</v>
      </c>
      <c r="C45" s="9">
        <f>ROUND(B35*Settings_Hidden!D288,1)</f>
        <v>0</v>
      </c>
      <c r="D45" s="23" t="str">
        <f>A35</f>
        <v>Subcontractor Sell Price (Total)</v>
      </c>
      <c r="E45" s="43">
        <f>IFERROR(VLOOKUP(Subcontractor_Management_Costs[[#This Row],[Rate Type]],Settings_Hidden!$B$102:$D$111,2,FALSE),0)</f>
        <v>147.55803124436895</v>
      </c>
      <c r="F45" s="43">
        <f>IFERROR(VLOOKUP(Subcontractor_Management_Costs[[#This Row],[Rate Type]],Settings_Hidden!$B$88:$C$97,2,FALSE),0)</f>
        <v>225</v>
      </c>
      <c r="G45" s="43">
        <f>Subcontractor_Management_Costs[[#This Row],[Cost Rate]]*Subcontractor_Management_Costs[[#This Row],[Effort (Hours)]]</f>
        <v>0</v>
      </c>
      <c r="H45" s="44">
        <f>IFERROR(Subcontractor_Management_Costs[[#This Row],[Effort (Hours)]]*Subcontractor_Management_Costs[[#This Row],[Sell Rate]],"-")</f>
        <v>0</v>
      </c>
      <c r="I45" s="57">
        <v>4</v>
      </c>
      <c r="J45" s="57" t="s">
        <v>867</v>
      </c>
    </row>
    <row r="46" spans="1:10" ht="17.399999999999999" customHeight="1">
      <c r="A46" s="9"/>
      <c r="B46" s="9"/>
      <c r="C46" s="9"/>
      <c r="D46" s="9"/>
      <c r="E46" s="43">
        <f>IFERROR(VLOOKUP(Subcontractor_Management_Costs[[#This Row],[Rate Type]],Settings_Hidden!$B$102:$D$111,2,FALSE),0)</f>
        <v>0</v>
      </c>
      <c r="F46" s="43">
        <f>IFERROR(VLOOKUP(Subcontractor_Management_Costs[[#This Row],[Rate Type]],Settings_Hidden!$B$88:$C$97,2,FALSE),0)</f>
        <v>0</v>
      </c>
      <c r="G46" s="43">
        <f>Subcontractor_Management_Costs[[#This Row],[Cost Rate]]*Subcontractor_Management_Costs[[#This Row],[Effort (Hours)]]</f>
        <v>0</v>
      </c>
      <c r="H46" s="44">
        <f>IFERROR(Subcontractor_Management_Costs[[#This Row],[Effort (Hours)]]*Subcontractor_Management_Costs[[#This Row],[Sell Rate]],"-")</f>
        <v>0</v>
      </c>
      <c r="I46" s="57"/>
      <c r="J46" s="57"/>
    </row>
    <row r="47" spans="1:10" ht="17.399999999999999" customHeight="1">
      <c r="A47" s="9"/>
      <c r="B47" s="9"/>
      <c r="C47" s="9"/>
      <c r="D47" s="9"/>
      <c r="E47" s="43">
        <f>IFERROR(VLOOKUP(Subcontractor_Management_Costs[[#This Row],[Rate Type]],Settings_Hidden!$B$102:$D$111,2,FALSE),0)</f>
        <v>0</v>
      </c>
      <c r="F47" s="43">
        <f>IFERROR(VLOOKUP(Subcontractor_Management_Costs[[#This Row],[Rate Type]],Settings_Hidden!$B$88:$C$97,2,FALSE),0)</f>
        <v>0</v>
      </c>
      <c r="G47" s="43">
        <f>Subcontractor_Management_Costs[[#This Row],[Cost Rate]]*Subcontractor_Management_Costs[[#This Row],[Effort (Hours)]]</f>
        <v>0</v>
      </c>
      <c r="H47" s="44">
        <f>IFERROR(Subcontractor_Management_Costs[[#This Row],[Effort (Hours)]]*Subcontractor_Management_Costs[[#This Row],[Sell Rate]],"-")</f>
        <v>0</v>
      </c>
      <c r="I47" s="57"/>
      <c r="J47" s="57"/>
    </row>
    <row r="48" spans="1:10" ht="17.399999999999999" customHeight="1">
      <c r="A48" s="9"/>
      <c r="B48" s="9"/>
      <c r="C48" s="9"/>
      <c r="D48" s="9"/>
      <c r="E48" s="43">
        <f>IFERROR(VLOOKUP(Subcontractor_Management_Costs[[#This Row],[Rate Type]],Settings_Hidden!$B$102:$D$111,2,FALSE),0)</f>
        <v>0</v>
      </c>
      <c r="F48" s="43">
        <f>IFERROR(VLOOKUP(Subcontractor_Management_Costs[[#This Row],[Rate Type]],Settings_Hidden!$B$88:$C$97,2,FALSE),0)</f>
        <v>0</v>
      </c>
      <c r="G48" s="43">
        <f>Subcontractor_Management_Costs[[#This Row],[Cost Rate]]*Subcontractor_Management_Costs[[#This Row],[Effort (Hours)]]</f>
        <v>0</v>
      </c>
      <c r="H48" s="44">
        <f>IFERROR(Subcontractor_Management_Costs[[#This Row],[Effort (Hours)]]*Subcontractor_Management_Costs[[#This Row],[Sell Rate]],"-")</f>
        <v>0</v>
      </c>
      <c r="I48" s="57"/>
      <c r="J48" s="57"/>
    </row>
    <row r="49" spans="1:10" ht="17.399999999999999" customHeight="1">
      <c r="A49" s="9"/>
      <c r="B49" s="9"/>
      <c r="C49" s="9"/>
      <c r="D49" s="9"/>
      <c r="E49" s="43">
        <f>IFERROR(VLOOKUP(Subcontractor_Management_Costs[[#This Row],[Rate Type]],Settings_Hidden!$B$102:$D$111,2,FALSE),0)</f>
        <v>0</v>
      </c>
      <c r="F49" s="43">
        <f>IFERROR(VLOOKUP(Subcontractor_Management_Costs[[#This Row],[Rate Type]],Settings_Hidden!$B$88:$C$97,2,FALSE),0)</f>
        <v>0</v>
      </c>
      <c r="G49" s="43">
        <f>Subcontractor_Management_Costs[[#This Row],[Cost Rate]]*Subcontractor_Management_Costs[[#This Row],[Effort (Hours)]]</f>
        <v>0</v>
      </c>
      <c r="H49" s="44">
        <f>IFERROR(Subcontractor_Management_Costs[[#This Row],[Effort (Hours)]]*Subcontractor_Management_Costs[[#This Row],[Sell Rate]],"-")</f>
        <v>0</v>
      </c>
      <c r="I49" s="57"/>
      <c r="J49" s="57"/>
    </row>
    <row r="50" spans="1:10" ht="17.399999999999999" customHeight="1">
      <c r="A50" s="16" t="s">
        <v>31</v>
      </c>
      <c r="B50" s="16"/>
      <c r="C50" s="16">
        <f>SUBTOTAL(109,Subcontractor_Management_Costs[Effort (Hours)])</f>
        <v>0</v>
      </c>
      <c r="D50" s="16"/>
      <c r="E50" s="45"/>
      <c r="F50" s="45"/>
      <c r="G50" s="46">
        <f>SUBTOTAL(109,Subcontractor_Management_Costs[Cost Price])</f>
        <v>0</v>
      </c>
      <c r="H50" s="46">
        <f>SUBTOTAL(109,Subcontractor_Management_Costs[Sell Price])</f>
        <v>0</v>
      </c>
      <c r="I50" s="16"/>
      <c r="J50" s="16"/>
    </row>
    <row r="51" spans="1:10" ht="17.399999999999999" customHeight="1">
      <c r="A51" s="33"/>
      <c r="B51" s="33"/>
      <c r="C51" s="33"/>
      <c r="D51" s="33"/>
      <c r="E51" s="33"/>
      <c r="F51" s="34"/>
    </row>
    <row r="52" spans="1:10" ht="22.8">
      <c r="A52" s="20" t="s">
        <v>287</v>
      </c>
    </row>
    <row r="53" spans="1:10" ht="22.8">
      <c r="A53" s="20"/>
      <c r="C53" s="24" t="s">
        <v>99</v>
      </c>
    </row>
    <row r="54" spans="1:10" ht="17.399999999999999" customHeight="1">
      <c r="A54" s="4" t="s">
        <v>24</v>
      </c>
      <c r="B54" s="11">
        <f>IF(OR(Management!B18=0,Management!B19=0),0,Settings_Hidden!$C$191)</f>
        <v>0</v>
      </c>
    </row>
    <row r="55" spans="1:10" ht="17.399999999999999" customHeight="1">
      <c r="A55" s="4" t="s">
        <v>104</v>
      </c>
      <c r="B55" s="12">
        <f>SUM(Summary!C11:D15)</f>
        <v>0</v>
      </c>
    </row>
    <row r="56" spans="1:10" ht="17.399999999999999" customHeight="1">
      <c r="A56" s="4" t="s">
        <v>106</v>
      </c>
      <c r="B56" s="26" t="str">
        <f>B10</f>
        <v>-</v>
      </c>
    </row>
    <row r="57" spans="1:10" ht="17.399999999999999" customHeight="1">
      <c r="A57" s="4" t="s">
        <v>28</v>
      </c>
      <c r="B57" s="27">
        <f>SUM(Input_Tasks[Finished Document Outputs])</f>
        <v>0</v>
      </c>
    </row>
    <row r="58" spans="1:10" ht="17.399999999999999" customHeight="1">
      <c r="A58" s="4" t="s">
        <v>170</v>
      </c>
      <c r="B58" s="12">
        <f>SUMIFS(Input_Tasks[Hours],Input_Tasks[Finished Document Outputs],"&gt;"&amp;0)</f>
        <v>0</v>
      </c>
    </row>
    <row r="59" spans="1:10" ht="17.399999999999999" customHeight="1">
      <c r="A59" s="4" t="s">
        <v>533</v>
      </c>
      <c r="B59" s="445">
        <f>'Project Technical Tasks'!B22</f>
        <v>0</v>
      </c>
    </row>
    <row r="60" spans="1:10" ht="17.399999999999999" customHeight="1">
      <c r="A60" s="4" t="s">
        <v>534</v>
      </c>
      <c r="B60" s="446">
        <f>IF(B59="Yes",0,1)</f>
        <v>1</v>
      </c>
    </row>
    <row r="61" spans="1:10" ht="17.399999999999999" customHeight="1">
      <c r="A61" s="4"/>
      <c r="B61" s="28"/>
    </row>
    <row r="62" spans="1:10" ht="17.399999999999999" customHeight="1">
      <c r="A62" s="4" t="s">
        <v>55</v>
      </c>
      <c r="B62" s="37" t="str">
        <f>Management!B11</f>
        <v>None</v>
      </c>
      <c r="C62" s="25" t="str">
        <f>VLOOKUP(B9,Settings_Hidden!$B$151:$C$155,2,TRUE)</f>
        <v>None</v>
      </c>
    </row>
    <row r="63" spans="1:10" ht="17.399999999999999" customHeight="1">
      <c r="A63" s="243" t="s">
        <v>752</v>
      </c>
      <c r="B63" s="37" t="str">
        <f>Management!B12</f>
        <v>Weekly</v>
      </c>
      <c r="C63" s="25" t="str">
        <f>INDEX(Settings_Hidden!$D$163:$D$169,MATCH(Settings_Management_Hidden!C64,Settings_Hidden!C163:C169,0),1)</f>
        <v>Weekly</v>
      </c>
    </row>
    <row r="64" spans="1:10" ht="17.399999999999999" customHeight="1">
      <c r="A64" s="4" t="s">
        <v>56</v>
      </c>
      <c r="B64" s="38">
        <f>INDEX(Settings_Hidden!C163:C169,MATCH(B63,Settings_Hidden!D163:D169,0),1)</f>
        <v>1</v>
      </c>
      <c r="C64" s="25">
        <f>IFERROR(VLOOKUP(B56,Settings_Hidden!$B$165:$C$169,2,TRUE),1)</f>
        <v>1</v>
      </c>
    </row>
    <row r="65" spans="1:19" ht="17.399999999999999" customHeight="1">
      <c r="A65" s="4" t="s">
        <v>737</v>
      </c>
      <c r="B65" s="37" t="str">
        <f>Management!B13</f>
        <v>Project Manager</v>
      </c>
      <c r="C65" s="3" t="str">
        <f>VLOOKUP(B55,Settings_Hidden!$B$151:$E$155,4,TRUE)</f>
        <v>Project Manager</v>
      </c>
    </row>
    <row r="71" spans="1:19" s="447" customFormat="1" ht="52.2">
      <c r="A71" s="30" t="s">
        <v>39</v>
      </c>
      <c r="B71" s="30" t="s">
        <v>40</v>
      </c>
      <c r="C71" s="30" t="s">
        <v>97</v>
      </c>
      <c r="D71" s="30" t="s">
        <v>290</v>
      </c>
      <c r="E71" s="30" t="s">
        <v>102</v>
      </c>
      <c r="F71" s="30" t="s">
        <v>41</v>
      </c>
      <c r="G71" s="30" t="s">
        <v>308</v>
      </c>
      <c r="H71" s="30" t="s">
        <v>309</v>
      </c>
      <c r="I71" s="30" t="s">
        <v>310</v>
      </c>
      <c r="J71" s="30" t="s">
        <v>535</v>
      </c>
      <c r="K71" s="30" t="s">
        <v>112</v>
      </c>
      <c r="L71" s="30" t="s">
        <v>25</v>
      </c>
      <c r="M71" s="308" t="s">
        <v>167</v>
      </c>
      <c r="N71" s="308" t="s">
        <v>166</v>
      </c>
      <c r="O71" s="308" t="s">
        <v>164</v>
      </c>
      <c r="P71" s="442" t="s">
        <v>13</v>
      </c>
      <c r="Q71" s="30" t="s">
        <v>205</v>
      </c>
      <c r="R71" s="30" t="s">
        <v>289</v>
      </c>
      <c r="S71" s="30" t="s">
        <v>851</v>
      </c>
    </row>
    <row r="72" spans="1:19">
      <c r="A72" s="19" t="s">
        <v>118</v>
      </c>
      <c r="B72" s="516" t="s">
        <v>377</v>
      </c>
      <c r="C72" s="9" t="str">
        <f t="shared" ref="C72:C91" si="2">$B$65</f>
        <v>Project Manager</v>
      </c>
      <c r="D72" s="19" t="s">
        <v>44</v>
      </c>
      <c r="E72" s="508">
        <v>0</v>
      </c>
      <c r="F72" s="150">
        <v>0</v>
      </c>
      <c r="G72" s="150">
        <v>0</v>
      </c>
      <c r="H72" s="150">
        <v>2</v>
      </c>
      <c r="I72" s="150">
        <v>4</v>
      </c>
      <c r="J72" s="148" t="s">
        <v>225</v>
      </c>
      <c r="K72"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1</v>
      </c>
      <c r="L72" s="148">
        <f>IFERROR(ROUND(HLOOKUP($B$62,PM_Levels[[#Headers],[#Data],[Multiplier Type]:[Large Project]],MATCH(PM_Levels[[#This Row],[Item]],PM_Levels[[#Headers],[#Data],[Item]],0),FALSE)*PM_Levels[[#This Row],[Multiplier]],1),0)</f>
        <v>0</v>
      </c>
      <c r="M72" s="48">
        <f>IFERROR(VLOOKUP(PM_Levels[[#This Row],[Rate Type]],Settings_Hidden!$B$102:$D$111,2,FALSE),0)</f>
        <v>147.55803124436895</v>
      </c>
      <c r="N72" s="48">
        <f>IFERROR(VLOOKUP(PM_Levels[[#This Row],[Rate Type]],Settings_Hidden!$B$88:$C$97,2,FALSE),0)</f>
        <v>225</v>
      </c>
      <c r="O72" s="48">
        <f>IFERROR(PM_Levels[[#This Row],[Cost Rate]]*PM_Levels[[#This Row],[Effort (Hours)]],0)</f>
        <v>0</v>
      </c>
      <c r="P72" s="49">
        <f>IFERROR(PM_Levels[[#This Row],[Effort (Hours)]]*PM_Levels[[#This Row],[Sell Rate]],0)</f>
        <v>0</v>
      </c>
      <c r="Q72" s="58">
        <v>1</v>
      </c>
      <c r="R72" s="146"/>
      <c r="S72" s="19"/>
    </row>
    <row r="73" spans="1:19">
      <c r="A73" s="19" t="s">
        <v>153</v>
      </c>
      <c r="B73" s="516" t="s">
        <v>479</v>
      </c>
      <c r="C73" s="9" t="str">
        <f t="shared" si="2"/>
        <v>Project Manager</v>
      </c>
      <c r="D73" s="19" t="s">
        <v>44</v>
      </c>
      <c r="E73" s="508">
        <v>0</v>
      </c>
      <c r="F73" s="150">
        <v>0.5</v>
      </c>
      <c r="G73" s="150">
        <v>2</v>
      </c>
      <c r="H73" s="150">
        <v>8</v>
      </c>
      <c r="I73" s="150">
        <v>16</v>
      </c>
      <c r="J73" s="148" t="s">
        <v>225</v>
      </c>
      <c r="K73"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1</v>
      </c>
      <c r="L73" s="148">
        <f>IFERROR(ROUND(HLOOKUP($B$62,PM_Levels[[#Headers],[#Data],[Multiplier Type]:[Large Project]],MATCH(PM_Levels[[#This Row],[Item]],PM_Levels[[#Headers],[#Data],[Item]],0),FALSE)*PM_Levels[[#This Row],[Multiplier]],1),0)</f>
        <v>0</v>
      </c>
      <c r="M73" s="48">
        <f>IFERROR(VLOOKUP(PM_Levels[[#This Row],[Rate Type]],Settings_Hidden!$B$102:$D$111,2,FALSE),0)</f>
        <v>147.55803124436895</v>
      </c>
      <c r="N73" s="48">
        <f>IFERROR(VLOOKUP(PM_Levels[[#This Row],[Rate Type]],Settings_Hidden!$B$88:$C$97,2,FALSE),0)</f>
        <v>225</v>
      </c>
      <c r="O73" s="48">
        <f>IFERROR(PM_Levels[[#This Row],[Cost Rate]]*PM_Levels[[#This Row],[Effort (Hours)]],0)</f>
        <v>0</v>
      </c>
      <c r="P73" s="49">
        <f>IFERROR(PM_Levels[[#This Row],[Effort (Hours)]]*PM_Levels[[#This Row],[Sell Rate]],0)</f>
        <v>0</v>
      </c>
      <c r="Q73" s="58">
        <v>2</v>
      </c>
      <c r="R73" s="146"/>
      <c r="S73" s="19" t="s">
        <v>294</v>
      </c>
    </row>
    <row r="74" spans="1:19">
      <c r="A74" s="19" t="s">
        <v>152</v>
      </c>
      <c r="B74" s="516" t="s">
        <v>378</v>
      </c>
      <c r="C74" s="9" t="str">
        <f t="shared" si="2"/>
        <v>Project Manager</v>
      </c>
      <c r="D74" s="19" t="s">
        <v>44</v>
      </c>
      <c r="E74" s="508">
        <v>0</v>
      </c>
      <c r="F74" s="150">
        <v>0</v>
      </c>
      <c r="G74" s="150">
        <v>1</v>
      </c>
      <c r="H74" s="150">
        <v>4</v>
      </c>
      <c r="I74" s="150">
        <v>8</v>
      </c>
      <c r="J74" s="148" t="s">
        <v>226</v>
      </c>
      <c r="K74"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1</v>
      </c>
      <c r="L74" s="148">
        <f>IFERROR(ROUND(HLOOKUP($B$62,PM_Levels[[#Headers],[#Data],[Multiplier Type]:[Large Project]],MATCH(PM_Levels[[#This Row],[Item]],PM_Levels[[#Headers],[#Data],[Item]],0),FALSE)*PM_Levels[[#This Row],[Multiplier]],1),0)</f>
        <v>0</v>
      </c>
      <c r="M74" s="48">
        <f>IFERROR(VLOOKUP(PM_Levels[[#This Row],[Rate Type]],Settings_Hidden!$B$102:$D$111,2,FALSE),0)</f>
        <v>147.55803124436895</v>
      </c>
      <c r="N74" s="48">
        <f>IFERROR(VLOOKUP(PM_Levels[[#This Row],[Rate Type]],Settings_Hidden!$B$88:$C$97,2,FALSE),0)</f>
        <v>225</v>
      </c>
      <c r="O74" s="48">
        <f>IFERROR(PM_Levels[[#This Row],[Cost Rate]]*PM_Levels[[#This Row],[Effort (Hours)]],0)</f>
        <v>0</v>
      </c>
      <c r="P74" s="49">
        <f>IFERROR(PM_Levels[[#This Row],[Effort (Hours)]]*PM_Levels[[#This Row],[Sell Rate]],0)</f>
        <v>0</v>
      </c>
      <c r="Q74" s="58">
        <v>3</v>
      </c>
      <c r="R74" s="146"/>
      <c r="S74" s="19" t="s">
        <v>810</v>
      </c>
    </row>
    <row r="75" spans="1:19">
      <c r="A75" s="19" t="s">
        <v>114</v>
      </c>
      <c r="B75" s="516" t="s">
        <v>379</v>
      </c>
      <c r="C75" s="9" t="str">
        <f t="shared" si="2"/>
        <v>Project Manager</v>
      </c>
      <c r="D75" s="19" t="s">
        <v>44</v>
      </c>
      <c r="E75" s="508">
        <v>0</v>
      </c>
      <c r="F75" s="150">
        <v>0</v>
      </c>
      <c r="G75" s="150">
        <v>1</v>
      </c>
      <c r="H75" s="150">
        <v>2</v>
      </c>
      <c r="I75" s="150">
        <v>3</v>
      </c>
      <c r="J75" s="148" t="s">
        <v>225</v>
      </c>
      <c r="K75"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1</v>
      </c>
      <c r="L75" s="148">
        <f>IFERROR(ROUND(HLOOKUP($B$62,PM_Levels[[#Headers],[#Data],[Multiplier Type]:[Large Project]],MATCH(PM_Levels[[#This Row],[Item]],PM_Levels[[#Headers],[#Data],[Item]],0),FALSE)*PM_Levels[[#This Row],[Multiplier]],1),0)</f>
        <v>0</v>
      </c>
      <c r="M75" s="48">
        <f>IFERROR(VLOOKUP(PM_Levels[[#This Row],[Rate Type]],Settings_Hidden!$B$102:$D$111,2,FALSE),0)</f>
        <v>147.55803124436895</v>
      </c>
      <c r="N75" s="48">
        <f>IFERROR(VLOOKUP(PM_Levels[[#This Row],[Rate Type]],Settings_Hidden!$B$88:$C$97,2,FALSE),0)</f>
        <v>225</v>
      </c>
      <c r="O75" s="48">
        <f>IFERROR(PM_Levels[[#This Row],[Cost Rate]]*PM_Levels[[#This Row],[Effort (Hours)]],0)</f>
        <v>0</v>
      </c>
      <c r="P75" s="49">
        <f>IFERROR(PM_Levels[[#This Row],[Effort (Hours)]]*PM_Levels[[#This Row],[Sell Rate]],0)</f>
        <v>0</v>
      </c>
      <c r="Q75" s="58">
        <v>4</v>
      </c>
      <c r="R75" s="146"/>
      <c r="S75" s="19" t="s">
        <v>852</v>
      </c>
    </row>
    <row r="76" spans="1:19">
      <c r="A76" s="19" t="s">
        <v>49</v>
      </c>
      <c r="B76" s="516" t="s">
        <v>380</v>
      </c>
      <c r="C76" s="9" t="str">
        <f t="shared" si="2"/>
        <v>Project Manager</v>
      </c>
      <c r="D76" s="19" t="s">
        <v>44</v>
      </c>
      <c r="E76" s="508">
        <v>0</v>
      </c>
      <c r="F76" s="150">
        <v>0</v>
      </c>
      <c r="G76" s="150">
        <v>0.5</v>
      </c>
      <c r="H76" s="150">
        <v>1</v>
      </c>
      <c r="I76" s="150">
        <v>2</v>
      </c>
      <c r="J76" s="148" t="s">
        <v>226</v>
      </c>
      <c r="K76"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1</v>
      </c>
      <c r="L76" s="148">
        <f>IFERROR(ROUND(HLOOKUP($B$62,PM_Levels[[#Headers],[#Data],[Multiplier Type]:[Large Project]],MATCH(PM_Levels[[#This Row],[Item]],PM_Levels[[#Headers],[#Data],[Item]],0),FALSE)*PM_Levels[[#This Row],[Multiplier]],1),0)</f>
        <v>0</v>
      </c>
      <c r="M76" s="48">
        <f>IFERROR(VLOOKUP(PM_Levels[[#This Row],[Rate Type]],Settings_Hidden!$B$102:$D$111,2,FALSE),0)</f>
        <v>147.55803124436895</v>
      </c>
      <c r="N76" s="48">
        <f>IFERROR(VLOOKUP(PM_Levels[[#This Row],[Rate Type]],Settings_Hidden!$B$88:$C$97,2,FALSE),0)</f>
        <v>225</v>
      </c>
      <c r="O76" s="48">
        <f>IFERROR(PM_Levels[[#This Row],[Cost Rate]]*PM_Levels[[#This Row],[Effort (Hours)]],0)</f>
        <v>0</v>
      </c>
      <c r="P76" s="49">
        <f>IFERROR(PM_Levels[[#This Row],[Effort (Hours)]]*PM_Levels[[#This Row],[Sell Rate]],0)</f>
        <v>0</v>
      </c>
      <c r="Q76" s="58">
        <v>5</v>
      </c>
      <c r="R76" s="146"/>
      <c r="S76" s="19"/>
    </row>
    <row r="77" spans="1:19">
      <c r="A77" s="19" t="s">
        <v>45</v>
      </c>
      <c r="B77" s="516" t="s">
        <v>480</v>
      </c>
      <c r="C77" s="9" t="str">
        <f t="shared" si="2"/>
        <v>Project Manager</v>
      </c>
      <c r="D77" s="19" t="str">
        <f t="shared" ref="D77:D85" si="3">"Per "&amp;$B$64&amp;" Weeks"</f>
        <v>Per 1 Weeks</v>
      </c>
      <c r="E77" s="508">
        <v>0</v>
      </c>
      <c r="F77" s="150">
        <v>0.25</v>
      </c>
      <c r="G77" s="150">
        <v>0.25</v>
      </c>
      <c r="H77" s="150">
        <v>0.5</v>
      </c>
      <c r="I77" s="150">
        <v>1</v>
      </c>
      <c r="J77" s="148" t="s">
        <v>226</v>
      </c>
      <c r="K77"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77" s="148">
        <f>IFERROR(ROUND(HLOOKUP($B$62,PM_Levels[[#Headers],[#Data],[Multiplier Type]:[Large Project]],MATCH(PM_Levels[[#This Row],[Item]],PM_Levels[[#Headers],[#Data],[Item]],0),FALSE)*PM_Levels[[#This Row],[Multiplier]],1),0)</f>
        <v>0</v>
      </c>
      <c r="M77" s="48">
        <f>IFERROR(VLOOKUP(PM_Levels[[#This Row],[Rate Type]],Settings_Hidden!$B$102:$D$111,2,FALSE),0)</f>
        <v>147.55803124436895</v>
      </c>
      <c r="N77" s="48">
        <f>IFERROR(VLOOKUP(PM_Levels[[#This Row],[Rate Type]],Settings_Hidden!$B$88:$C$97,2,FALSE),0)</f>
        <v>225</v>
      </c>
      <c r="O77" s="48">
        <f>IFERROR(PM_Levels[[#This Row],[Cost Rate]]*PM_Levels[[#This Row],[Effort (Hours)]],0)</f>
        <v>0</v>
      </c>
      <c r="P77" s="49">
        <f>IFERROR(PM_Levels[[#This Row],[Effort (Hours)]]*PM_Levels[[#This Row],[Sell Rate]],0)</f>
        <v>0</v>
      </c>
      <c r="Q77" s="58">
        <v>10</v>
      </c>
      <c r="R77" s="146"/>
      <c r="S77" s="19"/>
    </row>
    <row r="78" spans="1:19">
      <c r="A78" s="40" t="s">
        <v>171</v>
      </c>
      <c r="B78" s="516" t="s">
        <v>481</v>
      </c>
      <c r="C78" s="9" t="str">
        <f t="shared" si="2"/>
        <v>Project Manager</v>
      </c>
      <c r="D78" s="19" t="str">
        <f t="shared" si="3"/>
        <v>Per 1 Weeks</v>
      </c>
      <c r="E78" s="508">
        <v>0</v>
      </c>
      <c r="F78" s="150">
        <v>3</v>
      </c>
      <c r="G78" s="150">
        <v>4.5</v>
      </c>
      <c r="H78" s="150">
        <v>4.75</v>
      </c>
      <c r="I78" s="150">
        <v>6.5</v>
      </c>
      <c r="J78" s="148" t="s">
        <v>226</v>
      </c>
      <c r="K78"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78" s="148">
        <f>IFERROR(ROUND(HLOOKUP($B$62,PM_Levels[[#Headers],[#Data],[Multiplier Type]:[Large Project]],MATCH(PM_Levels[[#This Row],[Item]],PM_Levels[[#Headers],[#Data],[Item]],0),FALSE)*PM_Levels[[#This Row],[Multiplier]],1),0)</f>
        <v>0</v>
      </c>
      <c r="M78" s="48">
        <f>IFERROR(VLOOKUP(PM_Levels[[#This Row],[Rate Type]],Settings_Hidden!$B$102:$D$111,2,FALSE),0)</f>
        <v>147.55803124436895</v>
      </c>
      <c r="N78" s="48">
        <f>IFERROR(VLOOKUP(PM_Levels[[#This Row],[Rate Type]],Settings_Hidden!$B$88:$C$97,2,FALSE),0)</f>
        <v>225</v>
      </c>
      <c r="O78" s="48">
        <f>IFERROR(PM_Levels[[#This Row],[Cost Rate]]*PM_Levels[[#This Row],[Effort (Hours)]],0)</f>
        <v>0</v>
      </c>
      <c r="P78" s="49">
        <f>IFERROR(PM_Levels[[#This Row],[Effort (Hours)]]*PM_Levels[[#This Row],[Sell Rate]],0)</f>
        <v>0</v>
      </c>
      <c r="Q78" s="58">
        <v>11</v>
      </c>
      <c r="R78" s="146"/>
      <c r="S78" s="19" t="s">
        <v>853</v>
      </c>
    </row>
    <row r="79" spans="1:19" ht="18">
      <c r="A79" s="19" t="s">
        <v>117</v>
      </c>
      <c r="B79" s="517" t="s">
        <v>482</v>
      </c>
      <c r="C79" s="9" t="str">
        <f t="shared" si="2"/>
        <v>Project Manager</v>
      </c>
      <c r="D79" s="19" t="str">
        <f t="shared" si="3"/>
        <v>Per 1 Weeks</v>
      </c>
      <c r="E79" s="508">
        <v>0</v>
      </c>
      <c r="F79" s="150">
        <v>0</v>
      </c>
      <c r="G79" s="150">
        <v>1</v>
      </c>
      <c r="H79" s="150">
        <v>1.5</v>
      </c>
      <c r="I79" s="150">
        <v>3</v>
      </c>
      <c r="J79" s="148" t="s">
        <v>225</v>
      </c>
      <c r="K79"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79" s="148">
        <f>IFERROR(ROUND(HLOOKUP($B$62,PM_Levels[[#Headers],[#Data],[Multiplier Type]:[Large Project]],MATCH(PM_Levels[[#This Row],[Item]],PM_Levels[[#Headers],[#Data],[Item]],0),FALSE)*PM_Levels[[#This Row],[Multiplier]],1),0)</f>
        <v>0</v>
      </c>
      <c r="M79" s="48">
        <f>IFERROR(VLOOKUP(PM_Levels[[#This Row],[Rate Type]],Settings_Hidden!$B$102:$D$111,2,FALSE),0)</f>
        <v>147.55803124436895</v>
      </c>
      <c r="N79" s="48">
        <f>IFERROR(VLOOKUP(PM_Levels[[#This Row],[Rate Type]],Settings_Hidden!$B$88:$C$97,2,FALSE),0)</f>
        <v>225</v>
      </c>
      <c r="O79" s="48">
        <f>IFERROR(PM_Levels[[#This Row],[Cost Rate]]*PM_Levels[[#This Row],[Effort (Hours)]],0)</f>
        <v>0</v>
      </c>
      <c r="P79" s="49">
        <f>IFERROR(PM_Levels[[#This Row],[Effort (Hours)]]*PM_Levels[[#This Row],[Sell Rate]],0)</f>
        <v>0</v>
      </c>
      <c r="Q79" s="58">
        <v>12</v>
      </c>
      <c r="R79" s="146"/>
      <c r="S79" s="19" t="s">
        <v>854</v>
      </c>
    </row>
    <row r="80" spans="1:19" ht="18">
      <c r="A80" s="19" t="s">
        <v>60</v>
      </c>
      <c r="B80" s="517" t="s">
        <v>483</v>
      </c>
      <c r="C80" s="9" t="str">
        <f t="shared" si="2"/>
        <v>Project Manager</v>
      </c>
      <c r="D80" s="19" t="str">
        <f t="shared" si="3"/>
        <v>Per 1 Weeks</v>
      </c>
      <c r="E80" s="508">
        <v>0</v>
      </c>
      <c r="F80" s="150">
        <v>0</v>
      </c>
      <c r="G80" s="150">
        <v>0</v>
      </c>
      <c r="H80" s="150">
        <v>0.5</v>
      </c>
      <c r="I80" s="150">
        <v>1</v>
      </c>
      <c r="J80" s="148" t="s">
        <v>225</v>
      </c>
      <c r="K80"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80" s="148">
        <f>IFERROR(ROUND(HLOOKUP($B$62,PM_Levels[[#Headers],[#Data],[Multiplier Type]:[Large Project]],MATCH(PM_Levels[[#This Row],[Item]],PM_Levels[[#Headers],[#Data],[Item]],0),FALSE)*PM_Levels[[#This Row],[Multiplier]],1),0)</f>
        <v>0</v>
      </c>
      <c r="M80" s="48">
        <f>IFERROR(VLOOKUP(PM_Levels[[#This Row],[Rate Type]],Settings_Hidden!$B$102:$D$111,2,FALSE),0)</f>
        <v>147.55803124436895</v>
      </c>
      <c r="N80" s="48">
        <f>IFERROR(VLOOKUP(PM_Levels[[#This Row],[Rate Type]],Settings_Hidden!$B$88:$C$97,2,FALSE),0)</f>
        <v>225</v>
      </c>
      <c r="O80" s="48">
        <f>IFERROR(PM_Levels[[#This Row],[Cost Rate]]*PM_Levels[[#This Row],[Effort (Hours)]],0)</f>
        <v>0</v>
      </c>
      <c r="P80" s="49">
        <f>IFERROR(PM_Levels[[#This Row],[Effort (Hours)]]*PM_Levels[[#This Row],[Sell Rate]],0)</f>
        <v>0</v>
      </c>
      <c r="Q80" s="58">
        <v>13</v>
      </c>
      <c r="R80" s="146"/>
      <c r="S80" s="19" t="s">
        <v>855</v>
      </c>
    </row>
    <row r="81" spans="1:19" ht="18">
      <c r="A81" s="19" t="s">
        <v>61</v>
      </c>
      <c r="B81" s="517" t="s">
        <v>484</v>
      </c>
      <c r="C81" s="9" t="str">
        <f t="shared" si="2"/>
        <v>Project Manager</v>
      </c>
      <c r="D81" s="19" t="str">
        <f t="shared" si="3"/>
        <v>Per 1 Weeks</v>
      </c>
      <c r="E81" s="508">
        <v>0</v>
      </c>
      <c r="F81" s="150">
        <v>0</v>
      </c>
      <c r="G81" s="150">
        <v>0</v>
      </c>
      <c r="H81" s="150">
        <v>0.5</v>
      </c>
      <c r="I81" s="150">
        <v>1</v>
      </c>
      <c r="J81" s="148" t="s">
        <v>225</v>
      </c>
      <c r="K81"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81" s="148">
        <f>IFERROR(ROUND(HLOOKUP($B$62,PM_Levels[[#Headers],[#Data],[Multiplier Type]:[Large Project]],MATCH(PM_Levels[[#This Row],[Item]],PM_Levels[[#Headers],[#Data],[Item]],0),FALSE)*PM_Levels[[#This Row],[Multiplier]],1),0)</f>
        <v>0</v>
      </c>
      <c r="M81" s="48">
        <f>IFERROR(VLOOKUP(PM_Levels[[#This Row],[Rate Type]],Settings_Hidden!$B$102:$D$111,2,FALSE),0)</f>
        <v>147.55803124436895</v>
      </c>
      <c r="N81" s="48">
        <f>IFERROR(VLOOKUP(PM_Levels[[#This Row],[Rate Type]],Settings_Hidden!$B$88:$C$97,2,FALSE),0)</f>
        <v>225</v>
      </c>
      <c r="O81" s="48">
        <f>IFERROR(PM_Levels[[#This Row],[Cost Rate]]*PM_Levels[[#This Row],[Effort (Hours)]],0)</f>
        <v>0</v>
      </c>
      <c r="P81" s="49">
        <f>IFERROR(PM_Levels[[#This Row],[Effort (Hours)]]*PM_Levels[[#This Row],[Sell Rate]],0)</f>
        <v>0</v>
      </c>
      <c r="Q81" s="58">
        <v>14</v>
      </c>
      <c r="R81" s="146"/>
      <c r="S81" s="19" t="s">
        <v>856</v>
      </c>
    </row>
    <row r="82" spans="1:19">
      <c r="A82" s="19" t="s">
        <v>50</v>
      </c>
      <c r="B82" s="516" t="s">
        <v>485</v>
      </c>
      <c r="C82" s="9" t="str">
        <f t="shared" si="2"/>
        <v>Project Manager</v>
      </c>
      <c r="D82" s="19" t="str">
        <f t="shared" si="3"/>
        <v>Per 1 Weeks</v>
      </c>
      <c r="E82" s="508">
        <v>0</v>
      </c>
      <c r="F82" s="150">
        <v>0</v>
      </c>
      <c r="G82" s="150">
        <v>0.25</v>
      </c>
      <c r="H82" s="150">
        <v>0.5</v>
      </c>
      <c r="I82" s="150">
        <v>0.75</v>
      </c>
      <c r="J82" s="148" t="s">
        <v>226</v>
      </c>
      <c r="K82"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82" s="148">
        <f>IFERROR(ROUND(HLOOKUP($B$62,PM_Levels[[#Headers],[#Data],[Multiplier Type]:[Large Project]],MATCH(PM_Levels[[#This Row],[Item]],PM_Levels[[#Headers],[#Data],[Item]],0),FALSE)*PM_Levels[[#This Row],[Multiplier]],1),0)</f>
        <v>0</v>
      </c>
      <c r="M82" s="48">
        <f>IFERROR(VLOOKUP(PM_Levels[[#This Row],[Rate Type]],Settings_Hidden!$B$102:$D$111,2,FALSE),0)</f>
        <v>147.55803124436895</v>
      </c>
      <c r="N82" s="48">
        <f>IFERROR(VLOOKUP(PM_Levels[[#This Row],[Rate Type]],Settings_Hidden!$B$88:$C$97,2,FALSE),0)</f>
        <v>225</v>
      </c>
      <c r="O82" s="48">
        <f>IFERROR(PM_Levels[[#This Row],[Cost Rate]]*PM_Levels[[#This Row],[Effort (Hours)]],0)</f>
        <v>0</v>
      </c>
      <c r="P82" s="49">
        <f>IFERROR(PM_Levels[[#This Row],[Effort (Hours)]]*PM_Levels[[#This Row],[Sell Rate]],0)</f>
        <v>0</v>
      </c>
      <c r="Q82" s="58">
        <v>15</v>
      </c>
      <c r="R82" s="146"/>
      <c r="S82" s="19"/>
    </row>
    <row r="83" spans="1:19">
      <c r="A83" s="19" t="s">
        <v>46</v>
      </c>
      <c r="B83" s="516" t="s">
        <v>381</v>
      </c>
      <c r="C83" s="9" t="str">
        <f t="shared" si="2"/>
        <v>Project Manager</v>
      </c>
      <c r="D83" s="19" t="str">
        <f t="shared" si="3"/>
        <v>Per 1 Weeks</v>
      </c>
      <c r="E83" s="508">
        <v>0</v>
      </c>
      <c r="F83" s="150">
        <v>0</v>
      </c>
      <c r="G83" s="150">
        <v>0.25</v>
      </c>
      <c r="H83" s="150">
        <v>0.5</v>
      </c>
      <c r="I83" s="150">
        <v>1</v>
      </c>
      <c r="J83" s="148" t="s">
        <v>225</v>
      </c>
      <c r="K83"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83" s="148">
        <f>IFERROR(ROUND(HLOOKUP($B$62,PM_Levels[[#Headers],[#Data],[Multiplier Type]:[Large Project]],MATCH(PM_Levels[[#This Row],[Item]],PM_Levels[[#Headers],[#Data],[Item]],0),FALSE)*PM_Levels[[#This Row],[Multiplier]],1),0)</f>
        <v>0</v>
      </c>
      <c r="M83" s="48">
        <f>IFERROR(VLOOKUP(PM_Levels[[#This Row],[Rate Type]],Settings_Hidden!$B$102:$D$111,2,FALSE),0)</f>
        <v>147.55803124436895</v>
      </c>
      <c r="N83" s="48">
        <f>IFERROR(VLOOKUP(PM_Levels[[#This Row],[Rate Type]],Settings_Hidden!$B$88:$C$97,2,FALSE),0)</f>
        <v>225</v>
      </c>
      <c r="O83" s="48">
        <f>IFERROR(PM_Levels[[#This Row],[Cost Rate]]*PM_Levels[[#This Row],[Effort (Hours)]],0)</f>
        <v>0</v>
      </c>
      <c r="P83" s="49">
        <f>IFERROR(PM_Levels[[#This Row],[Effort (Hours)]]*PM_Levels[[#This Row],[Sell Rate]],0)</f>
        <v>0</v>
      </c>
      <c r="Q83" s="58">
        <v>20</v>
      </c>
      <c r="R83" s="146"/>
      <c r="S83" s="19"/>
    </row>
    <row r="84" spans="1:19">
      <c r="A84" s="19" t="s">
        <v>47</v>
      </c>
      <c r="B84" s="516" t="s">
        <v>382</v>
      </c>
      <c r="C84" s="9" t="str">
        <f t="shared" si="2"/>
        <v>Project Manager</v>
      </c>
      <c r="D84" s="19" t="str">
        <f t="shared" si="3"/>
        <v>Per 1 Weeks</v>
      </c>
      <c r="E84" s="508">
        <v>0</v>
      </c>
      <c r="F84" s="150">
        <v>0</v>
      </c>
      <c r="G84" s="150">
        <v>0.5</v>
      </c>
      <c r="H84" s="150">
        <v>0.5</v>
      </c>
      <c r="I84" s="150">
        <v>1</v>
      </c>
      <c r="J84" s="148" t="s">
        <v>225</v>
      </c>
      <c r="K84"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84" s="148">
        <f>IFERROR(ROUND(HLOOKUP($B$62,PM_Levels[[#Headers],[#Data],[Multiplier Type]:[Large Project]],MATCH(PM_Levels[[#This Row],[Item]],PM_Levels[[#Headers],[#Data],[Item]],0),FALSE)*PM_Levels[[#This Row],[Multiplier]],1),0)</f>
        <v>0</v>
      </c>
      <c r="M84" s="48">
        <f>IFERROR(VLOOKUP(PM_Levels[[#This Row],[Rate Type]],Settings_Hidden!$B$102:$D$111,2,FALSE),0)</f>
        <v>147.55803124436895</v>
      </c>
      <c r="N84" s="48">
        <f>IFERROR(VLOOKUP(PM_Levels[[#This Row],[Rate Type]],Settings_Hidden!$B$88:$C$97,2,FALSE),0)</f>
        <v>225</v>
      </c>
      <c r="O84" s="48">
        <f>IFERROR(PM_Levels[[#This Row],[Cost Rate]]*PM_Levels[[#This Row],[Effort (Hours)]],0)</f>
        <v>0</v>
      </c>
      <c r="P84" s="49">
        <f>IFERROR(PM_Levels[[#This Row],[Effort (Hours)]]*PM_Levels[[#This Row],[Sell Rate]],0)</f>
        <v>0</v>
      </c>
      <c r="Q84" s="58">
        <v>21</v>
      </c>
      <c r="R84" s="146"/>
      <c r="S84" s="19"/>
    </row>
    <row r="85" spans="1:19">
      <c r="A85" s="19" t="s">
        <v>48</v>
      </c>
      <c r="B85" s="516" t="s">
        <v>383</v>
      </c>
      <c r="C85" s="9" t="str">
        <f t="shared" si="2"/>
        <v>Project Manager</v>
      </c>
      <c r="D85" s="19" t="str">
        <f t="shared" si="3"/>
        <v>Per 1 Weeks</v>
      </c>
      <c r="E85" s="508">
        <v>0</v>
      </c>
      <c r="F85" s="150">
        <v>0</v>
      </c>
      <c r="G85" s="150">
        <v>0.25</v>
      </c>
      <c r="H85" s="150">
        <v>0.5</v>
      </c>
      <c r="I85" s="150">
        <v>1</v>
      </c>
      <c r="J85" s="148" t="s">
        <v>225</v>
      </c>
      <c r="K85"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85" s="148">
        <f>IFERROR(ROUND(HLOOKUP($B$62,PM_Levels[[#Headers],[#Data],[Multiplier Type]:[Large Project]],MATCH(PM_Levels[[#This Row],[Item]],PM_Levels[[#Headers],[#Data],[Item]],0),FALSE)*PM_Levels[[#This Row],[Multiplier]],1),0)</f>
        <v>0</v>
      </c>
      <c r="M85" s="48">
        <f>IFERROR(VLOOKUP(PM_Levels[[#This Row],[Rate Type]],Settings_Hidden!$B$102:$D$111,2,FALSE),0)</f>
        <v>147.55803124436895</v>
      </c>
      <c r="N85" s="48">
        <f>IFERROR(VLOOKUP(PM_Levels[[#This Row],[Rate Type]],Settings_Hidden!$B$88:$C$97,2,FALSE),0)</f>
        <v>225</v>
      </c>
      <c r="O85" s="48">
        <f>IFERROR(PM_Levels[[#This Row],[Cost Rate]]*PM_Levels[[#This Row],[Effort (Hours)]],0)</f>
        <v>0</v>
      </c>
      <c r="P85" s="49">
        <f>IFERROR(PM_Levels[[#This Row],[Effort (Hours)]]*PM_Levels[[#This Row],[Sell Rate]],0)</f>
        <v>0</v>
      </c>
      <c r="Q85" s="58">
        <v>22</v>
      </c>
      <c r="R85" s="146"/>
      <c r="S85" s="19" t="s">
        <v>868</v>
      </c>
    </row>
    <row r="86" spans="1:19">
      <c r="A86" s="19" t="s">
        <v>464</v>
      </c>
      <c r="B86" s="516" t="s">
        <v>476</v>
      </c>
      <c r="C86" s="9" t="str">
        <f t="shared" si="2"/>
        <v>Project Manager</v>
      </c>
      <c r="D86" s="19" t="str">
        <f>"Per "&amp;$B$64*2&amp;" Weeks"</f>
        <v>Per 2 Weeks</v>
      </c>
      <c r="E86" s="508">
        <v>0</v>
      </c>
      <c r="F86" s="150">
        <v>0</v>
      </c>
      <c r="G86" s="150">
        <v>0</v>
      </c>
      <c r="H86" s="150">
        <v>1.5</v>
      </c>
      <c r="I86" s="150">
        <v>3</v>
      </c>
      <c r="J86" s="148" t="s">
        <v>225</v>
      </c>
      <c r="K86"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86" s="148">
        <f>IFERROR(ROUND(HLOOKUP($B$62,PM_Levels[[#Headers],[#Data],[Multiplier Type]:[Large Project]],MATCH(PM_Levels[[#This Row],[Item]],PM_Levels[[#Headers],[#Data],[Item]],0),FALSE)*PM_Levels[[#This Row],[Multiplier]],1),0)</f>
        <v>0</v>
      </c>
      <c r="M86" s="48">
        <f>IFERROR(VLOOKUP(PM_Levels[[#This Row],[Rate Type]],Settings_Hidden!$B$102:$D$111,2,FALSE),0)</f>
        <v>147.55803124436895</v>
      </c>
      <c r="N86" s="48">
        <f>IFERROR(VLOOKUP(PM_Levels[[#This Row],[Rate Type]],Settings_Hidden!$B$88:$C$97,2,FALSE),0)</f>
        <v>225</v>
      </c>
      <c r="O86" s="48">
        <f>IFERROR(PM_Levels[[#This Row],[Cost Rate]]*PM_Levels[[#This Row],[Effort (Hours)]],0)</f>
        <v>0</v>
      </c>
      <c r="P86" s="49">
        <f>IFERROR(PM_Levels[[#This Row],[Effort (Hours)]]*PM_Levels[[#This Row],[Sell Rate]],0)</f>
        <v>0</v>
      </c>
      <c r="Q86" s="58">
        <v>30</v>
      </c>
      <c r="R86" s="146"/>
      <c r="S86" s="19" t="s">
        <v>869</v>
      </c>
    </row>
    <row r="87" spans="1:19">
      <c r="A87" s="57" t="s">
        <v>29</v>
      </c>
      <c r="B87" s="516" t="s">
        <v>477</v>
      </c>
      <c r="C87" s="9" t="str">
        <f t="shared" si="2"/>
        <v>Project Manager</v>
      </c>
      <c r="D87" s="19" t="s">
        <v>170</v>
      </c>
      <c r="E87" s="509">
        <v>0.15</v>
      </c>
      <c r="F87" s="150">
        <v>0.15</v>
      </c>
      <c r="G87" s="150">
        <v>0.15</v>
      </c>
      <c r="H87" s="150">
        <v>0.15</v>
      </c>
      <c r="I87" s="150">
        <v>0.15</v>
      </c>
      <c r="J87" s="148" t="s">
        <v>226</v>
      </c>
      <c r="K87"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87" s="148">
        <f>IFERROR(ROUND(HLOOKUP($B$62,PM_Levels[[#Headers],[#Data],[Multiplier Type]:[Large Project]],MATCH(PM_Levels[[#This Row],[Item]],PM_Levels[[#Headers],[#Data],[Item]],0),FALSE)*PM_Levels[[#This Row],[Multiplier]],1),0)</f>
        <v>0</v>
      </c>
      <c r="M87" s="48">
        <f>IFERROR(VLOOKUP(PM_Levels[[#This Row],[Rate Type]],Settings_Hidden!$B$102:$D$111,2,FALSE),0)</f>
        <v>147.55803124436895</v>
      </c>
      <c r="N87" s="48">
        <f>IFERROR(VLOOKUP(PM_Levels[[#This Row],[Rate Type]],Settings_Hidden!$B$88:$C$97,2,FALSE),0)</f>
        <v>225</v>
      </c>
      <c r="O87" s="48">
        <f>IFERROR(PM_Levels[[#This Row],[Cost Rate]]*PM_Levels[[#This Row],[Effort (Hours)]],0)</f>
        <v>0</v>
      </c>
      <c r="P87" s="49">
        <f>IFERROR(PM_Levels[[#This Row],[Effort (Hours)]]*PM_Levels[[#This Row],[Sell Rate]],0)</f>
        <v>0</v>
      </c>
      <c r="Q87" s="58">
        <v>50</v>
      </c>
      <c r="R87" s="146"/>
      <c r="S87" s="19"/>
    </row>
    <row r="88" spans="1:19">
      <c r="A88" s="57" t="s">
        <v>30</v>
      </c>
      <c r="B88" s="516" t="s">
        <v>384</v>
      </c>
      <c r="C88" s="9" t="str">
        <f t="shared" si="2"/>
        <v>Project Manager</v>
      </c>
      <c r="D88" s="19" t="s">
        <v>170</v>
      </c>
      <c r="E88" s="509">
        <v>0.15</v>
      </c>
      <c r="F88" s="150">
        <v>0.15</v>
      </c>
      <c r="G88" s="150">
        <v>0.15</v>
      </c>
      <c r="H88" s="150">
        <v>0.15</v>
      </c>
      <c r="I88" s="150">
        <v>0.15</v>
      </c>
      <c r="J88" s="148" t="s">
        <v>226</v>
      </c>
      <c r="K88"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0</v>
      </c>
      <c r="L88" s="148">
        <f>IFERROR(ROUND(HLOOKUP($B$62,PM_Levels[[#Headers],[#Data],[Multiplier Type]:[Large Project]],MATCH(PM_Levels[[#This Row],[Item]],PM_Levels[[#Headers],[#Data],[Item]],0),FALSE)*PM_Levels[[#This Row],[Multiplier]],1),0)</f>
        <v>0</v>
      </c>
      <c r="M88" s="48">
        <f>IFERROR(VLOOKUP(PM_Levels[[#This Row],[Rate Type]],Settings_Hidden!$B$102:$D$111,2,FALSE),0)</f>
        <v>147.55803124436895</v>
      </c>
      <c r="N88" s="48">
        <f>IFERROR(VLOOKUP(PM_Levels[[#This Row],[Rate Type]],Settings_Hidden!$B$88:$C$97,2,FALSE),0)</f>
        <v>225</v>
      </c>
      <c r="O88" s="48">
        <f>IFERROR(PM_Levels[[#This Row],[Cost Rate]]*PM_Levels[[#This Row],[Effort (Hours)]],0)</f>
        <v>0</v>
      </c>
      <c r="P88" s="49">
        <f>IFERROR(PM_Levels[[#This Row],[Effort (Hours)]]*PM_Levels[[#This Row],[Sell Rate]],0)</f>
        <v>0</v>
      </c>
      <c r="Q88" s="58">
        <v>51</v>
      </c>
      <c r="R88" s="146"/>
      <c r="S88" s="19"/>
    </row>
    <row r="89" spans="1:19">
      <c r="A89" s="10" t="s">
        <v>51</v>
      </c>
      <c r="B89" s="516" t="s">
        <v>385</v>
      </c>
      <c r="C89" s="9" t="str">
        <f t="shared" si="2"/>
        <v>Project Manager</v>
      </c>
      <c r="D89" s="19" t="s">
        <v>44</v>
      </c>
      <c r="E89" s="508">
        <v>0</v>
      </c>
      <c r="F89" s="150">
        <v>0</v>
      </c>
      <c r="G89" s="150">
        <v>0.5</v>
      </c>
      <c r="H89" s="150">
        <v>1</v>
      </c>
      <c r="I89" s="150">
        <v>3</v>
      </c>
      <c r="J89" s="148" t="s">
        <v>225</v>
      </c>
      <c r="K89"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1</v>
      </c>
      <c r="L89" s="148">
        <f>IFERROR(ROUND(HLOOKUP($B$62,PM_Levels[[#Headers],[#Data],[Multiplier Type]:[Large Project]],MATCH(PM_Levels[[#This Row],[Item]],PM_Levels[[#Headers],[#Data],[Item]],0),FALSE)*PM_Levels[[#This Row],[Multiplier]],1),0)</f>
        <v>0</v>
      </c>
      <c r="M89" s="48">
        <f>IFERROR(VLOOKUP(PM_Levels[[#This Row],[Rate Type]],Settings_Hidden!$B$102:$D$111,2,FALSE),0)</f>
        <v>147.55803124436895</v>
      </c>
      <c r="N89" s="48">
        <f>IFERROR(VLOOKUP(PM_Levels[[#This Row],[Rate Type]],Settings_Hidden!$B$88:$C$97,2,FALSE),0)</f>
        <v>225</v>
      </c>
      <c r="O89" s="48">
        <f>IFERROR(PM_Levels[[#This Row],[Cost Rate]]*PM_Levels[[#This Row],[Effort (Hours)]],0)</f>
        <v>0</v>
      </c>
      <c r="P89" s="49">
        <f>IFERROR(PM_Levels[[#This Row],[Effort (Hours)]]*PM_Levels[[#This Row],[Sell Rate]],0)</f>
        <v>0</v>
      </c>
      <c r="Q89" s="58">
        <v>90</v>
      </c>
      <c r="R89" s="146"/>
      <c r="S89" s="19"/>
    </row>
    <row r="90" spans="1:19">
      <c r="A90" s="10" t="s">
        <v>52</v>
      </c>
      <c r="B90" s="516" t="s">
        <v>386</v>
      </c>
      <c r="C90" s="9" t="str">
        <f t="shared" si="2"/>
        <v>Project Manager</v>
      </c>
      <c r="D90" s="19" t="s">
        <v>44</v>
      </c>
      <c r="E90" s="508">
        <v>0</v>
      </c>
      <c r="F90" s="150">
        <v>0</v>
      </c>
      <c r="G90" s="150">
        <v>0.5</v>
      </c>
      <c r="H90" s="150">
        <v>1</v>
      </c>
      <c r="I90" s="150">
        <v>3</v>
      </c>
      <c r="J90" s="148" t="s">
        <v>225</v>
      </c>
      <c r="K90"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1</v>
      </c>
      <c r="L90" s="148">
        <f>IFERROR(ROUND(HLOOKUP($B$62,PM_Levels[[#Headers],[#Data],[Multiplier Type]:[Large Project]],MATCH(PM_Levels[[#This Row],[Item]],PM_Levels[[#Headers],[#Data],[Item]],0),FALSE)*PM_Levels[[#This Row],[Multiplier]],1),0)</f>
        <v>0</v>
      </c>
      <c r="M90" s="48">
        <f>IFERROR(VLOOKUP(PM_Levels[[#This Row],[Rate Type]],Settings_Hidden!$B$102:$D$111,2,FALSE),0)</f>
        <v>147.55803124436895</v>
      </c>
      <c r="N90" s="48">
        <f>IFERROR(VLOOKUP(PM_Levels[[#This Row],[Rate Type]],Settings_Hidden!$B$88:$C$97,2,FALSE),0)</f>
        <v>225</v>
      </c>
      <c r="O90" s="48">
        <f>IFERROR(PM_Levels[[#This Row],[Cost Rate]]*PM_Levels[[#This Row],[Effort (Hours)]],0)</f>
        <v>0</v>
      </c>
      <c r="P90" s="49">
        <f>IFERROR(PM_Levels[[#This Row],[Effort (Hours)]]*PM_Levels[[#This Row],[Sell Rate]],0)</f>
        <v>0</v>
      </c>
      <c r="Q90" s="58">
        <v>91</v>
      </c>
      <c r="R90" s="146"/>
      <c r="S90" s="19"/>
    </row>
    <row r="91" spans="1:19">
      <c r="A91" s="10" t="s">
        <v>53</v>
      </c>
      <c r="B91" s="516" t="s">
        <v>387</v>
      </c>
      <c r="C91" s="9" t="str">
        <f t="shared" si="2"/>
        <v>Project Manager</v>
      </c>
      <c r="D91" s="19" t="s">
        <v>44</v>
      </c>
      <c r="E91" s="508">
        <v>0</v>
      </c>
      <c r="F91" s="150">
        <v>0</v>
      </c>
      <c r="G91" s="150">
        <v>0.5</v>
      </c>
      <c r="H91" s="150">
        <v>2</v>
      </c>
      <c r="I91" s="150">
        <v>4</v>
      </c>
      <c r="J91" s="148" t="s">
        <v>225</v>
      </c>
      <c r="K91" s="148">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1</v>
      </c>
      <c r="L91" s="148">
        <f>IFERROR(ROUND(HLOOKUP($B$62,PM_Levels[[#Headers],[#Data],[Multiplier Type]:[Large Project]],MATCH(PM_Levels[[#This Row],[Item]],PM_Levels[[#Headers],[#Data],[Item]],0),FALSE)*PM_Levels[[#This Row],[Multiplier]],1),0)</f>
        <v>0</v>
      </c>
      <c r="M91" s="48">
        <f>IFERROR(VLOOKUP(PM_Levels[[#This Row],[Rate Type]],Settings_Hidden!$B$102:$D$111,2,FALSE),0)</f>
        <v>147.55803124436895</v>
      </c>
      <c r="N91" s="48">
        <f>IFERROR(VLOOKUP(PM_Levels[[#This Row],[Rate Type]],Settings_Hidden!$B$88:$C$97,2,FALSE),0)</f>
        <v>225</v>
      </c>
      <c r="O91" s="48">
        <f>IFERROR(PM_Levels[[#This Row],[Cost Rate]]*PM_Levels[[#This Row],[Effort (Hours)]],0)</f>
        <v>0</v>
      </c>
      <c r="P91" s="49">
        <f>IFERROR(PM_Levels[[#This Row],[Effort (Hours)]]*PM_Levels[[#This Row],[Sell Rate]],0)</f>
        <v>0</v>
      </c>
      <c r="Q91" s="58">
        <v>92</v>
      </c>
      <c r="R91" s="146"/>
      <c r="S91" s="19"/>
    </row>
    <row r="92" spans="1:19">
      <c r="A92" s="40"/>
      <c r="B92" s="30"/>
      <c r="C92" s="9"/>
      <c r="D92" s="19"/>
      <c r="E92" s="19"/>
      <c r="F92" s="58"/>
      <c r="G92" s="58"/>
      <c r="H92" s="58"/>
      <c r="I92" s="58"/>
      <c r="J92" s="58"/>
      <c r="K92" s="148" t="str">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
      </c>
      <c r="L92" s="148">
        <f>IFERROR(ROUND(HLOOKUP($B$62,PM_Levels[[#Headers],[#Data],[Multiplier Type]:[Large Project]],MATCH(PM_Levels[[#This Row],[Item]],PM_Levels[[#Headers],[#Data],[Item]],0),FALSE)*PM_Levels[[#This Row],[Multiplier]],1),0)</f>
        <v>0</v>
      </c>
      <c r="M92" s="48">
        <f>IFERROR(VLOOKUP(PM_Levels[[#This Row],[Rate Type]],Settings_Hidden!$B$102:$D$111,2,FALSE),0)</f>
        <v>0</v>
      </c>
      <c r="N92" s="48">
        <f>IFERROR(VLOOKUP(PM_Levels[[#This Row],[Rate Type]],Settings_Hidden!$B$88:$C$97,2,FALSE),0)</f>
        <v>0</v>
      </c>
      <c r="O92" s="48">
        <f>IFERROR(PM_Levels[[#This Row],[Cost Rate]]*PM_Levels[[#This Row],[Effort (Hours)]],0)</f>
        <v>0</v>
      </c>
      <c r="P92" s="49">
        <f>IFERROR(PM_Levels[[#This Row],[Effort (Hours)]]*PM_Levels[[#This Row],[Sell Rate]],0)</f>
        <v>0</v>
      </c>
      <c r="Q92" s="58"/>
      <c r="R92" s="146"/>
      <c r="S92" s="19"/>
    </row>
    <row r="93" spans="1:19">
      <c r="A93" s="40"/>
      <c r="B93" s="30"/>
      <c r="C93" s="9"/>
      <c r="D93" s="19"/>
      <c r="E93" s="19"/>
      <c r="F93" s="58"/>
      <c r="G93" s="58"/>
      <c r="H93" s="58"/>
      <c r="I93" s="58"/>
      <c r="J93" s="58"/>
      <c r="K93" s="148" t="str">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
      </c>
      <c r="L93" s="148">
        <f>IFERROR(ROUND(HLOOKUP($B$62,PM_Levels[[#Headers],[#Data],[Multiplier Type]:[Large Project]],MATCH(PM_Levels[[#This Row],[Item]],PM_Levels[[#Headers],[#Data],[Item]],0),FALSE)*PM_Levels[[#This Row],[Multiplier]],1),0)</f>
        <v>0</v>
      </c>
      <c r="M93" s="48">
        <f>IFERROR(VLOOKUP(PM_Levels[[#This Row],[Rate Type]],Settings_Hidden!$B$102:$D$111,2,FALSE),0)</f>
        <v>0</v>
      </c>
      <c r="N93" s="48">
        <f>IFERROR(VLOOKUP(PM_Levels[[#This Row],[Rate Type]],Settings_Hidden!$B$88:$C$97,2,FALSE),0)</f>
        <v>0</v>
      </c>
      <c r="O93" s="48">
        <f>IFERROR(PM_Levels[[#This Row],[Cost Rate]]*PM_Levels[[#This Row],[Effort (Hours)]],0)</f>
        <v>0</v>
      </c>
      <c r="P93" s="49">
        <f>IFERROR(PM_Levels[[#This Row],[Effort (Hours)]]*PM_Levels[[#This Row],[Sell Rate]],0)</f>
        <v>0</v>
      </c>
      <c r="Q93" s="58"/>
      <c r="R93" s="146"/>
      <c r="S93" s="19"/>
    </row>
    <row r="94" spans="1:19">
      <c r="A94" s="40"/>
      <c r="B94" s="30"/>
      <c r="C94" s="9"/>
      <c r="D94" s="19"/>
      <c r="E94" s="19"/>
      <c r="F94" s="58"/>
      <c r="G94" s="58"/>
      <c r="H94" s="58"/>
      <c r="I94" s="58"/>
      <c r="J94" s="58"/>
      <c r="K94" s="148" t="str">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
      </c>
      <c r="L94" s="148">
        <f>IFERROR(ROUND(HLOOKUP($B$62,PM_Levels[[#Headers],[#Data],[Multiplier Type]:[Large Project]],MATCH(PM_Levels[[#This Row],[Item]],PM_Levels[[#Headers],[#Data],[Item]],0),FALSE)*PM_Levels[[#This Row],[Multiplier]],1),0)</f>
        <v>0</v>
      </c>
      <c r="M94" s="48">
        <f>IFERROR(VLOOKUP(PM_Levels[[#This Row],[Rate Type]],Settings_Hidden!$B$102:$D$111,2,FALSE),0)</f>
        <v>0</v>
      </c>
      <c r="N94" s="48">
        <f>IFERROR(VLOOKUP(PM_Levels[[#This Row],[Rate Type]],Settings_Hidden!$B$88:$C$97,2,FALSE),0)</f>
        <v>0</v>
      </c>
      <c r="O94" s="48">
        <f>IFERROR(PM_Levels[[#This Row],[Cost Rate]]*PM_Levels[[#This Row],[Effort (Hours)]],0)</f>
        <v>0</v>
      </c>
      <c r="P94" s="49">
        <f>IFERROR(PM_Levels[[#This Row],[Effort (Hours)]]*PM_Levels[[#This Row],[Sell Rate]],0)</f>
        <v>0</v>
      </c>
      <c r="Q94" s="58"/>
      <c r="R94" s="146"/>
      <c r="S94" s="19"/>
    </row>
    <row r="95" spans="1:19" ht="18" thickBot="1">
      <c r="A95" s="51"/>
      <c r="B95" s="52"/>
      <c r="C95" s="53"/>
      <c r="D95" s="54"/>
      <c r="E95" s="19"/>
      <c r="F95" s="147"/>
      <c r="G95" s="147"/>
      <c r="H95" s="147"/>
      <c r="I95" s="147"/>
      <c r="J95" s="58"/>
      <c r="K95" s="148" t="str">
        <f>IFERROR(IFERROR(ROUND(
IF(PM_Levels[[#This Row],[Multiplier Type]]="Document Outputs",$B$57,
IF(PM_Levels[[#This Row],[Multiplier Type]]="Document Hours",$B$58,IF(LEFT(PM_Levels[[#This Row],[Multiplier Type]],3)="Per",(1/VALUE(SUBSTITUTE(RIGHT(PM_Levels[[#This Row],[Multiplier Type]],LEN(PM_Levels[[#This Row],[Multiplier Type]])-SEARCH(" ",PM_Levels[[#This Row],[Multiplier Type]]))," Weeks","")))*$B$54,IF(PM_Levels[[#This Row],[Multiplier Type]]="Once off",1,"")))),2),"")*IF(PM_Levels[[#This Row],[Variation Multiplier Applies]]="Yes",$B$60,1),"")</f>
        <v/>
      </c>
      <c r="L95" s="149">
        <f>IFERROR(ROUND(HLOOKUP($B$62,PM_Levels[[#Headers],[#Data],[Multiplier Type]:[Large Project]],MATCH(PM_Levels[[#This Row],[Item]],PM_Levels[[#Headers],[#Data],[Item]],0),FALSE)*PM_Levels[[#This Row],[Multiplier]],1),0)</f>
        <v>0</v>
      </c>
      <c r="M95" s="55">
        <f>IFERROR(VLOOKUP(PM_Levels[[#This Row],[Rate Type]],Settings_Hidden!$B$102:$D$111,2,FALSE),0)</f>
        <v>0</v>
      </c>
      <c r="N95" s="55">
        <f>IFERROR(VLOOKUP(PM_Levels[[#This Row],[Rate Type]],Settings_Hidden!$B$88:$C$97,2,FALSE),0)</f>
        <v>0</v>
      </c>
      <c r="O95" s="55">
        <f>IFERROR(PM_Levels[[#This Row],[Cost Rate]]*PM_Levels[[#This Row],[Effort (Hours)]],0)</f>
        <v>0</v>
      </c>
      <c r="P95" s="56">
        <f>IFERROR(PM_Levels[[#This Row],[Effort (Hours)]]*PM_Levels[[#This Row],[Sell Rate]],0)</f>
        <v>0</v>
      </c>
      <c r="Q95" s="58"/>
      <c r="R95" s="146"/>
      <c r="S95" s="19"/>
    </row>
    <row r="96" spans="1:19" ht="17.399999999999999" customHeight="1" thickTop="1">
      <c r="A96" s="19" t="s">
        <v>31</v>
      </c>
      <c r="B96" s="30"/>
      <c r="C96" s="30"/>
      <c r="D96" s="19"/>
      <c r="E96" s="19"/>
      <c r="F96" s="19"/>
      <c r="G96" s="19"/>
      <c r="H96" s="19"/>
      <c r="I96" s="19"/>
      <c r="J96" s="19"/>
      <c r="K96" s="47"/>
      <c r="L96" s="47">
        <f>SUBTOTAL(109,PM_Levels[Effort (Hours)])</f>
        <v>0</v>
      </c>
      <c r="M96" s="48"/>
      <c r="N96" s="48"/>
      <c r="O96" s="50">
        <f>SUBTOTAL(109,PM_Levels[Cost Price])</f>
        <v>0</v>
      </c>
      <c r="P96" s="50">
        <f>SUBTOTAL(109,PM_Levels[Sell Price])</f>
        <v>0</v>
      </c>
      <c r="Q96"/>
      <c r="R96"/>
      <c r="S96"/>
    </row>
    <row r="99" spans="1:5" ht="17.399999999999999" customHeight="1" thickBot="1"/>
    <row r="100" spans="1:5" ht="17.399999999999999" customHeight="1">
      <c r="A100" s="237" t="s">
        <v>356</v>
      </c>
      <c r="B100" s="237" t="s">
        <v>59</v>
      </c>
      <c r="C100" s="238" t="s">
        <v>115</v>
      </c>
      <c r="D100" s="238" t="s">
        <v>164</v>
      </c>
      <c r="E100" s="239" t="s">
        <v>13</v>
      </c>
    </row>
    <row r="101" spans="1:5" ht="17.399999999999999" customHeight="1">
      <c r="A101" s="154" t="s">
        <v>750</v>
      </c>
      <c r="B101" s="154" t="str">
        <f>"Time - "&amp;$B$65</f>
        <v>Time - Project Manager</v>
      </c>
      <c r="C101" s="155">
        <f>SUM(Management_Costs[[#Totals],[Effort (Hours)]])</f>
        <v>1.5</v>
      </c>
      <c r="D101" s="156">
        <f>SUMIFS(Management_Costs[Cost Price],Management_Costs[Rate Type],SUBSTITUTE(B101,"Time - ",""))</f>
        <v>221.33704686655341</v>
      </c>
      <c r="E101" s="157">
        <f>SUMIFS(Management_Costs[Sell Price],Management_Costs[Rate Type],SUBSTITUTE(B101,"Time - ",""))</f>
        <v>337.5</v>
      </c>
    </row>
    <row r="102" spans="1:5" ht="17.399999999999999" customHeight="1">
      <c r="A102" s="154" t="s">
        <v>135</v>
      </c>
      <c r="B102" s="154" t="str">
        <f>"Time - "&amp;$B$65</f>
        <v>Time - Project Manager</v>
      </c>
      <c r="C102" s="155">
        <f>SUM(Subcontractor_Management_Costs[[#Totals],[Effort (Hours)]])</f>
        <v>0</v>
      </c>
      <c r="D102" s="156">
        <f>SUM(Subcontractor_Management_Costs[[#Totals],[Cost Price]])</f>
        <v>0</v>
      </c>
      <c r="E102" s="157">
        <f>SUM(Subcontractor_Management_Costs[[#Totals],[Sell Price]])</f>
        <v>0</v>
      </c>
    </row>
    <row r="103" spans="1:5" ht="17.399999999999999" customHeight="1">
      <c r="A103" s="154" t="s">
        <v>299</v>
      </c>
      <c r="B103" s="154" t="str">
        <f>"Time - "&amp;$B$65</f>
        <v>Time - Project Manager</v>
      </c>
      <c r="C103" s="155">
        <f>SUM(PM_Levels[[#Totals],[Effort (Hours)]])</f>
        <v>0</v>
      </c>
      <c r="D103" s="156">
        <f>SUM(PM_Levels[[#Totals],[Cost Price]])</f>
        <v>0</v>
      </c>
      <c r="E103" s="157">
        <f>SUM(PM_Levels[[#Totals],[Sell Price]])</f>
        <v>0</v>
      </c>
    </row>
    <row r="104" spans="1:5" ht="17.399999999999999" customHeight="1">
      <c r="A104" s="154" t="s">
        <v>355</v>
      </c>
      <c r="B104" s="154" t="str">
        <f>"Time - "&amp;$B$65</f>
        <v>Time - Project Manager</v>
      </c>
      <c r="C104" s="155">
        <f>Table7[[#Totals],[Adjustment]]</f>
        <v>0</v>
      </c>
      <c r="D104" s="156" cm="1">
        <f t="array" ref="D104">SUMPRODUCT(Table7[Adjustment],VLOOKUP(Table7[Rate],Settings_Hidden!$B$102:$C$111,2,FALSE))</f>
        <v>0</v>
      </c>
      <c r="E104" s="157" cm="1">
        <f t="array" ref="E104">SUMPRODUCT(Table7[Adjustment],VLOOKUP(Table7[Rate],Settings_Hidden!$B$88:$C$97,2,FALSE))</f>
        <v>0</v>
      </c>
    </row>
    <row r="105" spans="1:5" ht="17.399999999999999" customHeight="1" thickBot="1">
      <c r="A105" s="158" t="s">
        <v>357</v>
      </c>
      <c r="B105" s="158" t="str">
        <f>"Time - "&amp;$B$65</f>
        <v>Time - Project Manager</v>
      </c>
      <c r="C105" s="159">
        <f>Table710[[#Totals],[Hours Allocated]]</f>
        <v>0</v>
      </c>
      <c r="D105" s="160">
        <f>Table710[[#Totals],[Cost Price]]</f>
        <v>0</v>
      </c>
      <c r="E105" s="161">
        <f>Table710[[#Totals],[Sell price]]</f>
        <v>0</v>
      </c>
    </row>
    <row r="106" spans="1:5" ht="17.399999999999999" customHeight="1" thickBot="1">
      <c r="A106" s="249" t="s">
        <v>319</v>
      </c>
      <c r="B106" s="249"/>
      <c r="C106" s="265">
        <f>SUM(C101:C105)</f>
        <v>1.5</v>
      </c>
      <c r="D106" s="265">
        <f>SUM(D101:D105)</f>
        <v>221.33704686655341</v>
      </c>
      <c r="E106" s="265">
        <f>SUM(E101:E105)</f>
        <v>337.5</v>
      </c>
    </row>
    <row r="109" spans="1:5" ht="17.399999999999999" customHeight="1">
      <c r="A109" s="243" t="s">
        <v>870</v>
      </c>
      <c r="B109" s="298"/>
      <c r="C109" s="299"/>
      <c r="D109" s="300"/>
    </row>
    <row r="110" spans="1:5" ht="17.399999999999999" customHeight="1">
      <c r="A110" s="3" t="str">
        <f>"ArchiTech "&amp;Management!B13&amp;" led project"</f>
        <v>ArchiTech Project Manager led project</v>
      </c>
      <c r="D110" s="1"/>
    </row>
    <row r="111" spans="1:5" ht="17.399999999999999" customHeight="1">
      <c r="A111" s="3" t="str">
        <f>"Project Reporting Cycle: "&amp;Management!B12</f>
        <v>Project Reporting Cycle: Weekly</v>
      </c>
      <c r="D111" s="1"/>
    </row>
    <row r="112" spans="1:5" ht="17.399999999999999" customHeight="1">
      <c r="A112" s="3" t="s">
        <v>163</v>
      </c>
      <c r="D112" s="1"/>
    </row>
    <row r="113" spans="1:8" ht="17.399999999999999" customHeight="1">
      <c r="A113" s="3" t="s">
        <v>871</v>
      </c>
      <c r="D113" s="1"/>
    </row>
    <row r="114" spans="1:8" ht="17.399999999999999" customHeight="1">
      <c r="A114" s="3" t="str">
        <f>"A "&amp;Management!B23&amp;" week Project to be delivered over "&amp;Management!B21&amp;" calendar weeks, featuring "&amp;IFERROR(ROUNDDOWN(Management!B23/Settings_Management_Hidden!B64,0),"TBD")&amp;" project updates delivered on a "&amp;LOWER(Settings_Management_Hidden!B63)&amp;" cycle."</f>
        <v>A TBD week Project to be delivered over TBD calendar weeks, featuring TBD project updates delivered on a weekly cycle.</v>
      </c>
      <c r="D114" s="1"/>
    </row>
    <row r="115" spans="1:8" ht="17.399999999999999" customHeight="1">
      <c r="A115" s="3" t="str">
        <f>IF(Management!B15&gt;0,Management!B15&amp;" project meetings to run on-site at client offices; additional meetings remotely via video-conferencing","")</f>
        <v/>
      </c>
      <c r="D115" s="1"/>
    </row>
    <row r="116" spans="1:8" ht="17.399999999999999" customHeight="1">
      <c r="A116" s="3" t="str">
        <f>Settings_Hidden!C32&amp;"x engineer(s) &amp; 1x "&amp;Settings_Management_Hidden!B65&amp;" engaged to deliver services."</f>
        <v>0x engineer(s) &amp; 1x Project Manager engaged to deliver services.</v>
      </c>
      <c r="D116" s="1"/>
      <c r="E116" s="1"/>
      <c r="F116" s="1"/>
      <c r="G116" s="1"/>
      <c r="H116" s="1"/>
    </row>
    <row r="117" spans="1:8" ht="17.399999999999999" customHeight="1">
      <c r="A117" s="3" t="s">
        <v>163</v>
      </c>
      <c r="D117" s="1"/>
      <c r="E117" s="1"/>
      <c r="F117" s="1"/>
      <c r="G117" s="1"/>
      <c r="H117" s="1"/>
    </row>
    <row r="118" spans="1:8" s="14" customFormat="1" ht="120" customHeight="1">
      <c r="A118" s="22" t="str" cm="1">
        <f t="array" ref="A118">"ArchiTech Delivery Practise:"&amp;CHAR(10)&amp;
_xlfn.TEXTJOIN(CHAR(10),TRUE,IF(Management_Costs[Output]="","",IF(Management_Costs[Effort (Hours)]&gt;0," "&amp;CHAR(149)&amp;" "&amp;Management_Costs[Output],"")))</f>
        <v>ArchiTech Delivery Practise:
 • Tested and proven project monitoring and management methodology.
 • Professional tacking of project benefits and required outcomes.
 • Clean transition from project scoping to project delivery.
 • Project closure with an emphasis on outcomes and proving success.</v>
      </c>
      <c r="D118" s="649"/>
      <c r="E118" s="649"/>
      <c r="F118" s="649"/>
      <c r="G118" s="649"/>
      <c r="H118" s="649"/>
    </row>
    <row r="119" spans="1:8" s="14" customFormat="1" ht="120" customHeight="1">
      <c r="A119" s="22" t="str" cm="1">
        <f t="array" ref="A119">IF(Subcontractor_Management_Costs[[#Totals],[Effort (Hours)]]&gt;0,"ArchiTech Delivery Partnership:"&amp;CHAR(10),"")&amp;
_xlfn.TEXTJOIN(CHAR(10),TRUE,IF(Subcontractor_Management_Costs[Output]="","",IF(Subcontractor_Management_Costs[Effort (Hours)]&gt;0," "&amp;CHAR(149)&amp;" "&amp;Subcontractor_Management_Costs[Output],"")))</f>
        <v/>
      </c>
      <c r="D119" s="649"/>
      <c r="E119" s="649"/>
      <c r="F119" s="649"/>
      <c r="G119" s="649"/>
      <c r="H119" s="649"/>
    </row>
    <row r="120" spans="1:8" s="14" customFormat="1" ht="120" customHeight="1">
      <c r="A120" s="22" t="str" cm="1">
        <f t="array" ref="A120">IF(PM_Levels[[#Totals],[Effort (Hours)]]&gt;0,"ArchiTech Project Management Deliverables:"&amp;CHAR(10),"")&amp;
_xlfn.TEXTJOIN(CHAR(10),TRUE,IF(PM_Levels[Output]="","",IF(PM_Levels[Effort (Hours)]&gt;0," "&amp;CHAR(149)&amp;" "&amp;PM_Levels[Output],"")))</f>
        <v/>
      </c>
      <c r="D120" s="649"/>
      <c r="E120" s="649"/>
      <c r="F120" s="649"/>
      <c r="G120" s="649"/>
      <c r="H120" s="649"/>
    </row>
    <row r="121" spans="1:8" ht="17.399999999999999" customHeight="1">
      <c r="D121" s="1"/>
      <c r="E121" s="1"/>
      <c r="F121" s="1"/>
      <c r="G121" s="1"/>
      <c r="H121" s="1"/>
    </row>
    <row r="122" spans="1:8" ht="17.399999999999999" customHeight="1">
      <c r="D122" s="1"/>
      <c r="E122" s="1"/>
      <c r="F122" s="1"/>
      <c r="G122" s="1"/>
      <c r="H122" s="1"/>
    </row>
    <row r="123" spans="1:8" ht="17.399999999999999" customHeight="1">
      <c r="D123" s="1"/>
      <c r="E123" s="1"/>
      <c r="F123" s="1"/>
      <c r="G123" s="1"/>
      <c r="H123" s="1"/>
    </row>
  </sheetData>
  <phoneticPr fontId="13" type="noConversion"/>
  <conditionalFormatting sqref="E87:E88">
    <cfRule type="expression" dxfId="4" priority="1">
      <formula>NOT(E$71=$B$62)</formula>
    </cfRule>
  </conditionalFormatting>
  <conditionalFormatting sqref="F72:J95">
    <cfRule type="expression" dxfId="3" priority="6">
      <formula>NOT(F$71=$B$62)</formula>
    </cfRule>
  </conditionalFormatting>
  <dataValidations disablePrompts="1" count="3">
    <dataValidation type="list" allowBlank="1" showInputMessage="1" showErrorMessage="1" sqref="C72:C95 B42:B49 B18:B28" xr:uid="{DE8E5C23-B44A-4FBC-A7B6-FE0190D7CE5B}">
      <formula1>Rate_Types</formula1>
    </dataValidation>
    <dataValidation type="list" allowBlank="1" showInputMessage="1" showErrorMessage="1" sqref="B56" xr:uid="{8D422848-7873-4AA9-84FB-6A6B905837A1}">
      <formula1>$F$71:$I$71</formula1>
    </dataValidation>
    <dataValidation type="list" allowBlank="1" showInputMessage="1" showErrorMessage="1" sqref="B62" xr:uid="{7FE5454B-75AE-418B-A489-0AF95CAF58DE}">
      <formula1>PROJECT_TIERS</formula1>
    </dataValidation>
  </dataValidations>
  <pageMargins left="0.7" right="0.7" top="0.75" bottom="0.75" header="0.3" footer="0.3"/>
  <pageSetup paperSize="9" orientation="portrait" r:id="rId1"/>
  <legacyDrawing r:id="rId2"/>
  <tableParts count="3">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71983b7-d09b-41a4-b2b7-0015c1183f32" xsi:nil="true"/>
    <lcf76f155ced4ddcb4097134ff3c332f xmlns="67ea3910-af39-4121-9b9f-177d01fe3527">
      <Terms xmlns="http://schemas.microsoft.com/office/infopath/2007/PartnerControls"/>
    </lcf76f155ced4ddcb4097134ff3c332f>
    <SharedWithUsers xmlns="d71983b7-d09b-41a4-b2b7-0015c1183f32">
      <UserInfo>
        <DisplayName>Savraj Narula</DisplayName>
        <AccountId>128</AccountId>
        <AccountType/>
      </UserInfo>
    </SharedWithUser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4CCC94EC3E9EFC47B3B8EC04E67B6B0A" ma:contentTypeVersion="19" ma:contentTypeDescription="Create a new document." ma:contentTypeScope="" ma:versionID="998a6b1250fadced70645c8f00341593">
  <xsd:schema xmlns:xsd="http://www.w3.org/2001/XMLSchema" xmlns:xs="http://www.w3.org/2001/XMLSchema" xmlns:p="http://schemas.microsoft.com/office/2006/metadata/properties" xmlns:ns2="67ea3910-af39-4121-9b9f-177d01fe3527" xmlns:ns3="d71983b7-d09b-41a4-b2b7-0015c1183f32" targetNamespace="http://schemas.microsoft.com/office/2006/metadata/properties" ma:root="true" ma:fieldsID="04c2247956502447d258bfe5d018d400" ns2:_="" ns3:_="">
    <xsd:import namespace="67ea3910-af39-4121-9b9f-177d01fe3527"/>
    <xsd:import namespace="d71983b7-d09b-41a4-b2b7-0015c1183f3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SearchProperties" minOccurs="0"/>
                <xsd:element ref="ns2:MediaServiceObjectDetectorVersion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ea3910-af39-4121-9b9f-177d01fe35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67c9a1ab-10e5-4ec1-8156-94de562249f2" ma:termSetId="09814cd3-568e-fe90-9814-8d621ff8fb84" ma:anchorId="fba54fb3-c3e1-fe81-a776-ca4b69148c4d" ma:open="true" ma:isKeyword="false">
      <xsd:complexType>
        <xsd:sequence>
          <xsd:element ref="pc:Terms" minOccurs="0" maxOccurs="1"/>
        </xsd:sequence>
      </xsd:complex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BillingMetadata" ma:index="25"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71983b7-d09b-41a4-b2b7-0015c1183f32"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736a110b-3c95-4583-b988-8fb8a0255c54}" ma:internalName="TaxCatchAll" ma:showField="CatchAllData" ma:web="d71983b7-d09b-41a4-b2b7-0015c1183f3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FECEC35-CDD6-4364-843E-DE150C353A62}">
  <ds:schemaRefs>
    <ds:schemaRef ds:uri="http://schemas.microsoft.com/office/2006/documentManagement/types"/>
    <ds:schemaRef ds:uri="http://purl.org/dc/elements/1.1/"/>
    <ds:schemaRef ds:uri="http://schemas.microsoft.com/office/2006/metadata/properties"/>
    <ds:schemaRef ds:uri="http://purl.org/dc/dcmitype/"/>
    <ds:schemaRef ds:uri="db9c4fb0-e1c5-4a6e-8d83-6a7347b5dda2"/>
    <ds:schemaRef ds:uri="6defdede-b5a9-43e0-a78f-d58f7c1da97e"/>
    <ds:schemaRef ds:uri="http://schemas.microsoft.com/office/infopath/2007/PartnerControls"/>
    <ds:schemaRef ds:uri="http://schemas.openxmlformats.org/package/2006/metadata/core-properties"/>
    <ds:schemaRef ds:uri="http://www.w3.org/XML/1998/namespace"/>
    <ds:schemaRef ds:uri="http://purl.org/dc/terms/"/>
    <ds:schemaRef ds:uri="d71983b7-d09b-41a4-b2b7-0015c1183f32"/>
    <ds:schemaRef ds:uri="67ea3910-af39-4121-9b9f-177d01fe3527"/>
  </ds:schemaRefs>
</ds:datastoreItem>
</file>

<file path=customXml/itemProps2.xml><?xml version="1.0" encoding="utf-8"?>
<ds:datastoreItem xmlns:ds="http://schemas.openxmlformats.org/officeDocument/2006/customXml" ds:itemID="{7A07C6A4-6BFF-46C1-8FD5-17C0FA5F4D55}">
  <ds:schemaRefs>
    <ds:schemaRef ds:uri="http://schemas.microsoft.com/DataMashup"/>
  </ds:schemaRefs>
</ds:datastoreItem>
</file>

<file path=customXml/itemProps3.xml><?xml version="1.0" encoding="utf-8"?>
<ds:datastoreItem xmlns:ds="http://schemas.openxmlformats.org/officeDocument/2006/customXml" ds:itemID="{91CB623F-0FF8-4274-BCF7-422AE90A953B}">
  <ds:schemaRefs>
    <ds:schemaRef ds:uri="http://schemas.microsoft.com/sharepoint/v3/contenttype/forms"/>
  </ds:schemaRefs>
</ds:datastoreItem>
</file>

<file path=customXml/itemProps4.xml><?xml version="1.0" encoding="utf-8"?>
<ds:datastoreItem xmlns:ds="http://schemas.openxmlformats.org/officeDocument/2006/customXml" ds:itemID="{090D2565-137F-421F-8D40-3437FB16DB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ea3910-af39-4121-9b9f-177d01fe3527"/>
    <ds:schemaRef ds:uri="d71983b7-d09b-41a4-b2b7-0015c1183f3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58</vt:i4>
      </vt:variant>
    </vt:vector>
  </HeadingPairs>
  <TitlesOfParts>
    <vt:vector size="72" baseType="lpstr">
      <vt:lpstr>Instructions</vt:lpstr>
      <vt:lpstr>Project Technical Tasks</vt:lpstr>
      <vt:lpstr>Subcontractors</vt:lpstr>
      <vt:lpstr>Management</vt:lpstr>
      <vt:lpstr>Project Risk</vt:lpstr>
      <vt:lpstr>Milestones</vt:lpstr>
      <vt:lpstr>Checklist</vt:lpstr>
      <vt:lpstr>Summary</vt:lpstr>
      <vt:lpstr>SA Notes</vt:lpstr>
      <vt:lpstr>CPQ Import</vt:lpstr>
      <vt:lpstr>PROJECT SETUP</vt:lpstr>
      <vt:lpstr>HIDDEN_APS Part Numbers</vt:lpstr>
      <vt:lpstr>Settings_Hidden</vt:lpstr>
      <vt:lpstr>Settings_Management_Hidden</vt:lpstr>
      <vt:lpstr>COST_RATES</vt:lpstr>
      <vt:lpstr>CustomerCompetency</vt:lpstr>
      <vt:lpstr>Declaraion_Negative</vt:lpstr>
      <vt:lpstr>declaration_options</vt:lpstr>
      <vt:lpstr>Declaration_Positive</vt:lpstr>
      <vt:lpstr>DeploymentExperience</vt:lpstr>
      <vt:lpstr>Discount_Alert_Triggers</vt:lpstr>
      <vt:lpstr>Discount_approvers</vt:lpstr>
      <vt:lpstr>ENGINEER_ROLES</vt:lpstr>
      <vt:lpstr>GM_Approver_List</vt:lpstr>
      <vt:lpstr>Locations</vt:lpstr>
      <vt:lpstr>PM_Frequency_Label_List</vt:lpstr>
      <vt:lpstr>Project_Management_Report_Frequency_Thresholds</vt:lpstr>
      <vt:lpstr>Project_Management_Tier_Thresholds</vt:lpstr>
      <vt:lpstr>PROJECT_TIERS</vt:lpstr>
      <vt:lpstr>Rate_Types</vt:lpstr>
      <vt:lpstr>RESOURCE_1_TYPE</vt:lpstr>
      <vt:lpstr>RESOURCE_2_TYPE</vt:lpstr>
      <vt:lpstr>RESOURCE_3_TYPE</vt:lpstr>
      <vt:lpstr>RESOURCE_4_TYPE</vt:lpstr>
      <vt:lpstr>RESOURCE_5_TYPE</vt:lpstr>
      <vt:lpstr>RESOURCE_ONE_TYPE</vt:lpstr>
      <vt:lpstr>Risk_Tiers</vt:lpstr>
      <vt:lpstr>Role.Company.Executive.Email</vt:lpstr>
      <vt:lpstr>Role.Company.Executive.Name</vt:lpstr>
      <vt:lpstr>Role.Delivery.Department.Leader</vt:lpstr>
      <vt:lpstr>Role.Delivery.Department.Leader.Email</vt:lpstr>
      <vt:lpstr>Role.Delivery.Department.Leader.Name</vt:lpstr>
      <vt:lpstr>Role.Engineering.Leader.Email</vt:lpstr>
      <vt:lpstr>Role.Engineering.Leader.Name</vt:lpstr>
      <vt:lpstr>Role.PMO.Leader.email</vt:lpstr>
      <vt:lpstr>Role.PMO.Leader.Name</vt:lpstr>
      <vt:lpstr>Role.Sales.Department.Leader</vt:lpstr>
      <vt:lpstr>Role.Sales.Department.Leader.email</vt:lpstr>
      <vt:lpstr>Role.Sales.Department.Leader.Name</vt:lpstr>
      <vt:lpstr>Roles</vt:lpstr>
      <vt:lpstr>SELL_RATES</vt:lpstr>
      <vt:lpstr>SERVICE_CATEGORIES</vt:lpstr>
      <vt:lpstr>Setting_Adjust_for_weekends</vt:lpstr>
      <vt:lpstr>Setting_ArchiTech_Office_Term</vt:lpstr>
      <vt:lpstr>Setting_Base_Duration</vt:lpstr>
      <vt:lpstr>SETTING_client_site_term</vt:lpstr>
      <vt:lpstr>Setting_Default_Engineer_Allocation</vt:lpstr>
      <vt:lpstr>Setting_Engineer_Hours_per_day</vt:lpstr>
      <vt:lpstr>Setting_engineer_Onboard_Min</vt:lpstr>
      <vt:lpstr>Setting_engineer_Onboard_Scale</vt:lpstr>
      <vt:lpstr>Setting_Lead_engineer_Familiarisation_Min</vt:lpstr>
      <vt:lpstr>Setting_Lead_engineer_Familiarisation_Scale</vt:lpstr>
      <vt:lpstr>Setting_Scaling_Duration</vt:lpstr>
      <vt:lpstr>Settting_additional_duration</vt:lpstr>
      <vt:lpstr>SolutionMaturity</vt:lpstr>
      <vt:lpstr>Subcontractor_declaration_2</vt:lpstr>
      <vt:lpstr>Subcontractor_declaration_3</vt:lpstr>
      <vt:lpstr>Subcontractor_declaration_4</vt:lpstr>
      <vt:lpstr>subcontractor_Declarations</vt:lpstr>
      <vt:lpstr>Subcontractor_Quote_Types</vt:lpstr>
      <vt:lpstr>TRAVEL_CODE</vt:lpstr>
      <vt:lpstr>Work_Types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Evan Butcher</dc:creator>
  <cp:keywords/>
  <dc:description/>
  <cp:lastModifiedBy>Evan Butcher</cp:lastModifiedBy>
  <cp:revision/>
  <dcterms:created xsi:type="dcterms:W3CDTF">2015-11-11T08:08:49Z</dcterms:created>
  <dcterms:modified xsi:type="dcterms:W3CDTF">2026-07-06T03:20:05Z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0x0101004CCC94EC3E9EFC47B3B8EC04E67B6B0A</vt:lpwstr>
  </property>
  <property fmtid="{D5CDD505-2E9C-101B-9397-08002B2CF9AE}" pid="3" name="MediaServiceImageTags">
    <vt:lpwstr/>
  </property>
</Properties>
</file>