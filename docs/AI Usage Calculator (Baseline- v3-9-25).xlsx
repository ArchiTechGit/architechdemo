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rant.hansen\Downloads\"/>
    </mc:Choice>
  </mc:AlternateContent>
  <xr:revisionPtr revIDLastSave="0" documentId="13_ncr:1_{BF8EFE30-22A4-4834-9BB8-7ACB364607BC}" xr6:coauthVersionLast="47" xr6:coauthVersionMax="47" xr10:uidLastSave="{00000000-0000-0000-0000-000000000000}"/>
  <bookViews>
    <workbookView xWindow="-110" yWindow="-110" windowWidth="23260" windowHeight="15580" activeTab="1" xr2:uid="{F4930864-0C99-45DA-9942-7ED2CBC2A440}"/>
  </bookViews>
  <sheets>
    <sheet name="year 1" sheetId="2" r:id="rId1"/>
    <sheet name="Unit Costs" sheetId="3" r:id="rId2"/>
    <sheet name="WxConnect" sheetId="4" r:id="rId3"/>
    <sheet name="Call Data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4" l="1"/>
  <c r="D12" i="4"/>
  <c r="D13" i="4" s="1"/>
  <c r="F13" i="4" s="1"/>
  <c r="F10" i="4"/>
  <c r="F9" i="4"/>
  <c r="D7" i="4"/>
  <c r="F7" i="4" s="1"/>
  <c r="F6" i="4"/>
  <c r="D6" i="4"/>
  <c r="D3" i="4"/>
  <c r="C3" i="4"/>
  <c r="B3" i="4"/>
  <c r="F12" i="4" s="1"/>
  <c r="B4" i="3"/>
  <c r="E4" i="3" s="1"/>
  <c r="F5" i="4" l="1"/>
  <c r="F17" i="4" s="1"/>
  <c r="C30" i="2"/>
  <c r="C23" i="2"/>
  <c r="C10" i="2"/>
  <c r="I18" i="3"/>
  <c r="C5" i="2"/>
  <c r="B3" i="3" s="1"/>
  <c r="B5" i="3" s="1"/>
  <c r="B9" i="3" l="1"/>
  <c r="B13" i="3" s="1"/>
  <c r="I22" i="3"/>
  <c r="I21" i="3"/>
  <c r="I20" i="3"/>
  <c r="I9" i="3"/>
  <c r="B18" i="3"/>
  <c r="C11" i="2"/>
  <c r="C31" i="2"/>
  <c r="C24" i="2"/>
  <c r="B12" i="3" l="1"/>
  <c r="B11" i="3"/>
  <c r="I13" i="3"/>
  <c r="I11" i="3"/>
  <c r="I12" i="3"/>
  <c r="B22" i="3"/>
  <c r="B21" i="3"/>
  <c r="B20" i="3"/>
  <c r="C34" i="2"/>
</calcChain>
</file>

<file path=xl/sharedStrings.xml><?xml version="1.0" encoding="utf-8"?>
<sst xmlns="http://schemas.openxmlformats.org/spreadsheetml/2006/main" count="105" uniqueCount="68">
  <si>
    <t>Monthly Cost</t>
  </si>
  <si>
    <t>AI Assistant</t>
  </si>
  <si>
    <t>Unit List Price (AUD)</t>
  </si>
  <si>
    <t>Partner Discount</t>
  </si>
  <si>
    <t>Partner Unit Buy Price (AUD)</t>
  </si>
  <si>
    <t>Voice Calls (monthly)</t>
  </si>
  <si>
    <t>Avg Talk Time (or *AHT) in sec</t>
  </si>
  <si>
    <t>Digital Sessions</t>
  </si>
  <si>
    <t>Units Required</t>
  </si>
  <si>
    <t>Partner Buy Price</t>
  </si>
  <si>
    <t>AI Agent</t>
  </si>
  <si>
    <t>Scripted</t>
  </si>
  <si>
    <t>Avg Talk Time in sec</t>
  </si>
  <si>
    <t>Autonomous</t>
  </si>
  <si>
    <t>Total AI Costs/month (AUD)</t>
  </si>
  <si>
    <t>AI AGENT</t>
  </si>
  <si>
    <t>AI ASSISTANT</t>
  </si>
  <si>
    <t>Autonomous Voice Assumptions</t>
  </si>
  <si>
    <t>Qty</t>
  </si>
  <si>
    <t>ATT</t>
  </si>
  <si>
    <t>Voice Assumptions</t>
  </si>
  <si>
    <t>Autonomous Digital Assumptions</t>
  </si>
  <si>
    <t>Sessions</t>
  </si>
  <si>
    <t>Digital Assumptions</t>
  </si>
  <si>
    <t>Autonomous Voice Cost Schedule</t>
  </si>
  <si>
    <t>Autonomous Digital Cost Schedule</t>
  </si>
  <si>
    <t>Per unit cost</t>
  </si>
  <si>
    <t>plus channel costs</t>
  </si>
  <si>
    <t>AHT</t>
  </si>
  <si>
    <t>AU$</t>
  </si>
  <si>
    <t>Turns</t>
  </si>
  <si>
    <t>&lt;120</t>
  </si>
  <si>
    <t>Less than 2 min</t>
  </si>
  <si>
    <t>&lt;15</t>
  </si>
  <si>
    <t>121-240</t>
  </si>
  <si>
    <t>2 to 4 min</t>
  </si>
  <si>
    <t>16-30</t>
  </si>
  <si>
    <t>241-360</t>
  </si>
  <si>
    <t>4 to 6 min</t>
  </si>
  <si>
    <t>31-45</t>
  </si>
  <si>
    <t>Scripted Voice Cost Schedule</t>
  </si>
  <si>
    <t>Scripted Digital Cost Schedule</t>
  </si>
  <si>
    <t>Function</t>
  </si>
  <si>
    <t>SMS number rental</t>
  </si>
  <si>
    <t>SMS Transmission</t>
  </si>
  <si>
    <t>Automated Transaction Fee</t>
  </si>
  <si>
    <t>Sub-Total</t>
  </si>
  <si>
    <t>Confirmation SMS (AI Agent)</t>
  </si>
  <si>
    <t>Confirmation SMS (Desktop Agent)</t>
  </si>
  <si>
    <t>Confirmation SMS (Alayacare)</t>
  </si>
  <si>
    <t>Reminder SMS (CD Campaign)</t>
  </si>
  <si>
    <t>Day of service SMS (CD Campaign)</t>
  </si>
  <si>
    <t>Fulfilment (Carer) SMS</t>
  </si>
  <si>
    <t>Fulfilment (Scheduler&amp;Mgr) Email</t>
  </si>
  <si>
    <t>Bulk Notify Campaign (CD Ad-hoc)</t>
  </si>
  <si>
    <t>All calls</t>
  </si>
  <si>
    <t>AI Assistant Voice</t>
  </si>
  <si>
    <t>Cost per unit</t>
  </si>
  <si>
    <t>for 2000 minutes</t>
  </si>
  <si>
    <t>ATT (or AHT)</t>
  </si>
  <si>
    <t>sec</t>
  </si>
  <si>
    <t xml:space="preserve">or </t>
  </si>
  <si>
    <t>min</t>
  </si>
  <si>
    <t>Cost per call</t>
  </si>
  <si>
    <t>Knowledge Agent</t>
  </si>
  <si>
    <t>* US$ List Price</t>
  </si>
  <si>
    <t xml:space="preserve">Discount </t>
  </si>
  <si>
    <t>RRP Unit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</si>
</sst>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_-&quot;$&quot;* #,##0.0000_-;\-&quot;$&quot;* #,##0.0000_-;_-&quot;$&quot;* &quot;-&quot;??_-;_-@_-"/>
    <numFmt numFmtId="165" formatCode="&quot;$&quot;#,##0.000;[Red]\-&quot;$&quot;#,##0.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i/>
      <sz val="11"/>
      <color theme="0" tint="-0.34998626667073579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2" borderId="1" applyNumberFormat="0" applyAlignment="0" applyProtection="0"/>
    <xf numFmtId="0" fontId="5" fillId="3" borderId="2" applyNumberFormat="0" applyAlignment="0" applyProtection="0"/>
    <xf numFmtId="0" fontId="6" fillId="3" borderId="1" applyNumberFormat="0" applyAlignment="0" applyProtection="0"/>
    <xf numFmtId="0" fontId="9" fillId="4" borderId="3" applyNumberFormat="0" applyAlignment="0" applyProtection="0"/>
    <xf numFmtId="0" fontId="2" fillId="0" borderId="4" applyNumberFormat="0" applyFill="0" applyAlignment="0" applyProtection="0"/>
    <xf numFmtId="0" fontId="10" fillId="5" borderId="0" applyNumberFormat="0" applyBorder="0" applyAlignment="0" applyProtection="0"/>
    <xf numFmtId="0" fontId="1" fillId="6" borderId="0" applyNumberFormat="0" applyBorder="0" applyAlignment="0" applyProtection="0"/>
    <xf numFmtId="0" fontId="10" fillId="7" borderId="0" applyNumberFormat="0" applyBorder="0" applyAlignment="0" applyProtection="0"/>
  </cellStyleXfs>
  <cellXfs count="31">
    <xf numFmtId="0" fontId="0" fillId="0" borderId="0" xfId="0"/>
    <xf numFmtId="9" fontId="0" fillId="0" borderId="0" xfId="2" applyFont="1"/>
    <xf numFmtId="44" fontId="0" fillId="0" borderId="0" xfId="1" applyFont="1"/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1"/>
    </xf>
    <xf numFmtId="0" fontId="3" fillId="0" borderId="0" xfId="0" applyFont="1"/>
    <xf numFmtId="0" fontId="7" fillId="0" borderId="0" xfId="0" applyFont="1" applyAlignment="1">
      <alignment horizontal="center"/>
    </xf>
    <xf numFmtId="0" fontId="2" fillId="0" borderId="0" xfId="0" applyFont="1"/>
    <xf numFmtId="0" fontId="8" fillId="0" borderId="0" xfId="0" applyFont="1"/>
    <xf numFmtId="1" fontId="0" fillId="0" borderId="0" xfId="0" applyNumberFormat="1"/>
    <xf numFmtId="44" fontId="6" fillId="3" borderId="1" xfId="5" applyNumberFormat="1"/>
    <xf numFmtId="44" fontId="5" fillId="3" borderId="2" xfId="4" applyNumberFormat="1"/>
    <xf numFmtId="0" fontId="4" fillId="2" borderId="1" xfId="3"/>
    <xf numFmtId="44" fontId="0" fillId="0" borderId="0" xfId="0" applyNumberFormat="1"/>
    <xf numFmtId="8" fontId="0" fillId="0" borderId="0" xfId="1" applyNumberFormat="1" applyFont="1"/>
    <xf numFmtId="0" fontId="8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0" fillId="7" borderId="0" xfId="10"/>
    <xf numFmtId="6" fontId="10" fillId="7" borderId="0" xfId="10" applyNumberFormat="1"/>
    <xf numFmtId="164" fontId="10" fillId="7" borderId="0" xfId="10" applyNumberFormat="1"/>
    <xf numFmtId="0" fontId="11" fillId="0" borderId="0" xfId="0" applyFont="1"/>
    <xf numFmtId="9" fontId="11" fillId="0" borderId="0" xfId="0" applyNumberFormat="1" applyFont="1"/>
    <xf numFmtId="0" fontId="9" fillId="5" borderId="0" xfId="8" applyFont="1" applyAlignment="1">
      <alignment horizontal="center" vertical="center"/>
    </xf>
    <xf numFmtId="0" fontId="1" fillId="6" borderId="1" xfId="9" applyBorder="1"/>
    <xf numFmtId="0" fontId="1" fillId="6" borderId="0" xfId="9"/>
    <xf numFmtId="0" fontId="9" fillId="4" borderId="3" xfId="6"/>
    <xf numFmtId="44" fontId="2" fillId="0" borderId="4" xfId="7" applyNumberFormat="1"/>
    <xf numFmtId="1" fontId="4" fillId="2" borderId="1" xfId="3" applyNumberFormat="1"/>
    <xf numFmtId="0" fontId="0" fillId="0" borderId="0" xfId="0" quotePrefix="1"/>
    <xf numFmtId="165" fontId="10" fillId="7" borderId="0" xfId="10" applyNumberFormat="1"/>
  </cellXfs>
  <cellStyles count="11">
    <cellStyle name="40% - Accent2" xfId="9" builtinId="35"/>
    <cellStyle name="Accent1" xfId="8" builtinId="29"/>
    <cellStyle name="Accent4" xfId="10" builtinId="41"/>
    <cellStyle name="Calculation" xfId="5" builtinId="22"/>
    <cellStyle name="Check Cell" xfId="6" builtinId="23"/>
    <cellStyle name="Currency" xfId="1" builtinId="4"/>
    <cellStyle name="Input" xfId="3" builtinId="20"/>
    <cellStyle name="Normal" xfId="0" builtinId="0"/>
    <cellStyle name="Output" xfId="4" builtinId="21"/>
    <cellStyle name="Per cent" xfId="2" builtinId="5"/>
    <cellStyle name="Total" xfId="7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1</xdr:rowOff>
    </xdr:from>
    <xdr:to>
      <xdr:col>10</xdr:col>
      <xdr:colOff>12246</xdr:colOff>
      <xdr:row>13</xdr:row>
      <xdr:rowOff>101750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A1D860E-FA5A-B9CC-3336-3DA22D2D7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8000" y="181430"/>
          <a:ext cx="4109357" cy="227571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9</xdr:col>
      <xdr:colOff>601756</xdr:colOff>
      <xdr:row>28</xdr:row>
      <xdr:rowOff>87539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0869FCF-91EC-D413-3EC5-FD4918931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18000" y="2721429"/>
          <a:ext cx="4097431" cy="2449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EE89C-FCE3-490A-9633-631A93D668BB}">
  <dimension ref="B1:R44"/>
  <sheetViews>
    <sheetView zoomScale="94" zoomScaleNormal="130" workbookViewId="0">
      <selection activeCell="D30" sqref="D30"/>
    </sheetView>
  </sheetViews>
  <sheetFormatPr defaultRowHeight="14.5" x14ac:dyDescent="0.35"/>
  <cols>
    <col min="1" max="1" width="4.26953125" customWidth="1"/>
    <col min="2" max="2" width="27.26953125" bestFit="1" customWidth="1"/>
    <col min="3" max="3" width="16.26953125" customWidth="1"/>
    <col min="4" max="4" width="14" customWidth="1"/>
    <col min="7" max="7" width="15.1796875" customWidth="1"/>
  </cols>
  <sheetData>
    <row r="1" spans="2:4" x14ac:dyDescent="0.35">
      <c r="C1" s="8" t="s">
        <v>0</v>
      </c>
    </row>
    <row r="2" spans="2:4" x14ac:dyDescent="0.35">
      <c r="B2" s="5" t="s">
        <v>1</v>
      </c>
    </row>
    <row r="3" spans="2:4" x14ac:dyDescent="0.35">
      <c r="B3" s="3" t="s">
        <v>2</v>
      </c>
      <c r="C3" s="14">
        <v>46.38</v>
      </c>
    </row>
    <row r="4" spans="2:4" x14ac:dyDescent="0.35">
      <c r="B4" s="3" t="s">
        <v>3</v>
      </c>
      <c r="C4" s="1">
        <v>0.3</v>
      </c>
    </row>
    <row r="5" spans="2:4" x14ac:dyDescent="0.35">
      <c r="B5" s="3" t="s">
        <v>4</v>
      </c>
      <c r="C5" s="2">
        <f>C3*(1-C4)</f>
        <v>32.466000000000001</v>
      </c>
    </row>
    <row r="6" spans="2:4" x14ac:dyDescent="0.35">
      <c r="B6" s="3"/>
    </row>
    <row r="7" spans="2:4" x14ac:dyDescent="0.35">
      <c r="B7" s="3" t="s">
        <v>5</v>
      </c>
      <c r="C7" s="28">
        <v>0</v>
      </c>
    </row>
    <row r="8" spans="2:4" x14ac:dyDescent="0.35">
      <c r="B8" s="3" t="s">
        <v>6</v>
      </c>
      <c r="C8" s="12">
        <v>0</v>
      </c>
      <c r="D8" s="6"/>
    </row>
    <row r="9" spans="2:4" x14ac:dyDescent="0.35">
      <c r="B9" s="3" t="s">
        <v>7</v>
      </c>
      <c r="C9" s="12">
        <v>0</v>
      </c>
    </row>
    <row r="10" spans="2:4" x14ac:dyDescent="0.35">
      <c r="B10" s="3" t="s">
        <v>8</v>
      </c>
      <c r="C10" s="9">
        <f>ROUNDUP(((C7 * C8)/60/2000)+(C9/1000),0)</f>
        <v>0</v>
      </c>
      <c r="D10" s="6"/>
    </row>
    <row r="11" spans="2:4" x14ac:dyDescent="0.35">
      <c r="B11" s="3" t="s">
        <v>9</v>
      </c>
      <c r="C11" s="10">
        <f>C10*C5</f>
        <v>0</v>
      </c>
    </row>
    <row r="14" spans="2:4" x14ac:dyDescent="0.35">
      <c r="B14" s="5" t="s">
        <v>10</v>
      </c>
    </row>
    <row r="15" spans="2:4" x14ac:dyDescent="0.35">
      <c r="B15" s="3" t="s">
        <v>2</v>
      </c>
      <c r="C15" s="14">
        <v>154.6</v>
      </c>
    </row>
    <row r="16" spans="2:4" x14ac:dyDescent="0.35">
      <c r="B16" s="3" t="s">
        <v>3</v>
      </c>
      <c r="C16" s="1">
        <v>0.3</v>
      </c>
    </row>
    <row r="17" spans="2:7" x14ac:dyDescent="0.35">
      <c r="B17" s="3" t="s">
        <v>4</v>
      </c>
      <c r="C17" s="2">
        <v>115.95</v>
      </c>
    </row>
    <row r="18" spans="2:7" x14ac:dyDescent="0.35">
      <c r="B18" s="3"/>
    </row>
    <row r="19" spans="2:7" x14ac:dyDescent="0.35">
      <c r="B19" s="4" t="s">
        <v>11</v>
      </c>
    </row>
    <row r="20" spans="2:7" x14ac:dyDescent="0.35">
      <c r="B20" s="3" t="s">
        <v>5</v>
      </c>
      <c r="C20" s="12">
        <v>0</v>
      </c>
      <c r="D20" s="6"/>
    </row>
    <row r="21" spans="2:7" x14ac:dyDescent="0.35">
      <c r="B21" s="3" t="s">
        <v>12</v>
      </c>
      <c r="C21" s="12">
        <v>0</v>
      </c>
      <c r="D21" s="6"/>
    </row>
    <row r="22" spans="2:7" x14ac:dyDescent="0.35">
      <c r="B22" s="3" t="s">
        <v>7</v>
      </c>
      <c r="C22" s="12">
        <v>0</v>
      </c>
    </row>
    <row r="23" spans="2:7" x14ac:dyDescent="0.35">
      <c r="B23" s="3" t="s">
        <v>8</v>
      </c>
      <c r="C23" s="9">
        <f>ROUNDUP(((C20*CEILING(C21/120,1))/1200)+(C22/4800),0)</f>
        <v>0</v>
      </c>
      <c r="D23" s="6"/>
    </row>
    <row r="24" spans="2:7" x14ac:dyDescent="0.35">
      <c r="B24" s="3" t="s">
        <v>9</v>
      </c>
      <c r="C24" s="10">
        <f>C23*C17</f>
        <v>0</v>
      </c>
    </row>
    <row r="25" spans="2:7" x14ac:dyDescent="0.35">
      <c r="B25" s="3"/>
    </row>
    <row r="26" spans="2:7" x14ac:dyDescent="0.35">
      <c r="B26" s="4" t="s">
        <v>13</v>
      </c>
    </row>
    <row r="27" spans="2:7" x14ac:dyDescent="0.35">
      <c r="B27" s="3" t="s">
        <v>5</v>
      </c>
      <c r="C27" s="12">
        <v>0</v>
      </c>
      <c r="D27" s="6"/>
    </row>
    <row r="28" spans="2:7" x14ac:dyDescent="0.35">
      <c r="B28" s="3" t="s">
        <v>12</v>
      </c>
      <c r="C28" s="12">
        <v>0</v>
      </c>
      <c r="D28" s="6"/>
    </row>
    <row r="29" spans="2:7" x14ac:dyDescent="0.35">
      <c r="B29" s="3" t="s">
        <v>7</v>
      </c>
      <c r="C29" s="12">
        <v>0</v>
      </c>
    </row>
    <row r="30" spans="2:7" x14ac:dyDescent="0.35">
      <c r="B30" s="3" t="s">
        <v>8</v>
      </c>
      <c r="C30">
        <f>ROUNDUP(((C27 * CEILING(C28 / 120, 1))/200)+(C29/200),0)</f>
        <v>0</v>
      </c>
      <c r="D30" s="6"/>
      <c r="G30" s="29" t="s">
        <v>65</v>
      </c>
    </row>
    <row r="31" spans="2:7" x14ac:dyDescent="0.35">
      <c r="B31" s="3" t="s">
        <v>9</v>
      </c>
      <c r="C31" s="10">
        <f>C30*C17</f>
        <v>0</v>
      </c>
    </row>
    <row r="34" spans="2:18" x14ac:dyDescent="0.35">
      <c r="B34" s="3" t="s">
        <v>14</v>
      </c>
      <c r="C34" s="11">
        <f>C31+C11+C24</f>
        <v>0</v>
      </c>
    </row>
    <row r="35" spans="2:18" x14ac:dyDescent="0.35">
      <c r="R35" s="7"/>
    </row>
    <row r="38" spans="2:18" x14ac:dyDescent="0.35">
      <c r="B38" s="8" t="s">
        <v>15</v>
      </c>
      <c r="I38" s="8" t="s">
        <v>16</v>
      </c>
    </row>
    <row r="39" spans="2:18" x14ac:dyDescent="0.35">
      <c r="B39" s="7" t="s">
        <v>17</v>
      </c>
      <c r="D39" s="7" t="s">
        <v>18</v>
      </c>
      <c r="E39" s="7" t="s">
        <v>19</v>
      </c>
      <c r="F39" s="7"/>
      <c r="I39" s="7" t="s">
        <v>20</v>
      </c>
      <c r="L39" s="7" t="s">
        <v>18</v>
      </c>
      <c r="M39" s="7" t="s">
        <v>19</v>
      </c>
    </row>
    <row r="40" spans="2:18" x14ac:dyDescent="0.35">
      <c r="B40" t="s">
        <v>64</v>
      </c>
      <c r="D40">
        <v>1000</v>
      </c>
      <c r="E40">
        <v>120</v>
      </c>
      <c r="I40" t="s">
        <v>55</v>
      </c>
      <c r="L40">
        <v>4000</v>
      </c>
      <c r="M40">
        <v>120</v>
      </c>
      <c r="Q40" s="7"/>
    </row>
    <row r="44" spans="2:18" x14ac:dyDescent="0.35">
      <c r="B44" s="7" t="s">
        <v>21</v>
      </c>
      <c r="D44" s="7" t="s">
        <v>18</v>
      </c>
      <c r="E44" s="7" t="s">
        <v>22</v>
      </c>
      <c r="F44" s="7"/>
      <c r="I44" s="7" t="s">
        <v>23</v>
      </c>
      <c r="L44" s="7" t="s">
        <v>18</v>
      </c>
      <c r="M44" s="7" t="s">
        <v>22</v>
      </c>
    </row>
  </sheetData>
  <pageMargins left="0.7" right="0.7" top="0.75" bottom="0.75" header="0.3" footer="0.3"/>
  <pageSetup orientation="portrait" r:id="rId1"/>
  <headerFooter>
    <oddFooter>&amp;R_x000D_&amp;1#&amp;"Calibri"&amp;8&amp;K000000 Cisco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DB116-5855-47C6-872A-49D2D78B7011}">
  <dimension ref="A1:K22"/>
  <sheetViews>
    <sheetView tabSelected="1" topLeftCell="A10" zoomScale="175" zoomScaleNormal="175" workbookViewId="0">
      <selection activeCell="A18" sqref="A18"/>
    </sheetView>
  </sheetViews>
  <sheetFormatPr defaultRowHeight="14.5" x14ac:dyDescent="0.35"/>
  <cols>
    <col min="1" max="1" width="11.453125" customWidth="1"/>
    <col min="2" max="2" width="11.81640625" customWidth="1"/>
    <col min="8" max="8" width="11.453125" customWidth="1"/>
  </cols>
  <sheetData>
    <row r="1" spans="1:11" x14ac:dyDescent="0.35">
      <c r="A1" s="8" t="s">
        <v>56</v>
      </c>
    </row>
    <row r="2" spans="1:11" x14ac:dyDescent="0.35">
      <c r="B2" t="s">
        <v>29</v>
      </c>
    </row>
    <row r="3" spans="1:11" x14ac:dyDescent="0.35">
      <c r="A3" t="s">
        <v>57</v>
      </c>
      <c r="B3" s="13">
        <f>'year 1'!C5</f>
        <v>32.466000000000001</v>
      </c>
      <c r="C3" t="s">
        <v>58</v>
      </c>
    </row>
    <row r="4" spans="1:11" x14ac:dyDescent="0.35">
      <c r="A4" t="s">
        <v>59</v>
      </c>
      <c r="B4">
        <f>'year 1'!C8</f>
        <v>0</v>
      </c>
      <c r="C4" t="s">
        <v>60</v>
      </c>
      <c r="D4" t="s">
        <v>61</v>
      </c>
      <c r="E4">
        <f>B4/60</f>
        <v>0</v>
      </c>
      <c r="F4" t="s">
        <v>62</v>
      </c>
    </row>
    <row r="5" spans="1:11" x14ac:dyDescent="0.35">
      <c r="A5" t="s">
        <v>63</v>
      </c>
      <c r="B5" s="13">
        <f>B3/2000*E4</f>
        <v>0</v>
      </c>
    </row>
    <row r="6" spans="1:11" x14ac:dyDescent="0.35">
      <c r="B6" s="13"/>
    </row>
    <row r="7" spans="1:11" x14ac:dyDescent="0.35">
      <c r="A7" s="8" t="s">
        <v>10</v>
      </c>
    </row>
    <row r="8" spans="1:11" x14ac:dyDescent="0.35">
      <c r="A8" t="s">
        <v>24</v>
      </c>
      <c r="H8" t="s">
        <v>25</v>
      </c>
    </row>
    <row r="9" spans="1:11" x14ac:dyDescent="0.35">
      <c r="A9" t="s">
        <v>26</v>
      </c>
      <c r="B9" s="13">
        <f>('year 1'!C17)/200</f>
        <v>0.57974999999999999</v>
      </c>
      <c r="H9" t="s">
        <v>26</v>
      </c>
      <c r="I9" s="13">
        <f>('year 1'!C17)/200</f>
        <v>0.57974999999999999</v>
      </c>
      <c r="K9" t="s">
        <v>27</v>
      </c>
    </row>
    <row r="10" spans="1:11" x14ac:dyDescent="0.35">
      <c r="A10" t="s">
        <v>28</v>
      </c>
      <c r="B10" t="s">
        <v>29</v>
      </c>
      <c r="H10" t="s">
        <v>30</v>
      </c>
      <c r="I10" t="s">
        <v>29</v>
      </c>
    </row>
    <row r="11" spans="1:11" x14ac:dyDescent="0.35">
      <c r="A11" t="s">
        <v>31</v>
      </c>
      <c r="B11" s="2">
        <f>B9</f>
        <v>0.57974999999999999</v>
      </c>
      <c r="D11" t="s">
        <v>32</v>
      </c>
      <c r="H11" t="s">
        <v>33</v>
      </c>
      <c r="I11" s="13">
        <f>I9</f>
        <v>0.57974999999999999</v>
      </c>
    </row>
    <row r="12" spans="1:11" x14ac:dyDescent="0.35">
      <c r="A12" t="s">
        <v>34</v>
      </c>
      <c r="B12" s="13">
        <f>B9*2</f>
        <v>1.1595</v>
      </c>
      <c r="D12" t="s">
        <v>35</v>
      </c>
      <c r="H12" t="s">
        <v>36</v>
      </c>
      <c r="I12" s="13">
        <f>I9*2</f>
        <v>1.1595</v>
      </c>
    </row>
    <row r="13" spans="1:11" x14ac:dyDescent="0.35">
      <c r="A13" t="s">
        <v>37</v>
      </c>
      <c r="B13" s="13">
        <f>B9*3</f>
        <v>1.73925</v>
      </c>
      <c r="D13" t="s">
        <v>38</v>
      </c>
      <c r="H13" t="s">
        <v>39</v>
      </c>
      <c r="I13" s="13">
        <f>I9*3</f>
        <v>1.73925</v>
      </c>
    </row>
    <row r="17" spans="1:11" x14ac:dyDescent="0.35">
      <c r="A17" t="s">
        <v>40</v>
      </c>
      <c r="H17" t="s">
        <v>41</v>
      </c>
    </row>
    <row r="18" spans="1:11" x14ac:dyDescent="0.35">
      <c r="A18" t="s">
        <v>26</v>
      </c>
      <c r="B18" s="13">
        <f>('year 1'!C17)/1200</f>
        <v>9.6625000000000003E-2</v>
      </c>
      <c r="H18" t="s">
        <v>26</v>
      </c>
      <c r="I18" s="13">
        <f>('year 1'!C17)/4800</f>
        <v>2.4156250000000001E-2</v>
      </c>
      <c r="K18" t="s">
        <v>27</v>
      </c>
    </row>
    <row r="19" spans="1:11" x14ac:dyDescent="0.35">
      <c r="A19" t="s">
        <v>28</v>
      </c>
      <c r="B19" t="s">
        <v>29</v>
      </c>
      <c r="H19" t="s">
        <v>30</v>
      </c>
      <c r="I19" t="s">
        <v>29</v>
      </c>
    </row>
    <row r="20" spans="1:11" x14ac:dyDescent="0.35">
      <c r="A20" t="s">
        <v>31</v>
      </c>
      <c r="B20" s="2">
        <f>B18</f>
        <v>9.6625000000000003E-2</v>
      </c>
      <c r="H20" t="s">
        <v>33</v>
      </c>
      <c r="I20" s="13">
        <f>I18</f>
        <v>2.4156250000000001E-2</v>
      </c>
    </row>
    <row r="21" spans="1:11" x14ac:dyDescent="0.35">
      <c r="A21" t="s">
        <v>34</v>
      </c>
      <c r="B21" s="13">
        <f>B18*2</f>
        <v>0.19325000000000001</v>
      </c>
      <c r="H21" t="s">
        <v>36</v>
      </c>
      <c r="I21" s="13">
        <f>I18*2</f>
        <v>4.8312500000000001E-2</v>
      </c>
    </row>
    <row r="22" spans="1:11" x14ac:dyDescent="0.35">
      <c r="A22" t="s">
        <v>37</v>
      </c>
      <c r="B22" s="13">
        <f>B18*3</f>
        <v>0.28987499999999999</v>
      </c>
      <c r="H22" t="s">
        <v>39</v>
      </c>
      <c r="I22" s="13">
        <f>I18*3</f>
        <v>7.2468749999999998E-2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0B709-288D-4CFE-921E-12484E36C350}">
  <dimension ref="A1:G18"/>
  <sheetViews>
    <sheetView zoomScale="145" zoomScaleNormal="145" workbookViewId="0">
      <selection activeCell="F15" sqref="F15"/>
    </sheetView>
  </sheetViews>
  <sheetFormatPr defaultRowHeight="14.5" x14ac:dyDescent="0.35"/>
  <cols>
    <col min="1" max="1" width="28.81640625" bestFit="1" customWidth="1"/>
    <col min="2" max="3" width="17.54296875" customWidth="1"/>
    <col min="4" max="4" width="16.453125" customWidth="1"/>
    <col min="5" max="5" width="1.81640625" customWidth="1"/>
    <col min="6" max="6" width="18.453125" customWidth="1"/>
    <col min="7" max="7" width="14.81640625" customWidth="1"/>
    <col min="14" max="14" width="37.54296875" customWidth="1"/>
  </cols>
  <sheetData>
    <row r="1" spans="1:7" ht="29" x14ac:dyDescent="0.35">
      <c r="A1" s="15" t="s">
        <v>42</v>
      </c>
      <c r="B1" s="16" t="s">
        <v>43</v>
      </c>
      <c r="C1" s="16" t="s">
        <v>44</v>
      </c>
      <c r="D1" s="16" t="s">
        <v>45</v>
      </c>
      <c r="E1" s="17"/>
      <c r="F1" s="17"/>
      <c r="G1" s="17" t="s">
        <v>66</v>
      </c>
    </row>
    <row r="2" spans="1:7" s="21" customFormat="1" x14ac:dyDescent="0.35">
      <c r="A2" s="18" t="s">
        <v>67</v>
      </c>
      <c r="B2" s="30">
        <v>51.018000000000001</v>
      </c>
      <c r="C2" s="20">
        <v>4.2700000000000002E-2</v>
      </c>
      <c r="D2" s="20">
        <v>0.10050000000000001</v>
      </c>
      <c r="G2" s="22">
        <v>0.3</v>
      </c>
    </row>
    <row r="3" spans="1:7" x14ac:dyDescent="0.35">
      <c r="A3" s="18"/>
      <c r="B3" s="19">
        <f>B2*(1-G2)</f>
        <v>35.712599999999995</v>
      </c>
      <c r="C3" s="20">
        <f>C2*(1-G2)</f>
        <v>2.989E-2</v>
      </c>
      <c r="D3" s="20">
        <f>D2*(1-G2)</f>
        <v>7.0349999999999996E-2</v>
      </c>
      <c r="E3" s="21"/>
      <c r="F3" s="21"/>
      <c r="G3" s="22"/>
    </row>
    <row r="4" spans="1:7" x14ac:dyDescent="0.35">
      <c r="A4" s="8"/>
      <c r="B4" s="23" t="s">
        <v>18</v>
      </c>
      <c r="C4" s="23" t="s">
        <v>18</v>
      </c>
      <c r="D4" s="23" t="s">
        <v>18</v>
      </c>
      <c r="E4" s="23"/>
      <c r="F4" s="23" t="s">
        <v>46</v>
      </c>
    </row>
    <row r="5" spans="1:7" x14ac:dyDescent="0.35">
      <c r="A5" t="s">
        <v>47</v>
      </c>
      <c r="B5" s="24">
        <v>1</v>
      </c>
      <c r="C5" s="24">
        <v>1</v>
      </c>
      <c r="D5">
        <v>0</v>
      </c>
      <c r="F5" s="2">
        <f>(B5*B3)+(C5*C3)</f>
        <v>35.742489999999997</v>
      </c>
    </row>
    <row r="6" spans="1:7" x14ac:dyDescent="0.35">
      <c r="A6" t="s">
        <v>48</v>
      </c>
      <c r="C6" s="24">
        <v>1</v>
      </c>
      <c r="D6">
        <f>C6</f>
        <v>1</v>
      </c>
      <c r="F6" s="2">
        <f>(C6*C3)+(D6*D3)</f>
        <v>0.10024</v>
      </c>
    </row>
    <row r="7" spans="1:7" x14ac:dyDescent="0.35">
      <c r="A7" t="s">
        <v>49</v>
      </c>
      <c r="C7" s="24">
        <v>1</v>
      </c>
      <c r="D7">
        <f>C7</f>
        <v>1</v>
      </c>
      <c r="F7" s="2">
        <f>(C7*C3)+(D7*D3)</f>
        <v>0.10024</v>
      </c>
    </row>
    <row r="9" spans="1:7" x14ac:dyDescent="0.35">
      <c r="A9" t="s">
        <v>50</v>
      </c>
      <c r="B9" s="24">
        <v>0</v>
      </c>
      <c r="C9" s="24">
        <v>0</v>
      </c>
      <c r="F9" s="2">
        <f>(B9*B3)+(C9*C3)</f>
        <v>0</v>
      </c>
    </row>
    <row r="10" spans="1:7" x14ac:dyDescent="0.35">
      <c r="A10" t="s">
        <v>51</v>
      </c>
      <c r="C10" s="24">
        <v>0</v>
      </c>
      <c r="F10" s="2">
        <f>C10*C3</f>
        <v>0</v>
      </c>
    </row>
    <row r="12" spans="1:7" ht="15" thickBot="1" x14ac:dyDescent="0.4">
      <c r="A12" t="s">
        <v>52</v>
      </c>
      <c r="B12" s="24">
        <v>0</v>
      </c>
      <c r="C12" s="25">
        <v>0</v>
      </c>
      <c r="D12">
        <f>C12</f>
        <v>0</v>
      </c>
      <c r="F12" s="2">
        <f>(B12*B3)+(C12*C3)+(D12*D3)</f>
        <v>0</v>
      </c>
    </row>
    <row r="13" spans="1:7" ht="15.5" thickTop="1" thickBot="1" x14ac:dyDescent="0.4">
      <c r="A13" t="s">
        <v>53</v>
      </c>
      <c r="C13" s="26"/>
      <c r="D13">
        <f>D12</f>
        <v>0</v>
      </c>
      <c r="F13" s="13">
        <f>D13*D3</f>
        <v>0</v>
      </c>
    </row>
    <row r="14" spans="1:7" ht="15" thickTop="1" x14ac:dyDescent="0.35"/>
    <row r="15" spans="1:7" x14ac:dyDescent="0.35">
      <c r="A15" t="s">
        <v>54</v>
      </c>
      <c r="B15" s="24">
        <v>1</v>
      </c>
      <c r="C15" s="25">
        <v>1</v>
      </c>
      <c r="F15" s="13">
        <f>(B15*B3)+(C15*C3)</f>
        <v>35.742489999999997</v>
      </c>
    </row>
    <row r="17" spans="6:6" ht="15" thickBot="1" x14ac:dyDescent="0.4">
      <c r="F17" s="27">
        <f>SUM(F5:F16)</f>
        <v>71.685459999999992</v>
      </c>
    </row>
    <row r="18" spans="6:6" ht="15" thickTop="1" x14ac:dyDescent="0.35">
      <c r="F18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FA408-863C-4D6E-B485-5936941F9F19}">
  <dimension ref="A9:A10"/>
  <sheetViews>
    <sheetView workbookViewId="0"/>
  </sheetViews>
  <sheetFormatPr defaultColWidth="9.81640625" defaultRowHeight="14.5" x14ac:dyDescent="0.35"/>
  <cols>
    <col min="1" max="1" width="18" customWidth="1"/>
    <col min="11" max="11" width="15.54296875" customWidth="1"/>
    <col min="12" max="13" width="11.7265625" bestFit="1" customWidth="1"/>
  </cols>
  <sheetData>
    <row r="9" ht="29.5" customHeight="1" x14ac:dyDescent="0.35"/>
    <row r="10" ht="58.5" customHeight="1" x14ac:dyDescent="0.3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CC94EC3E9EFC47B3B8EC04E67B6B0A" ma:contentTypeVersion="19" ma:contentTypeDescription="Create a new document." ma:contentTypeScope="" ma:versionID="998a6b1250fadced70645c8f00341593">
  <xsd:schema xmlns:xsd="http://www.w3.org/2001/XMLSchema" xmlns:xs="http://www.w3.org/2001/XMLSchema" xmlns:p="http://schemas.microsoft.com/office/2006/metadata/properties" xmlns:ns2="67ea3910-af39-4121-9b9f-177d01fe3527" xmlns:ns3="d71983b7-d09b-41a4-b2b7-0015c1183f32" targetNamespace="http://schemas.microsoft.com/office/2006/metadata/properties" ma:root="true" ma:fieldsID="04c2247956502447d258bfe5d018d400" ns2:_="" ns3:_="">
    <xsd:import namespace="67ea3910-af39-4121-9b9f-177d01fe3527"/>
    <xsd:import namespace="d71983b7-d09b-41a4-b2b7-0015c1183f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ea3910-af39-4121-9b9f-177d01fe35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7c9a1ab-10e5-4ec1-8156-94de56224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983b7-d09b-41a4-b2b7-0015c1183f3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36a110b-3c95-4583-b988-8fb8a0255c54}" ma:internalName="TaxCatchAll" ma:showField="CatchAllData" ma:web="d71983b7-d09b-41a4-b2b7-0015c1183f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1983b7-d09b-41a4-b2b7-0015c1183f32" xsi:nil="true"/>
    <lcf76f155ced4ddcb4097134ff3c332f xmlns="67ea3910-af39-4121-9b9f-177d01fe3527">
      <Terms xmlns="http://schemas.microsoft.com/office/infopath/2007/PartnerControls"/>
    </lcf76f155ced4ddcb4097134ff3c332f>
    <SharedWithUsers xmlns="d71983b7-d09b-41a4-b2b7-0015c1183f3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8D387E7-C194-4733-9FDF-3E6DD8D826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B919EA-A542-4B69-B541-9537855576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ea3910-af39-4121-9b9f-177d01fe3527"/>
    <ds:schemaRef ds:uri="d71983b7-d09b-41a4-b2b7-0015c1183f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FBB7CD-879D-40DC-A34C-BB60B90C1323}">
  <ds:schemaRefs>
    <ds:schemaRef ds:uri="http://schemas.microsoft.com/office/2006/metadata/properties"/>
    <ds:schemaRef ds:uri="http://schemas.microsoft.com/office/infopath/2007/PartnerControls"/>
    <ds:schemaRef ds:uri="5978da3c-efed-431b-ad83-f7db4b3e1472"/>
    <ds:schemaRef ds:uri="69aa4184-65df-412f-ba77-f5f6966218d4"/>
    <ds:schemaRef ds:uri="d71983b7-d09b-41a4-b2b7-0015c1183f32"/>
    <ds:schemaRef ds:uri="67ea3910-af39-4121-9b9f-177d01fe352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 1</vt:lpstr>
      <vt:lpstr>Unit Costs</vt:lpstr>
      <vt:lpstr>WxConnect</vt:lpstr>
      <vt:lpstr>Call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Craig Howe (crhowe)</dc:creator>
  <cp:keywords/>
  <dc:description/>
  <cp:lastModifiedBy>Grant Hansen</cp:lastModifiedBy>
  <cp:revision/>
  <dcterms:created xsi:type="dcterms:W3CDTF">2025-03-13T05:12:15Z</dcterms:created>
  <dcterms:modified xsi:type="dcterms:W3CDTF">2026-04-10T05:59:46Z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2025-03-13T05:26:03Z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13bbe7bd-1647-46c7-b120-9f488f1c6255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10, 3, 0, 1</vt:lpwstr>
  </property>
  <property fmtid="{D5CDD505-2E9C-101B-9397-08002B2CF9AE}" pid="10" name="ContentTypeId">
    <vt:lpwstr>0x0101004CCC94EC3E9EFC47B3B8EC04E67B6B0A</vt:lpwstr>
  </property>
  <property fmtid="{D5CDD505-2E9C-101B-9397-08002B2CF9AE}" pid="11" name="MediaServiceImageTags">
    <vt:lpwstr/>
  </property>
  <property fmtid="{D5CDD505-2E9C-101B-9397-08002B2CF9AE}" pid="12" name="ComplianceAssetId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</Properties>
</file>